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23639B10-2D1A-4A75-80A6-0ABF795E6FD4}" xr6:coauthVersionLast="47" xr6:coauthVersionMax="47" xr10:uidLastSave="{00000000-0000-0000-0000-000000000000}"/>
  <bookViews>
    <workbookView xWindow="-120" yWindow="-120" windowWidth="29040" windowHeight="15840" tabRatio="817" firstSheet="4" activeTab="9" xr2:uid="{00000000-000D-0000-FFFF-FFFF00000000}"/>
  </bookViews>
  <sheets>
    <sheet name="MyConnect" sheetId="1" r:id="rId1"/>
    <sheet name="Intro" sheetId="2" r:id="rId2"/>
    <sheet name="BS" sheetId="3" r:id="rId3"/>
    <sheet name="BS-Support" sheetId="4" r:id="rId4"/>
    <sheet name="PL-Sum" sheetId="5" r:id="rId5"/>
    <sheet name="Sum Room" sheetId="6" r:id="rId6"/>
    <sheet name="Front" sheetId="7" r:id="rId7"/>
    <sheet name="Housekeeping" sheetId="8" r:id="rId8"/>
    <sheet name="Reservation" sheetId="9" r:id="rId9"/>
    <sheet name="F&amp;B" sheetId="10" r:id="rId10"/>
    <sheet name="Spa &amp; Fitness" sheetId="11" r:id="rId11"/>
    <sheet name="OOD" sheetId="12" r:id="rId12"/>
    <sheet name="Admin" sheetId="13" r:id="rId13"/>
    <sheet name="Marketing" sheetId="14" r:id="rId14"/>
    <sheet name="Emp Benefit" sheetId="15" r:id="rId15"/>
    <sheet name="POMEC" sheetId="16" r:id="rId16"/>
    <sheet name="Daily Revenue" sheetId="17" r:id="rId17"/>
    <sheet name="Sample Formula" sheetId="18" r:id="rId18"/>
    <sheet name="Carmen Parameter" sheetId="19" r:id="rId19"/>
  </sheets>
  <externalReferences>
    <externalReference r:id="rId20"/>
    <externalReference r:id="rId21"/>
  </externalReferences>
  <definedNames>
    <definedName name="_Fill" localSheetId="1">#REF!</definedName>
    <definedName name="_Fill">#REF!</definedName>
    <definedName name="_Key1" localSheetId="1">'[1]Land (2)'!#REF!</definedName>
    <definedName name="_Key1">'[1]Land (2)'!#REF!</definedName>
    <definedName name="_Key2" localSheetId="1">#REF!</definedName>
    <definedName name="_Key2">#REF!</definedName>
    <definedName name="_Key3" localSheetId="1">#REF!</definedName>
    <definedName name="_Key3">#REF!</definedName>
    <definedName name="_Order1">255</definedName>
    <definedName name="_Order2">255</definedName>
    <definedName name="_Sort" localSheetId="1">'[1]Land (2)'!#REF!</definedName>
    <definedName name="_Sort">'[1]Land (2)'!#REF!</definedName>
    <definedName name="APR" localSheetId="1">'[2]Carmen Parameter'!$J$5</definedName>
    <definedName name="APR">'Carmen Parameter'!$J$5</definedName>
    <definedName name="AS2DocOpenMode">"AS2DocumentEdit"</definedName>
    <definedName name="AS2NamedRange">4</definedName>
    <definedName name="AUG">'Carmen Parameter'!$J$9</definedName>
    <definedName name="DB">Intro!$H$21</definedName>
    <definedName name="DD">Intro!$H$18</definedName>
    <definedName name="DEC">'Carmen Parameter'!$J$13</definedName>
    <definedName name="DME_BeforeCloseCompleted">"False"</definedName>
    <definedName name="DME_Dirty">"False"</definedName>
    <definedName name="DME_LocalFile">"True"</definedName>
    <definedName name="FEB" localSheetId="1">'[2]Carmen Parameter'!$J$3</definedName>
    <definedName name="FEB">'Carmen Parameter'!$J$3</definedName>
    <definedName name="fr" localSheetId="1">{"Summary_Green",#N/A,FALSE,"YTD Owned";"Summary_White",#N/A,FALSE,"YTD Owned"}</definedName>
    <definedName name="fr">{"Summary_Green",#N/A,FALSE,"YTD Owned";"Summary_White",#N/A,FALSE,"YTD Owned"}</definedName>
    <definedName name="HName">Intro!$B$16</definedName>
    <definedName name="JAN" localSheetId="1">'[2]Carmen Parameter'!$J$2</definedName>
    <definedName name="JAN">'Carmen Parameter'!$J$2</definedName>
    <definedName name="JUL">'Carmen Parameter'!$J$8</definedName>
    <definedName name="JUN" localSheetId="1">'[2]Carmen Parameter'!$J$7</definedName>
    <definedName name="JUN">'Carmen Parameter'!$J$7</definedName>
    <definedName name="MAR" localSheetId="1">'[2]Carmen Parameter'!$J$4</definedName>
    <definedName name="MAR">'Carmen Parameter'!$J$4</definedName>
    <definedName name="MAY" localSheetId="1">'[2]Carmen Parameter'!$J$6</definedName>
    <definedName name="MAY">'Carmen Parameter'!$J$6</definedName>
    <definedName name="NOV">'Carmen Parameter'!$J$12</definedName>
    <definedName name="OCT">'Carmen Parameter'!$J$11</definedName>
    <definedName name="PRD">Intro!$H$19</definedName>
    <definedName name="_xlnm.Print_Area" localSheetId="4">'PL-Sum'!$A$1:$S$58</definedName>
    <definedName name="RV">Intro!$H$22</definedName>
    <definedName name="SEP">'Carmen Parameter'!$J$10</definedName>
    <definedName name="ss" localSheetId="1">{"CF SUMMARY",#N/A,FALSE,"Cash Flow"}</definedName>
    <definedName name="ss">{"CF SUMMARY",#N/A,FALSE,"Cash Flow"}</definedName>
    <definedName name="TextRefCopyRangeCount">14</definedName>
    <definedName name="wrn.BSDA_Report." localSheetId="1">{"Summary_Green",#N/A,FALSE,"YTD Owned";"Summary_White",#N/A,FALSE,"YTD Owned"}</definedName>
    <definedName name="wrn.BSDA_Report.">{"Summary_Green",#N/A,FALSE,"YTD Owned";"Summary_White",#N/A,FALSE,"YTD Owned"}</definedName>
    <definedName name="wrn.Summary." localSheetId="1">{"CF SUMMARY",#N/A,FALSE,"Cash Flow"}</definedName>
    <definedName name="wrn.Summary.">{"CF SUMMARY",#N/A,FALSE,"Cash Flow"}</definedName>
    <definedName name="YR">Intro!$H$20</definedName>
  </definedNames>
  <calcPr calcId="191029"/>
  <extLst>
    <ext uri="GoogleSheetsCustomDataVersion2">
      <go:sheetsCustomData xmlns:go="http://customooxmlschemas.google.com/" r:id="rId25" roundtripDataChecksum="mATxQ+8KoT48PSGi7yWumSjbZ4fToA0DRAaDH4lDm7E="/>
    </ext>
  </extLst>
</workbook>
</file>

<file path=xl/calcChain.xml><?xml version="1.0" encoding="utf-8"?>
<calcChain xmlns="http://schemas.openxmlformats.org/spreadsheetml/2006/main">
  <c r="F2" i="19" l="1" a="1"/>
  <c r="F2" i="19" s="1"/>
  <c r="K13" i="19"/>
  <c r="H13" i="19"/>
  <c r="K12" i="19"/>
  <c r="K11" i="19"/>
  <c r="K10" i="19"/>
  <c r="K9" i="19"/>
  <c r="K8" i="19"/>
  <c r="K7" i="19"/>
  <c r="K6" i="19"/>
  <c r="K5" i="19"/>
  <c r="K4" i="19"/>
  <c r="K3" i="19"/>
  <c r="K2" i="19"/>
  <c r="H2" i="19"/>
  <c r="I2" i="19" s="1"/>
  <c r="D110" i="17"/>
  <c r="D109" i="17"/>
  <c r="L9" i="10"/>
  <c r="B108" i="17" a="1"/>
  <c r="F3" i="19" l="1"/>
  <c r="B108" i="17"/>
  <c r="I106" i="17" a="1"/>
  <c r="I106" i="17" l="1"/>
  <c r="F106" i="17" a="1"/>
  <c r="F106" i="17" l="1"/>
  <c r="D106" i="17" a="1"/>
  <c r="D106" i="17" l="1"/>
  <c r="H106" i="17" s="1"/>
  <c r="B106" i="17" a="1"/>
  <c r="B106" i="17" l="1"/>
  <c r="I105" i="17" a="1"/>
  <c r="I105" i="17" l="1"/>
  <c r="F105" i="17" a="1"/>
  <c r="F105" i="17" l="1"/>
  <c r="D105" i="17" a="1"/>
  <c r="D105" i="17" l="1"/>
  <c r="H105" i="17" s="1"/>
  <c r="B105" i="17" a="1"/>
  <c r="B105" i="17" l="1"/>
  <c r="I104" i="17" a="1"/>
  <c r="I104" i="17" l="1"/>
  <c r="F104" i="17" a="1"/>
  <c r="F104" i="17" l="1"/>
  <c r="D104" i="17" a="1"/>
  <c r="D104" i="17" l="1"/>
  <c r="H104" i="17" s="1"/>
  <c r="B104" i="17" a="1"/>
  <c r="B104" i="17" l="1"/>
  <c r="I103" i="17" a="1"/>
  <c r="I103" i="17" l="1"/>
  <c r="I107" i="17" s="1"/>
  <c r="F103" i="17" a="1"/>
  <c r="F103" i="17" l="1"/>
  <c r="F107" i="17" s="1"/>
  <c r="D103" i="17" a="1"/>
  <c r="D103" i="17" l="1"/>
  <c r="B103" i="17" a="1"/>
  <c r="B103" i="17" l="1"/>
  <c r="B107" i="17" s="1"/>
  <c r="D107" i="17"/>
  <c r="H103" i="17"/>
  <c r="H107" i="17" s="1"/>
  <c r="I102" i="17" a="1"/>
  <c r="I102" i="17" l="1"/>
  <c r="F102" i="17" a="1"/>
  <c r="F102" i="17" l="1"/>
  <c r="D102" i="17" a="1"/>
  <c r="D102" i="17" l="1"/>
  <c r="H102" i="17" s="1"/>
  <c r="B102" i="17" a="1"/>
  <c r="B102" i="17" l="1"/>
  <c r="F100" i="17" a="1"/>
  <c r="F100" i="17" l="1"/>
  <c r="D100" i="17" a="1"/>
  <c r="D100" i="17" l="1"/>
  <c r="H100" i="17" s="1"/>
  <c r="B100" i="17" a="1"/>
  <c r="B100" i="17" l="1"/>
  <c r="I99" i="17" a="1"/>
  <c r="I99" i="17" l="1"/>
  <c r="F99" i="17" a="1"/>
  <c r="F99" i="17" l="1"/>
  <c r="D99" i="17" a="1"/>
  <c r="D99" i="17" l="1"/>
  <c r="H99" i="17" s="1"/>
  <c r="B99" i="17" a="1"/>
  <c r="B99" i="17" l="1"/>
  <c r="I98" i="17" a="1"/>
  <c r="I98" i="17" l="1"/>
  <c r="F98" i="17" a="1"/>
  <c r="F98" i="17" l="1"/>
  <c r="D98" i="17" a="1"/>
  <c r="D98" i="17" l="1"/>
  <c r="H98" i="17" s="1"/>
  <c r="B98" i="17" a="1"/>
  <c r="B98" i="17" l="1"/>
  <c r="I97" i="17" a="1"/>
  <c r="I97" i="17" l="1"/>
  <c r="F97" i="17" a="1"/>
  <c r="F97" i="17" l="1"/>
  <c r="D97" i="17" a="1"/>
  <c r="D97" i="17" l="1"/>
  <c r="H97" i="17" s="1"/>
  <c r="B97" i="17" a="1"/>
  <c r="B97" i="17" l="1"/>
  <c r="I96" i="17" a="1"/>
  <c r="I96" i="17" l="1"/>
  <c r="F96" i="17" a="1"/>
  <c r="F96" i="17" l="1"/>
  <c r="D96" i="17" a="1"/>
  <c r="D96" i="17" l="1"/>
  <c r="H96" i="17" s="1"/>
  <c r="B96" i="17" a="1"/>
  <c r="B96" i="17" l="1"/>
  <c r="I93" i="17" a="1"/>
  <c r="I93" i="17" l="1"/>
  <c r="F93" i="17" a="1"/>
  <c r="F93" i="17" l="1"/>
  <c r="D93" i="17" a="1"/>
  <c r="D93" i="17" l="1"/>
  <c r="H93" i="17" s="1"/>
  <c r="B93" i="17" a="1"/>
  <c r="B93" i="17" l="1"/>
  <c r="I92" i="17" a="1"/>
  <c r="I92" i="17" l="1"/>
  <c r="F92" i="17" a="1"/>
  <c r="F92" i="17" l="1"/>
  <c r="D92" i="17" a="1"/>
  <c r="D92" i="17" l="1"/>
  <c r="H92" i="17" s="1"/>
  <c r="B92" i="17" a="1"/>
  <c r="B92" i="17" l="1"/>
  <c r="I91" i="17" a="1"/>
  <c r="I91" i="17" l="1"/>
  <c r="F91" i="17" a="1"/>
  <c r="F91" i="17" l="1"/>
  <c r="D91" i="17" a="1"/>
  <c r="D91" i="17" l="1"/>
  <c r="H91" i="17" s="1"/>
  <c r="B91" i="17" a="1"/>
  <c r="B91" i="17" l="1"/>
  <c r="I90" i="17" a="1"/>
  <c r="I90" i="17" l="1"/>
  <c r="F90" i="17" a="1"/>
  <c r="F90" i="17" l="1"/>
  <c r="D90" i="17" a="1"/>
  <c r="D90" i="17" l="1"/>
  <c r="H90" i="17" s="1"/>
  <c r="B90" i="17" a="1"/>
  <c r="B90" i="17" l="1"/>
  <c r="I89" i="17" a="1"/>
  <c r="I89" i="17" l="1"/>
  <c r="F89" i="17" a="1"/>
  <c r="F89" i="17" l="1"/>
  <c r="D89" i="17" a="1"/>
  <c r="D89" i="17" l="1"/>
  <c r="H89" i="17" s="1"/>
  <c r="B89" i="17" a="1"/>
  <c r="B89" i="17" l="1"/>
  <c r="I88" i="17" a="1"/>
  <c r="I88" i="17" l="1"/>
  <c r="F88" i="17" a="1"/>
  <c r="F88" i="17" l="1"/>
  <c r="D88" i="17" a="1"/>
  <c r="D88" i="17" l="1"/>
  <c r="H88" i="17" s="1"/>
  <c r="B88" i="17" a="1"/>
  <c r="B88" i="17" l="1"/>
  <c r="I84" i="17" a="1"/>
  <c r="I84" i="17" l="1"/>
  <c r="J84" i="17" s="1"/>
  <c r="F84" i="17" a="1"/>
  <c r="F84" i="17" l="1"/>
  <c r="G84" i="17" s="1"/>
  <c r="D84" i="17" a="1"/>
  <c r="D84" i="17" l="1"/>
  <c r="B84" i="17" a="1"/>
  <c r="B84" i="17" l="1"/>
  <c r="C84" i="17" s="1"/>
  <c r="H84" i="17"/>
  <c r="E84" i="17"/>
  <c r="I83" i="17" a="1"/>
  <c r="I83" i="17" l="1"/>
  <c r="J83" i="17" s="1"/>
  <c r="F83" i="17" a="1"/>
  <c r="F83" i="17" l="1"/>
  <c r="G83" i="17" s="1"/>
  <c r="D83" i="17" a="1"/>
  <c r="D83" i="17" l="1"/>
  <c r="B83" i="17" a="1"/>
  <c r="B83" i="17" l="1"/>
  <c r="C83" i="17" s="1"/>
  <c r="H83" i="17"/>
  <c r="E83" i="17"/>
  <c r="A83" i="17"/>
  <c r="A93" i="17" s="1"/>
  <c r="I82" i="17" a="1"/>
  <c r="I82" i="17" l="1"/>
  <c r="J82" i="17" s="1"/>
  <c r="F82" i="17" a="1"/>
  <c r="F82" i="17" l="1"/>
  <c r="G82" i="17" s="1"/>
  <c r="D82" i="17" a="1"/>
  <c r="D82" i="17" l="1"/>
  <c r="B82" i="17" a="1"/>
  <c r="B82" i="17" l="1"/>
  <c r="C82" i="17" s="1"/>
  <c r="H82" i="17"/>
  <c r="E82" i="17"/>
  <c r="A82" i="17"/>
  <c r="A92" i="17" s="1"/>
  <c r="I81" i="17" a="1"/>
  <c r="I81" i="17" l="1"/>
  <c r="J81" i="17" s="1"/>
  <c r="F81" i="17" a="1"/>
  <c r="F81" i="17" l="1"/>
  <c r="G81" i="17" s="1"/>
  <c r="D81" i="17" a="1"/>
  <c r="D81" i="17" l="1"/>
  <c r="B81" i="17" a="1"/>
  <c r="B81" i="17" l="1"/>
  <c r="C81" i="17" s="1"/>
  <c r="H81" i="17"/>
  <c r="E81" i="17"/>
  <c r="A81" i="17"/>
  <c r="A91" i="17" s="1"/>
  <c r="I80" i="17" a="1"/>
  <c r="I80" i="17" l="1"/>
  <c r="J80" i="17" s="1"/>
  <c r="F80" i="17" a="1"/>
  <c r="F80" i="17" l="1"/>
  <c r="G80" i="17" s="1"/>
  <c r="D80" i="17" a="1"/>
  <c r="D80" i="17" l="1"/>
  <c r="B80" i="17" a="1"/>
  <c r="B80" i="17" l="1"/>
  <c r="C80" i="17" s="1"/>
  <c r="H80" i="17"/>
  <c r="E80" i="17"/>
  <c r="A80" i="17"/>
  <c r="A90" i="17" s="1"/>
  <c r="I79" i="17" a="1"/>
  <c r="I79" i="17" l="1"/>
  <c r="J79" i="17" s="1"/>
  <c r="F79" i="17" a="1"/>
  <c r="F79" i="17" l="1"/>
  <c r="G79" i="17" s="1"/>
  <c r="D79" i="17" a="1"/>
  <c r="D79" i="17" l="1"/>
  <c r="B79" i="17" a="1"/>
  <c r="B79" i="17" l="1"/>
  <c r="C79" i="17" s="1"/>
  <c r="H79" i="17"/>
  <c r="E79" i="17"/>
  <c r="A79" i="17"/>
  <c r="A89" i="17" s="1"/>
  <c r="I78" i="17" a="1"/>
  <c r="I78" i="17" l="1"/>
  <c r="F78" i="17" a="1"/>
  <c r="F78" i="17" l="1"/>
  <c r="I85" i="17"/>
  <c r="J85" i="17" s="1"/>
  <c r="J78" i="17"/>
  <c r="D78" i="17" a="1"/>
  <c r="D78" i="17" l="1"/>
  <c r="F85" i="17"/>
  <c r="G85" i="17" s="1"/>
  <c r="G78" i="17"/>
  <c r="B78" i="17" a="1"/>
  <c r="B78" i="17" l="1"/>
  <c r="D85" i="17"/>
  <c r="H78" i="17"/>
  <c r="E78" i="17"/>
  <c r="A78" i="17"/>
  <c r="A88" i="17" s="1"/>
  <c r="I74" i="17" a="1"/>
  <c r="I74" i="17" l="1"/>
  <c r="J74" i="17" s="1"/>
  <c r="H85" i="17"/>
  <c r="E85" i="17"/>
  <c r="B85" i="17"/>
  <c r="C85" i="17" s="1"/>
  <c r="C78" i="17"/>
  <c r="F74" i="17" a="1"/>
  <c r="F74" i="17" l="1"/>
  <c r="G74" i="17" s="1"/>
  <c r="H74" i="17" s="1"/>
  <c r="D74" i="17" a="1"/>
  <c r="D74" i="17" l="1"/>
  <c r="B74" i="17" a="1"/>
  <c r="B74" i="17" l="1"/>
  <c r="I73" i="17" a="1"/>
  <c r="I73" i="17" l="1"/>
  <c r="F73" i="17" a="1"/>
  <c r="F73" i="17" l="1"/>
  <c r="I75" i="17"/>
  <c r="J73" i="17"/>
  <c r="D73" i="17" a="1"/>
  <c r="D73" i="17" l="1"/>
  <c r="F75" i="17"/>
  <c r="G73" i="17"/>
  <c r="H73" i="17" s="1"/>
  <c r="H75" i="17" s="1"/>
  <c r="B73" i="17" a="1"/>
  <c r="B73" i="17" l="1"/>
  <c r="D75" i="17"/>
  <c r="E74" i="17"/>
  <c r="E73" i="17"/>
  <c r="I67" i="17" a="1"/>
  <c r="I67" i="17" l="1"/>
  <c r="J67" i="17" s="1"/>
  <c r="B75" i="17"/>
  <c r="C74" i="17"/>
  <c r="C73" i="17"/>
  <c r="F67" i="17" a="1"/>
  <c r="F67" i="17" l="1"/>
  <c r="G67" i="17" s="1"/>
  <c r="D67" i="17" a="1"/>
  <c r="D67" i="17" l="1"/>
  <c r="B67" i="17" a="1"/>
  <c r="B67" i="17" l="1"/>
  <c r="C67" i="17" s="1"/>
  <c r="H67" i="17"/>
  <c r="E67" i="17"/>
  <c r="I66" i="17" a="1"/>
  <c r="I66" i="17" l="1"/>
  <c r="J66" i="17" s="1"/>
  <c r="F66" i="17" a="1"/>
  <c r="F66" i="17" l="1"/>
  <c r="G66" i="17" s="1"/>
  <c r="D66" i="17" a="1"/>
  <c r="D66" i="17" l="1"/>
  <c r="B66" i="17" a="1"/>
  <c r="B66" i="17" l="1"/>
  <c r="C66" i="17" s="1"/>
  <c r="H66" i="17"/>
  <c r="E66" i="17"/>
  <c r="I65" i="17" a="1"/>
  <c r="I65" i="17" l="1"/>
  <c r="J65" i="17" s="1"/>
  <c r="F65" i="17" a="1"/>
  <c r="F65" i="17" l="1"/>
  <c r="G65" i="17" s="1"/>
  <c r="D65" i="17" a="1"/>
  <c r="D65" i="17" l="1"/>
  <c r="B65" i="17" a="1"/>
  <c r="B65" i="17" l="1"/>
  <c r="C65" i="17" s="1"/>
  <c r="H65" i="17"/>
  <c r="E65" i="17"/>
  <c r="I64" i="17" a="1"/>
  <c r="I64" i="17" l="1"/>
  <c r="J64" i="17" s="1"/>
  <c r="F64" i="17" a="1"/>
  <c r="F64" i="17" l="1"/>
  <c r="G64" i="17" s="1"/>
  <c r="D64" i="17" a="1"/>
  <c r="D64" i="17" l="1"/>
  <c r="B64" i="17" a="1"/>
  <c r="B64" i="17" l="1"/>
  <c r="C64" i="17" s="1"/>
  <c r="H64" i="17"/>
  <c r="E64" i="17"/>
  <c r="I63" i="17" a="1"/>
  <c r="I63" i="17" l="1"/>
  <c r="J63" i="17" s="1"/>
  <c r="F63" i="17" a="1"/>
  <c r="F63" i="17" l="1"/>
  <c r="G63" i="17" s="1"/>
  <c r="D63" i="17" a="1"/>
  <c r="D63" i="17" l="1"/>
  <c r="B63" i="17" a="1"/>
  <c r="B63" i="17" l="1"/>
  <c r="C63" i="17" s="1"/>
  <c r="H63" i="17"/>
  <c r="E63" i="17"/>
  <c r="I62" i="17" a="1"/>
  <c r="I62" i="17" l="1"/>
  <c r="J62" i="17" s="1"/>
  <c r="F62" i="17" a="1"/>
  <c r="F62" i="17" l="1"/>
  <c r="G62" i="17" s="1"/>
  <c r="D62" i="17" a="1"/>
  <c r="D62" i="17" l="1"/>
  <c r="B62" i="17" a="1"/>
  <c r="B62" i="17" l="1"/>
  <c r="C62" i="17" s="1"/>
  <c r="H62" i="17"/>
  <c r="E62" i="17"/>
  <c r="I61" i="17" a="1"/>
  <c r="I61" i="17" l="1"/>
  <c r="J61" i="17" s="1"/>
  <c r="F61" i="17" a="1"/>
  <c r="F61" i="17" l="1"/>
  <c r="G61" i="17" s="1"/>
  <c r="D61" i="17" a="1"/>
  <c r="D61" i="17" l="1"/>
  <c r="B61" i="17" a="1"/>
  <c r="B61" i="17" l="1"/>
  <c r="C61" i="17" s="1"/>
  <c r="H61" i="17"/>
  <c r="E61" i="17"/>
  <c r="I60" i="17" a="1"/>
  <c r="I60" i="17" l="1"/>
  <c r="J60" i="17" s="1"/>
  <c r="F60" i="17" a="1"/>
  <c r="F60" i="17" l="1"/>
  <c r="G60" i="17" s="1"/>
  <c r="D60" i="17" a="1"/>
  <c r="D60" i="17" l="1"/>
  <c r="B60" i="17" a="1"/>
  <c r="B60" i="17" l="1"/>
  <c r="C60" i="17" s="1"/>
  <c r="H60" i="17"/>
  <c r="E60" i="17"/>
  <c r="I59" i="17" a="1"/>
  <c r="I59" i="17" l="1"/>
  <c r="J59" i="17" s="1"/>
  <c r="F59" i="17" a="1"/>
  <c r="F59" i="17" l="1"/>
  <c r="G59" i="17" s="1"/>
  <c r="D59" i="17" a="1"/>
  <c r="D59" i="17" l="1"/>
  <c r="B59" i="17" a="1"/>
  <c r="B59" i="17" l="1"/>
  <c r="C59" i="17" s="1"/>
  <c r="H59" i="17"/>
  <c r="E59" i="17"/>
  <c r="I58" i="17" a="1"/>
  <c r="I58" i="17" l="1"/>
  <c r="J58" i="17" s="1"/>
  <c r="F58" i="17" a="1"/>
  <c r="F58" i="17" l="1"/>
  <c r="G58" i="17" s="1"/>
  <c r="D58" i="17" a="1"/>
  <c r="D58" i="17" l="1"/>
  <c r="B58" i="17" a="1"/>
  <c r="B58" i="17" l="1"/>
  <c r="C58" i="17" s="1"/>
  <c r="H58" i="17"/>
  <c r="E58" i="17"/>
  <c r="I57" i="17" a="1"/>
  <c r="I57" i="17" l="1"/>
  <c r="J57" i="17" s="1"/>
  <c r="F57" i="17" a="1"/>
  <c r="F57" i="17" l="1"/>
  <c r="G57" i="17" s="1"/>
  <c r="D57" i="17" a="1"/>
  <c r="D57" i="17" l="1"/>
  <c r="B57" i="17" a="1"/>
  <c r="B57" i="17" l="1"/>
  <c r="C57" i="17" s="1"/>
  <c r="H57" i="17"/>
  <c r="E57" i="17"/>
  <c r="I56" i="17" a="1"/>
  <c r="I56" i="17" l="1"/>
  <c r="J56" i="17" s="1"/>
  <c r="F56" i="17" a="1"/>
  <c r="F56" i="17" l="1"/>
  <c r="G56" i="17" s="1"/>
  <c r="D56" i="17" a="1"/>
  <c r="D56" i="17" l="1"/>
  <c r="B56" i="17" a="1"/>
  <c r="B56" i="17" l="1"/>
  <c r="C56" i="17" s="1"/>
  <c r="H56" i="17"/>
  <c r="E56" i="17"/>
  <c r="I55" i="17" a="1"/>
  <c r="I55" i="17" l="1"/>
  <c r="J55" i="17" s="1"/>
  <c r="F55" i="17" a="1"/>
  <c r="F55" i="17" l="1"/>
  <c r="G55" i="17" s="1"/>
  <c r="D55" i="17" a="1"/>
  <c r="D55" i="17" l="1"/>
  <c r="B55" i="17" a="1"/>
  <c r="B55" i="17" l="1"/>
  <c r="C55" i="17" s="1"/>
  <c r="H55" i="17"/>
  <c r="E55" i="17"/>
  <c r="I54" i="17" a="1"/>
  <c r="I54" i="17" l="1"/>
  <c r="J54" i="17" s="1"/>
  <c r="F54" i="17" a="1"/>
  <c r="F54" i="17" l="1"/>
  <c r="G54" i="17" s="1"/>
  <c r="D54" i="17" a="1"/>
  <c r="D54" i="17" l="1"/>
  <c r="B54" i="17" a="1"/>
  <c r="B54" i="17" l="1"/>
  <c r="C54" i="17" s="1"/>
  <c r="H54" i="17"/>
  <c r="E54" i="17"/>
  <c r="I53" i="17" a="1"/>
  <c r="I53" i="17" l="1"/>
  <c r="J53" i="17" s="1"/>
  <c r="F53" i="17" a="1"/>
  <c r="F53" i="17" l="1"/>
  <c r="G53" i="17" s="1"/>
  <c r="D53" i="17" a="1"/>
  <c r="D53" i="17" l="1"/>
  <c r="B53" i="17" a="1"/>
  <c r="B53" i="17" l="1"/>
  <c r="C53" i="17" s="1"/>
  <c r="H53" i="17"/>
  <c r="E53" i="17"/>
  <c r="I52" i="17" a="1"/>
  <c r="I52" i="17" l="1"/>
  <c r="J52" i="17" s="1"/>
  <c r="F52" i="17" a="1"/>
  <c r="F52" i="17" l="1"/>
  <c r="G52" i="17" s="1"/>
  <c r="D52" i="17" a="1"/>
  <c r="D52" i="17" l="1"/>
  <c r="B52" i="17" a="1"/>
  <c r="B52" i="17" l="1"/>
  <c r="C52" i="17" s="1"/>
  <c r="H52" i="17"/>
  <c r="E52" i="17"/>
  <c r="I51" i="17" a="1"/>
  <c r="I51" i="17" l="1"/>
  <c r="F51" i="17" a="1"/>
  <c r="F51" i="17" l="1"/>
  <c r="I68" i="17"/>
  <c r="J68" i="17" s="1"/>
  <c r="J51" i="17"/>
  <c r="D51" i="17" a="1"/>
  <c r="D51" i="17" l="1"/>
  <c r="F68" i="17"/>
  <c r="G68" i="17" s="1"/>
  <c r="G51" i="17"/>
  <c r="B51" i="17" a="1"/>
  <c r="B51" i="17" l="1"/>
  <c r="D68" i="17"/>
  <c r="E68" i="17" s="1"/>
  <c r="H51" i="17"/>
  <c r="H68" i="17" s="1"/>
  <c r="E51" i="17"/>
  <c r="I47" i="17" a="1"/>
  <c r="I47" i="17" l="1"/>
  <c r="J47" i="17" s="1"/>
  <c r="B68" i="17"/>
  <c r="C68" i="17" s="1"/>
  <c r="C51" i="17"/>
  <c r="F47" i="17" a="1"/>
  <c r="F47" i="17" l="1"/>
  <c r="G47" i="17" s="1"/>
  <c r="D47" i="17" a="1"/>
  <c r="D47" i="17" l="1"/>
  <c r="B47" i="17" a="1"/>
  <c r="B47" i="17" l="1"/>
  <c r="C47" i="17" s="1"/>
  <c r="H47" i="17"/>
  <c r="E47" i="17"/>
  <c r="I46" i="17" a="1"/>
  <c r="I46" i="17" l="1"/>
  <c r="J46" i="17" s="1"/>
  <c r="F46" i="17" a="1"/>
  <c r="F46" i="17" l="1"/>
  <c r="G46" i="17" s="1"/>
  <c r="D46" i="17" a="1"/>
  <c r="D46" i="17" l="1"/>
  <c r="B46" i="17" a="1"/>
  <c r="B46" i="17" l="1"/>
  <c r="C46" i="17" s="1"/>
  <c r="H46" i="17"/>
  <c r="E46" i="17"/>
  <c r="I45" i="17" a="1"/>
  <c r="I45" i="17" l="1"/>
  <c r="J45" i="17" s="1"/>
  <c r="F45" i="17" a="1"/>
  <c r="F45" i="17" l="1"/>
  <c r="G45" i="17" s="1"/>
  <c r="D45" i="17" a="1"/>
  <c r="D45" i="17" l="1"/>
  <c r="B45" i="17" a="1"/>
  <c r="B45" i="17" l="1"/>
  <c r="C45" i="17" s="1"/>
  <c r="H45" i="17"/>
  <c r="E45" i="17"/>
  <c r="I44" i="17" a="1"/>
  <c r="I44" i="17" l="1"/>
  <c r="J44" i="17" s="1"/>
  <c r="F44" i="17" a="1"/>
  <c r="F44" i="17" l="1"/>
  <c r="G44" i="17" s="1"/>
  <c r="D44" i="17" a="1"/>
  <c r="D44" i="17" l="1"/>
  <c r="B44" i="17" a="1"/>
  <c r="B44" i="17" l="1"/>
  <c r="C44" i="17" s="1"/>
  <c r="H44" i="17"/>
  <c r="E44" i="17"/>
  <c r="I41" i="17" a="1"/>
  <c r="I41" i="17" l="1"/>
  <c r="J41" i="17" s="1"/>
  <c r="F41" i="17" a="1"/>
  <c r="F41" i="17" l="1"/>
  <c r="G41" i="17" s="1"/>
  <c r="D41" i="17" a="1"/>
  <c r="D41" i="17" l="1"/>
  <c r="B41" i="17" a="1"/>
  <c r="B41" i="17" l="1"/>
  <c r="C41" i="17" s="1"/>
  <c r="H41" i="17"/>
  <c r="E41" i="17"/>
  <c r="I40" i="17" a="1"/>
  <c r="I40" i="17" l="1"/>
  <c r="J40" i="17" s="1"/>
  <c r="F40" i="17" a="1"/>
  <c r="F40" i="17" l="1"/>
  <c r="G40" i="17" s="1"/>
  <c r="D40" i="17" a="1"/>
  <c r="D40" i="17" l="1"/>
  <c r="B40" i="17" a="1"/>
  <c r="B40" i="17" l="1"/>
  <c r="C40" i="17" s="1"/>
  <c r="H40" i="17"/>
  <c r="E40" i="17"/>
  <c r="I39" i="17" a="1"/>
  <c r="I39" i="17" l="1"/>
  <c r="J39" i="17" s="1"/>
  <c r="F39" i="17" a="1"/>
  <c r="F39" i="17" l="1"/>
  <c r="G39" i="17" s="1"/>
  <c r="D39" i="17" a="1"/>
  <c r="D39" i="17" l="1"/>
  <c r="B39" i="17" a="1"/>
  <c r="B39" i="17" l="1"/>
  <c r="C39" i="17" s="1"/>
  <c r="H39" i="17"/>
  <c r="E39" i="17"/>
  <c r="I38" i="17" a="1"/>
  <c r="I38" i="17" l="1"/>
  <c r="J38" i="17" s="1"/>
  <c r="F38" i="17" a="1"/>
  <c r="F38" i="17" l="1"/>
  <c r="G38" i="17" s="1"/>
  <c r="D38" i="17" a="1"/>
  <c r="D38" i="17" l="1"/>
  <c r="B38" i="17" a="1"/>
  <c r="B38" i="17" l="1"/>
  <c r="C38" i="17" s="1"/>
  <c r="H38" i="17"/>
  <c r="E38" i="17"/>
  <c r="I37" i="17" a="1"/>
  <c r="I37" i="17" l="1"/>
  <c r="J37" i="17" s="1"/>
  <c r="F37" i="17" a="1"/>
  <c r="F37" i="17" l="1"/>
  <c r="G37" i="17" s="1"/>
  <c r="D37" i="17" a="1"/>
  <c r="D37" i="17" l="1"/>
  <c r="B37" i="17" a="1"/>
  <c r="B37" i="17" l="1"/>
  <c r="C37" i="17" s="1"/>
  <c r="H37" i="17"/>
  <c r="E37" i="17"/>
  <c r="I36" i="17" a="1"/>
  <c r="I36" i="17" l="1"/>
  <c r="J36" i="17" s="1"/>
  <c r="F36" i="17" a="1"/>
  <c r="F36" i="17" l="1"/>
  <c r="G36" i="17" s="1"/>
  <c r="D36" i="17" a="1"/>
  <c r="D36" i="17" l="1"/>
  <c r="B36" i="17" a="1"/>
  <c r="B36" i="17" l="1"/>
  <c r="C36" i="17" s="1"/>
  <c r="H36" i="17"/>
  <c r="E36" i="17"/>
  <c r="I35" i="17" a="1"/>
  <c r="I35" i="17" l="1"/>
  <c r="F35" i="17" a="1"/>
  <c r="F35" i="17" l="1"/>
  <c r="I42" i="17"/>
  <c r="J35" i="17"/>
  <c r="J42" i="17" s="1"/>
  <c r="D35" i="17" a="1"/>
  <c r="D35" i="17" l="1"/>
  <c r="F42" i="17"/>
  <c r="G42" i="17" s="1"/>
  <c r="G35" i="17"/>
  <c r="B35" i="17" a="1"/>
  <c r="B35" i="17" l="1"/>
  <c r="D42" i="17"/>
  <c r="H35" i="17"/>
  <c r="E35" i="17"/>
  <c r="H34" i="17"/>
  <c r="I31" i="17" a="1"/>
  <c r="I31" i="17" l="1"/>
  <c r="J31" i="17" s="1"/>
  <c r="B42" i="17"/>
  <c r="C42" i="17" s="1"/>
  <c r="C35" i="17"/>
  <c r="E42" i="17"/>
  <c r="H42" i="17"/>
  <c r="F31" i="17" a="1"/>
  <c r="F31" i="17" l="1"/>
  <c r="G31" i="17" s="1"/>
  <c r="D31" i="17" a="1"/>
  <c r="D31" i="17" l="1"/>
  <c r="B31" i="17" a="1"/>
  <c r="B31" i="17" l="1"/>
  <c r="C31" i="17" s="1"/>
  <c r="H31" i="17"/>
  <c r="E31" i="17"/>
  <c r="I30" i="17" a="1"/>
  <c r="I30" i="17" l="1"/>
  <c r="J30" i="17" s="1"/>
  <c r="F30" i="17" a="1"/>
  <c r="F30" i="17" l="1"/>
  <c r="G30" i="17" s="1"/>
  <c r="D30" i="17" a="1"/>
  <c r="D30" i="17" l="1"/>
  <c r="B30" i="17" a="1"/>
  <c r="B30" i="17" l="1"/>
  <c r="C30" i="17" s="1"/>
  <c r="H30" i="17"/>
  <c r="E30" i="17"/>
  <c r="I29" i="17" a="1"/>
  <c r="I29" i="17" l="1"/>
  <c r="J29" i="17" s="1"/>
  <c r="F29" i="17" a="1"/>
  <c r="F29" i="17" l="1"/>
  <c r="G29" i="17" s="1"/>
  <c r="D29" i="17" a="1"/>
  <c r="D29" i="17" l="1"/>
  <c r="B29" i="17" a="1"/>
  <c r="B29" i="17" l="1"/>
  <c r="C29" i="17" s="1"/>
  <c r="H29" i="17"/>
  <c r="E29" i="17"/>
  <c r="I28" i="17" a="1"/>
  <c r="I28" i="17" l="1"/>
  <c r="F28" i="17" a="1"/>
  <c r="F28" i="17" l="1"/>
  <c r="I32" i="17"/>
  <c r="J32" i="17" s="1"/>
  <c r="J43" i="17" s="1"/>
  <c r="J28" i="17"/>
  <c r="D28" i="17" a="1"/>
  <c r="D28" i="17" l="1"/>
  <c r="F32" i="17"/>
  <c r="G32" i="17" s="1"/>
  <c r="G28" i="17"/>
  <c r="B28" i="17" a="1"/>
  <c r="B28" i="17" l="1"/>
  <c r="D32" i="17"/>
  <c r="H28" i="17"/>
  <c r="E28" i="17"/>
  <c r="H27" i="17"/>
  <c r="I24" i="17" a="1"/>
  <c r="I24" i="17" l="1"/>
  <c r="J24" i="17" s="1"/>
  <c r="B32" i="17"/>
  <c r="C32" i="17" s="1"/>
  <c r="C28" i="17"/>
  <c r="E32" i="17"/>
  <c r="H32" i="17"/>
  <c r="F24" i="17" a="1"/>
  <c r="F24" i="17" l="1"/>
  <c r="G24" i="17" s="1"/>
  <c r="D24" i="17" a="1"/>
  <c r="D24" i="17" l="1"/>
  <c r="B24" i="17" a="1"/>
  <c r="B24" i="17" l="1"/>
  <c r="C24" i="17" s="1"/>
  <c r="H24" i="17"/>
  <c r="E24" i="17"/>
  <c r="I23" i="17" a="1"/>
  <c r="I23" i="17" l="1"/>
  <c r="J23" i="17" s="1"/>
  <c r="F23" i="17" a="1"/>
  <c r="F23" i="17" l="1"/>
  <c r="G23" i="17" s="1"/>
  <c r="D23" i="17" a="1"/>
  <c r="D23" i="17" l="1"/>
  <c r="B23" i="17" a="1"/>
  <c r="B23" i="17" l="1"/>
  <c r="C23" i="17" s="1"/>
  <c r="H23" i="17"/>
  <c r="E23" i="17"/>
  <c r="I22" i="17" a="1"/>
  <c r="I22" i="17" l="1"/>
  <c r="J22" i="17" s="1"/>
  <c r="F22" i="17" a="1"/>
  <c r="F22" i="17" l="1"/>
  <c r="G22" i="17" s="1"/>
  <c r="D22" i="17" a="1"/>
  <c r="D22" i="17" l="1"/>
  <c r="B22" i="17" a="1"/>
  <c r="B22" i="17" l="1"/>
  <c r="C22" i="17" s="1"/>
  <c r="H22" i="17"/>
  <c r="E22" i="17"/>
  <c r="I21" i="17" a="1"/>
  <c r="I21" i="17" l="1"/>
  <c r="J21" i="17" s="1"/>
  <c r="F21" i="17" a="1"/>
  <c r="F21" i="17" l="1"/>
  <c r="G21" i="17" s="1"/>
  <c r="D21" i="17" a="1"/>
  <c r="D21" i="17" l="1"/>
  <c r="B21" i="17" a="1"/>
  <c r="B21" i="17" l="1"/>
  <c r="C21" i="17" s="1"/>
  <c r="H21" i="17"/>
  <c r="E21" i="17"/>
  <c r="I20" i="17" a="1"/>
  <c r="I20" i="17" l="1"/>
  <c r="J20" i="17" s="1"/>
  <c r="F20" i="17" a="1"/>
  <c r="F20" i="17" l="1"/>
  <c r="G20" i="17" s="1"/>
  <c r="D20" i="17" a="1"/>
  <c r="D20" i="17" l="1"/>
  <c r="B20" i="17" a="1"/>
  <c r="B20" i="17" l="1"/>
  <c r="C20" i="17" s="1"/>
  <c r="H20" i="17"/>
  <c r="E20" i="17"/>
  <c r="I19" i="17" a="1"/>
  <c r="I19" i="17" l="1"/>
  <c r="J19" i="17" s="1"/>
  <c r="F19" i="17" a="1"/>
  <c r="F19" i="17" l="1"/>
  <c r="G19" i="17" s="1"/>
  <c r="D19" i="17" a="1"/>
  <c r="D19" i="17" l="1"/>
  <c r="B19" i="17" a="1"/>
  <c r="B19" i="17" l="1"/>
  <c r="C19" i="17" s="1"/>
  <c r="H19" i="17"/>
  <c r="E19" i="17"/>
  <c r="I18" i="17" a="1"/>
  <c r="I18" i="17" l="1"/>
  <c r="J18" i="17" s="1"/>
  <c r="F18" i="17" a="1"/>
  <c r="F18" i="17" l="1"/>
  <c r="G18" i="17" s="1"/>
  <c r="D18" i="17" a="1"/>
  <c r="D18" i="17" l="1"/>
  <c r="B18" i="17" a="1"/>
  <c r="B18" i="17" l="1"/>
  <c r="C18" i="17" s="1"/>
  <c r="H18" i="17"/>
  <c r="E18" i="17"/>
  <c r="I17" i="17" a="1"/>
  <c r="I17" i="17" l="1"/>
  <c r="F17" i="17" a="1"/>
  <c r="F17" i="17" l="1"/>
  <c r="I25" i="17"/>
  <c r="J25" i="17" s="1"/>
  <c r="J17" i="17"/>
  <c r="D17" i="17" a="1"/>
  <c r="D17" i="17" l="1"/>
  <c r="F25" i="17"/>
  <c r="G25" i="17" s="1"/>
  <c r="G17" i="17"/>
  <c r="B17" i="17" a="1"/>
  <c r="B17" i="17" l="1"/>
  <c r="D25" i="17"/>
  <c r="H17" i="17"/>
  <c r="E17" i="17"/>
  <c r="I13" i="17" a="1"/>
  <c r="I13" i="17" l="1"/>
  <c r="J13" i="17" s="1"/>
  <c r="B25" i="17"/>
  <c r="C25" i="17" s="1"/>
  <c r="C17" i="17"/>
  <c r="E25" i="17"/>
  <c r="H25" i="17"/>
  <c r="F13" i="17" a="1"/>
  <c r="F13" i="17" l="1"/>
  <c r="G13" i="17" s="1"/>
  <c r="D13" i="17" a="1"/>
  <c r="D13" i="17" l="1"/>
  <c r="B13" i="17" a="1"/>
  <c r="B13" i="17" l="1"/>
  <c r="C13" i="17" s="1"/>
  <c r="H13" i="17"/>
  <c r="E13" i="17"/>
  <c r="I12" i="17" a="1"/>
  <c r="I12" i="17" l="1"/>
  <c r="J12" i="17" s="1"/>
  <c r="F12" i="17" a="1"/>
  <c r="F12" i="17" l="1"/>
  <c r="G12" i="17" s="1"/>
  <c r="D12" i="17" a="1"/>
  <c r="D12" i="17" l="1"/>
  <c r="B12" i="17" a="1"/>
  <c r="B12" i="17" l="1"/>
  <c r="C12" i="17" s="1"/>
  <c r="H12" i="17"/>
  <c r="E12" i="17"/>
  <c r="I11" i="17" a="1"/>
  <c r="I11" i="17" l="1"/>
  <c r="J11" i="17" s="1"/>
  <c r="F11" i="17" a="1"/>
  <c r="F11" i="17" l="1"/>
  <c r="G11" i="17" s="1"/>
  <c r="D11" i="17" a="1"/>
  <c r="D11" i="17" l="1"/>
  <c r="B11" i="17" a="1"/>
  <c r="B11" i="17" l="1"/>
  <c r="C11" i="17" s="1"/>
  <c r="H11" i="17"/>
  <c r="E11" i="17"/>
  <c r="I10" i="17" a="1"/>
  <c r="I10" i="17" l="1"/>
  <c r="J10" i="17" s="1"/>
  <c r="F10" i="17" a="1"/>
  <c r="F10" i="17" l="1"/>
  <c r="G10" i="17" s="1"/>
  <c r="D10" i="17" a="1"/>
  <c r="D10" i="17" l="1"/>
  <c r="B10" i="17" a="1"/>
  <c r="B10" i="17" l="1"/>
  <c r="C10" i="17" s="1"/>
  <c r="H10" i="17"/>
  <c r="E10" i="17"/>
  <c r="I9" i="17" a="1"/>
  <c r="I9" i="17" l="1"/>
  <c r="J9" i="17" s="1"/>
  <c r="F9" i="17" a="1"/>
  <c r="F9" i="17" l="1"/>
  <c r="G9" i="17" s="1"/>
  <c r="D9" i="17" a="1"/>
  <c r="D9" i="17" l="1"/>
  <c r="B9" i="17" a="1"/>
  <c r="B9" i="17" l="1"/>
  <c r="C9" i="17" s="1"/>
  <c r="H9" i="17"/>
  <c r="E9" i="17"/>
  <c r="I8" i="17" a="1"/>
  <c r="I8" i="17" l="1"/>
  <c r="J8" i="17" s="1"/>
  <c r="F8" i="17" a="1"/>
  <c r="F8" i="17" l="1"/>
  <c r="G8" i="17" s="1"/>
  <c r="D8" i="17" a="1"/>
  <c r="D8" i="17" l="1"/>
  <c r="B8" i="17" a="1"/>
  <c r="B8" i="17" l="1"/>
  <c r="C8" i="17" s="1"/>
  <c r="H8" i="17"/>
  <c r="E8" i="17"/>
  <c r="I7" i="17" a="1"/>
  <c r="I7" i="17" l="1"/>
  <c r="F7" i="17" a="1"/>
  <c r="F7" i="17" l="1"/>
  <c r="I14" i="17"/>
  <c r="J7" i="17"/>
  <c r="D7" i="17" a="1"/>
  <c r="D7" i="17" l="1"/>
  <c r="F14" i="17"/>
  <c r="G7" i="17"/>
  <c r="I94" i="17"/>
  <c r="I43" i="17"/>
  <c r="I48" i="17" s="1"/>
  <c r="J48" i="17" s="1"/>
  <c r="J14" i="17"/>
  <c r="B7" i="17" a="1"/>
  <c r="B7" i="17" l="1"/>
  <c r="D14" i="17"/>
  <c r="H7" i="17"/>
  <c r="E7" i="17"/>
  <c r="F94" i="17"/>
  <c r="F43" i="17"/>
  <c r="G14" i="17"/>
  <c r="A3" i="17"/>
  <c r="B1" i="17" a="1"/>
  <c r="B1" i="17" s="1"/>
  <c r="A1" i="17"/>
  <c r="R66" i="16" a="1"/>
  <c r="B14" i="17" l="1"/>
  <c r="C7" i="17"/>
  <c r="F48" i="17"/>
  <c r="G48" i="17" s="1"/>
  <c r="G43" i="17"/>
  <c r="D94" i="17"/>
  <c r="D43" i="17"/>
  <c r="E14" i="17"/>
  <c r="H14" i="17"/>
  <c r="H94" i="17" s="1"/>
  <c r="R66" i="16"/>
  <c r="S66" i="16" s="1"/>
  <c r="N66" i="16" a="1"/>
  <c r="D48" i="17" l="1"/>
  <c r="H43" i="17"/>
  <c r="E43" i="17"/>
  <c r="B94" i="17"/>
  <c r="B43" i="17"/>
  <c r="C14" i="17"/>
  <c r="N66" i="16"/>
  <c r="L66" i="16" a="1"/>
  <c r="B48" i="17" l="1"/>
  <c r="C43" i="17"/>
  <c r="E48" i="17"/>
  <c r="H48" i="17"/>
  <c r="L66" i="16"/>
  <c r="O66" i="16"/>
  <c r="G66" i="16" a="1"/>
  <c r="B69" i="17" l="1"/>
  <c r="D69" i="17" s="1"/>
  <c r="C48" i="17"/>
  <c r="G66" i="16"/>
  <c r="P66" i="16"/>
  <c r="E66" i="16" a="1"/>
  <c r="E66" i="16" l="1"/>
  <c r="F66" i="16" s="1"/>
  <c r="A66" i="16" a="1"/>
  <c r="A66" i="16" l="1"/>
  <c r="B66" i="16" s="1"/>
  <c r="C66" i="16"/>
  <c r="R65" i="16" a="1"/>
  <c r="R65" i="16" l="1"/>
  <c r="S65" i="16" s="1"/>
  <c r="N65" i="16" a="1"/>
  <c r="N65" i="16" l="1"/>
  <c r="L65" i="16" a="1"/>
  <c r="L65" i="16" l="1"/>
  <c r="M65" i="16" s="1"/>
  <c r="P65" i="16"/>
  <c r="Q65" i="16" s="1"/>
  <c r="O65" i="16"/>
  <c r="G65" i="16" a="1"/>
  <c r="G65" i="16" l="1"/>
  <c r="H65" i="16" s="1"/>
  <c r="E65" i="16" a="1"/>
  <c r="E65" i="16" l="1"/>
  <c r="F65" i="16" s="1"/>
  <c r="A65" i="16" a="1"/>
  <c r="A65" i="16" l="1"/>
  <c r="B65" i="16" s="1"/>
  <c r="C65" i="16"/>
  <c r="D65" i="16" s="1"/>
  <c r="R64" i="16" a="1"/>
  <c r="R64" i="16" l="1"/>
  <c r="S64" i="16" s="1"/>
  <c r="N64" i="16" a="1"/>
  <c r="N64" i="16" l="1"/>
  <c r="L64" i="16" a="1"/>
  <c r="L64" i="16" l="1"/>
  <c r="M64" i="16" s="1"/>
  <c r="P64" i="16"/>
  <c r="Q64" i="16" s="1"/>
  <c r="O64" i="16"/>
  <c r="G64" i="16" a="1"/>
  <c r="G64" i="16" l="1"/>
  <c r="H64" i="16" s="1"/>
  <c r="E64" i="16" a="1"/>
  <c r="E64" i="16" l="1"/>
  <c r="F64" i="16" s="1"/>
  <c r="A64" i="16" a="1"/>
  <c r="A64" i="16" l="1"/>
  <c r="B64" i="16" s="1"/>
  <c r="C64" i="16"/>
  <c r="D64" i="16" s="1"/>
  <c r="R63" i="16" a="1"/>
  <c r="R63" i="16" l="1"/>
  <c r="N63" i="16" a="1"/>
  <c r="N63" i="16" l="1"/>
  <c r="R68" i="16"/>
  <c r="L63" i="16" a="1"/>
  <c r="L63" i="16" l="1"/>
  <c r="N68" i="16"/>
  <c r="O68" i="16" s="1"/>
  <c r="O63" i="16"/>
  <c r="G63" i="16"/>
  <c r="G68" i="16" l="1"/>
  <c r="L68" i="16"/>
  <c r="P63" i="16"/>
  <c r="E63" i="16" a="1"/>
  <c r="E63" i="16" l="1"/>
  <c r="P68" i="16"/>
  <c r="A63" i="16" a="1"/>
  <c r="A63" i="16" l="1"/>
  <c r="E68" i="16"/>
  <c r="F68" i="16" s="1"/>
  <c r="F63" i="16"/>
  <c r="C63" i="16"/>
  <c r="R57" i="16" a="1"/>
  <c r="R57" i="16" l="1"/>
  <c r="S57" i="16" s="1"/>
  <c r="A68" i="16"/>
  <c r="C68" i="16"/>
  <c r="N57" i="16" a="1"/>
  <c r="N57" i="16" l="1"/>
  <c r="L57" i="16" a="1"/>
  <c r="L57" i="16" l="1"/>
  <c r="P57" i="16"/>
  <c r="O57" i="16"/>
  <c r="G57" i="16" a="1"/>
  <c r="G57" i="16" l="1"/>
  <c r="E57" i="16" a="1"/>
  <c r="E57" i="16" l="1"/>
  <c r="F57" i="16" s="1"/>
  <c r="A57" i="16" a="1"/>
  <c r="A57" i="16" l="1"/>
  <c r="B57" i="16" s="1"/>
  <c r="C57" i="16"/>
  <c r="R56" i="16" a="1"/>
  <c r="R56" i="16" l="1"/>
  <c r="N56" i="16" a="1"/>
  <c r="N56" i="16" l="1"/>
  <c r="L56" i="16" a="1"/>
  <c r="L56" i="16" l="1"/>
  <c r="M56" i="16" s="1"/>
  <c r="P56" i="16"/>
  <c r="Q56" i="16" s="1"/>
  <c r="O56" i="16"/>
  <c r="G56" i="16" a="1"/>
  <c r="G56" i="16" l="1"/>
  <c r="H56" i="16" s="1"/>
  <c r="E56" i="16" a="1"/>
  <c r="E56" i="16" l="1"/>
  <c r="F56" i="16" s="1"/>
  <c r="C56" i="16"/>
  <c r="D56" i="16" s="1"/>
  <c r="A56" i="16" a="1"/>
  <c r="A56" i="16" l="1"/>
  <c r="R55" i="16" a="1"/>
  <c r="R55" i="16" l="1"/>
  <c r="S55" i="16" s="1"/>
  <c r="N55" i="16" a="1"/>
  <c r="N55" i="16" l="1"/>
  <c r="L55" i="16" a="1"/>
  <c r="L55" i="16" l="1"/>
  <c r="M55" i="16" s="1"/>
  <c r="P55" i="16"/>
  <c r="Q55" i="16" s="1"/>
  <c r="O55" i="16"/>
  <c r="G55" i="16" a="1"/>
  <c r="G55" i="16" l="1"/>
  <c r="H55" i="16" s="1"/>
  <c r="E55" i="16" a="1"/>
  <c r="E55" i="16" l="1"/>
  <c r="F55" i="16" s="1"/>
  <c r="C55" i="16"/>
  <c r="D55" i="16" s="1"/>
  <c r="A55" i="16" a="1"/>
  <c r="A55" i="16" l="1"/>
  <c r="B55" i="16" s="1"/>
  <c r="R54" i="16" a="1"/>
  <c r="R54" i="16" l="1"/>
  <c r="S54" i="16" s="1"/>
  <c r="N54" i="16" a="1"/>
  <c r="N54" i="16" l="1"/>
  <c r="L54" i="16" a="1"/>
  <c r="L54" i="16" l="1"/>
  <c r="M54" i="16" s="1"/>
  <c r="P54" i="16"/>
  <c r="Q54" i="16" s="1"/>
  <c r="O54" i="16"/>
  <c r="G54" i="16" a="1"/>
  <c r="G54" i="16" l="1"/>
  <c r="H54" i="16" s="1"/>
  <c r="E54" i="16" a="1"/>
  <c r="E54" i="16" l="1"/>
  <c r="F54" i="16" s="1"/>
  <c r="A54" i="16" a="1"/>
  <c r="A54" i="16" l="1"/>
  <c r="B54" i="16" s="1"/>
  <c r="C54" i="16"/>
  <c r="D54" i="16" s="1"/>
  <c r="R53" i="16" a="1"/>
  <c r="R53" i="16" l="1"/>
  <c r="S53" i="16" s="1"/>
  <c r="N53" i="16" a="1"/>
  <c r="N53" i="16" l="1"/>
  <c r="L53" i="16" a="1"/>
  <c r="L53" i="16" l="1"/>
  <c r="M53" i="16" s="1"/>
  <c r="O53" i="16"/>
  <c r="G53" i="16" a="1"/>
  <c r="G53" i="16" l="1"/>
  <c r="H53" i="16" s="1"/>
  <c r="P53" i="16"/>
  <c r="Q53" i="16" s="1"/>
  <c r="E53" i="16" a="1"/>
  <c r="E53" i="16" l="1"/>
  <c r="F53" i="16" s="1"/>
  <c r="C53" i="16"/>
  <c r="D53" i="16" s="1"/>
  <c r="A53" i="16" a="1"/>
  <c r="A53" i="16" l="1"/>
  <c r="B53" i="16" s="1"/>
  <c r="R52" i="16" a="1"/>
  <c r="R52" i="16" l="1"/>
  <c r="S52" i="16" s="1"/>
  <c r="N52" i="16" a="1"/>
  <c r="N52" i="16" l="1"/>
  <c r="L52" i="16" a="1"/>
  <c r="L52" i="16" l="1"/>
  <c r="M52" i="16" s="1"/>
  <c r="P52" i="16"/>
  <c r="Q52" i="16" s="1"/>
  <c r="O52" i="16"/>
  <c r="G52" i="16" a="1"/>
  <c r="G52" i="16" l="1"/>
  <c r="H52" i="16" s="1"/>
  <c r="E52" i="16" a="1"/>
  <c r="E52" i="16" l="1"/>
  <c r="F52" i="16" s="1"/>
  <c r="C52" i="16"/>
  <c r="D52" i="16" s="1"/>
  <c r="A52" i="16" a="1"/>
  <c r="A52" i="16" l="1"/>
  <c r="B52" i="16" s="1"/>
  <c r="R51" i="16" a="1"/>
  <c r="R51" i="16" l="1"/>
  <c r="S51" i="16" s="1"/>
  <c r="N51" i="16" a="1"/>
  <c r="N51" i="16" l="1"/>
  <c r="L51" i="16" a="1"/>
  <c r="L51" i="16" l="1"/>
  <c r="M51" i="16" s="1"/>
  <c r="O51" i="16"/>
  <c r="G51" i="16" a="1"/>
  <c r="G51" i="16" l="1"/>
  <c r="H51" i="16" s="1"/>
  <c r="P51" i="16"/>
  <c r="Q51" i="16" s="1"/>
  <c r="E51" i="16" a="1"/>
  <c r="E51" i="16" l="1"/>
  <c r="F51" i="16" s="1"/>
  <c r="C51" i="16"/>
  <c r="D51" i="16" s="1"/>
  <c r="A51" i="16" a="1"/>
  <c r="A51" i="16" l="1"/>
  <c r="B51" i="16" s="1"/>
  <c r="R50" i="16" a="1"/>
  <c r="R50" i="16" l="1"/>
  <c r="S50" i="16" s="1"/>
  <c r="N50" i="16" a="1"/>
  <c r="N50" i="16" l="1"/>
  <c r="L50" i="16" a="1"/>
  <c r="L50" i="16" l="1"/>
  <c r="P50" i="16"/>
  <c r="O50" i="16"/>
  <c r="G50" i="16" a="1"/>
  <c r="G50" i="16" l="1"/>
  <c r="E50" i="16" a="1"/>
  <c r="E50" i="16" l="1"/>
  <c r="F50" i="16" s="1"/>
  <c r="A50" i="16" a="1"/>
  <c r="A50" i="16" l="1"/>
  <c r="B50" i="16" s="1"/>
  <c r="C50" i="16"/>
  <c r="R49" i="16" a="1"/>
  <c r="R49" i="16" l="1"/>
  <c r="S49" i="16" s="1"/>
  <c r="N49" i="16" a="1"/>
  <c r="N49" i="16" l="1"/>
  <c r="L49" i="16" a="1"/>
  <c r="L49" i="16" l="1"/>
  <c r="M49" i="16" s="1"/>
  <c r="P49" i="16"/>
  <c r="Q49" i="16" s="1"/>
  <c r="O49" i="16"/>
  <c r="G49" i="16" a="1"/>
  <c r="G49" i="16" l="1"/>
  <c r="H49" i="16" s="1"/>
  <c r="E49" i="16" a="1"/>
  <c r="E49" i="16" l="1"/>
  <c r="F49" i="16" s="1"/>
  <c r="A49" i="16" a="1"/>
  <c r="A49" i="16" l="1"/>
  <c r="B49" i="16" s="1"/>
  <c r="C49" i="16"/>
  <c r="D49" i="16" s="1"/>
  <c r="R48" i="16" a="1"/>
  <c r="R48" i="16" l="1"/>
  <c r="S48" i="16" s="1"/>
  <c r="N48" i="16" a="1"/>
  <c r="N48" i="16" l="1"/>
  <c r="L48" i="16" a="1"/>
  <c r="L48" i="16" l="1"/>
  <c r="M48" i="16" s="1"/>
  <c r="P48" i="16"/>
  <c r="Q48" i="16" s="1"/>
  <c r="O48" i="16"/>
  <c r="G48" i="16" a="1"/>
  <c r="G48" i="16" l="1"/>
  <c r="H48" i="16" s="1"/>
  <c r="E48" i="16" a="1"/>
  <c r="E48" i="16" l="1"/>
  <c r="F48" i="16" s="1"/>
  <c r="C48" i="16"/>
  <c r="D48" i="16" s="1"/>
  <c r="A48" i="16" a="1"/>
  <c r="A48" i="16" l="1"/>
  <c r="B48" i="16" s="1"/>
  <c r="R47" i="16" a="1"/>
  <c r="R47" i="16" l="1"/>
  <c r="S47" i="16" s="1"/>
  <c r="N47" i="16" a="1"/>
  <c r="N47" i="16" l="1"/>
  <c r="L47" i="16" a="1"/>
  <c r="L47" i="16" l="1"/>
  <c r="M47" i="16" s="1"/>
  <c r="P47" i="16"/>
  <c r="Q47" i="16" s="1"/>
  <c r="O47" i="16"/>
  <c r="G47" i="16" a="1"/>
  <c r="G47" i="16" l="1"/>
  <c r="H47" i="16" s="1"/>
  <c r="E47" i="16" a="1"/>
  <c r="E47" i="16" l="1"/>
  <c r="F47" i="16" s="1"/>
  <c r="C47" i="16"/>
  <c r="D47" i="16" s="1"/>
  <c r="A47" i="16" a="1"/>
  <c r="A47" i="16" l="1"/>
  <c r="B47" i="16" s="1"/>
  <c r="R46" i="16" a="1"/>
  <c r="R46" i="16" l="1"/>
  <c r="S46" i="16" s="1"/>
  <c r="N46" i="16" a="1"/>
  <c r="N46" i="16" l="1"/>
  <c r="L46" i="16" a="1"/>
  <c r="L46" i="16" l="1"/>
  <c r="M46" i="16" s="1"/>
  <c r="O46" i="16"/>
  <c r="G46" i="16" a="1"/>
  <c r="G46" i="16" l="1"/>
  <c r="H46" i="16" s="1"/>
  <c r="P46" i="16"/>
  <c r="Q46" i="16" s="1"/>
  <c r="E46" i="16" a="1"/>
  <c r="E46" i="16" l="1"/>
  <c r="F46" i="16" s="1"/>
  <c r="C46" i="16"/>
  <c r="D46" i="16" s="1"/>
  <c r="A46" i="16" a="1"/>
  <c r="A46" i="16" l="1"/>
  <c r="B46" i="16" s="1"/>
  <c r="R45" i="16" a="1"/>
  <c r="R45" i="16" l="1"/>
  <c r="S45" i="16" s="1"/>
  <c r="N45" i="16" a="1"/>
  <c r="N45" i="16" l="1"/>
  <c r="L45" i="16" a="1"/>
  <c r="L45" i="16" l="1"/>
  <c r="M45" i="16" s="1"/>
  <c r="P45" i="16"/>
  <c r="Q45" i="16" s="1"/>
  <c r="O45" i="16"/>
  <c r="G45" i="16" a="1"/>
  <c r="G45" i="16" l="1"/>
  <c r="H45" i="16" s="1"/>
  <c r="E45" i="16" a="1"/>
  <c r="E45" i="16" l="1"/>
  <c r="F45" i="16" s="1"/>
  <c r="A45" i="16" a="1"/>
  <c r="A45" i="16" l="1"/>
  <c r="B45" i="16" s="1"/>
  <c r="C45" i="16"/>
  <c r="D45" i="16" s="1"/>
  <c r="R44" i="16" a="1"/>
  <c r="R44" i="16" l="1"/>
  <c r="S44" i="16" s="1"/>
  <c r="N44" i="16" a="1"/>
  <c r="N44" i="16" l="1"/>
  <c r="L44" i="16" a="1"/>
  <c r="L44" i="16" l="1"/>
  <c r="P44" i="16"/>
  <c r="O44" i="16"/>
  <c r="G44" i="16" a="1"/>
  <c r="G44" i="16" l="1"/>
  <c r="E44" i="16" a="1"/>
  <c r="E44" i="16" l="1"/>
  <c r="F44" i="16" s="1"/>
  <c r="A44" i="16" a="1"/>
  <c r="A44" i="16" l="1"/>
  <c r="B44" i="16" s="1"/>
  <c r="C44" i="16"/>
  <c r="R43" i="16" a="1"/>
  <c r="R43" i="16" l="1"/>
  <c r="S43" i="16" s="1"/>
  <c r="N43" i="16" a="1"/>
  <c r="N43" i="16" l="1"/>
  <c r="L43" i="16" a="1"/>
  <c r="L43" i="16" l="1"/>
  <c r="M43" i="16" s="1"/>
  <c r="O43" i="16"/>
  <c r="G43" i="16" a="1"/>
  <c r="G43" i="16" l="1"/>
  <c r="H43" i="16" s="1"/>
  <c r="P43" i="16"/>
  <c r="Q43" i="16" s="1"/>
  <c r="E43" i="16" a="1"/>
  <c r="E43" i="16" l="1"/>
  <c r="F43" i="16" s="1"/>
  <c r="C43" i="16"/>
  <c r="D43" i="16" s="1"/>
  <c r="A43" i="16" a="1"/>
  <c r="A43" i="16" l="1"/>
  <c r="B43" i="16" s="1"/>
  <c r="R42" i="16" a="1"/>
  <c r="R42" i="16" l="1"/>
  <c r="S42" i="16" s="1"/>
  <c r="N42" i="16" a="1"/>
  <c r="N42" i="16" l="1"/>
  <c r="L42" i="16" a="1"/>
  <c r="L42" i="16" l="1"/>
  <c r="M42" i="16" s="1"/>
  <c r="P42" i="16"/>
  <c r="Q42" i="16" s="1"/>
  <c r="O42" i="16"/>
  <c r="G42" i="16" a="1"/>
  <c r="G42" i="16" l="1"/>
  <c r="H42" i="16" s="1"/>
  <c r="E42" i="16" a="1"/>
  <c r="E42" i="16" l="1"/>
  <c r="F42" i="16" s="1"/>
  <c r="C42" i="16"/>
  <c r="D42" i="16" s="1"/>
  <c r="A42" i="16" a="1"/>
  <c r="A42" i="16" l="1"/>
  <c r="B42" i="16" s="1"/>
  <c r="R41" i="16" a="1"/>
  <c r="R41" i="16" l="1"/>
  <c r="S41" i="16" s="1"/>
  <c r="N41" i="16" a="1"/>
  <c r="N41" i="16" l="1"/>
  <c r="L41" i="16" a="1"/>
  <c r="L41" i="16" l="1"/>
  <c r="M41" i="16" s="1"/>
  <c r="P41" i="16"/>
  <c r="Q41" i="16" s="1"/>
  <c r="O41" i="16"/>
  <c r="G41" i="16" a="1"/>
  <c r="G41" i="16" l="1"/>
  <c r="H41" i="16" s="1"/>
  <c r="E41" i="16" a="1"/>
  <c r="E41" i="16" l="1"/>
  <c r="F41" i="16" s="1"/>
  <c r="C41" i="16"/>
  <c r="D41" i="16" s="1"/>
  <c r="A41" i="16" a="1"/>
  <c r="A41" i="16" l="1"/>
  <c r="B41" i="16" s="1"/>
  <c r="R40" i="16" a="1"/>
  <c r="R40" i="16" l="1"/>
  <c r="S40" i="16" s="1"/>
  <c r="N40" i="16" a="1"/>
  <c r="N40" i="16" l="1"/>
  <c r="L40" i="16" a="1"/>
  <c r="L40" i="16" l="1"/>
  <c r="M40" i="16" s="1"/>
  <c r="P40" i="16"/>
  <c r="Q40" i="16" s="1"/>
  <c r="O40" i="16"/>
  <c r="G40" i="16" a="1"/>
  <c r="G40" i="16" l="1"/>
  <c r="H40" i="16" s="1"/>
  <c r="E40" i="16" a="1"/>
  <c r="E40" i="16" l="1"/>
  <c r="F40" i="16" s="1"/>
  <c r="A40" i="16" a="1"/>
  <c r="A40" i="16" l="1"/>
  <c r="B40" i="16" s="1"/>
  <c r="C40" i="16"/>
  <c r="D40" i="16" s="1"/>
  <c r="R39" i="16" a="1"/>
  <c r="R39" i="16" l="1"/>
  <c r="S39" i="16" s="1"/>
  <c r="N39" i="16" a="1"/>
  <c r="N39" i="16" l="1"/>
  <c r="L39" i="16" a="1"/>
  <c r="L39" i="16" l="1"/>
  <c r="P39" i="16"/>
  <c r="O39" i="16"/>
  <c r="G39" i="16" a="1"/>
  <c r="G39" i="16" l="1"/>
  <c r="E39" i="16" a="1"/>
  <c r="E39" i="16" l="1"/>
  <c r="F39" i="16" s="1"/>
  <c r="C39" i="16"/>
  <c r="A39" i="16" a="1"/>
  <c r="A39" i="16" l="1"/>
  <c r="B39" i="16" s="1"/>
  <c r="R38" i="16" a="1"/>
  <c r="R38" i="16" l="1"/>
  <c r="N38" i="16" a="1"/>
  <c r="N38" i="16" l="1"/>
  <c r="L38" i="16" a="1"/>
  <c r="L38" i="16" l="1"/>
  <c r="O38" i="16"/>
  <c r="P38" i="16"/>
  <c r="G38" i="16" a="1"/>
  <c r="G38" i="16" l="1"/>
  <c r="E38" i="16" a="1"/>
  <c r="E38" i="16" l="1"/>
  <c r="F38" i="16" s="1"/>
  <c r="A38" i="16" a="1"/>
  <c r="A38" i="16" l="1"/>
  <c r="C38" i="16"/>
  <c r="R37" i="16" a="1"/>
  <c r="R37" i="16" l="1"/>
  <c r="S37" i="16" s="1"/>
  <c r="N37" i="16" a="1"/>
  <c r="N37" i="16" l="1"/>
  <c r="L37" i="16" a="1"/>
  <c r="L37" i="16" l="1"/>
  <c r="M37" i="16" s="1"/>
  <c r="P37" i="16"/>
  <c r="Q37" i="16" s="1"/>
  <c r="O37" i="16"/>
  <c r="G37" i="16" a="1"/>
  <c r="G37" i="16" l="1"/>
  <c r="H37" i="16" s="1"/>
  <c r="E37" i="16" a="1"/>
  <c r="E37" i="16" l="1"/>
  <c r="F37" i="16" s="1"/>
  <c r="C37" i="16"/>
  <c r="D37" i="16" s="1"/>
  <c r="A37" i="16" a="1"/>
  <c r="A37" i="16" l="1"/>
  <c r="B37" i="16" s="1"/>
  <c r="R36" i="16" a="1"/>
  <c r="R36" i="16" l="1"/>
  <c r="S36" i="16" s="1"/>
  <c r="N36" i="16" a="1"/>
  <c r="N36" i="16" l="1"/>
  <c r="L36" i="16" a="1"/>
  <c r="L36" i="16" l="1"/>
  <c r="M36" i="16" s="1"/>
  <c r="O36" i="16"/>
  <c r="P36" i="16"/>
  <c r="Q36" i="16" s="1"/>
  <c r="G36" i="16" a="1"/>
  <c r="G36" i="16" l="1"/>
  <c r="H36" i="16" s="1"/>
  <c r="E36" i="16" a="1"/>
  <c r="E36" i="16" l="1"/>
  <c r="F36" i="16" s="1"/>
  <c r="C36" i="16"/>
  <c r="D36" i="16" s="1"/>
  <c r="A36" i="16" a="1"/>
  <c r="A36" i="16" l="1"/>
  <c r="B36" i="16" s="1"/>
  <c r="R35" i="16" a="1"/>
  <c r="R35" i="16" l="1"/>
  <c r="S35" i="16" s="1"/>
  <c r="N35" i="16" a="1"/>
  <c r="N35" i="16" l="1"/>
  <c r="L35" i="16" a="1"/>
  <c r="L35" i="16" l="1"/>
  <c r="M35" i="16" s="1"/>
  <c r="P35" i="16"/>
  <c r="Q35" i="16" s="1"/>
  <c r="O35" i="16"/>
  <c r="G35" i="16"/>
  <c r="H35" i="16" l="1"/>
  <c r="E35" i="16" a="1"/>
  <c r="E35" i="16" l="1"/>
  <c r="F35" i="16" s="1"/>
  <c r="C35" i="16"/>
  <c r="D35" i="16" s="1"/>
  <c r="A35" i="16" a="1"/>
  <c r="A35" i="16" l="1"/>
  <c r="B35" i="16" s="1"/>
  <c r="R34" i="16" a="1"/>
  <c r="R34" i="16" l="1"/>
  <c r="S34" i="16" s="1"/>
  <c r="N34" i="16" a="1"/>
  <c r="N34" i="16" l="1"/>
  <c r="L34" i="16" a="1"/>
  <c r="L34" i="16" l="1"/>
  <c r="M34" i="16" s="1"/>
  <c r="P34" i="16"/>
  <c r="Q34" i="16" s="1"/>
  <c r="O34" i="16"/>
  <c r="G34" i="16" a="1"/>
  <c r="G34" i="16" l="1"/>
  <c r="H34" i="16" s="1"/>
  <c r="E34" i="16" a="1"/>
  <c r="E34" i="16" l="1"/>
  <c r="F34" i="16" s="1"/>
  <c r="C34" i="16"/>
  <c r="D34" i="16" s="1"/>
  <c r="A34" i="16" a="1"/>
  <c r="A34" i="16" l="1"/>
  <c r="B34" i="16" s="1"/>
  <c r="R33" i="16" a="1"/>
  <c r="R33" i="16" l="1"/>
  <c r="S33" i="16" s="1"/>
  <c r="N33" i="16" a="1"/>
  <c r="N33" i="16" l="1"/>
  <c r="L33" i="16" a="1"/>
  <c r="L33" i="16" l="1"/>
  <c r="M33" i="16" s="1"/>
  <c r="P33" i="16"/>
  <c r="Q33" i="16" s="1"/>
  <c r="O33" i="16"/>
  <c r="G33" i="16" a="1"/>
  <c r="G33" i="16" l="1"/>
  <c r="H33" i="16" s="1"/>
  <c r="E33" i="16" a="1"/>
  <c r="E33" i="16" l="1"/>
  <c r="F33" i="16" s="1"/>
  <c r="A33" i="16" a="1"/>
  <c r="A33" i="16" l="1"/>
  <c r="B33" i="16" s="1"/>
  <c r="C33" i="16"/>
  <c r="D33" i="16" s="1"/>
  <c r="R32" i="16" a="1"/>
  <c r="R32" i="16" l="1"/>
  <c r="S32" i="16" s="1"/>
  <c r="N32" i="16" a="1"/>
  <c r="N32" i="16" l="1"/>
  <c r="L32" i="16" a="1"/>
  <c r="L32" i="16" l="1"/>
  <c r="M32" i="16" s="1"/>
  <c r="O32" i="16"/>
  <c r="P32" i="16"/>
  <c r="Q32" i="16" s="1"/>
  <c r="G32" i="16" a="1"/>
  <c r="G32" i="16" l="1"/>
  <c r="H32" i="16" s="1"/>
  <c r="E32" i="16" a="1"/>
  <c r="E32" i="16" l="1"/>
  <c r="F32" i="16" s="1"/>
  <c r="A32" i="16" a="1"/>
  <c r="A32" i="16" l="1"/>
  <c r="B32" i="16" s="1"/>
  <c r="C32" i="16"/>
  <c r="D32" i="16" s="1"/>
  <c r="R31" i="16" a="1"/>
  <c r="R31" i="16" l="1"/>
  <c r="S31" i="16" s="1"/>
  <c r="N31" i="16" a="1"/>
  <c r="N31" i="16" l="1"/>
  <c r="L31" i="16" a="1"/>
  <c r="L31" i="16" l="1"/>
  <c r="M31" i="16" s="1"/>
  <c r="O31" i="16"/>
  <c r="P31" i="16"/>
  <c r="Q31" i="16" s="1"/>
  <c r="G31" i="16" a="1"/>
  <c r="G31" i="16" l="1"/>
  <c r="H31" i="16" s="1"/>
  <c r="E31" i="16" a="1"/>
  <c r="E31" i="16" l="1"/>
  <c r="F31" i="16" s="1"/>
  <c r="C31" i="16"/>
  <c r="D31" i="16" s="1"/>
  <c r="A31" i="16" a="1"/>
  <c r="A31" i="16" l="1"/>
  <c r="B31" i="16" s="1"/>
  <c r="R30" i="16" a="1"/>
  <c r="R30" i="16" l="1"/>
  <c r="S30" i="16" s="1"/>
  <c r="N30" i="16" a="1"/>
  <c r="N30" i="16" l="1"/>
  <c r="L30" i="16" a="1"/>
  <c r="L30" i="16" l="1"/>
  <c r="M30" i="16" s="1"/>
  <c r="O30" i="16"/>
  <c r="P30" i="16"/>
  <c r="Q30" i="16" s="1"/>
  <c r="G30" i="16" a="1"/>
  <c r="G30" i="16" l="1"/>
  <c r="H30" i="16" s="1"/>
  <c r="E30" i="16" a="1"/>
  <c r="E30" i="16" l="1"/>
  <c r="F30" i="16" s="1"/>
  <c r="A30" i="16" a="1"/>
  <c r="C30" i="16" l="1"/>
  <c r="D30" i="16" s="1"/>
  <c r="A30" i="16"/>
  <c r="B30" i="16" s="1"/>
  <c r="R29" i="16" a="1"/>
  <c r="R29" i="16" l="1"/>
  <c r="S29" i="16" s="1"/>
  <c r="N29" i="16" a="1"/>
  <c r="N29" i="16" l="1"/>
  <c r="L29" i="16" a="1"/>
  <c r="L29" i="16" l="1"/>
  <c r="M29" i="16" s="1"/>
  <c r="O29" i="16"/>
  <c r="P29" i="16"/>
  <c r="Q29" i="16" s="1"/>
  <c r="G29" i="16" a="1"/>
  <c r="G29" i="16" l="1"/>
  <c r="H29" i="16" s="1"/>
  <c r="E29" i="16" a="1"/>
  <c r="E29" i="16" l="1"/>
  <c r="F29" i="16" s="1"/>
  <c r="A29" i="16" a="1"/>
  <c r="A29" i="16" l="1"/>
  <c r="B29" i="16" s="1"/>
  <c r="C29" i="16"/>
  <c r="D29" i="16" s="1"/>
  <c r="R28" i="16" a="1"/>
  <c r="R28" i="16" l="1"/>
  <c r="S28" i="16" s="1"/>
  <c r="N28" i="16" a="1"/>
  <c r="N28" i="16" l="1"/>
  <c r="L28" i="16" a="1"/>
  <c r="L28" i="16" l="1"/>
  <c r="M28" i="16" s="1"/>
  <c r="P28" i="16"/>
  <c r="Q28" i="16" s="1"/>
  <c r="O28" i="16"/>
  <c r="G28" i="16" a="1"/>
  <c r="G28" i="16" l="1"/>
  <c r="H28" i="16" s="1"/>
  <c r="E28" i="16" a="1"/>
  <c r="E28" i="16" l="1"/>
  <c r="F28" i="16" s="1"/>
  <c r="C28" i="16"/>
  <c r="D28" i="16" s="1"/>
  <c r="A28" i="16" a="1"/>
  <c r="A28" i="16" l="1"/>
  <c r="B28" i="16" s="1"/>
  <c r="R27" i="16" a="1"/>
  <c r="R27" i="16" l="1"/>
  <c r="S27" i="16" s="1"/>
  <c r="N27" i="16" a="1"/>
  <c r="N27" i="16" l="1"/>
  <c r="L27" i="16" a="1"/>
  <c r="L27" i="16" l="1"/>
  <c r="M27" i="16" s="1"/>
  <c r="O27" i="16"/>
  <c r="P27" i="16"/>
  <c r="Q27" i="16" s="1"/>
  <c r="G27" i="16" a="1"/>
  <c r="G27" i="16" l="1"/>
  <c r="H27" i="16" s="1"/>
  <c r="E27" i="16" a="1"/>
  <c r="E27" i="16" l="1"/>
  <c r="F27" i="16" s="1"/>
  <c r="C27" i="16"/>
  <c r="D27" i="16" s="1"/>
  <c r="A27" i="16" a="1"/>
  <c r="A27" i="16" l="1"/>
  <c r="B27" i="16" s="1"/>
  <c r="R26" i="16" a="1"/>
  <c r="R26" i="16" l="1"/>
  <c r="S26" i="16" s="1"/>
  <c r="N26" i="16" a="1"/>
  <c r="N26" i="16" l="1"/>
  <c r="L26" i="16" a="1"/>
  <c r="L26" i="16" l="1"/>
  <c r="M26" i="16" s="1"/>
  <c r="P26" i="16"/>
  <c r="Q26" i="16" s="1"/>
  <c r="O26" i="16"/>
  <c r="G26" i="16" a="1"/>
  <c r="G26" i="16" l="1"/>
  <c r="H26" i="16" s="1"/>
  <c r="E26" i="16" a="1"/>
  <c r="E26" i="16" l="1"/>
  <c r="F26" i="16" s="1"/>
  <c r="C26" i="16"/>
  <c r="D26" i="16" s="1"/>
  <c r="A26" i="16" a="1"/>
  <c r="A26" i="16" l="1"/>
  <c r="B26" i="16" s="1"/>
  <c r="R25" i="16" a="1"/>
  <c r="R25" i="16" l="1"/>
  <c r="S25" i="16" s="1"/>
  <c r="N25" i="16" a="1"/>
  <c r="N25" i="16" l="1"/>
  <c r="L25" i="16" a="1"/>
  <c r="L25" i="16" l="1"/>
  <c r="M25" i="16" s="1"/>
  <c r="O25" i="16"/>
  <c r="G25" i="16" a="1"/>
  <c r="P25" i="16" l="1"/>
  <c r="Q25" i="16" s="1"/>
  <c r="G25" i="16"/>
  <c r="H25" i="16" s="1"/>
  <c r="E25" i="16" a="1"/>
  <c r="E25" i="16" l="1"/>
  <c r="F25" i="16" s="1"/>
  <c r="C25" i="16"/>
  <c r="D25" i="16" s="1"/>
  <c r="A25" i="16" a="1"/>
  <c r="A25" i="16" l="1"/>
  <c r="B25" i="16" s="1"/>
  <c r="R24" i="16" a="1"/>
  <c r="R24" i="16" l="1"/>
  <c r="S24" i="16" s="1"/>
  <c r="N24" i="16" a="1"/>
  <c r="N24" i="16" l="1"/>
  <c r="L24" i="16" a="1"/>
  <c r="L24" i="16" l="1"/>
  <c r="M24" i="16" s="1"/>
  <c r="P24" i="16"/>
  <c r="Q24" i="16" s="1"/>
  <c r="O24" i="16"/>
  <c r="G24" i="16" a="1"/>
  <c r="G24" i="16" l="1"/>
  <c r="H24" i="16" s="1"/>
  <c r="E24" i="16" a="1"/>
  <c r="E24" i="16" l="1"/>
  <c r="F24" i="16" s="1"/>
  <c r="C24" i="16"/>
  <c r="D24" i="16" s="1"/>
  <c r="A24" i="16" a="1"/>
  <c r="A24" i="16" l="1"/>
  <c r="B24" i="16" s="1"/>
  <c r="R23" i="16" a="1"/>
  <c r="R23" i="16" l="1"/>
  <c r="S23" i="16" s="1"/>
  <c r="N23" i="16" a="1"/>
  <c r="N23" i="16" l="1"/>
  <c r="L23" i="16" a="1"/>
  <c r="L23" i="16" l="1"/>
  <c r="M23" i="16" s="1"/>
  <c r="O23" i="16"/>
  <c r="G23" i="16" a="1"/>
  <c r="G23" i="16" l="1"/>
  <c r="H23" i="16" s="1"/>
  <c r="P23" i="16"/>
  <c r="Q23" i="16" s="1"/>
  <c r="E23" i="16" a="1"/>
  <c r="E23" i="16" l="1"/>
  <c r="F23" i="16" s="1"/>
  <c r="C23" i="16"/>
  <c r="D23" i="16" s="1"/>
  <c r="A23" i="16" a="1"/>
  <c r="A23" i="16" l="1"/>
  <c r="B23" i="16" s="1"/>
  <c r="R22" i="16" a="1"/>
  <c r="R22" i="16" l="1"/>
  <c r="S22" i="16" s="1"/>
  <c r="N22" i="16" a="1"/>
  <c r="N22" i="16" l="1"/>
  <c r="L22" i="16" a="1"/>
  <c r="L22" i="16" l="1"/>
  <c r="M22" i="16" s="1"/>
  <c r="O22" i="16"/>
  <c r="P22" i="16"/>
  <c r="Q22" i="16" s="1"/>
  <c r="G22" i="16" a="1"/>
  <c r="G22" i="16" l="1"/>
  <c r="H22" i="16" s="1"/>
  <c r="E22" i="16" a="1"/>
  <c r="E22" i="16" l="1"/>
  <c r="F22" i="16" s="1"/>
  <c r="A22" i="16" a="1"/>
  <c r="C22" i="16" l="1"/>
  <c r="D22" i="16" s="1"/>
  <c r="A22" i="16"/>
  <c r="B22" i="16" s="1"/>
  <c r="R21" i="16" a="1"/>
  <c r="R21" i="16" l="1"/>
  <c r="N21" i="16" a="1"/>
  <c r="N21" i="16" l="1"/>
  <c r="L21" i="16" a="1"/>
  <c r="L21" i="16" l="1"/>
  <c r="M21" i="16" s="1"/>
  <c r="O21" i="16"/>
  <c r="P21" i="16"/>
  <c r="Q21" i="16" s="1"/>
  <c r="G21" i="16" a="1"/>
  <c r="G21" i="16" l="1"/>
  <c r="H21" i="16" s="1"/>
  <c r="E21" i="16" a="1"/>
  <c r="E21" i="16" l="1"/>
  <c r="F21" i="16" s="1"/>
  <c r="C21" i="16"/>
  <c r="D21" i="16" s="1"/>
  <c r="A21" i="16" a="1"/>
  <c r="A21" i="16" l="1"/>
  <c r="R20" i="16" a="1"/>
  <c r="R20" i="16" l="1"/>
  <c r="S20" i="16" s="1"/>
  <c r="N20" i="16" a="1"/>
  <c r="N20" i="16" l="1"/>
  <c r="L20" i="16" a="1"/>
  <c r="L20" i="16" l="1"/>
  <c r="M20" i="16" s="1"/>
  <c r="P20" i="16"/>
  <c r="Q20" i="16" s="1"/>
  <c r="O20" i="16"/>
  <c r="G20" i="16" a="1"/>
  <c r="G20" i="16" l="1"/>
  <c r="H20" i="16" s="1"/>
  <c r="E20" i="16" a="1"/>
  <c r="E20" i="16" l="1"/>
  <c r="F20" i="16" s="1"/>
  <c r="C20" i="16"/>
  <c r="D20" i="16" s="1"/>
  <c r="A20" i="16" a="1"/>
  <c r="A20" i="16" l="1"/>
  <c r="B20" i="16" s="1"/>
  <c r="R19" i="16" a="1"/>
  <c r="R19" i="16" l="1"/>
  <c r="S19" i="16" s="1"/>
  <c r="N19" i="16" a="1"/>
  <c r="N19" i="16" l="1"/>
  <c r="L19" i="16" a="1"/>
  <c r="L19" i="16" l="1"/>
  <c r="M19" i="16" s="1"/>
  <c r="P19" i="16"/>
  <c r="Q19" i="16" s="1"/>
  <c r="O19" i="16"/>
  <c r="G19" i="16" a="1"/>
  <c r="G19" i="16" l="1"/>
  <c r="H19" i="16" s="1"/>
  <c r="E19" i="16" a="1"/>
  <c r="E19" i="16" l="1"/>
  <c r="F19" i="16" s="1"/>
  <c r="C19" i="16"/>
  <c r="D19" i="16" s="1"/>
  <c r="A19" i="16" a="1"/>
  <c r="A19" i="16" l="1"/>
  <c r="B19" i="16" s="1"/>
  <c r="R18" i="16" a="1"/>
  <c r="R18" i="16" l="1"/>
  <c r="N18" i="16" a="1"/>
  <c r="N18" i="16" l="1"/>
  <c r="R59" i="16"/>
  <c r="S18" i="16"/>
  <c r="L18" i="16" a="1"/>
  <c r="L18" i="16" l="1"/>
  <c r="N59" i="16"/>
  <c r="O59" i="16" s="1"/>
  <c r="P18" i="16"/>
  <c r="O18" i="16"/>
  <c r="G18" i="16" a="1"/>
  <c r="G18" i="16" l="1"/>
  <c r="P59" i="16"/>
  <c r="Q18" i="16"/>
  <c r="L59" i="16"/>
  <c r="M18" i="16"/>
  <c r="E18" i="16" a="1"/>
  <c r="E18" i="16" l="1"/>
  <c r="C18" i="16" s="1"/>
  <c r="C59" i="16" s="1"/>
  <c r="G59" i="16"/>
  <c r="H18" i="16"/>
  <c r="A18" i="16" a="1"/>
  <c r="A18" i="16" l="1"/>
  <c r="D18" i="16"/>
  <c r="E59" i="16"/>
  <c r="F59" i="16" s="1"/>
  <c r="F18" i="16"/>
  <c r="R14" i="16" a="1"/>
  <c r="R14" i="16" l="1"/>
  <c r="A59" i="16"/>
  <c r="B18" i="16"/>
  <c r="N14" i="16" a="1"/>
  <c r="N14" i="16" l="1"/>
  <c r="L14" i="16" a="1"/>
  <c r="L14" i="16" l="1"/>
  <c r="M14" i="16" s="1"/>
  <c r="P14" i="16"/>
  <c r="Q14" i="16" s="1"/>
  <c r="O14" i="16"/>
  <c r="G14" i="16" a="1"/>
  <c r="G14" i="16" l="1"/>
  <c r="H14" i="16" s="1"/>
  <c r="E14" i="16" a="1"/>
  <c r="E14" i="16" l="1"/>
  <c r="F14" i="16" s="1"/>
  <c r="C14" i="16"/>
  <c r="D14" i="16" s="1"/>
  <c r="A14" i="16" a="1"/>
  <c r="A14" i="16" l="1"/>
  <c r="R13" i="16" a="1"/>
  <c r="R13" i="16" l="1"/>
  <c r="S13" i="16" s="1"/>
  <c r="N13" i="16" a="1"/>
  <c r="N13" i="16" l="1"/>
  <c r="L13" i="16" a="1"/>
  <c r="L13" i="16" l="1"/>
  <c r="M13" i="16" s="1"/>
  <c r="P13" i="16"/>
  <c r="Q13" i="16" s="1"/>
  <c r="O13" i="16"/>
  <c r="G13" i="16" a="1"/>
  <c r="G13" i="16" l="1"/>
  <c r="H13" i="16" s="1"/>
  <c r="E13" i="16" a="1"/>
  <c r="E13" i="16" l="1"/>
  <c r="F13" i="16" s="1"/>
  <c r="A13" i="16" a="1"/>
  <c r="A13" i="16" l="1"/>
  <c r="B13" i="16" s="1"/>
  <c r="C13" i="16"/>
  <c r="D13" i="16" s="1"/>
  <c r="R12" i="16" a="1"/>
  <c r="R12" i="16" l="1"/>
  <c r="S12" i="16" s="1"/>
  <c r="N12" i="16" a="1"/>
  <c r="N12" i="16" l="1"/>
  <c r="L12" i="16" a="1"/>
  <c r="L12" i="16" l="1"/>
  <c r="M12" i="16" s="1"/>
  <c r="O12" i="16"/>
  <c r="P12" i="16"/>
  <c r="Q12" i="16" s="1"/>
  <c r="G12" i="16" a="1"/>
  <c r="G12" i="16" l="1"/>
  <c r="H12" i="16" s="1"/>
  <c r="E12" i="16" a="1"/>
  <c r="E12" i="16" l="1"/>
  <c r="F12" i="16" s="1"/>
  <c r="C12" i="16"/>
  <c r="D12" i="16" s="1"/>
  <c r="A12" i="16" a="1"/>
  <c r="A12" i="16" l="1"/>
  <c r="B12" i="16" s="1"/>
  <c r="R11" i="16" a="1"/>
  <c r="R11" i="16" l="1"/>
  <c r="S11" i="16" s="1"/>
  <c r="N11" i="16" a="1"/>
  <c r="N11" i="16" l="1"/>
  <c r="L11" i="16" a="1"/>
  <c r="L11" i="16" l="1"/>
  <c r="M11" i="16" s="1"/>
  <c r="O11" i="16"/>
  <c r="P11" i="16"/>
  <c r="Q11" i="16" s="1"/>
  <c r="G11" i="16" a="1"/>
  <c r="G11" i="16" l="1"/>
  <c r="E11" i="16" a="1"/>
  <c r="E11" i="16" l="1"/>
  <c r="F11" i="16" s="1"/>
  <c r="A11" i="16" a="1"/>
  <c r="A11" i="16" l="1"/>
  <c r="C11" i="16"/>
  <c r="R10" i="16" a="1"/>
  <c r="R10" i="16" l="1"/>
  <c r="S10" i="16" s="1"/>
  <c r="N10" i="16" a="1"/>
  <c r="N10" i="16" l="1"/>
  <c r="L10" i="16" a="1"/>
  <c r="L10" i="16" l="1"/>
  <c r="M10" i="16" s="1"/>
  <c r="P10" i="16"/>
  <c r="Q10" i="16" s="1"/>
  <c r="O10" i="16"/>
  <c r="G10" i="16" a="1"/>
  <c r="G10" i="16" l="1"/>
  <c r="H10" i="16" s="1"/>
  <c r="E10" i="16" a="1"/>
  <c r="E10" i="16" l="1"/>
  <c r="F10" i="16" s="1"/>
  <c r="C10" i="16"/>
  <c r="D10" i="16" s="1"/>
  <c r="A10" i="16" a="1"/>
  <c r="A10" i="16" l="1"/>
  <c r="B10" i="16" s="1"/>
  <c r="R9" i="16" a="1"/>
  <c r="R9" i="16" l="1"/>
  <c r="N9" i="16" a="1"/>
  <c r="N9" i="16" l="1"/>
  <c r="L9" i="16" a="1"/>
  <c r="L9" i="16" l="1"/>
  <c r="M9" i="16" s="1"/>
  <c r="O9" i="16"/>
  <c r="P9" i="16"/>
  <c r="Q9" i="16" s="1"/>
  <c r="G9" i="16" a="1"/>
  <c r="G9" i="16" l="1"/>
  <c r="H9" i="16" s="1"/>
  <c r="E9" i="16" a="1"/>
  <c r="E9" i="16" l="1"/>
  <c r="F9" i="16" s="1"/>
  <c r="C9" i="16"/>
  <c r="D9" i="16" s="1"/>
  <c r="A9" i="16" a="1"/>
  <c r="A9" i="16" l="1"/>
  <c r="R8" i="16" a="1"/>
  <c r="R8" i="16" l="1"/>
  <c r="N8" i="16" a="1"/>
  <c r="N8" i="16" l="1"/>
  <c r="R16" i="16"/>
  <c r="L8" i="16" a="1"/>
  <c r="L8" i="16" l="1"/>
  <c r="R61" i="16"/>
  <c r="N16" i="16"/>
  <c r="O8" i="16"/>
  <c r="G8" i="16" a="1"/>
  <c r="G8" i="16" l="1"/>
  <c r="R70" i="16"/>
  <c r="S61" i="16"/>
  <c r="L16" i="16"/>
  <c r="P8" i="16"/>
  <c r="N61" i="16"/>
  <c r="O16" i="16"/>
  <c r="E8" i="16" a="1"/>
  <c r="E8" i="16" l="1"/>
  <c r="S70" i="16"/>
  <c r="S63" i="16"/>
  <c r="S68" i="16"/>
  <c r="S56" i="16"/>
  <c r="S38" i="16"/>
  <c r="S21" i="16"/>
  <c r="S59" i="16"/>
  <c r="S14" i="16"/>
  <c r="S9" i="16"/>
  <c r="S8" i="16"/>
  <c r="S16" i="16"/>
  <c r="G16" i="16"/>
  <c r="N70" i="16"/>
  <c r="O70" i="16" s="1"/>
  <c r="O61" i="16"/>
  <c r="P16" i="16"/>
  <c r="L61" i="16"/>
  <c r="C8" i="16"/>
  <c r="C16" i="16" s="1"/>
  <c r="A8" i="16" a="1"/>
  <c r="A8" i="16" l="1"/>
  <c r="L70" i="16"/>
  <c r="M61" i="16" s="1"/>
  <c r="P61" i="16"/>
  <c r="E16" i="16"/>
  <c r="F8" i="16"/>
  <c r="C61" i="16"/>
  <c r="G61" i="16"/>
  <c r="U2" i="16"/>
  <c r="R40" i="15" a="1"/>
  <c r="E61" i="16" l="1"/>
  <c r="F16" i="16"/>
  <c r="G70" i="16"/>
  <c r="H61" i="16" s="1"/>
  <c r="M70" i="16"/>
  <c r="M66" i="16"/>
  <c r="M63" i="16"/>
  <c r="M68" i="16"/>
  <c r="M57" i="16"/>
  <c r="M50" i="16"/>
  <c r="M44" i="16"/>
  <c r="M39" i="16"/>
  <c r="M38" i="16"/>
  <c r="M59" i="16"/>
  <c r="M8" i="16"/>
  <c r="M16" i="16"/>
  <c r="A16" i="16"/>
  <c r="C70" i="16"/>
  <c r="D61" i="16"/>
  <c r="P70" i="16"/>
  <c r="Q61" i="16"/>
  <c r="R40" i="15"/>
  <c r="S40" i="15" s="1"/>
  <c r="N40" i="15" a="1"/>
  <c r="E70" i="16" l="1"/>
  <c r="F70" i="16" s="1"/>
  <c r="F61" i="16"/>
  <c r="Q70" i="16"/>
  <c r="Q66" i="16"/>
  <c r="Q63" i="16"/>
  <c r="Q68" i="16"/>
  <c r="Q57" i="16"/>
  <c r="Q50" i="16"/>
  <c r="Q44" i="16"/>
  <c r="Q39" i="16"/>
  <c r="Q38" i="16"/>
  <c r="Q59" i="16"/>
  <c r="Q8" i="16"/>
  <c r="Q16" i="16"/>
  <c r="A61" i="16"/>
  <c r="D70" i="16"/>
  <c r="D66" i="16"/>
  <c r="D63" i="16"/>
  <c r="D68" i="16"/>
  <c r="D57" i="16"/>
  <c r="D50" i="16"/>
  <c r="D44" i="16"/>
  <c r="D39" i="16"/>
  <c r="D38" i="16"/>
  <c r="D59" i="16"/>
  <c r="D11" i="16"/>
  <c r="D16" i="16"/>
  <c r="D8" i="16"/>
  <c r="H70" i="16"/>
  <c r="H66" i="16"/>
  <c r="H63" i="16"/>
  <c r="H68" i="16"/>
  <c r="H57" i="16"/>
  <c r="H50" i="16"/>
  <c r="H44" i="16"/>
  <c r="H39" i="16"/>
  <c r="H38" i="16"/>
  <c r="H59" i="16"/>
  <c r="H11" i="16"/>
  <c r="H8" i="16"/>
  <c r="H16" i="16"/>
  <c r="N40" i="15"/>
  <c r="L40" i="15" a="1"/>
  <c r="A70" i="16" l="1"/>
  <c r="B61" i="16"/>
  <c r="L40" i="15"/>
  <c r="M40" i="15" s="1"/>
  <c r="O40" i="15"/>
  <c r="G40" i="15" a="1"/>
  <c r="P40" i="15" l="1"/>
  <c r="Q40" i="15" s="1"/>
  <c r="B70" i="16"/>
  <c r="B63" i="16"/>
  <c r="B68" i="16"/>
  <c r="B56" i="16"/>
  <c r="B38" i="16"/>
  <c r="B21" i="16"/>
  <c r="B59" i="16"/>
  <c r="B14" i="16"/>
  <c r="B11" i="16"/>
  <c r="B9" i="16"/>
  <c r="B8" i="16"/>
  <c r="B16" i="16"/>
  <c r="G40" i="15"/>
  <c r="H40" i="15" s="1"/>
  <c r="E40" i="15" a="1"/>
  <c r="E40" i="15" l="1"/>
  <c r="F40" i="15" s="1"/>
  <c r="C40" i="15"/>
  <c r="D40" i="15" s="1"/>
  <c r="A40" i="15" a="1"/>
  <c r="A40" i="15" l="1"/>
  <c r="B40" i="15" s="1"/>
  <c r="R37" i="15" a="1"/>
  <c r="R37" i="15" l="1"/>
  <c r="S37" i="15" s="1"/>
  <c r="N37" i="15" a="1"/>
  <c r="N37" i="15" l="1"/>
  <c r="L37" i="15" a="1"/>
  <c r="L37" i="15" l="1"/>
  <c r="M37" i="15" s="1"/>
  <c r="P37" i="15"/>
  <c r="Q37" i="15" s="1"/>
  <c r="O37" i="15"/>
  <c r="G37" i="15" a="1"/>
  <c r="G37" i="15" l="1"/>
  <c r="H37" i="15" s="1"/>
  <c r="E37" i="15" a="1"/>
  <c r="E37" i="15" l="1"/>
  <c r="F37" i="15" s="1"/>
  <c r="C37" i="15"/>
  <c r="D37" i="15" s="1"/>
  <c r="A37" i="15" a="1"/>
  <c r="A37" i="15" l="1"/>
  <c r="B37" i="15" s="1"/>
  <c r="R36" i="15" a="1"/>
  <c r="R36" i="15" l="1"/>
  <c r="S36" i="15" s="1"/>
  <c r="N36" i="15" a="1"/>
  <c r="N36" i="15" l="1"/>
  <c r="L36" i="15" a="1"/>
  <c r="L36" i="15" l="1"/>
  <c r="M36" i="15" s="1"/>
  <c r="P36" i="15"/>
  <c r="Q36" i="15" s="1"/>
  <c r="O36" i="15"/>
  <c r="G36" i="15" a="1"/>
  <c r="G36" i="15" l="1"/>
  <c r="H36" i="15" s="1"/>
  <c r="E36" i="15" a="1"/>
  <c r="E36" i="15" l="1"/>
  <c r="F36" i="15" s="1"/>
  <c r="C36" i="15"/>
  <c r="D36" i="15" s="1"/>
  <c r="A36" i="15" a="1"/>
  <c r="A36" i="15" l="1"/>
  <c r="B36" i="15" s="1"/>
  <c r="R35" i="15" a="1"/>
  <c r="R35" i="15" l="1"/>
  <c r="S35" i="15" s="1"/>
  <c r="N35" i="15" a="1"/>
  <c r="N35" i="15" l="1"/>
  <c r="L35" i="15" a="1"/>
  <c r="L35" i="15" l="1"/>
  <c r="M35" i="15" s="1"/>
  <c r="P35" i="15"/>
  <c r="Q35" i="15" s="1"/>
  <c r="O35" i="15"/>
  <c r="G35" i="15" a="1"/>
  <c r="G35" i="15" l="1"/>
  <c r="H35" i="15" s="1"/>
  <c r="E35" i="15" a="1"/>
  <c r="E35" i="15" l="1"/>
  <c r="F35" i="15" s="1"/>
  <c r="C35" i="15"/>
  <c r="D35" i="15" s="1"/>
  <c r="A35" i="15" a="1"/>
  <c r="A35" i="15" l="1"/>
  <c r="B35" i="15" s="1"/>
  <c r="R34" i="15" a="1"/>
  <c r="R34" i="15" l="1"/>
  <c r="S34" i="15" s="1"/>
  <c r="N34" i="15" a="1"/>
  <c r="N34" i="15" l="1"/>
  <c r="L34" i="15" a="1"/>
  <c r="L34" i="15" l="1"/>
  <c r="M34" i="15" s="1"/>
  <c r="P34" i="15"/>
  <c r="Q34" i="15" s="1"/>
  <c r="O34" i="15"/>
  <c r="G34" i="15" a="1"/>
  <c r="G34" i="15" l="1"/>
  <c r="H34" i="15" s="1"/>
  <c r="E34" i="15" a="1"/>
  <c r="E34" i="15" l="1"/>
  <c r="F34" i="15" s="1"/>
  <c r="C34" i="15"/>
  <c r="D34" i="15" s="1"/>
  <c r="A34" i="15" a="1"/>
  <c r="A34" i="15" l="1"/>
  <c r="B34" i="15" s="1"/>
  <c r="R33" i="15" a="1"/>
  <c r="R33" i="15" l="1"/>
  <c r="S33" i="15" s="1"/>
  <c r="N33" i="15" a="1"/>
  <c r="N33" i="15" l="1"/>
  <c r="L33" i="15" a="1"/>
  <c r="L33" i="15" l="1"/>
  <c r="M33" i="15" s="1"/>
  <c r="P33" i="15"/>
  <c r="Q33" i="15" s="1"/>
  <c r="O33" i="15"/>
  <c r="G33" i="15" a="1"/>
  <c r="G33" i="15" l="1"/>
  <c r="H33" i="15" s="1"/>
  <c r="E33" i="15" a="1"/>
  <c r="E33" i="15" l="1"/>
  <c r="F33" i="15" s="1"/>
  <c r="C33" i="15"/>
  <c r="D33" i="15" s="1"/>
  <c r="A33" i="15" a="1"/>
  <c r="A33" i="15" l="1"/>
  <c r="B33" i="15" s="1"/>
  <c r="R32" i="15" a="1"/>
  <c r="R32" i="15" l="1"/>
  <c r="S32" i="15" s="1"/>
  <c r="N32" i="15" a="1"/>
  <c r="N32" i="15" l="1"/>
  <c r="L32" i="15" a="1"/>
  <c r="L32" i="15" l="1"/>
  <c r="M32" i="15" s="1"/>
  <c r="P32" i="15"/>
  <c r="Q32" i="15" s="1"/>
  <c r="O32" i="15"/>
  <c r="G32" i="15" a="1"/>
  <c r="G32" i="15" l="1"/>
  <c r="H32" i="15" s="1"/>
  <c r="E32" i="15" a="1"/>
  <c r="E32" i="15" l="1"/>
  <c r="F32" i="15" s="1"/>
  <c r="C32" i="15"/>
  <c r="D32" i="15" s="1"/>
  <c r="A32" i="15" a="1"/>
  <c r="A32" i="15" l="1"/>
  <c r="B32" i="15" s="1"/>
  <c r="R31" i="15" a="1"/>
  <c r="R31" i="15" l="1"/>
  <c r="S31" i="15" s="1"/>
  <c r="N31" i="15" a="1"/>
  <c r="N31" i="15" l="1"/>
  <c r="L31" i="15" a="1"/>
  <c r="L31" i="15" l="1"/>
  <c r="M31" i="15" s="1"/>
  <c r="P31" i="15"/>
  <c r="Q31" i="15" s="1"/>
  <c r="O31" i="15"/>
  <c r="G31" i="15" a="1"/>
  <c r="G31" i="15" l="1"/>
  <c r="H31" i="15" s="1"/>
  <c r="E31" i="15" a="1"/>
  <c r="E31" i="15" l="1"/>
  <c r="F31" i="15" s="1"/>
  <c r="C31" i="15"/>
  <c r="D31" i="15" s="1"/>
  <c r="A31" i="15" a="1"/>
  <c r="A31" i="15" l="1"/>
  <c r="B31" i="15" s="1"/>
  <c r="R30" i="15" a="1"/>
  <c r="R30" i="15" l="1"/>
  <c r="S30" i="15" s="1"/>
  <c r="N30" i="15" a="1"/>
  <c r="N30" i="15" l="1"/>
  <c r="L30" i="15" a="1"/>
  <c r="L30" i="15" l="1"/>
  <c r="M30" i="15" s="1"/>
  <c r="P30" i="15"/>
  <c r="Q30" i="15" s="1"/>
  <c r="O30" i="15"/>
  <c r="G30" i="15" a="1"/>
  <c r="G30" i="15" l="1"/>
  <c r="H30" i="15" s="1"/>
  <c r="E30" i="15" a="1"/>
  <c r="E30" i="15" l="1"/>
  <c r="F30" i="15" s="1"/>
  <c r="C30" i="15"/>
  <c r="D30" i="15" s="1"/>
  <c r="A30" i="15" a="1"/>
  <c r="A30" i="15" l="1"/>
  <c r="B30" i="15" s="1"/>
  <c r="R29" i="15" a="1"/>
  <c r="R29" i="15" l="1"/>
  <c r="S29" i="15" s="1"/>
  <c r="N29" i="15" a="1"/>
  <c r="N29" i="15" l="1"/>
  <c r="L29" i="15" a="1"/>
  <c r="L29" i="15" l="1"/>
  <c r="M29" i="15" s="1"/>
  <c r="O29" i="15"/>
  <c r="P29" i="15"/>
  <c r="Q29" i="15" s="1"/>
  <c r="G29" i="15" a="1"/>
  <c r="G29" i="15" l="1"/>
  <c r="H29" i="15" s="1"/>
  <c r="E29" i="15" a="1"/>
  <c r="E29" i="15" l="1"/>
  <c r="F29" i="15" s="1"/>
  <c r="C29" i="15"/>
  <c r="D29" i="15" s="1"/>
  <c r="A29" i="15" a="1"/>
  <c r="A29" i="15" l="1"/>
  <c r="B29" i="15" s="1"/>
  <c r="R28" i="15" a="1"/>
  <c r="R28" i="15" l="1"/>
  <c r="S28" i="15" s="1"/>
  <c r="N28" i="15" a="1"/>
  <c r="N28" i="15" l="1"/>
  <c r="L28" i="15" a="1"/>
  <c r="L28" i="15" l="1"/>
  <c r="M28" i="15" s="1"/>
  <c r="P28" i="15"/>
  <c r="Q28" i="15" s="1"/>
  <c r="O28" i="15"/>
  <c r="G28" i="15" a="1"/>
  <c r="G28" i="15" l="1"/>
  <c r="H28" i="15" s="1"/>
  <c r="E28" i="15" a="1"/>
  <c r="E28" i="15" l="1"/>
  <c r="F28" i="15" s="1"/>
  <c r="C28" i="15"/>
  <c r="D28" i="15" s="1"/>
  <c r="A28" i="15" a="1"/>
  <c r="A28" i="15" l="1"/>
  <c r="B28" i="15" s="1"/>
  <c r="R27" i="15" a="1"/>
  <c r="R27" i="15" l="1"/>
  <c r="S27" i="15" s="1"/>
  <c r="N27" i="15" a="1"/>
  <c r="N27" i="15" l="1"/>
  <c r="L27" i="15" a="1"/>
  <c r="L27" i="15" l="1"/>
  <c r="M27" i="15" s="1"/>
  <c r="P27" i="15"/>
  <c r="Q27" i="15" s="1"/>
  <c r="O27" i="15"/>
  <c r="G27" i="15" a="1"/>
  <c r="G27" i="15" l="1"/>
  <c r="H27" i="15" s="1"/>
  <c r="E27" i="15" a="1"/>
  <c r="E27" i="15" l="1"/>
  <c r="F27" i="15" s="1"/>
  <c r="C27" i="15"/>
  <c r="D27" i="15" s="1"/>
  <c r="A27" i="15" a="1"/>
  <c r="A27" i="15" l="1"/>
  <c r="B27" i="15" s="1"/>
  <c r="R26" i="15" a="1"/>
  <c r="R26" i="15" l="1"/>
  <c r="S26" i="15" s="1"/>
  <c r="N26" i="15" a="1"/>
  <c r="N26" i="15" l="1"/>
  <c r="L26" i="15" a="1"/>
  <c r="L26" i="15" l="1"/>
  <c r="M26" i="15" s="1"/>
  <c r="P26" i="15"/>
  <c r="Q26" i="15" s="1"/>
  <c r="O26" i="15"/>
  <c r="G26" i="15" a="1"/>
  <c r="G26" i="15" l="1"/>
  <c r="H26" i="15" s="1"/>
  <c r="E26" i="15" a="1"/>
  <c r="E26" i="15" l="1"/>
  <c r="F26" i="15" s="1"/>
  <c r="C26" i="15"/>
  <c r="D26" i="15" s="1"/>
  <c r="A26" i="15" a="1"/>
  <c r="A26" i="15" l="1"/>
  <c r="B26" i="15" s="1"/>
  <c r="R25" i="15" a="1"/>
  <c r="R25" i="15" l="1"/>
  <c r="S25" i="15" s="1"/>
  <c r="N25" i="15" a="1"/>
  <c r="N25" i="15" l="1"/>
  <c r="L25" i="15" a="1"/>
  <c r="L25" i="15" l="1"/>
  <c r="M25" i="15" s="1"/>
  <c r="P25" i="15"/>
  <c r="Q25" i="15" s="1"/>
  <c r="O25" i="15"/>
  <c r="G25" i="15" a="1"/>
  <c r="G25" i="15" l="1"/>
  <c r="H25" i="15" s="1"/>
  <c r="E25" i="15" a="1"/>
  <c r="E25" i="15" l="1"/>
  <c r="F25" i="15" s="1"/>
  <c r="C25" i="15"/>
  <c r="D25" i="15" s="1"/>
  <c r="A25" i="15" a="1"/>
  <c r="A25" i="15" l="1"/>
  <c r="B25" i="15" s="1"/>
  <c r="R24" i="15" a="1"/>
  <c r="R24" i="15" l="1"/>
  <c r="N24" i="15" a="1"/>
  <c r="N24" i="15" l="1"/>
  <c r="L24" i="15" a="1"/>
  <c r="L24" i="15" l="1"/>
  <c r="M24" i="15" s="1"/>
  <c r="P24" i="15"/>
  <c r="Q24" i="15" s="1"/>
  <c r="O24" i="15"/>
  <c r="G24" i="15" a="1"/>
  <c r="G24" i="15" l="1"/>
  <c r="H24" i="15" s="1"/>
  <c r="E24" i="15" a="1"/>
  <c r="E24" i="15" l="1"/>
  <c r="F24" i="15" s="1"/>
  <c r="A24" i="15" a="1"/>
  <c r="A24" i="15" l="1"/>
  <c r="C24" i="15"/>
  <c r="D24" i="15" s="1"/>
  <c r="R23" i="15" a="1"/>
  <c r="R23" i="15" l="1"/>
  <c r="N23" i="15" a="1"/>
  <c r="N23" i="15" l="1"/>
  <c r="R39" i="15"/>
  <c r="S23" i="15"/>
  <c r="L23" i="15" a="1"/>
  <c r="L23" i="15" l="1"/>
  <c r="R42" i="15"/>
  <c r="N39" i="15"/>
  <c r="O23" i="15"/>
  <c r="G23" i="15" a="1"/>
  <c r="G23" i="15" l="1"/>
  <c r="L39" i="15"/>
  <c r="M23" i="15"/>
  <c r="P23" i="15"/>
  <c r="N42" i="15"/>
  <c r="O42" i="15" s="1"/>
  <c r="O39" i="15"/>
  <c r="E23" i="15" a="1"/>
  <c r="E23" i="15" l="1"/>
  <c r="C23" i="15" s="1"/>
  <c r="L42" i="15"/>
  <c r="M42" i="15" s="1"/>
  <c r="M39" i="15"/>
  <c r="G39" i="15"/>
  <c r="H23" i="15"/>
  <c r="P39" i="15"/>
  <c r="Q23" i="15"/>
  <c r="A23" i="15" a="1"/>
  <c r="A23" i="15" l="1"/>
  <c r="C39" i="15"/>
  <c r="D23" i="15"/>
  <c r="E39" i="15"/>
  <c r="F23" i="15"/>
  <c r="P42" i="15"/>
  <c r="Q42" i="15" s="1"/>
  <c r="Q39" i="15"/>
  <c r="G42" i="15"/>
  <c r="H42" i="15" s="1"/>
  <c r="H39" i="15"/>
  <c r="R19" i="15" a="1"/>
  <c r="R19" i="15" l="1"/>
  <c r="S19" i="15" s="1"/>
  <c r="A39" i="15"/>
  <c r="B23" i="15"/>
  <c r="E42" i="15"/>
  <c r="F42" i="15" s="1"/>
  <c r="F39" i="15"/>
  <c r="C42" i="15"/>
  <c r="D42" i="15" s="1"/>
  <c r="D39" i="15"/>
  <c r="N19" i="15" a="1"/>
  <c r="N19" i="15" l="1"/>
  <c r="A42" i="15"/>
  <c r="L19" i="15" a="1"/>
  <c r="L19" i="15" l="1"/>
  <c r="M19" i="15" s="1"/>
  <c r="O19" i="15"/>
  <c r="P19" i="15"/>
  <c r="Q19" i="15" s="1"/>
  <c r="G19" i="15" a="1"/>
  <c r="G19" i="15" l="1"/>
  <c r="H19" i="15" s="1"/>
  <c r="E19" i="15" a="1"/>
  <c r="E19" i="15" l="1"/>
  <c r="F19" i="15" s="1"/>
  <c r="C19" i="15"/>
  <c r="D19" i="15" s="1"/>
  <c r="A19" i="15" a="1"/>
  <c r="A19" i="15" l="1"/>
  <c r="B19" i="15" s="1"/>
  <c r="R18" i="15" a="1"/>
  <c r="R18" i="15" l="1"/>
  <c r="S18" i="15" s="1"/>
  <c r="N18" i="15" a="1"/>
  <c r="N18" i="15" l="1"/>
  <c r="L18" i="15" a="1"/>
  <c r="L18" i="15" l="1"/>
  <c r="M18" i="15" s="1"/>
  <c r="O18" i="15"/>
  <c r="P18" i="15"/>
  <c r="Q18" i="15" s="1"/>
  <c r="G18" i="15" a="1"/>
  <c r="G18" i="15" l="1"/>
  <c r="H18" i="15" s="1"/>
  <c r="E18" i="15" a="1"/>
  <c r="E18" i="15" l="1"/>
  <c r="F18" i="15" s="1"/>
  <c r="C18" i="15"/>
  <c r="D18" i="15" s="1"/>
  <c r="A18" i="15" a="1"/>
  <c r="A18" i="15" l="1"/>
  <c r="B18" i="15" s="1"/>
  <c r="R15" i="15" a="1"/>
  <c r="R15" i="15" l="1"/>
  <c r="S15" i="15" s="1"/>
  <c r="N15" i="15" a="1"/>
  <c r="N15" i="15" l="1"/>
  <c r="L15" i="15" a="1"/>
  <c r="L15" i="15" l="1"/>
  <c r="M15" i="15" s="1"/>
  <c r="O15" i="15"/>
  <c r="P15" i="15"/>
  <c r="Q15" i="15" s="1"/>
  <c r="G15" i="15" a="1"/>
  <c r="G15" i="15" l="1"/>
  <c r="H15" i="15" s="1"/>
  <c r="E15" i="15" a="1"/>
  <c r="E15" i="15" l="1"/>
  <c r="F15" i="15" s="1"/>
  <c r="C15" i="15"/>
  <c r="D15" i="15" s="1"/>
  <c r="A15" i="15" a="1"/>
  <c r="A15" i="15" l="1"/>
  <c r="B15" i="15" s="1"/>
  <c r="R14" i="15" a="1"/>
  <c r="R14" i="15" l="1"/>
  <c r="N14" i="15" a="1"/>
  <c r="N14" i="15" l="1"/>
  <c r="L14" i="15" a="1"/>
  <c r="L14" i="15" l="1"/>
  <c r="P14" i="15"/>
  <c r="O14" i="15"/>
  <c r="G14" i="15" a="1"/>
  <c r="G14" i="15" l="1"/>
  <c r="E14" i="15" a="1"/>
  <c r="E14" i="15" l="1"/>
  <c r="F14" i="15" s="1"/>
  <c r="A14" i="15" a="1"/>
  <c r="A14" i="15" l="1"/>
  <c r="C14" i="15"/>
  <c r="R13" i="15" a="1"/>
  <c r="R13" i="15" l="1"/>
  <c r="N13" i="15" a="1"/>
  <c r="N13" i="15" l="1"/>
  <c r="L13" i="15" a="1"/>
  <c r="L13" i="15" l="1"/>
  <c r="O13" i="15"/>
  <c r="P13" i="15"/>
  <c r="G13" i="15" a="1"/>
  <c r="G13" i="15" l="1"/>
  <c r="E13" i="15" a="1"/>
  <c r="E13" i="15" l="1"/>
  <c r="F13" i="15" s="1"/>
  <c r="A13" i="15" a="1"/>
  <c r="A13" i="15" l="1"/>
  <c r="C13" i="15"/>
  <c r="R12" i="15" a="1"/>
  <c r="R12" i="15" l="1"/>
  <c r="N12" i="15" a="1"/>
  <c r="N12" i="15" l="1"/>
  <c r="L12" i="15" a="1"/>
  <c r="L12" i="15" l="1"/>
  <c r="P12" i="15"/>
  <c r="O12" i="15"/>
  <c r="G12" i="15" a="1"/>
  <c r="G12" i="15" l="1"/>
  <c r="E12" i="15" a="1"/>
  <c r="E12" i="15" l="1"/>
  <c r="F12" i="15" s="1"/>
  <c r="C12" i="15"/>
  <c r="A12" i="15" a="1"/>
  <c r="A12" i="15" l="1"/>
  <c r="R11" i="15" a="1"/>
  <c r="R11" i="15" l="1"/>
  <c r="S11" i="15" s="1"/>
  <c r="N11" i="15" a="1"/>
  <c r="N11" i="15" l="1"/>
  <c r="L11" i="15" a="1"/>
  <c r="L11" i="15" l="1"/>
  <c r="M11" i="15" s="1"/>
  <c r="P11" i="15"/>
  <c r="Q11" i="15" s="1"/>
  <c r="O11" i="15"/>
  <c r="G11" i="15" a="1"/>
  <c r="G11" i="15" l="1"/>
  <c r="H11" i="15" s="1"/>
  <c r="E11" i="15" a="1"/>
  <c r="E11" i="15" l="1"/>
  <c r="F11" i="15" s="1"/>
  <c r="C11" i="15"/>
  <c r="D11" i="15" s="1"/>
  <c r="A11" i="15" a="1"/>
  <c r="A11" i="15" l="1"/>
  <c r="B11" i="15" s="1"/>
  <c r="R10" i="15" a="1"/>
  <c r="R10" i="15" l="1"/>
  <c r="S10" i="15" s="1"/>
  <c r="N10" i="15" a="1"/>
  <c r="N10" i="15" l="1"/>
  <c r="L10" i="15" a="1"/>
  <c r="L10" i="15" l="1"/>
  <c r="M10" i="15" s="1"/>
  <c r="O10" i="15"/>
  <c r="G10" i="15" a="1"/>
  <c r="G10" i="15" l="1"/>
  <c r="H10" i="15" s="1"/>
  <c r="P10" i="15"/>
  <c r="Q10" i="15" s="1"/>
  <c r="E10" i="15" a="1"/>
  <c r="E10" i="15" l="1"/>
  <c r="F10" i="15" s="1"/>
  <c r="C10" i="15"/>
  <c r="D10" i="15" s="1"/>
  <c r="A10" i="15" a="1"/>
  <c r="A10" i="15" l="1"/>
  <c r="B10" i="15" s="1"/>
  <c r="R9" i="15" a="1"/>
  <c r="R9" i="15" l="1"/>
  <c r="N9" i="15" a="1"/>
  <c r="N9" i="15" l="1"/>
  <c r="L9" i="15" a="1"/>
  <c r="L9" i="15" l="1"/>
  <c r="O9" i="15"/>
  <c r="P9" i="15"/>
  <c r="G9" i="15" a="1"/>
  <c r="G9" i="15" l="1"/>
  <c r="E9" i="15" a="1"/>
  <c r="E9" i="15" l="1"/>
  <c r="F9" i="15" s="1"/>
  <c r="C9" i="15"/>
  <c r="A9" i="15" a="1"/>
  <c r="A9" i="15" l="1"/>
  <c r="R8" i="15" a="1"/>
  <c r="R8" i="15" l="1"/>
  <c r="N8" i="15" a="1"/>
  <c r="N8" i="15" l="1"/>
  <c r="R17" i="15"/>
  <c r="L8" i="15" a="1"/>
  <c r="L8" i="15" l="1"/>
  <c r="N17" i="15"/>
  <c r="P8" i="15"/>
  <c r="O8" i="15"/>
  <c r="R21" i="15"/>
  <c r="G8" i="15" a="1"/>
  <c r="G8" i="15" l="1"/>
  <c r="P17" i="15"/>
  <c r="N21" i="15"/>
  <c r="O17" i="15"/>
  <c r="L17" i="15"/>
  <c r="R44" i="15"/>
  <c r="S21" i="15"/>
  <c r="E8" i="15" a="1"/>
  <c r="E8" i="15" l="1"/>
  <c r="P21" i="15"/>
  <c r="G17" i="15"/>
  <c r="S44" i="15"/>
  <c r="S24" i="15"/>
  <c r="S39" i="15"/>
  <c r="S42" i="15"/>
  <c r="S14" i="15"/>
  <c r="S13" i="15"/>
  <c r="S12" i="15"/>
  <c r="S9" i="15"/>
  <c r="S8" i="15"/>
  <c r="S17" i="15"/>
  <c r="L21" i="15"/>
  <c r="N44" i="15"/>
  <c r="O44" i="15" s="1"/>
  <c r="O21" i="15"/>
  <c r="C8" i="15"/>
  <c r="C17" i="15" s="1"/>
  <c r="A8" i="15" a="1"/>
  <c r="A8" i="15" l="1"/>
  <c r="P44" i="15"/>
  <c r="E17" i="15"/>
  <c r="F8" i="15"/>
  <c r="L44" i="15"/>
  <c r="M21" i="15" s="1"/>
  <c r="C21" i="15"/>
  <c r="G21" i="15"/>
  <c r="U2" i="15"/>
  <c r="R49" i="14" a="1"/>
  <c r="A17" i="15" l="1"/>
  <c r="E21" i="15"/>
  <c r="F17" i="15"/>
  <c r="Q44" i="15"/>
  <c r="Q14" i="15"/>
  <c r="Q13" i="15"/>
  <c r="Q12" i="15"/>
  <c r="Q9" i="15"/>
  <c r="Q8" i="15"/>
  <c r="Q17" i="15"/>
  <c r="C44" i="15"/>
  <c r="D21" i="15" s="1"/>
  <c r="M44" i="15"/>
  <c r="M14" i="15"/>
  <c r="M13" i="15"/>
  <c r="M12" i="15"/>
  <c r="M9" i="15"/>
  <c r="M8" i="15"/>
  <c r="M17" i="15"/>
  <c r="G44" i="15"/>
  <c r="H21" i="15" s="1"/>
  <c r="Q21" i="15"/>
  <c r="R49" i="14"/>
  <c r="N49" i="14" a="1"/>
  <c r="H44" i="15" l="1"/>
  <c r="H14" i="15"/>
  <c r="H13" i="15"/>
  <c r="H12" i="15"/>
  <c r="H9" i="15"/>
  <c r="H8" i="15"/>
  <c r="H17" i="15"/>
  <c r="D44" i="15"/>
  <c r="D14" i="15"/>
  <c r="D13" i="15"/>
  <c r="D12" i="15"/>
  <c r="D9" i="15"/>
  <c r="D8" i="15"/>
  <c r="D17" i="15"/>
  <c r="E44" i="15"/>
  <c r="F44" i="15" s="1"/>
  <c r="F21" i="15"/>
  <c r="A21" i="15"/>
  <c r="N49" i="14"/>
  <c r="L49" i="14" a="1"/>
  <c r="A44" i="15" l="1"/>
  <c r="L49" i="14"/>
  <c r="P49" i="14"/>
  <c r="G49" i="14" a="1"/>
  <c r="B44" i="15" l="1"/>
  <c r="B24" i="15"/>
  <c r="B39" i="15"/>
  <c r="B42" i="15"/>
  <c r="B14" i="15"/>
  <c r="B13" i="15"/>
  <c r="B12" i="15"/>
  <c r="B9" i="15"/>
  <c r="B8" i="15"/>
  <c r="B17" i="15"/>
  <c r="B21" i="15"/>
  <c r="G49" i="14"/>
  <c r="E49" i="14" a="1"/>
  <c r="E49" i="14" l="1"/>
  <c r="C49" i="14"/>
  <c r="A49" i="14" a="1"/>
  <c r="A49" i="14" l="1"/>
  <c r="R48" i="14" a="1"/>
  <c r="R48" i="14" l="1"/>
  <c r="N48" i="14" a="1"/>
  <c r="N48" i="14" l="1"/>
  <c r="L48" i="14" a="1"/>
  <c r="L48" i="14" l="1"/>
  <c r="P48" i="14"/>
  <c r="G48" i="14" a="1"/>
  <c r="G48" i="14" l="1"/>
  <c r="E48" i="14" a="1"/>
  <c r="E48" i="14" l="1"/>
  <c r="C48" i="14"/>
  <c r="A48" i="14" a="1"/>
  <c r="A48" i="14" l="1"/>
  <c r="R41" i="14" a="1"/>
  <c r="R41" i="14" l="1"/>
  <c r="S41" i="14" s="1"/>
  <c r="N41" i="14" a="1"/>
  <c r="N41" i="14" l="1"/>
  <c r="L41" i="14" a="1"/>
  <c r="L41" i="14" l="1"/>
  <c r="M41" i="14" s="1"/>
  <c r="O41" i="14"/>
  <c r="P41" i="14"/>
  <c r="Q41" i="14" s="1"/>
  <c r="G41" i="14" a="1"/>
  <c r="G41" i="14" l="1"/>
  <c r="H41" i="14" s="1"/>
  <c r="E41" i="14" a="1"/>
  <c r="E41" i="14" l="1"/>
  <c r="F41" i="14" s="1"/>
  <c r="C41" i="14"/>
  <c r="D41" i="14" s="1"/>
  <c r="A41" i="14" a="1"/>
  <c r="A41" i="14" l="1"/>
  <c r="B41" i="14" s="1"/>
  <c r="R40" i="14" a="1"/>
  <c r="R40" i="14" l="1"/>
  <c r="S40" i="14" s="1"/>
  <c r="N40" i="14" a="1"/>
  <c r="N40" i="14" l="1"/>
  <c r="L40" i="14" a="1"/>
  <c r="L40" i="14" l="1"/>
  <c r="M40" i="14" s="1"/>
  <c r="P40" i="14"/>
  <c r="Q40" i="14" s="1"/>
  <c r="O40" i="14"/>
  <c r="G40" i="14" a="1"/>
  <c r="G40" i="14" l="1"/>
  <c r="H40" i="14" s="1"/>
  <c r="E40" i="14" a="1"/>
  <c r="E40" i="14" l="1"/>
  <c r="F40" i="14" s="1"/>
  <c r="C40" i="14"/>
  <c r="D40" i="14" s="1"/>
  <c r="A40" i="14" a="1"/>
  <c r="A40" i="14" l="1"/>
  <c r="B40" i="14" s="1"/>
  <c r="R39" i="14" a="1"/>
  <c r="R39" i="14" l="1"/>
  <c r="S39" i="14" s="1"/>
  <c r="N39" i="14" a="1"/>
  <c r="N39" i="14" l="1"/>
  <c r="L39" i="14" a="1"/>
  <c r="L39" i="14" l="1"/>
  <c r="M39" i="14" s="1"/>
  <c r="O39" i="14"/>
  <c r="P39" i="14"/>
  <c r="Q39" i="14" s="1"/>
  <c r="G39" i="14" a="1"/>
  <c r="G39" i="14" l="1"/>
  <c r="H39" i="14" s="1"/>
  <c r="E39" i="14" a="1"/>
  <c r="E39" i="14" l="1"/>
  <c r="F39" i="14" s="1"/>
  <c r="C39" i="14"/>
  <c r="D39" i="14" s="1"/>
  <c r="A39" i="14" a="1"/>
  <c r="A39" i="14" l="1"/>
  <c r="B39" i="14" s="1"/>
  <c r="R38" i="14" a="1"/>
  <c r="R38" i="14" l="1"/>
  <c r="S38" i="14" s="1"/>
  <c r="N38" i="14" a="1"/>
  <c r="N38" i="14" l="1"/>
  <c r="L38" i="14" a="1"/>
  <c r="L38" i="14" l="1"/>
  <c r="M38" i="14" s="1"/>
  <c r="O38" i="14"/>
  <c r="G38" i="14" a="1"/>
  <c r="G38" i="14" l="1"/>
  <c r="H38" i="14" s="1"/>
  <c r="P38" i="14"/>
  <c r="Q38" i="14" s="1"/>
  <c r="E38" i="14" a="1"/>
  <c r="E38" i="14" l="1"/>
  <c r="F38" i="14" s="1"/>
  <c r="C38" i="14"/>
  <c r="D38" i="14" s="1"/>
  <c r="A38" i="14" a="1"/>
  <c r="A38" i="14" l="1"/>
  <c r="B38" i="14" s="1"/>
  <c r="R37" i="14" a="1"/>
  <c r="R37" i="14" l="1"/>
  <c r="N37" i="14" a="1"/>
  <c r="N37" i="14" l="1"/>
  <c r="L37" i="14" a="1"/>
  <c r="L37" i="14" l="1"/>
  <c r="M37" i="14" s="1"/>
  <c r="O37" i="14"/>
  <c r="P37" i="14"/>
  <c r="Q37" i="14" s="1"/>
  <c r="G37" i="14" a="1"/>
  <c r="G37" i="14" l="1"/>
  <c r="H37" i="14" s="1"/>
  <c r="E37" i="14" a="1"/>
  <c r="E37" i="14" l="1"/>
  <c r="F37" i="14" s="1"/>
  <c r="C37" i="14"/>
  <c r="D37" i="14" s="1"/>
  <c r="A37" i="14" a="1"/>
  <c r="A37" i="14" l="1"/>
  <c r="R36" i="14" a="1"/>
  <c r="R36" i="14" l="1"/>
  <c r="S36" i="14" s="1"/>
  <c r="N36" i="14" a="1"/>
  <c r="N36" i="14" l="1"/>
  <c r="L36" i="14" a="1"/>
  <c r="L36" i="14" l="1"/>
  <c r="M36" i="14" s="1"/>
  <c r="O36" i="14"/>
  <c r="P36" i="14"/>
  <c r="Q36" i="14" s="1"/>
  <c r="G36" i="14" a="1"/>
  <c r="G36" i="14" l="1"/>
  <c r="H36" i="14" s="1"/>
  <c r="E36" i="14" a="1"/>
  <c r="E36" i="14" l="1"/>
  <c r="F36" i="14" s="1"/>
  <c r="C36" i="14"/>
  <c r="D36" i="14" s="1"/>
  <c r="A36" i="14" a="1"/>
  <c r="A36" i="14" l="1"/>
  <c r="B36" i="14" s="1"/>
  <c r="R35" i="14" a="1"/>
  <c r="R35" i="14" l="1"/>
  <c r="N35" i="14" a="1"/>
  <c r="N35" i="14" l="1"/>
  <c r="L35" i="14" a="1"/>
  <c r="L35" i="14" l="1"/>
  <c r="M35" i="14" s="1"/>
  <c r="O35" i="14"/>
  <c r="P35" i="14"/>
  <c r="Q35" i="14" s="1"/>
  <c r="G35" i="14" a="1"/>
  <c r="G35" i="14" l="1"/>
  <c r="H35" i="14" s="1"/>
  <c r="E35" i="14" a="1"/>
  <c r="E35" i="14" l="1"/>
  <c r="F35" i="14" s="1"/>
  <c r="C35" i="14"/>
  <c r="D35" i="14" s="1"/>
  <c r="A35" i="14" a="1"/>
  <c r="A35" i="14" l="1"/>
  <c r="R34" i="14" a="1"/>
  <c r="R34" i="14" l="1"/>
  <c r="S34" i="14" s="1"/>
  <c r="N34" i="14" a="1"/>
  <c r="N34" i="14" l="1"/>
  <c r="L34" i="14" a="1"/>
  <c r="L34" i="14" l="1"/>
  <c r="M34" i="14" s="1"/>
  <c r="P34" i="14"/>
  <c r="Q34" i="14" s="1"/>
  <c r="O34" i="14"/>
  <c r="G34" i="14" a="1"/>
  <c r="G34" i="14" l="1"/>
  <c r="H34" i="14" s="1"/>
  <c r="E34" i="14" a="1"/>
  <c r="E34" i="14" l="1"/>
  <c r="F34" i="14" s="1"/>
  <c r="C34" i="14"/>
  <c r="D34" i="14" s="1"/>
  <c r="A34" i="14" a="1"/>
  <c r="A34" i="14" l="1"/>
  <c r="B34" i="14" s="1"/>
  <c r="R33" i="14" a="1"/>
  <c r="R33" i="14" l="1"/>
  <c r="S33" i="14" s="1"/>
  <c r="N33" i="14" a="1"/>
  <c r="N33" i="14" l="1"/>
  <c r="L33" i="14" a="1"/>
  <c r="L33" i="14" l="1"/>
  <c r="M33" i="14" s="1"/>
  <c r="O33" i="14"/>
  <c r="P33" i="14"/>
  <c r="Q33" i="14" s="1"/>
  <c r="G33" i="14" a="1"/>
  <c r="G33" i="14" l="1"/>
  <c r="H33" i="14" s="1"/>
  <c r="E33" i="14" a="1"/>
  <c r="E33" i="14" l="1"/>
  <c r="F33" i="14" s="1"/>
  <c r="C33" i="14"/>
  <c r="D33" i="14" s="1"/>
  <c r="A33" i="14" a="1"/>
  <c r="A33" i="14" l="1"/>
  <c r="B33" i="14" s="1"/>
  <c r="R32" i="14" a="1"/>
  <c r="R32" i="14" l="1"/>
  <c r="S32" i="14" s="1"/>
  <c r="N32" i="14" a="1"/>
  <c r="N32" i="14" l="1"/>
  <c r="L32" i="14" a="1"/>
  <c r="L32" i="14" l="1"/>
  <c r="M32" i="14" s="1"/>
  <c r="O32" i="14"/>
  <c r="P32" i="14"/>
  <c r="Q32" i="14" s="1"/>
  <c r="G32" i="14" a="1"/>
  <c r="G32" i="14" l="1"/>
  <c r="H32" i="14" s="1"/>
  <c r="E32" i="14" a="1"/>
  <c r="E32" i="14" l="1"/>
  <c r="F32" i="14" s="1"/>
  <c r="C32" i="14"/>
  <c r="D32" i="14" s="1"/>
  <c r="A32" i="14" a="1"/>
  <c r="A32" i="14" l="1"/>
  <c r="B32" i="14" s="1"/>
  <c r="R31" i="14" a="1"/>
  <c r="R31" i="14" l="1"/>
  <c r="S31" i="14" s="1"/>
  <c r="N31" i="14" a="1"/>
  <c r="N31" i="14" l="1"/>
  <c r="L31" i="14" a="1"/>
  <c r="L31" i="14" l="1"/>
  <c r="M31" i="14" s="1"/>
  <c r="P31" i="14"/>
  <c r="Q31" i="14" s="1"/>
  <c r="O31" i="14"/>
  <c r="G31" i="14" a="1"/>
  <c r="G31" i="14" l="1"/>
  <c r="H31" i="14" s="1"/>
  <c r="E31" i="14" a="1"/>
  <c r="E31" i="14" l="1"/>
  <c r="F31" i="14" s="1"/>
  <c r="A31" i="14" a="1"/>
  <c r="C31" i="14" l="1"/>
  <c r="D31" i="14" s="1"/>
  <c r="A31" i="14"/>
  <c r="B31" i="14" s="1"/>
  <c r="R30" i="14" a="1"/>
  <c r="R30" i="14" l="1"/>
  <c r="N30" i="14" a="1"/>
  <c r="N30" i="14" l="1"/>
  <c r="L30" i="14" a="1"/>
  <c r="L30" i="14" l="1"/>
  <c r="M30" i="14" s="1"/>
  <c r="O30" i="14"/>
  <c r="G30" i="14" a="1"/>
  <c r="P30" i="14" l="1"/>
  <c r="Q30" i="14" s="1"/>
  <c r="G30" i="14"/>
  <c r="H30" i="14" s="1"/>
  <c r="E30" i="14" a="1"/>
  <c r="E30" i="14" l="1"/>
  <c r="F30" i="14" s="1"/>
  <c r="C30" i="14"/>
  <c r="D30" i="14" s="1"/>
  <c r="A30" i="14" a="1"/>
  <c r="A30" i="14" l="1"/>
  <c r="R29" i="14" a="1"/>
  <c r="R29" i="14" l="1"/>
  <c r="S29" i="14" s="1"/>
  <c r="N29" i="14" a="1"/>
  <c r="N29" i="14" l="1"/>
  <c r="L29" i="14" a="1"/>
  <c r="L29" i="14" l="1"/>
  <c r="M29" i="14" s="1"/>
  <c r="P29" i="14"/>
  <c r="Q29" i="14" s="1"/>
  <c r="O29" i="14"/>
  <c r="G29" i="14" a="1"/>
  <c r="G29" i="14" l="1"/>
  <c r="H29" i="14" s="1"/>
  <c r="E29" i="14" a="1"/>
  <c r="E29" i="14" l="1"/>
  <c r="F29" i="14" s="1"/>
  <c r="C29" i="14"/>
  <c r="D29" i="14" s="1"/>
  <c r="A29" i="14" a="1"/>
  <c r="A29" i="14" l="1"/>
  <c r="B29" i="14" s="1"/>
  <c r="R28" i="14" a="1"/>
  <c r="R28" i="14" l="1"/>
  <c r="N28" i="14" a="1"/>
  <c r="N28" i="14" l="1"/>
  <c r="L28" i="14" a="1"/>
  <c r="L28" i="14" l="1"/>
  <c r="M28" i="14" s="1"/>
  <c r="O28" i="14"/>
  <c r="P28" i="14"/>
  <c r="Q28" i="14" s="1"/>
  <c r="G28" i="14" a="1"/>
  <c r="G28" i="14" l="1"/>
  <c r="H28" i="14" s="1"/>
  <c r="E28" i="14" a="1"/>
  <c r="E28" i="14" l="1"/>
  <c r="F28" i="14" s="1"/>
  <c r="C28" i="14"/>
  <c r="D28" i="14" s="1"/>
  <c r="A28" i="14" a="1"/>
  <c r="A28" i="14" l="1"/>
  <c r="R27" i="14" a="1"/>
  <c r="R27" i="14" l="1"/>
  <c r="S27" i="14" s="1"/>
  <c r="N27" i="14" a="1"/>
  <c r="N27" i="14" l="1"/>
  <c r="L27" i="14"/>
  <c r="M27" i="14" l="1"/>
  <c r="P27" i="14"/>
  <c r="Q27" i="14" s="1"/>
  <c r="O27" i="14"/>
  <c r="G27" i="14" a="1"/>
  <c r="G27" i="14" l="1"/>
  <c r="H27" i="14" s="1"/>
  <c r="E27" i="14" a="1"/>
  <c r="E27" i="14" l="1"/>
  <c r="F27" i="14" s="1"/>
  <c r="C27" i="14"/>
  <c r="D27" i="14" s="1"/>
  <c r="A27" i="14" a="1"/>
  <c r="A27" i="14" l="1"/>
  <c r="B27" i="14" s="1"/>
  <c r="R26" i="14" a="1"/>
  <c r="R26" i="14" l="1"/>
  <c r="S26" i="14" s="1"/>
  <c r="N26" i="14" a="1"/>
  <c r="N26" i="14" l="1"/>
  <c r="L26" i="14" a="1"/>
  <c r="L26" i="14" l="1"/>
  <c r="M26" i="14" s="1"/>
  <c r="O26" i="14"/>
  <c r="P26" i="14"/>
  <c r="Q26" i="14" s="1"/>
  <c r="G26" i="14" a="1"/>
  <c r="G26" i="14" l="1"/>
  <c r="H26" i="14" s="1"/>
  <c r="E26" i="14" a="1"/>
  <c r="E26" i="14" l="1"/>
  <c r="F26" i="14" s="1"/>
  <c r="C26" i="14"/>
  <c r="D26" i="14" s="1"/>
  <c r="A26" i="14" a="1"/>
  <c r="A26" i="14" l="1"/>
  <c r="B26" i="14" s="1"/>
  <c r="R25" i="14" a="1"/>
  <c r="R25" i="14" l="1"/>
  <c r="S25" i="14" s="1"/>
  <c r="N25" i="14" a="1"/>
  <c r="N25" i="14" l="1"/>
  <c r="L25" i="14" a="1"/>
  <c r="L25" i="14" l="1"/>
  <c r="M25" i="14" s="1"/>
  <c r="O25" i="14"/>
  <c r="P25" i="14"/>
  <c r="Q25" i="14" s="1"/>
  <c r="G25" i="14" a="1"/>
  <c r="G25" i="14" l="1"/>
  <c r="H25" i="14" s="1"/>
  <c r="E25" i="14" a="1"/>
  <c r="E25" i="14" l="1"/>
  <c r="F25" i="14" s="1"/>
  <c r="C25" i="14"/>
  <c r="D25" i="14" s="1"/>
  <c r="A25" i="14" a="1"/>
  <c r="A25" i="14" l="1"/>
  <c r="B25" i="14" s="1"/>
  <c r="R24" i="14" a="1"/>
  <c r="R24" i="14" l="1"/>
  <c r="S24" i="14" s="1"/>
  <c r="N24" i="14" a="1"/>
  <c r="N24" i="14" l="1"/>
  <c r="L24" i="14" a="1"/>
  <c r="L24" i="14" l="1"/>
  <c r="M24" i="14" s="1"/>
  <c r="O24" i="14"/>
  <c r="P24" i="14"/>
  <c r="Q24" i="14" s="1"/>
  <c r="G24" i="14" a="1"/>
  <c r="G24" i="14" l="1"/>
  <c r="H24" i="14" s="1"/>
  <c r="E24" i="14" a="1"/>
  <c r="E24" i="14" l="1"/>
  <c r="F24" i="14" s="1"/>
  <c r="C24" i="14"/>
  <c r="D24" i="14" s="1"/>
  <c r="A24" i="14" a="1"/>
  <c r="A24" i="14" l="1"/>
  <c r="B24" i="14" s="1"/>
  <c r="R23" i="14" a="1"/>
  <c r="R23" i="14" l="1"/>
  <c r="S23" i="14" s="1"/>
  <c r="N23" i="14" a="1"/>
  <c r="N23" i="14" l="1"/>
  <c r="L23" i="14" a="1"/>
  <c r="L23" i="14" l="1"/>
  <c r="M23" i="14" s="1"/>
  <c r="P23" i="14"/>
  <c r="Q23" i="14" s="1"/>
  <c r="O23" i="14"/>
  <c r="G23" i="14" a="1"/>
  <c r="G23" i="14" l="1"/>
  <c r="H23" i="14" s="1"/>
  <c r="E23" i="14" a="1"/>
  <c r="E23" i="14" l="1"/>
  <c r="F23" i="14" s="1"/>
  <c r="C23" i="14"/>
  <c r="D23" i="14" s="1"/>
  <c r="A23" i="14" a="1"/>
  <c r="A23" i="14" l="1"/>
  <c r="B23" i="14" s="1"/>
  <c r="R22" i="14" a="1"/>
  <c r="R22" i="14" l="1"/>
  <c r="S22" i="14" s="1"/>
  <c r="N22" i="14" a="1"/>
  <c r="N22" i="14" l="1"/>
  <c r="L22" i="14" a="1"/>
  <c r="L22" i="14" l="1"/>
  <c r="M22" i="14" s="1"/>
  <c r="O22" i="14"/>
  <c r="P22" i="14"/>
  <c r="Q22" i="14" s="1"/>
  <c r="G22" i="14" a="1"/>
  <c r="G22" i="14" l="1"/>
  <c r="H22" i="14" s="1"/>
  <c r="E22" i="14" a="1"/>
  <c r="E22" i="14" l="1"/>
  <c r="F22" i="14" s="1"/>
  <c r="A22" i="14" a="1"/>
  <c r="A22" i="14" l="1"/>
  <c r="B22" i="14" s="1"/>
  <c r="C22" i="14"/>
  <c r="D22" i="14" s="1"/>
  <c r="R21" i="14" a="1"/>
  <c r="R21" i="14" l="1"/>
  <c r="S21" i="14" s="1"/>
  <c r="N21" i="14" a="1"/>
  <c r="N21" i="14" l="1"/>
  <c r="L21" i="14" a="1"/>
  <c r="L21" i="14" l="1"/>
  <c r="M21" i="14" s="1"/>
  <c r="P21" i="14"/>
  <c r="Q21" i="14" s="1"/>
  <c r="O21" i="14"/>
  <c r="G21" i="14" a="1"/>
  <c r="G21" i="14" l="1"/>
  <c r="H21" i="14" s="1"/>
  <c r="E21" i="14" a="1"/>
  <c r="E21" i="14" l="1"/>
  <c r="F21" i="14" s="1"/>
  <c r="C21" i="14"/>
  <c r="D21" i="14" s="1"/>
  <c r="A21" i="14" a="1"/>
  <c r="A21" i="14" l="1"/>
  <c r="B21" i="14" s="1"/>
  <c r="R20" i="14" a="1"/>
  <c r="R20" i="14" l="1"/>
  <c r="S20" i="14" s="1"/>
  <c r="N20" i="14" a="1"/>
  <c r="N20" i="14" l="1"/>
  <c r="L20" i="14" a="1"/>
  <c r="L20" i="14" l="1"/>
  <c r="M20" i="14" s="1"/>
  <c r="O20" i="14"/>
  <c r="P20" i="14"/>
  <c r="Q20" i="14" s="1"/>
  <c r="G20" i="14" a="1"/>
  <c r="G20" i="14" l="1"/>
  <c r="H20" i="14" s="1"/>
  <c r="E20" i="14" a="1"/>
  <c r="E20" i="14" l="1"/>
  <c r="F20" i="14" s="1"/>
  <c r="C20" i="14"/>
  <c r="D20" i="14" s="1"/>
  <c r="A20" i="14" a="1"/>
  <c r="A20" i="14" l="1"/>
  <c r="B20" i="14" s="1"/>
  <c r="R19" i="14" a="1"/>
  <c r="R19" i="14" l="1"/>
  <c r="N19" i="14" a="1"/>
  <c r="N19" i="14" l="1"/>
  <c r="L19" i="14" a="1"/>
  <c r="L19" i="14" l="1"/>
  <c r="M19" i="14" s="1"/>
  <c r="O19" i="14"/>
  <c r="P19" i="14"/>
  <c r="Q19" i="14" s="1"/>
  <c r="G19" i="14" a="1"/>
  <c r="G19" i="14" l="1"/>
  <c r="H19" i="14" s="1"/>
  <c r="E19" i="14" a="1"/>
  <c r="E19" i="14" l="1"/>
  <c r="F19" i="14" s="1"/>
  <c r="C19" i="14"/>
  <c r="D19" i="14" s="1"/>
  <c r="A19" i="14" a="1"/>
  <c r="A19" i="14" l="1"/>
  <c r="R18" i="14" a="1"/>
  <c r="R18" i="14" l="1"/>
  <c r="N18" i="14" a="1"/>
  <c r="N18" i="14" l="1"/>
  <c r="R43" i="14"/>
  <c r="S18" i="14"/>
  <c r="L18" i="14" a="1"/>
  <c r="L18" i="14" l="1"/>
  <c r="N43" i="14"/>
  <c r="O43" i="14" s="1"/>
  <c r="O18" i="14"/>
  <c r="G18" i="14" a="1"/>
  <c r="G18" i="14" l="1"/>
  <c r="L43" i="14"/>
  <c r="M43" i="14" s="1"/>
  <c r="M18" i="14"/>
  <c r="P18" i="14"/>
  <c r="E18" i="14" a="1"/>
  <c r="E18" i="14" l="1"/>
  <c r="G43" i="14"/>
  <c r="H43" i="14" s="1"/>
  <c r="H18" i="14"/>
  <c r="P43" i="14"/>
  <c r="Q43" i="14" s="1"/>
  <c r="Q18" i="14"/>
  <c r="C18" i="14"/>
  <c r="C43" i="14" s="1"/>
  <c r="D43" i="14" s="1"/>
  <c r="A18" i="14" a="1"/>
  <c r="A18" i="14" l="1"/>
  <c r="E43" i="14"/>
  <c r="F43" i="14" s="1"/>
  <c r="F18" i="14"/>
  <c r="D18" i="14"/>
  <c r="R14" i="14" a="1"/>
  <c r="R14" i="14" l="1"/>
  <c r="A43" i="14"/>
  <c r="B18" i="14"/>
  <c r="N14" i="14" a="1"/>
  <c r="N14" i="14" l="1"/>
  <c r="L14" i="14" a="1"/>
  <c r="L14" i="14" l="1"/>
  <c r="M14" i="14" s="1"/>
  <c r="O14" i="14"/>
  <c r="P14" i="14"/>
  <c r="Q14" i="14" s="1"/>
  <c r="G14" i="14" a="1"/>
  <c r="G14" i="14" l="1"/>
  <c r="H14" i="14" s="1"/>
  <c r="E14" i="14" a="1"/>
  <c r="E14" i="14" l="1"/>
  <c r="F14" i="14" s="1"/>
  <c r="C14" i="14"/>
  <c r="D14" i="14" s="1"/>
  <c r="A14" i="14" a="1"/>
  <c r="A14" i="14" l="1"/>
  <c r="R13" i="14" a="1"/>
  <c r="R13" i="14" l="1"/>
  <c r="S13" i="14" s="1"/>
  <c r="N13" i="14" a="1"/>
  <c r="N13" i="14" l="1"/>
  <c r="L13" i="14" a="1"/>
  <c r="L13" i="14" l="1"/>
  <c r="M13" i="14" s="1"/>
  <c r="P13" i="14"/>
  <c r="Q13" i="14" s="1"/>
  <c r="O13" i="14"/>
  <c r="G13" i="14" a="1"/>
  <c r="G13" i="14" l="1"/>
  <c r="H13" i="14" s="1"/>
  <c r="E13" i="14" a="1"/>
  <c r="E13" i="14" l="1"/>
  <c r="F13" i="14" s="1"/>
  <c r="C13" i="14"/>
  <c r="D13" i="14" s="1"/>
  <c r="A13" i="14" a="1"/>
  <c r="A13" i="14" l="1"/>
  <c r="B13" i="14" s="1"/>
  <c r="R12" i="14" a="1"/>
  <c r="R12" i="14" l="1"/>
  <c r="S12" i="14" s="1"/>
  <c r="N12" i="14" a="1"/>
  <c r="N12" i="14" l="1"/>
  <c r="L12" i="14" a="1"/>
  <c r="L12" i="14" l="1"/>
  <c r="M12" i="14" s="1"/>
  <c r="O12" i="14"/>
  <c r="P12" i="14"/>
  <c r="Q12" i="14" s="1"/>
  <c r="G12" i="14" a="1"/>
  <c r="G12" i="14" l="1"/>
  <c r="H12" i="14" s="1"/>
  <c r="E12" i="14" a="1"/>
  <c r="E12" i="14" l="1"/>
  <c r="F12" i="14" s="1"/>
  <c r="A12" i="14" a="1"/>
  <c r="A12" i="14" l="1"/>
  <c r="B12" i="14" s="1"/>
  <c r="C12" i="14"/>
  <c r="D12" i="14" s="1"/>
  <c r="R11" i="14" a="1"/>
  <c r="R11" i="14" l="1"/>
  <c r="S11" i="14" s="1"/>
  <c r="N11" i="14" a="1"/>
  <c r="N11" i="14" l="1"/>
  <c r="L11" i="14" a="1"/>
  <c r="L11" i="14" l="1"/>
  <c r="M11" i="14" s="1"/>
  <c r="O11" i="14"/>
  <c r="P11" i="14"/>
  <c r="Q11" i="14" s="1"/>
  <c r="G11" i="14" a="1"/>
  <c r="G11" i="14" l="1"/>
  <c r="E11" i="14" a="1"/>
  <c r="E11" i="14" l="1"/>
  <c r="F11" i="14" s="1"/>
  <c r="A11" i="14" a="1"/>
  <c r="A11" i="14" l="1"/>
  <c r="B11" i="14" s="1"/>
  <c r="C11" i="14"/>
  <c r="R10" i="14" a="1"/>
  <c r="R10" i="14" l="1"/>
  <c r="N10" i="14" a="1"/>
  <c r="N10" i="14" l="1"/>
  <c r="L10" i="14" a="1"/>
  <c r="L10" i="14" l="1"/>
  <c r="P10" i="14"/>
  <c r="O10" i="14"/>
  <c r="G10" i="14" a="1"/>
  <c r="G10" i="14" l="1"/>
  <c r="E10" i="14" a="1"/>
  <c r="E10" i="14" l="1"/>
  <c r="F10" i="14" s="1"/>
  <c r="A10" i="14" a="1"/>
  <c r="A10" i="14" l="1"/>
  <c r="C10" i="14"/>
  <c r="R9" i="14" a="1"/>
  <c r="R9" i="14" l="1"/>
  <c r="S9" i="14" s="1"/>
  <c r="N9" i="14" a="1"/>
  <c r="N9" i="14" l="1"/>
  <c r="L9" i="14" a="1"/>
  <c r="L9" i="14" l="1"/>
  <c r="M9" i="14" s="1"/>
  <c r="P9" i="14"/>
  <c r="Q9" i="14" s="1"/>
  <c r="O9" i="14"/>
  <c r="G9" i="14" a="1"/>
  <c r="G9" i="14" l="1"/>
  <c r="E9" i="14" a="1"/>
  <c r="E9" i="14" l="1"/>
  <c r="F9" i="14" s="1"/>
  <c r="A9" i="14" a="1"/>
  <c r="A9" i="14" l="1"/>
  <c r="B9" i="14" s="1"/>
  <c r="C9" i="14"/>
  <c r="R8" i="14" a="1"/>
  <c r="R8" i="14" l="1"/>
  <c r="N8" i="14" a="1"/>
  <c r="N8" i="14" l="1"/>
  <c r="R16" i="14"/>
  <c r="S8" i="14"/>
  <c r="L8" i="14" a="1"/>
  <c r="L8" i="14" l="1"/>
  <c r="R45" i="14"/>
  <c r="S16" i="14"/>
  <c r="N16" i="14"/>
  <c r="P8" i="14"/>
  <c r="O8" i="14"/>
  <c r="G8" i="14" a="1"/>
  <c r="G8" i="14" l="1"/>
  <c r="S45" i="14"/>
  <c r="S37" i="14"/>
  <c r="S35" i="14"/>
  <c r="S30" i="14"/>
  <c r="S28" i="14"/>
  <c r="S19" i="14"/>
  <c r="S43" i="14"/>
  <c r="S14" i="14"/>
  <c r="S10" i="14"/>
  <c r="L16" i="14"/>
  <c r="M8" i="14"/>
  <c r="P16" i="14"/>
  <c r="Q8" i="14"/>
  <c r="N45" i="14"/>
  <c r="O45" i="14" s="1"/>
  <c r="O16" i="14"/>
  <c r="E8" i="14" a="1"/>
  <c r="E8" i="14" l="1"/>
  <c r="C8" i="14" s="1"/>
  <c r="C16" i="14" s="1"/>
  <c r="G16" i="14"/>
  <c r="H8" i="14"/>
  <c r="L45" i="14"/>
  <c r="M16" i="14"/>
  <c r="P45" i="14"/>
  <c r="Q16" i="14"/>
  <c r="A8" i="14" a="1"/>
  <c r="A8" i="14" l="1"/>
  <c r="G45" i="14"/>
  <c r="H16" i="14"/>
  <c r="D8" i="14"/>
  <c r="C45" i="14"/>
  <c r="D16" i="14"/>
  <c r="E16" i="14"/>
  <c r="F8" i="14"/>
  <c r="Q45" i="14"/>
  <c r="Q10" i="14"/>
  <c r="M45" i="14"/>
  <c r="M10" i="14"/>
  <c r="U2" i="14"/>
  <c r="R63" i="13" a="1"/>
  <c r="E45" i="14" l="1"/>
  <c r="F45" i="14" s="1"/>
  <c r="F16" i="14"/>
  <c r="H45" i="14"/>
  <c r="H11" i="14"/>
  <c r="H10" i="14"/>
  <c r="H9" i="14"/>
  <c r="A16" i="14"/>
  <c r="B8" i="14"/>
  <c r="D45" i="14"/>
  <c r="D11" i="14"/>
  <c r="D10" i="14"/>
  <c r="D9" i="14"/>
  <c r="R63" i="13"/>
  <c r="S63" i="13" s="1"/>
  <c r="N63" i="13" a="1"/>
  <c r="A45" i="14" l="1"/>
  <c r="B16" i="14"/>
  <c r="N63" i="13"/>
  <c r="L63" i="13" a="1"/>
  <c r="B45" i="14" l="1"/>
  <c r="B37" i="14"/>
  <c r="B35" i="14"/>
  <c r="B30" i="14"/>
  <c r="B28" i="14"/>
  <c r="B19" i="14"/>
  <c r="B43" i="14"/>
  <c r="B14" i="14"/>
  <c r="B10" i="14"/>
  <c r="L63" i="13"/>
  <c r="P63" i="13" s="1"/>
  <c r="O63" i="13"/>
  <c r="G63" i="13" a="1"/>
  <c r="G63" i="13" l="1"/>
  <c r="E63" i="13" a="1"/>
  <c r="E63" i="13" l="1"/>
  <c r="F63" i="13" s="1"/>
  <c r="A63" i="13" a="1"/>
  <c r="A63" i="13" l="1"/>
  <c r="B63" i="13" s="1"/>
  <c r="C63" i="13"/>
  <c r="R62" i="13" a="1"/>
  <c r="R62" i="13" l="1"/>
  <c r="S62" i="13" s="1"/>
  <c r="N62" i="13" a="1"/>
  <c r="N62" i="13" l="1"/>
  <c r="L62" i="13" a="1"/>
  <c r="L62" i="13" l="1"/>
  <c r="M62" i="13" s="1"/>
  <c r="P62" i="13"/>
  <c r="Q62" i="13" s="1"/>
  <c r="O62" i="13"/>
  <c r="G62" i="13" a="1"/>
  <c r="G62" i="13" l="1"/>
  <c r="H62" i="13" s="1"/>
  <c r="E62" i="13" a="1"/>
  <c r="E62" i="13" l="1"/>
  <c r="F62" i="13" s="1"/>
  <c r="C62" i="13"/>
  <c r="D62" i="13" s="1"/>
  <c r="A62" i="13" a="1"/>
  <c r="A62" i="13" l="1"/>
  <c r="B62" i="13" s="1"/>
  <c r="R61" i="13" a="1"/>
  <c r="R61" i="13" l="1"/>
  <c r="S61" i="13" s="1"/>
  <c r="N61" i="13" a="1"/>
  <c r="N61" i="13" l="1"/>
  <c r="L61" i="13" a="1"/>
  <c r="L61" i="13" l="1"/>
  <c r="M61" i="13" s="1"/>
  <c r="O61" i="13"/>
  <c r="P61" i="13"/>
  <c r="Q61" i="13" s="1"/>
  <c r="G61" i="13" a="1"/>
  <c r="G61" i="13" l="1"/>
  <c r="H61" i="13" s="1"/>
  <c r="E61" i="13" a="1"/>
  <c r="E61" i="13" l="1"/>
  <c r="F61" i="13" s="1"/>
  <c r="C61" i="13"/>
  <c r="D61" i="13" s="1"/>
  <c r="A61" i="13" a="1"/>
  <c r="A61" i="13" l="1"/>
  <c r="B61" i="13" s="1"/>
  <c r="R60" i="13" a="1"/>
  <c r="R60" i="13" l="1"/>
  <c r="N60" i="13" a="1"/>
  <c r="N60" i="13" l="1"/>
  <c r="L60" i="13" a="1"/>
  <c r="L60" i="13" l="1"/>
  <c r="P60" i="13"/>
  <c r="O60" i="13"/>
  <c r="G60" i="13" a="1"/>
  <c r="G60" i="13" l="1"/>
  <c r="E60" i="13" a="1"/>
  <c r="E60" i="13" l="1"/>
  <c r="F60" i="13" s="1"/>
  <c r="A60" i="13" a="1"/>
  <c r="A60" i="13" l="1"/>
  <c r="C60" i="13"/>
  <c r="R59" i="13" a="1"/>
  <c r="R59" i="13" l="1"/>
  <c r="N59" i="13" a="1"/>
  <c r="N59" i="13" l="1"/>
  <c r="L59" i="13" a="1"/>
  <c r="L59" i="13" l="1"/>
  <c r="P59" i="13"/>
  <c r="O59" i="13"/>
  <c r="G59" i="13" a="1"/>
  <c r="G59" i="13" l="1"/>
  <c r="E59" i="13" a="1"/>
  <c r="E59" i="13" l="1"/>
  <c r="F59" i="13" s="1"/>
  <c r="C59" i="13"/>
  <c r="A59" i="13" a="1"/>
  <c r="A59" i="13" l="1"/>
  <c r="R58" i="13" a="1"/>
  <c r="R58" i="13" l="1"/>
  <c r="S58" i="13" s="1"/>
  <c r="N58" i="13" a="1"/>
  <c r="N58" i="13" l="1"/>
  <c r="L58" i="13" a="1"/>
  <c r="L58" i="13" l="1"/>
  <c r="M58" i="13" s="1"/>
  <c r="P58" i="13"/>
  <c r="Q58" i="13" s="1"/>
  <c r="O58" i="13"/>
  <c r="G58" i="13" a="1"/>
  <c r="G58" i="13" l="1"/>
  <c r="H58" i="13" s="1"/>
  <c r="E58" i="13" a="1"/>
  <c r="E58" i="13" l="1"/>
  <c r="F58" i="13" s="1"/>
  <c r="C58" i="13"/>
  <c r="D58" i="13" s="1"/>
  <c r="A58" i="13" a="1"/>
  <c r="A58" i="13" l="1"/>
  <c r="B58" i="13" s="1"/>
  <c r="R57" i="13" a="1"/>
  <c r="R57" i="13" l="1"/>
  <c r="N57" i="13" a="1"/>
  <c r="N57" i="13" l="1"/>
  <c r="L57" i="13" a="1"/>
  <c r="L57" i="13" l="1"/>
  <c r="O57" i="13"/>
  <c r="G57" i="13" a="1"/>
  <c r="G57" i="13" l="1"/>
  <c r="P57" i="13"/>
  <c r="E57" i="13" a="1"/>
  <c r="E57" i="13" l="1"/>
  <c r="F57" i="13" s="1"/>
  <c r="A57" i="13" a="1"/>
  <c r="A57" i="13" l="1"/>
  <c r="C57" i="13"/>
  <c r="R56" i="13" a="1"/>
  <c r="R56" i="13" l="1"/>
  <c r="S56" i="13" s="1"/>
  <c r="N56" i="13" a="1"/>
  <c r="N56" i="13" l="1"/>
  <c r="L56" i="13" a="1"/>
  <c r="L56" i="13" l="1"/>
  <c r="M56" i="13" s="1"/>
  <c r="P56" i="13"/>
  <c r="Q56" i="13" s="1"/>
  <c r="O56" i="13"/>
  <c r="G56" i="13" a="1"/>
  <c r="G56" i="13" l="1"/>
  <c r="H56" i="13" s="1"/>
  <c r="E56" i="13" a="1"/>
  <c r="E56" i="13" l="1"/>
  <c r="F56" i="13" s="1"/>
  <c r="C56" i="13"/>
  <c r="D56" i="13" s="1"/>
  <c r="A56" i="13" a="1"/>
  <c r="A56" i="13" l="1"/>
  <c r="B56" i="13" s="1"/>
  <c r="R55" i="13" a="1"/>
  <c r="R55" i="13" l="1"/>
  <c r="S55" i="13" s="1"/>
  <c r="N55" i="13" a="1"/>
  <c r="N55" i="13" l="1"/>
  <c r="L55" i="13" a="1"/>
  <c r="L55" i="13" l="1"/>
  <c r="M55" i="13" s="1"/>
  <c r="O55" i="13"/>
  <c r="P55" i="13"/>
  <c r="Q55" i="13" s="1"/>
  <c r="G55" i="13" a="1"/>
  <c r="G55" i="13" l="1"/>
  <c r="H55" i="13" s="1"/>
  <c r="E55" i="13" a="1"/>
  <c r="E55" i="13" l="1"/>
  <c r="F55" i="13" s="1"/>
  <c r="C55" i="13"/>
  <c r="D55" i="13" s="1"/>
  <c r="A55" i="13" a="1"/>
  <c r="A55" i="13" l="1"/>
  <c r="B55" i="13" s="1"/>
  <c r="R54" i="13" a="1"/>
  <c r="R54" i="13" l="1"/>
  <c r="N54" i="13" a="1"/>
  <c r="N54" i="13" l="1"/>
  <c r="L54" i="13" a="1"/>
  <c r="L54" i="13" l="1"/>
  <c r="O54" i="13"/>
  <c r="P54" i="13"/>
  <c r="G54" i="13" a="1"/>
  <c r="G54" i="13" l="1"/>
  <c r="E54" i="13" a="1"/>
  <c r="E54" i="13" l="1"/>
  <c r="F54" i="13" s="1"/>
  <c r="A54" i="13" a="1"/>
  <c r="A54" i="13" l="1"/>
  <c r="C54" i="13"/>
  <c r="R53" i="13" a="1"/>
  <c r="R53" i="13" l="1"/>
  <c r="S53" i="13" s="1"/>
  <c r="N53" i="13" a="1"/>
  <c r="N53" i="13" l="1"/>
  <c r="L53" i="13" a="1"/>
  <c r="L53" i="13" l="1"/>
  <c r="M53" i="13" s="1"/>
  <c r="P53" i="13"/>
  <c r="Q53" i="13" s="1"/>
  <c r="O53" i="13"/>
  <c r="G53" i="13" a="1"/>
  <c r="G53" i="13" l="1"/>
  <c r="H53" i="13" s="1"/>
  <c r="E53" i="13" a="1"/>
  <c r="E53" i="13" l="1"/>
  <c r="F53" i="13" s="1"/>
  <c r="C53" i="13"/>
  <c r="D53" i="13" s="1"/>
  <c r="A53" i="13" a="1"/>
  <c r="A53" i="13" l="1"/>
  <c r="B53" i="13" s="1"/>
  <c r="R52" i="13" a="1"/>
  <c r="R52" i="13" l="1"/>
  <c r="S52" i="13" s="1"/>
  <c r="N52" i="13" a="1"/>
  <c r="N52" i="13" l="1"/>
  <c r="L52" i="13" a="1"/>
  <c r="L52" i="13" l="1"/>
  <c r="M52" i="13" s="1"/>
  <c r="O52" i="13"/>
  <c r="P52" i="13"/>
  <c r="Q52" i="13" s="1"/>
  <c r="G52" i="13" a="1"/>
  <c r="G52" i="13" l="1"/>
  <c r="H52" i="13" s="1"/>
  <c r="E52" i="13" a="1"/>
  <c r="E52" i="13" l="1"/>
  <c r="F52" i="13" s="1"/>
  <c r="A52" i="13" a="1"/>
  <c r="A52" i="13" l="1"/>
  <c r="B52" i="13" s="1"/>
  <c r="C52" i="13"/>
  <c r="D52" i="13" s="1"/>
  <c r="R51" i="13" a="1"/>
  <c r="R51" i="13" l="1"/>
  <c r="S51" i="13" s="1"/>
  <c r="N51" i="13" a="1"/>
  <c r="N51" i="13" l="1"/>
  <c r="L51" i="13" a="1"/>
  <c r="L51" i="13" l="1"/>
  <c r="M51" i="13" s="1"/>
  <c r="O51" i="13"/>
  <c r="P51" i="13"/>
  <c r="Q51" i="13" s="1"/>
  <c r="G51" i="13" a="1"/>
  <c r="G51" i="13" l="1"/>
  <c r="H51" i="13" s="1"/>
  <c r="E51" i="13" a="1"/>
  <c r="E51" i="13" l="1"/>
  <c r="F51" i="13" s="1"/>
  <c r="C51" i="13"/>
  <c r="D51" i="13" s="1"/>
  <c r="A51" i="13" a="1"/>
  <c r="A51" i="13" l="1"/>
  <c r="B51" i="13" s="1"/>
  <c r="R50" i="13" a="1"/>
  <c r="R50" i="13" l="1"/>
  <c r="S50" i="13" s="1"/>
  <c r="N50" i="13" a="1"/>
  <c r="N50" i="13" l="1"/>
  <c r="L50" i="13" a="1"/>
  <c r="L50" i="13" l="1"/>
  <c r="M50" i="13" s="1"/>
  <c r="O50" i="13"/>
  <c r="P50" i="13"/>
  <c r="Q50" i="13" s="1"/>
  <c r="G50" i="13" a="1"/>
  <c r="G50" i="13" l="1"/>
  <c r="H50" i="13" s="1"/>
  <c r="E50" i="13" a="1"/>
  <c r="E50" i="13" l="1"/>
  <c r="F50" i="13" s="1"/>
  <c r="C50" i="13"/>
  <c r="D50" i="13" s="1"/>
  <c r="A50" i="13" a="1"/>
  <c r="A50" i="13" l="1"/>
  <c r="B50" i="13" s="1"/>
  <c r="R49" i="13" a="1"/>
  <c r="R49" i="13" l="1"/>
  <c r="S49" i="13" s="1"/>
  <c r="N49" i="13" a="1"/>
  <c r="N49" i="13" l="1"/>
  <c r="L49" i="13" a="1"/>
  <c r="L49" i="13" l="1"/>
  <c r="M49" i="13" s="1"/>
  <c r="O49" i="13"/>
  <c r="P49" i="13"/>
  <c r="Q49" i="13" s="1"/>
  <c r="G49" i="13" a="1"/>
  <c r="G49" i="13" l="1"/>
  <c r="H49" i="13" s="1"/>
  <c r="E49" i="13" a="1"/>
  <c r="E49" i="13" l="1"/>
  <c r="F49" i="13" s="1"/>
  <c r="C49" i="13"/>
  <c r="D49" i="13" s="1"/>
  <c r="A49" i="13" a="1"/>
  <c r="A49" i="13" l="1"/>
  <c r="B49" i="13" s="1"/>
  <c r="R48" i="13" a="1"/>
  <c r="R48" i="13" l="1"/>
  <c r="S48" i="13" s="1"/>
  <c r="N48" i="13" a="1"/>
  <c r="N48" i="13" l="1"/>
  <c r="L48" i="13" a="1"/>
  <c r="L48" i="13" l="1"/>
  <c r="M48" i="13" s="1"/>
  <c r="P48" i="13"/>
  <c r="Q48" i="13" s="1"/>
  <c r="O48" i="13"/>
  <c r="G48" i="13" a="1"/>
  <c r="G48" i="13" l="1"/>
  <c r="H48" i="13" s="1"/>
  <c r="E48" i="13" a="1"/>
  <c r="E48" i="13" l="1"/>
  <c r="F48" i="13" s="1"/>
  <c r="A48" i="13" a="1"/>
  <c r="C48" i="13" l="1"/>
  <c r="D48" i="13" s="1"/>
  <c r="A48" i="13"/>
  <c r="B48" i="13" s="1"/>
  <c r="R47" i="13" a="1"/>
  <c r="R47" i="13" l="1"/>
  <c r="S47" i="13" s="1"/>
  <c r="N47" i="13" a="1"/>
  <c r="N47" i="13" l="1"/>
  <c r="L47" i="13" a="1"/>
  <c r="L47" i="13" l="1"/>
  <c r="M47" i="13" s="1"/>
  <c r="O47" i="13"/>
  <c r="G47" i="13" a="1"/>
  <c r="G47" i="13" l="1"/>
  <c r="H47" i="13" s="1"/>
  <c r="P47" i="13"/>
  <c r="Q47" i="13" s="1"/>
  <c r="E47" i="13" a="1"/>
  <c r="E47" i="13" l="1"/>
  <c r="F47" i="13" s="1"/>
  <c r="C47" i="13"/>
  <c r="D47" i="13" s="1"/>
  <c r="A47" i="13" a="1"/>
  <c r="A47" i="13" l="1"/>
  <c r="B47" i="13" s="1"/>
  <c r="R46" i="13" a="1"/>
  <c r="R46" i="13" l="1"/>
  <c r="S46" i="13" s="1"/>
  <c r="N46" i="13" a="1"/>
  <c r="N46" i="13" l="1"/>
  <c r="L46" i="13" a="1"/>
  <c r="L46" i="13" l="1"/>
  <c r="M46" i="13" s="1"/>
  <c r="O46" i="13"/>
  <c r="G46" i="13" a="1"/>
  <c r="G46" i="13" l="1"/>
  <c r="H46" i="13" s="1"/>
  <c r="P46" i="13"/>
  <c r="Q46" i="13" s="1"/>
  <c r="E46" i="13" a="1"/>
  <c r="E46" i="13" l="1"/>
  <c r="F46" i="13" s="1"/>
  <c r="C46" i="13"/>
  <c r="D46" i="13" s="1"/>
  <c r="A46" i="13" a="1"/>
  <c r="A46" i="13" l="1"/>
  <c r="B46" i="13" s="1"/>
  <c r="R45" i="13" a="1"/>
  <c r="R45" i="13" l="1"/>
  <c r="S45" i="13" s="1"/>
  <c r="N45" i="13" a="1"/>
  <c r="N45" i="13" l="1"/>
  <c r="L45" i="13" a="1"/>
  <c r="L45" i="13" l="1"/>
  <c r="P45" i="13"/>
  <c r="O45" i="13"/>
  <c r="G45" i="13" a="1"/>
  <c r="G45" i="13" l="1"/>
  <c r="E45" i="13" a="1"/>
  <c r="E45" i="13" l="1"/>
  <c r="F45" i="13" s="1"/>
  <c r="A45" i="13" a="1"/>
  <c r="A45" i="13" l="1"/>
  <c r="B45" i="13" s="1"/>
  <c r="C45" i="13"/>
  <c r="R44" i="13" a="1"/>
  <c r="R44" i="13" l="1"/>
  <c r="N44" i="13" a="1"/>
  <c r="N44" i="13" l="1"/>
  <c r="L44" i="13" a="1"/>
  <c r="L44" i="13" l="1"/>
  <c r="P44" i="13"/>
  <c r="O44" i="13"/>
  <c r="G44" i="13" a="1"/>
  <c r="G44" i="13" l="1"/>
  <c r="E44" i="13" a="1"/>
  <c r="E44" i="13" l="1"/>
  <c r="F44" i="13" s="1"/>
  <c r="C44" i="13"/>
  <c r="A44" i="13" a="1"/>
  <c r="A44" i="13" l="1"/>
  <c r="R43" i="13" a="1"/>
  <c r="R43" i="13" l="1"/>
  <c r="S43" i="13" s="1"/>
  <c r="N43" i="13" a="1"/>
  <c r="N43" i="13" l="1"/>
  <c r="L43" i="13" a="1"/>
  <c r="L43" i="13" l="1"/>
  <c r="M43" i="13" s="1"/>
  <c r="O43" i="13"/>
  <c r="G43" i="13" a="1"/>
  <c r="G43" i="13" l="1"/>
  <c r="H43" i="13" s="1"/>
  <c r="P43" i="13"/>
  <c r="Q43" i="13" s="1"/>
  <c r="E43" i="13" a="1"/>
  <c r="E43" i="13" l="1"/>
  <c r="F43" i="13" s="1"/>
  <c r="A43" i="13" a="1"/>
  <c r="A43" i="13" l="1"/>
  <c r="B43" i="13" s="1"/>
  <c r="C43" i="13"/>
  <c r="D43" i="13" s="1"/>
  <c r="R42" i="13" a="1"/>
  <c r="R42" i="13" l="1"/>
  <c r="S42" i="13" s="1"/>
  <c r="N42" i="13" a="1"/>
  <c r="N42" i="13" l="1"/>
  <c r="L42" i="13" a="1"/>
  <c r="L42" i="13" l="1"/>
  <c r="M42" i="13" s="1"/>
  <c r="O42" i="13"/>
  <c r="P42" i="13"/>
  <c r="Q42" i="13" s="1"/>
  <c r="G42" i="13" a="1"/>
  <c r="G42" i="13" l="1"/>
  <c r="H42" i="13" s="1"/>
  <c r="E42" i="13" a="1"/>
  <c r="E42" i="13" l="1"/>
  <c r="F42" i="13" s="1"/>
  <c r="A42" i="13" a="1"/>
  <c r="A42" i="13" l="1"/>
  <c r="B42" i="13" s="1"/>
  <c r="C42" i="13"/>
  <c r="D42" i="13" s="1"/>
  <c r="R41" i="13" a="1"/>
  <c r="R41" i="13" l="1"/>
  <c r="S41" i="13" s="1"/>
  <c r="N41" i="13" a="1"/>
  <c r="N41" i="13" l="1"/>
  <c r="L41" i="13" a="1"/>
  <c r="L41" i="13" l="1"/>
  <c r="O41" i="13"/>
  <c r="G41" i="13" a="1"/>
  <c r="G41" i="13" l="1"/>
  <c r="P41" i="13"/>
  <c r="E41" i="13" a="1"/>
  <c r="E41" i="13" l="1"/>
  <c r="F41" i="13" s="1"/>
  <c r="A41" i="13" a="1"/>
  <c r="A41" i="13" l="1"/>
  <c r="B41" i="13" s="1"/>
  <c r="C41" i="13"/>
  <c r="R40" i="13" a="1"/>
  <c r="R40" i="13" l="1"/>
  <c r="N40" i="13" a="1"/>
  <c r="N40" i="13" l="1"/>
  <c r="L40" i="13" a="1"/>
  <c r="L40" i="13" l="1"/>
  <c r="M40" i="13" s="1"/>
  <c r="P40" i="13"/>
  <c r="Q40" i="13" s="1"/>
  <c r="O40" i="13"/>
  <c r="G40" i="13" a="1"/>
  <c r="G40" i="13" l="1"/>
  <c r="H40" i="13" s="1"/>
  <c r="E40" i="13" a="1"/>
  <c r="E40" i="13" l="1"/>
  <c r="F40" i="13" s="1"/>
  <c r="A40" i="13" a="1"/>
  <c r="A40" i="13" l="1"/>
  <c r="C40" i="13"/>
  <c r="D40" i="13" s="1"/>
  <c r="R39" i="13" a="1"/>
  <c r="R39" i="13" l="1"/>
  <c r="N39" i="13" a="1"/>
  <c r="N39" i="13" l="1"/>
  <c r="L39" i="13" a="1"/>
  <c r="L39" i="13" l="1"/>
  <c r="P39" i="13"/>
  <c r="O39" i="13"/>
  <c r="G39" i="13" a="1"/>
  <c r="G39" i="13" l="1"/>
  <c r="E39" i="13" a="1"/>
  <c r="E39" i="13" l="1"/>
  <c r="F39" i="13" s="1"/>
  <c r="A39" i="13" a="1"/>
  <c r="A39" i="13" l="1"/>
  <c r="C39" i="13"/>
  <c r="R38" i="13" a="1"/>
  <c r="R38" i="13" l="1"/>
  <c r="S38" i="13" s="1"/>
  <c r="N38" i="13" a="1"/>
  <c r="N38" i="13" l="1"/>
  <c r="L38" i="13" a="1"/>
  <c r="L38" i="13" l="1"/>
  <c r="M38" i="13" s="1"/>
  <c r="P38" i="13"/>
  <c r="Q38" i="13" s="1"/>
  <c r="O38" i="13"/>
  <c r="G38" i="13" a="1"/>
  <c r="G38" i="13" l="1"/>
  <c r="H38" i="13" s="1"/>
  <c r="E38" i="13" a="1"/>
  <c r="E38" i="13" l="1"/>
  <c r="F38" i="13" s="1"/>
  <c r="C38" i="13"/>
  <c r="D38" i="13" s="1"/>
  <c r="A38" i="13" a="1"/>
  <c r="A38" i="13" l="1"/>
  <c r="B38" i="13" s="1"/>
  <c r="R37" i="13" a="1"/>
  <c r="R37" i="13" l="1"/>
  <c r="S37" i="13" s="1"/>
  <c r="N37" i="13" a="1"/>
  <c r="N37" i="13" l="1"/>
  <c r="L37" i="13" a="1"/>
  <c r="L37" i="13" l="1"/>
  <c r="M37" i="13" s="1"/>
  <c r="O37" i="13"/>
  <c r="P37" i="13"/>
  <c r="Q37" i="13" s="1"/>
  <c r="G37" i="13" a="1"/>
  <c r="G37" i="13" l="1"/>
  <c r="H37" i="13" s="1"/>
  <c r="E37" i="13" a="1"/>
  <c r="E37" i="13" l="1"/>
  <c r="F37" i="13" s="1"/>
  <c r="C37" i="13"/>
  <c r="D37" i="13" s="1"/>
  <c r="A37" i="13" a="1"/>
  <c r="A37" i="13" l="1"/>
  <c r="B37" i="13" s="1"/>
  <c r="R36" i="13" a="1"/>
  <c r="R36" i="13" l="1"/>
  <c r="S36" i="13" s="1"/>
  <c r="N36" i="13" a="1"/>
  <c r="N36" i="13" l="1"/>
  <c r="L36" i="13" a="1"/>
  <c r="L36" i="13" l="1"/>
  <c r="M36" i="13" s="1"/>
  <c r="O36" i="13"/>
  <c r="P36" i="13"/>
  <c r="Q36" i="13" s="1"/>
  <c r="G36" i="13" a="1"/>
  <c r="G36" i="13" l="1"/>
  <c r="H36" i="13" s="1"/>
  <c r="E36" i="13" a="1"/>
  <c r="E36" i="13" l="1"/>
  <c r="F36" i="13" s="1"/>
  <c r="C36" i="13"/>
  <c r="D36" i="13" s="1"/>
  <c r="A36" i="13" a="1"/>
  <c r="A36" i="13" l="1"/>
  <c r="B36" i="13" s="1"/>
  <c r="R35" i="13" a="1"/>
  <c r="R35" i="13" l="1"/>
  <c r="S35" i="13" s="1"/>
  <c r="N35" i="13" a="1"/>
  <c r="N35" i="13" l="1"/>
  <c r="L35" i="13" a="1"/>
  <c r="L35" i="13" l="1"/>
  <c r="M35" i="13" s="1"/>
  <c r="P35" i="13"/>
  <c r="Q35" i="13" s="1"/>
  <c r="O35" i="13"/>
  <c r="G35" i="13" a="1"/>
  <c r="G35" i="13" l="1"/>
  <c r="H35" i="13" s="1"/>
  <c r="E35" i="13" a="1"/>
  <c r="E35" i="13" l="1"/>
  <c r="F35" i="13" s="1"/>
  <c r="C35" i="13"/>
  <c r="D35" i="13" s="1"/>
  <c r="A35" i="13" a="1"/>
  <c r="A35" i="13" l="1"/>
  <c r="B35" i="13" s="1"/>
  <c r="R34" i="13" a="1"/>
  <c r="R34" i="13" l="1"/>
  <c r="S34" i="13" s="1"/>
  <c r="N34" i="13" a="1"/>
  <c r="N34" i="13" l="1"/>
  <c r="L34" i="13" a="1"/>
  <c r="L34" i="13" l="1"/>
  <c r="M34" i="13" s="1"/>
  <c r="O34" i="13"/>
  <c r="P34" i="13"/>
  <c r="Q34" i="13" s="1"/>
  <c r="G34" i="13" a="1"/>
  <c r="G34" i="13" l="1"/>
  <c r="H34" i="13" s="1"/>
  <c r="E34" i="13" a="1"/>
  <c r="E34" i="13" l="1"/>
  <c r="F34" i="13" s="1"/>
  <c r="C34" i="13"/>
  <c r="D34" i="13" s="1"/>
  <c r="A34" i="13" a="1"/>
  <c r="A34" i="13" l="1"/>
  <c r="B34" i="13" s="1"/>
  <c r="R33" i="13" a="1"/>
  <c r="R33" i="13" l="1"/>
  <c r="S33" i="13" s="1"/>
  <c r="N33" i="13" a="1"/>
  <c r="N33" i="13" l="1"/>
  <c r="L33" i="13" a="1"/>
  <c r="L33" i="13" l="1"/>
  <c r="M33" i="13" s="1"/>
  <c r="O33" i="13"/>
  <c r="P33" i="13"/>
  <c r="Q33" i="13" s="1"/>
  <c r="G33" i="13" a="1"/>
  <c r="G33" i="13" l="1"/>
  <c r="H33" i="13" s="1"/>
  <c r="E33" i="13" a="1"/>
  <c r="E33" i="13" l="1"/>
  <c r="F33" i="13" s="1"/>
  <c r="C33" i="13"/>
  <c r="D33" i="13" s="1"/>
  <c r="A33" i="13" a="1"/>
  <c r="A33" i="13" l="1"/>
  <c r="B33" i="13" s="1"/>
  <c r="R32" i="13" a="1"/>
  <c r="R32" i="13" l="1"/>
  <c r="N32" i="13" a="1"/>
  <c r="N32" i="13" l="1"/>
  <c r="L32" i="13" a="1"/>
  <c r="L32" i="13" l="1"/>
  <c r="O32" i="13"/>
  <c r="P32" i="13"/>
  <c r="G32" i="13" a="1"/>
  <c r="G32" i="13" l="1"/>
  <c r="E32" i="13" a="1"/>
  <c r="E32" i="13" l="1"/>
  <c r="F32" i="13" s="1"/>
  <c r="A32" i="13" a="1"/>
  <c r="A32" i="13" l="1"/>
  <c r="C32" i="13"/>
  <c r="R31" i="13" a="1"/>
  <c r="R31" i="13" l="1"/>
  <c r="S31" i="13" s="1"/>
  <c r="N31" i="13" a="1"/>
  <c r="N31" i="13" l="1"/>
  <c r="L31" i="13" a="1"/>
  <c r="L31" i="13" l="1"/>
  <c r="M31" i="13" s="1"/>
  <c r="O31" i="13"/>
  <c r="P31" i="13"/>
  <c r="Q31" i="13" s="1"/>
  <c r="G31" i="13" a="1"/>
  <c r="G31" i="13" l="1"/>
  <c r="H31" i="13" s="1"/>
  <c r="E31" i="13" a="1"/>
  <c r="E31" i="13" l="1"/>
  <c r="F31" i="13" s="1"/>
  <c r="C31" i="13"/>
  <c r="D31" i="13" s="1"/>
  <c r="A31" i="13" a="1"/>
  <c r="A31" i="13" l="1"/>
  <c r="B31" i="13" s="1"/>
  <c r="R30" i="13" a="1"/>
  <c r="R30" i="13" l="1"/>
  <c r="N30" i="13" a="1"/>
  <c r="N30" i="13" l="1"/>
  <c r="L30" i="13" a="1"/>
  <c r="L30" i="13" l="1"/>
  <c r="O30" i="13"/>
  <c r="P30" i="13"/>
  <c r="G30" i="13" a="1"/>
  <c r="G30" i="13" l="1"/>
  <c r="E30" i="13" a="1"/>
  <c r="E30" i="13" l="1"/>
  <c r="F30" i="13" s="1"/>
  <c r="A30" i="13" a="1"/>
  <c r="A30" i="13" l="1"/>
  <c r="C30" i="13"/>
  <c r="R29" i="13" a="1"/>
  <c r="R29" i="13" l="1"/>
  <c r="S29" i="13" s="1"/>
  <c r="N29" i="13" a="1"/>
  <c r="N29" i="13" l="1"/>
  <c r="L29" i="13" a="1"/>
  <c r="L29" i="13" l="1"/>
  <c r="M29" i="13" s="1"/>
  <c r="P29" i="13"/>
  <c r="Q29" i="13" s="1"/>
  <c r="O29" i="13"/>
  <c r="G29" i="13" a="1"/>
  <c r="G29" i="13" l="1"/>
  <c r="H29" i="13" s="1"/>
  <c r="E29" i="13" a="1"/>
  <c r="E29" i="13" l="1"/>
  <c r="F29" i="13" s="1"/>
  <c r="C29" i="13"/>
  <c r="D29" i="13" s="1"/>
  <c r="A29" i="13" a="1"/>
  <c r="A29" i="13" l="1"/>
  <c r="B29" i="13" s="1"/>
  <c r="R28" i="13" a="1"/>
  <c r="R28" i="13" l="1"/>
  <c r="N28" i="13" a="1"/>
  <c r="N28" i="13" l="1"/>
  <c r="L28" i="13" a="1"/>
  <c r="L28" i="13" l="1"/>
  <c r="O28" i="13"/>
  <c r="P28" i="13"/>
  <c r="G28" i="13" a="1"/>
  <c r="G28" i="13" l="1"/>
  <c r="E28" i="13" a="1"/>
  <c r="E28" i="13" l="1"/>
  <c r="F28" i="13" s="1"/>
  <c r="C28" i="13"/>
  <c r="A28" i="13" a="1"/>
  <c r="A28" i="13" l="1"/>
  <c r="R27" i="13" a="1"/>
  <c r="R27" i="13" l="1"/>
  <c r="S27" i="13" s="1"/>
  <c r="N27" i="13" a="1"/>
  <c r="N27" i="13" l="1"/>
  <c r="L27" i="13" a="1"/>
  <c r="L27" i="13" l="1"/>
  <c r="M27" i="13" s="1"/>
  <c r="P27" i="13"/>
  <c r="Q27" i="13" s="1"/>
  <c r="O27" i="13"/>
  <c r="G27" i="13" a="1"/>
  <c r="G27" i="13" l="1"/>
  <c r="H27" i="13" s="1"/>
  <c r="E27" i="13" a="1"/>
  <c r="E27" i="13" l="1"/>
  <c r="F27" i="13" s="1"/>
  <c r="C27" i="13"/>
  <c r="D27" i="13" s="1"/>
  <c r="A27" i="13" a="1"/>
  <c r="A27" i="13" l="1"/>
  <c r="B27" i="13" s="1"/>
  <c r="R26" i="13" a="1"/>
  <c r="R26" i="13" l="1"/>
  <c r="N26" i="13" a="1"/>
  <c r="N26" i="13" l="1"/>
  <c r="L26" i="13" a="1"/>
  <c r="L26" i="13" l="1"/>
  <c r="O26" i="13"/>
  <c r="P26" i="13"/>
  <c r="G26" i="13" a="1"/>
  <c r="G26" i="13" l="1"/>
  <c r="E26" i="13" a="1"/>
  <c r="E26" i="13" l="1"/>
  <c r="F26" i="13" s="1"/>
  <c r="A26" i="13" a="1"/>
  <c r="A26" i="13" l="1"/>
  <c r="C26" i="13"/>
  <c r="R25" i="13" a="1"/>
  <c r="R25" i="13" l="1"/>
  <c r="S25" i="13" s="1"/>
  <c r="N25" i="13" a="1"/>
  <c r="N25" i="13" l="1"/>
  <c r="L25" i="13" a="1"/>
  <c r="L25" i="13" l="1"/>
  <c r="M25" i="13" s="1"/>
  <c r="P25" i="13"/>
  <c r="Q25" i="13" s="1"/>
  <c r="O25" i="13"/>
  <c r="G25" i="13" a="1"/>
  <c r="G25" i="13" l="1"/>
  <c r="H25" i="13" s="1"/>
  <c r="E25" i="13" a="1"/>
  <c r="E25" i="13" l="1"/>
  <c r="F25" i="13" s="1"/>
  <c r="A25" i="13" a="1"/>
  <c r="A25" i="13" l="1"/>
  <c r="B25" i="13" s="1"/>
  <c r="C25" i="13"/>
  <c r="D25" i="13" s="1"/>
  <c r="R24" i="13" a="1"/>
  <c r="R24" i="13" l="1"/>
  <c r="S24" i="13" s="1"/>
  <c r="N24" i="13" a="1"/>
  <c r="N24" i="13" l="1"/>
  <c r="L24" i="13" a="1"/>
  <c r="L24" i="13" l="1"/>
  <c r="O24" i="13"/>
  <c r="G24" i="13" a="1"/>
  <c r="G24" i="13" l="1"/>
  <c r="P24" i="13"/>
  <c r="E24" i="13" a="1"/>
  <c r="E24" i="13" l="1"/>
  <c r="F24" i="13" s="1"/>
  <c r="A24" i="13" a="1"/>
  <c r="A24" i="13" l="1"/>
  <c r="B24" i="13" s="1"/>
  <c r="C24" i="13"/>
  <c r="R23" i="13" a="1"/>
  <c r="R23" i="13" l="1"/>
  <c r="N23" i="13" a="1"/>
  <c r="N23" i="13" l="1"/>
  <c r="R65" i="13"/>
  <c r="S23" i="13"/>
  <c r="L23" i="13" a="1"/>
  <c r="L23" i="13" l="1"/>
  <c r="N65" i="13"/>
  <c r="O65" i="13" s="1"/>
  <c r="O23" i="13"/>
  <c r="G23" i="13" a="1"/>
  <c r="G23" i="13" l="1"/>
  <c r="L65" i="13"/>
  <c r="M23" i="13"/>
  <c r="P23" i="13"/>
  <c r="E23" i="13" a="1"/>
  <c r="E23" i="13" l="1"/>
  <c r="G65" i="13"/>
  <c r="H23" i="13"/>
  <c r="P65" i="13"/>
  <c r="Q23" i="13"/>
  <c r="A23" i="13" a="1"/>
  <c r="A23" i="13" l="1"/>
  <c r="E65" i="13"/>
  <c r="F65" i="13" s="1"/>
  <c r="F23" i="13"/>
  <c r="C23" i="13"/>
  <c r="R19" i="13" a="1"/>
  <c r="R19" i="13" l="1"/>
  <c r="S19" i="13" s="1"/>
  <c r="A65" i="13"/>
  <c r="B23" i="13"/>
  <c r="C65" i="13"/>
  <c r="D23" i="13"/>
  <c r="N19" i="13" a="1"/>
  <c r="N19" i="13" l="1"/>
  <c r="L19" i="13" a="1"/>
  <c r="L19" i="13" l="1"/>
  <c r="O19" i="13"/>
  <c r="P19" i="13"/>
  <c r="G19" i="13" a="1"/>
  <c r="G19" i="13" l="1"/>
  <c r="E19" i="13" a="1"/>
  <c r="E19" i="13" l="1"/>
  <c r="F19" i="13" s="1"/>
  <c r="A19" i="13" a="1"/>
  <c r="A19" i="13" l="1"/>
  <c r="B19" i="13" s="1"/>
  <c r="C19" i="13"/>
  <c r="R18" i="13" a="1"/>
  <c r="R18" i="13" l="1"/>
  <c r="N18" i="13" a="1"/>
  <c r="N18" i="13" l="1"/>
  <c r="L18" i="13" a="1"/>
  <c r="L18" i="13" l="1"/>
  <c r="P18" i="13"/>
  <c r="O18" i="13"/>
  <c r="G18" i="13" a="1"/>
  <c r="G18" i="13" l="1"/>
  <c r="E18" i="13" a="1"/>
  <c r="E18" i="13" l="1"/>
  <c r="F18" i="13" s="1"/>
  <c r="A18" i="13" a="1"/>
  <c r="A18" i="13" l="1"/>
  <c r="C18" i="13"/>
  <c r="R17" i="13" a="1"/>
  <c r="R17" i="13" l="1"/>
  <c r="N17" i="13" a="1"/>
  <c r="N17" i="13" l="1"/>
  <c r="L17" i="13" a="1"/>
  <c r="L17" i="13" l="1"/>
  <c r="M17" i="13" s="1"/>
  <c r="P17" i="13"/>
  <c r="Q17" i="13" s="1"/>
  <c r="O17" i="13"/>
  <c r="G17" i="13" a="1"/>
  <c r="G17" i="13" l="1"/>
  <c r="H17" i="13" s="1"/>
  <c r="E17" i="13" a="1"/>
  <c r="E17" i="13" l="1"/>
  <c r="F17" i="13" s="1"/>
  <c r="C17" i="13"/>
  <c r="D17" i="13" s="1"/>
  <c r="A17" i="13" a="1"/>
  <c r="A17" i="13" l="1"/>
  <c r="R16" i="13" a="1"/>
  <c r="R16" i="13" l="1"/>
  <c r="S16" i="13" s="1"/>
  <c r="N16" i="13" a="1"/>
  <c r="N16" i="13" l="1"/>
  <c r="L16" i="13" a="1"/>
  <c r="L16" i="13" l="1"/>
  <c r="M16" i="13" s="1"/>
  <c r="P16" i="13"/>
  <c r="Q16" i="13" s="1"/>
  <c r="O16" i="13"/>
  <c r="G16" i="13" a="1"/>
  <c r="G16" i="13" l="1"/>
  <c r="H16" i="13" s="1"/>
  <c r="E16" i="13" a="1"/>
  <c r="E16" i="13" l="1"/>
  <c r="F16" i="13" s="1"/>
  <c r="C16" i="13"/>
  <c r="D16" i="13" s="1"/>
  <c r="A16" i="13" a="1"/>
  <c r="A16" i="13" l="1"/>
  <c r="B16" i="13" s="1"/>
  <c r="R15" i="13" a="1"/>
  <c r="R15" i="13" l="1"/>
  <c r="S15" i="13" s="1"/>
  <c r="N15" i="13" a="1"/>
  <c r="N15" i="13" l="1"/>
  <c r="L15" i="13" a="1"/>
  <c r="L15" i="13" l="1"/>
  <c r="M15" i="13" s="1"/>
  <c r="O15" i="13"/>
  <c r="P15" i="13"/>
  <c r="Q15" i="13" s="1"/>
  <c r="G15" i="13" a="1"/>
  <c r="G15" i="13" l="1"/>
  <c r="H15" i="13" s="1"/>
  <c r="E15" i="13" a="1"/>
  <c r="E15" i="13" l="1"/>
  <c r="F15" i="13" s="1"/>
  <c r="C15" i="13"/>
  <c r="D15" i="13" s="1"/>
  <c r="A15" i="13" a="1"/>
  <c r="A15" i="13" l="1"/>
  <c r="B15" i="13" s="1"/>
  <c r="R14" i="13" a="1"/>
  <c r="R14" i="13" l="1"/>
  <c r="S14" i="13" s="1"/>
  <c r="N14" i="13" a="1"/>
  <c r="N14" i="13" l="1"/>
  <c r="L14" i="13" a="1"/>
  <c r="L14" i="13" l="1"/>
  <c r="M14" i="13" s="1"/>
  <c r="O14" i="13"/>
  <c r="P14" i="13"/>
  <c r="Q14" i="13" s="1"/>
  <c r="G14" i="13" a="1"/>
  <c r="G14" i="13" l="1"/>
  <c r="H14" i="13" s="1"/>
  <c r="E14" i="13" a="1"/>
  <c r="E14" i="13" l="1"/>
  <c r="F14" i="13" s="1"/>
  <c r="C14" i="13"/>
  <c r="D14" i="13" s="1"/>
  <c r="A14" i="13" a="1"/>
  <c r="A14" i="13" l="1"/>
  <c r="B14" i="13" s="1"/>
  <c r="R13" i="13" a="1"/>
  <c r="R13" i="13" l="1"/>
  <c r="S13" i="13" s="1"/>
  <c r="N13" i="13" a="1"/>
  <c r="N13" i="13" l="1"/>
  <c r="L13" i="13" a="1"/>
  <c r="L13" i="13" l="1"/>
  <c r="M13" i="13" s="1"/>
  <c r="O13" i="13"/>
  <c r="P13" i="13"/>
  <c r="Q13" i="13" s="1"/>
  <c r="G13" i="13" a="1"/>
  <c r="G13" i="13" l="1"/>
  <c r="H13" i="13" s="1"/>
  <c r="E13" i="13" a="1"/>
  <c r="E13" i="13" l="1"/>
  <c r="F13" i="13" s="1"/>
  <c r="C13" i="13"/>
  <c r="D13" i="13" s="1"/>
  <c r="A13" i="13" a="1"/>
  <c r="A13" i="13" l="1"/>
  <c r="B13" i="13" s="1"/>
  <c r="R12" i="13" a="1"/>
  <c r="R12" i="13" l="1"/>
  <c r="N12" i="13" a="1"/>
  <c r="N12" i="13" l="1"/>
  <c r="L12" i="13" a="1"/>
  <c r="L12" i="13" l="1"/>
  <c r="O12" i="13"/>
  <c r="G12" i="13" a="1"/>
  <c r="G12" i="13" l="1"/>
  <c r="P12" i="13"/>
  <c r="E12" i="13" a="1"/>
  <c r="E12" i="13" l="1"/>
  <c r="F12" i="13" s="1"/>
  <c r="C12" i="13"/>
  <c r="A12" i="13" a="1"/>
  <c r="A12" i="13" l="1"/>
  <c r="R11" i="13" a="1"/>
  <c r="R11" i="13" l="1"/>
  <c r="S11" i="13" s="1"/>
  <c r="N11" i="13" a="1"/>
  <c r="N11" i="13" l="1"/>
  <c r="L11" i="13" a="1"/>
  <c r="L11" i="13" l="1"/>
  <c r="M11" i="13" s="1"/>
  <c r="O11" i="13"/>
  <c r="G11" i="13" a="1"/>
  <c r="P11" i="13" l="1"/>
  <c r="Q11" i="13" s="1"/>
  <c r="G11" i="13"/>
  <c r="H11" i="13" s="1"/>
  <c r="E11" i="13" a="1"/>
  <c r="E11" i="13" l="1"/>
  <c r="F11" i="13" s="1"/>
  <c r="C11" i="13"/>
  <c r="D11" i="13" s="1"/>
  <c r="A11" i="13" a="1"/>
  <c r="A11" i="13" l="1"/>
  <c r="B11" i="13" s="1"/>
  <c r="R10" i="13" a="1"/>
  <c r="R10" i="13" l="1"/>
  <c r="N10" i="13" a="1"/>
  <c r="N10" i="13" l="1"/>
  <c r="L10" i="13" a="1"/>
  <c r="L10" i="13" l="1"/>
  <c r="P10" i="13" s="1"/>
  <c r="O10" i="13"/>
  <c r="G10" i="13" a="1"/>
  <c r="G10" i="13" l="1"/>
  <c r="E10" i="13" a="1"/>
  <c r="E10" i="13" l="1"/>
  <c r="F10" i="13" s="1"/>
  <c r="A10" i="13" a="1"/>
  <c r="A10" i="13" l="1"/>
  <c r="C10" i="13"/>
  <c r="R9" i="13" a="1"/>
  <c r="R9" i="13" l="1"/>
  <c r="N9" i="13" a="1"/>
  <c r="N9" i="13" l="1"/>
  <c r="L9" i="13" a="1"/>
  <c r="L9" i="13" l="1"/>
  <c r="P9" i="13"/>
  <c r="O9" i="13"/>
  <c r="G9" i="13" a="1"/>
  <c r="G9" i="13" l="1"/>
  <c r="E9" i="13" a="1"/>
  <c r="E9" i="13" l="1"/>
  <c r="F9" i="13" s="1"/>
  <c r="A9" i="13" a="1"/>
  <c r="A9" i="13" l="1"/>
  <c r="C9" i="13"/>
  <c r="R8" i="13" a="1"/>
  <c r="R8" i="13" l="1"/>
  <c r="N8" i="13" a="1"/>
  <c r="N8" i="13" l="1"/>
  <c r="R21" i="13"/>
  <c r="S8" i="13"/>
  <c r="L8" i="13" a="1"/>
  <c r="L8" i="13" l="1"/>
  <c r="R66" i="13"/>
  <c r="N21" i="13"/>
  <c r="O8" i="13"/>
  <c r="G8" i="13" a="1"/>
  <c r="G8" i="13" l="1"/>
  <c r="S66" i="13"/>
  <c r="S60" i="13"/>
  <c r="S59" i="13"/>
  <c r="S57" i="13"/>
  <c r="S54" i="13"/>
  <c r="S44" i="13"/>
  <c r="S40" i="13"/>
  <c r="S39" i="13"/>
  <c r="S32" i="13"/>
  <c r="S30" i="13"/>
  <c r="S28" i="13"/>
  <c r="S26" i="13"/>
  <c r="S65" i="13"/>
  <c r="S18" i="13"/>
  <c r="S17" i="13"/>
  <c r="S12" i="13"/>
  <c r="S10" i="13"/>
  <c r="S9" i="13"/>
  <c r="L21" i="13"/>
  <c r="P8" i="13"/>
  <c r="N66" i="13"/>
  <c r="O66" i="13" s="1"/>
  <c r="O21" i="13"/>
  <c r="S21" i="13"/>
  <c r="E8" i="13" a="1"/>
  <c r="E8" i="13" l="1"/>
  <c r="G21" i="13"/>
  <c r="P21" i="13"/>
  <c r="L66" i="13"/>
  <c r="M21" i="13"/>
  <c r="C8" i="13"/>
  <c r="C21" i="13" s="1"/>
  <c r="A8" i="13" a="1"/>
  <c r="A8" i="13" l="1"/>
  <c r="C66" i="13"/>
  <c r="D21" i="13" s="1"/>
  <c r="E21" i="13"/>
  <c r="F8" i="13"/>
  <c r="G66" i="13"/>
  <c r="H21" i="13" s="1"/>
  <c r="M66" i="13"/>
  <c r="M63" i="13"/>
  <c r="M60" i="13"/>
  <c r="M59" i="13"/>
  <c r="M57" i="13"/>
  <c r="M54" i="13"/>
  <c r="M45" i="13"/>
  <c r="M44" i="13"/>
  <c r="M41" i="13"/>
  <c r="M39" i="13"/>
  <c r="M32" i="13"/>
  <c r="M30" i="13"/>
  <c r="M28" i="13"/>
  <c r="M26" i="13"/>
  <c r="M24" i="13"/>
  <c r="M65" i="13"/>
  <c r="M19" i="13"/>
  <c r="M18" i="13"/>
  <c r="M12" i="13"/>
  <c r="M10" i="13"/>
  <c r="M9" i="13"/>
  <c r="M8" i="13"/>
  <c r="P66" i="13"/>
  <c r="Q21" i="13" s="1"/>
  <c r="U2" i="13"/>
  <c r="R56" i="12" a="1"/>
  <c r="A21" i="13" l="1"/>
  <c r="B8" i="13"/>
  <c r="D66" i="13"/>
  <c r="D63" i="13"/>
  <c r="D60" i="13"/>
  <c r="D59" i="13"/>
  <c r="D57" i="13"/>
  <c r="D54" i="13"/>
  <c r="D45" i="13"/>
  <c r="D44" i="13"/>
  <c r="D41" i="13"/>
  <c r="D39" i="13"/>
  <c r="D32" i="13"/>
  <c r="D30" i="13"/>
  <c r="D28" i="13"/>
  <c r="D26" i="13"/>
  <c r="D24" i="13"/>
  <c r="D65" i="13"/>
  <c r="D19" i="13"/>
  <c r="D18" i="13"/>
  <c r="D12" i="13"/>
  <c r="D10" i="13"/>
  <c r="D9" i="13"/>
  <c r="Q66" i="13"/>
  <c r="Q63" i="13"/>
  <c r="Q60" i="13"/>
  <c r="Q59" i="13"/>
  <c r="Q57" i="13"/>
  <c r="Q54" i="13"/>
  <c r="Q45" i="13"/>
  <c r="Q44" i="13"/>
  <c r="Q41" i="13"/>
  <c r="Q39" i="13"/>
  <c r="Q32" i="13"/>
  <c r="Q30" i="13"/>
  <c r="Q28" i="13"/>
  <c r="Q26" i="13"/>
  <c r="Q24" i="13"/>
  <c r="Q65" i="13"/>
  <c r="Q19" i="13"/>
  <c r="Q18" i="13"/>
  <c r="Q12" i="13"/>
  <c r="Q10" i="13"/>
  <c r="Q9" i="13"/>
  <c r="Q8" i="13"/>
  <c r="H66" i="13"/>
  <c r="H63" i="13"/>
  <c r="H60" i="13"/>
  <c r="H59" i="13"/>
  <c r="H57" i="13"/>
  <c r="H54" i="13"/>
  <c r="H45" i="13"/>
  <c r="H44" i="13"/>
  <c r="H41" i="13"/>
  <c r="H39" i="13"/>
  <c r="H32" i="13"/>
  <c r="H30" i="13"/>
  <c r="H28" i="13"/>
  <c r="H26" i="13"/>
  <c r="H24" i="13"/>
  <c r="H65" i="13"/>
  <c r="H19" i="13"/>
  <c r="H18" i="13"/>
  <c r="H12" i="13"/>
  <c r="H10" i="13"/>
  <c r="H9" i="13"/>
  <c r="H8" i="13"/>
  <c r="D8" i="13"/>
  <c r="E66" i="13"/>
  <c r="F66" i="13" s="1"/>
  <c r="F21" i="13"/>
  <c r="R56" i="12"/>
  <c r="S56" i="12" s="1"/>
  <c r="N56" i="12" a="1"/>
  <c r="A66" i="13" l="1"/>
  <c r="B21" i="13"/>
  <c r="N56" i="12"/>
  <c r="L56" i="12" a="1"/>
  <c r="B66" i="13" l="1"/>
  <c r="B60" i="13"/>
  <c r="B59" i="13"/>
  <c r="B57" i="13"/>
  <c r="B54" i="13"/>
  <c r="B44" i="13"/>
  <c r="B40" i="13"/>
  <c r="B39" i="13"/>
  <c r="B32" i="13"/>
  <c r="B30" i="13"/>
  <c r="B28" i="13"/>
  <c r="B26" i="13"/>
  <c r="B65" i="13"/>
  <c r="B18" i="13"/>
  <c r="B17" i="13"/>
  <c r="B12" i="13"/>
  <c r="B10" i="13"/>
  <c r="B9" i="13"/>
  <c r="L56" i="12"/>
  <c r="M56" i="12" s="1"/>
  <c r="O56" i="12"/>
  <c r="G56" i="12" a="1"/>
  <c r="P56" i="12" l="1"/>
  <c r="Q56" i="12" s="1"/>
  <c r="G56" i="12"/>
  <c r="H56" i="12" s="1"/>
  <c r="E56" i="12" a="1"/>
  <c r="E56" i="12" l="1"/>
  <c r="F56" i="12" s="1"/>
  <c r="C56" i="12"/>
  <c r="D56" i="12" s="1"/>
  <c r="A56" i="12" a="1"/>
  <c r="A56" i="12" l="1"/>
  <c r="B56" i="12" s="1"/>
  <c r="R55" i="12" a="1"/>
  <c r="R55" i="12" l="1"/>
  <c r="S55" i="12" s="1"/>
  <c r="N55" i="12" a="1"/>
  <c r="N55" i="12" l="1"/>
  <c r="L55" i="12" a="1"/>
  <c r="L55" i="12" l="1"/>
  <c r="M55" i="12" s="1"/>
  <c r="P55" i="12"/>
  <c r="Q55" i="12" s="1"/>
  <c r="O55" i="12"/>
  <c r="G55" i="12" a="1"/>
  <c r="G55" i="12" l="1"/>
  <c r="H55" i="12" s="1"/>
  <c r="E55" i="12" a="1"/>
  <c r="E55" i="12" l="1"/>
  <c r="F55" i="12" s="1"/>
  <c r="C55" i="12"/>
  <c r="D55" i="12" s="1"/>
  <c r="A55" i="12" a="1"/>
  <c r="A55" i="12" l="1"/>
  <c r="B55" i="12" s="1"/>
  <c r="R54" i="12" a="1"/>
  <c r="R54" i="12" l="1"/>
  <c r="S54" i="12" s="1"/>
  <c r="N54" i="12" a="1"/>
  <c r="N54" i="12" l="1"/>
  <c r="L54" i="12" a="1"/>
  <c r="L54" i="12" l="1"/>
  <c r="M54" i="12" s="1"/>
  <c r="P54" i="12"/>
  <c r="Q54" i="12" s="1"/>
  <c r="O54" i="12"/>
  <c r="G54" i="12" a="1"/>
  <c r="G54" i="12" l="1"/>
  <c r="H54" i="12" s="1"/>
  <c r="E54" i="12" a="1"/>
  <c r="E54" i="12" l="1"/>
  <c r="F54" i="12" s="1"/>
  <c r="C54" i="12"/>
  <c r="D54" i="12" s="1"/>
  <c r="A54" i="12" a="1"/>
  <c r="A54" i="12" l="1"/>
  <c r="B54" i="12" s="1"/>
  <c r="R53" i="12" a="1"/>
  <c r="R53" i="12" l="1"/>
  <c r="S53" i="12" s="1"/>
  <c r="N53" i="12" a="1"/>
  <c r="N53" i="12" l="1"/>
  <c r="L53" i="12" a="1"/>
  <c r="L53" i="12" l="1"/>
  <c r="M53" i="12" s="1"/>
  <c r="P53" i="12"/>
  <c r="Q53" i="12" s="1"/>
  <c r="O53" i="12"/>
  <c r="G53" i="12" a="1"/>
  <c r="G53" i="12" l="1"/>
  <c r="H53" i="12" s="1"/>
  <c r="E53" i="12" a="1"/>
  <c r="E53" i="12" l="1"/>
  <c r="F53" i="12" s="1"/>
  <c r="C53" i="12"/>
  <c r="D53" i="12" s="1"/>
  <c r="A53" i="12" a="1"/>
  <c r="A53" i="12" l="1"/>
  <c r="B53" i="12" s="1"/>
  <c r="R52" i="12" a="1"/>
  <c r="R52" i="12" l="1"/>
  <c r="S52" i="12" s="1"/>
  <c r="N52" i="12" a="1"/>
  <c r="N52" i="12" l="1"/>
  <c r="L52" i="12" a="1"/>
  <c r="L52" i="12" l="1"/>
  <c r="M52" i="12" s="1"/>
  <c r="P52" i="12"/>
  <c r="Q52" i="12" s="1"/>
  <c r="O52" i="12"/>
  <c r="G52" i="12" a="1"/>
  <c r="G52" i="12" l="1"/>
  <c r="H52" i="12" s="1"/>
  <c r="E52" i="12" a="1"/>
  <c r="E52" i="12" l="1"/>
  <c r="F52" i="12" s="1"/>
  <c r="C52" i="12"/>
  <c r="D52" i="12" s="1"/>
  <c r="A52" i="12" a="1"/>
  <c r="A52" i="12" l="1"/>
  <c r="B52" i="12" s="1"/>
  <c r="R51" i="12" a="1"/>
  <c r="R51" i="12" l="1"/>
  <c r="S51" i="12" s="1"/>
  <c r="N51" i="12" a="1"/>
  <c r="N51" i="12" l="1"/>
  <c r="L51" i="12" a="1"/>
  <c r="L51" i="12" l="1"/>
  <c r="M51" i="12" s="1"/>
  <c r="P51" i="12"/>
  <c r="Q51" i="12" s="1"/>
  <c r="O51" i="12"/>
  <c r="G51" i="12" a="1"/>
  <c r="G51" i="12" l="1"/>
  <c r="H51" i="12" s="1"/>
  <c r="E51" i="12" a="1"/>
  <c r="E51" i="12" l="1"/>
  <c r="F51" i="12" s="1"/>
  <c r="C51" i="12"/>
  <c r="D51" i="12" s="1"/>
  <c r="A51" i="12" a="1"/>
  <c r="A51" i="12" l="1"/>
  <c r="B51" i="12" s="1"/>
  <c r="R50" i="12" a="1"/>
  <c r="R50" i="12" l="1"/>
  <c r="S50" i="12" s="1"/>
  <c r="N50" i="12" a="1"/>
  <c r="N50" i="12" l="1"/>
  <c r="L50" i="12" a="1"/>
  <c r="L50" i="12" l="1"/>
  <c r="M50" i="12" s="1"/>
  <c r="P50" i="12"/>
  <c r="Q50" i="12" s="1"/>
  <c r="O50" i="12"/>
  <c r="G50" i="12" a="1"/>
  <c r="G50" i="12" l="1"/>
  <c r="H50" i="12" s="1"/>
  <c r="E50" i="12" a="1"/>
  <c r="E50" i="12" l="1"/>
  <c r="F50" i="12" s="1"/>
  <c r="C50" i="12"/>
  <c r="D50" i="12" s="1"/>
  <c r="A50" i="12" a="1"/>
  <c r="A50" i="12" l="1"/>
  <c r="B50" i="12" s="1"/>
  <c r="R49" i="12" a="1"/>
  <c r="R49" i="12" l="1"/>
  <c r="S49" i="12" s="1"/>
  <c r="N49" i="12" a="1"/>
  <c r="N49" i="12" l="1"/>
  <c r="L49" i="12" a="1"/>
  <c r="L49" i="12" l="1"/>
  <c r="M49" i="12" s="1"/>
  <c r="P49" i="12"/>
  <c r="Q49" i="12" s="1"/>
  <c r="O49" i="12"/>
  <c r="G49" i="12" a="1"/>
  <c r="G49" i="12" l="1"/>
  <c r="H49" i="12" s="1"/>
  <c r="E49" i="12" a="1"/>
  <c r="E49" i="12" l="1"/>
  <c r="F49" i="12" s="1"/>
  <c r="C49" i="12"/>
  <c r="D49" i="12" s="1"/>
  <c r="A49" i="12" a="1"/>
  <c r="A49" i="12" l="1"/>
  <c r="B49" i="12" s="1"/>
  <c r="R48" i="12" a="1"/>
  <c r="R48" i="12" l="1"/>
  <c r="S48" i="12" s="1"/>
  <c r="N48" i="12" a="1"/>
  <c r="N48" i="12" l="1"/>
  <c r="L48" i="12" a="1"/>
  <c r="L48" i="12" l="1"/>
  <c r="M48" i="12" s="1"/>
  <c r="P48" i="12"/>
  <c r="Q48" i="12" s="1"/>
  <c r="O48" i="12"/>
  <c r="G48" i="12" a="1"/>
  <c r="G48" i="12" l="1"/>
  <c r="H48" i="12" s="1"/>
  <c r="E48" i="12" a="1"/>
  <c r="E48" i="12" l="1"/>
  <c r="F48" i="12" s="1"/>
  <c r="C48" i="12"/>
  <c r="D48" i="12" s="1"/>
  <c r="A48" i="12" a="1"/>
  <c r="A48" i="12" l="1"/>
  <c r="B48" i="12" s="1"/>
  <c r="R47" i="12" a="1"/>
  <c r="R47" i="12" l="1"/>
  <c r="S47" i="12" s="1"/>
  <c r="N47" i="12" a="1"/>
  <c r="N47" i="12" l="1"/>
  <c r="L47" i="12" a="1"/>
  <c r="L47" i="12" l="1"/>
  <c r="M47" i="12" s="1"/>
  <c r="P47" i="12"/>
  <c r="Q47" i="12" s="1"/>
  <c r="O47" i="12"/>
  <c r="G47" i="12" a="1"/>
  <c r="G47" i="12" l="1"/>
  <c r="H47" i="12" s="1"/>
  <c r="E47" i="12" a="1"/>
  <c r="E47" i="12" l="1"/>
  <c r="F47" i="12" s="1"/>
  <c r="C47" i="12"/>
  <c r="D47" i="12" s="1"/>
  <c r="A47" i="12" a="1"/>
  <c r="A47" i="12" l="1"/>
  <c r="B47" i="12" s="1"/>
  <c r="R46" i="12" a="1"/>
  <c r="R46" i="12" l="1"/>
  <c r="S46" i="12" s="1"/>
  <c r="N46" i="12" a="1"/>
  <c r="N46" i="12" l="1"/>
  <c r="L46" i="12" a="1"/>
  <c r="L46" i="12" l="1"/>
  <c r="M46" i="12" s="1"/>
  <c r="P46" i="12"/>
  <c r="Q46" i="12" s="1"/>
  <c r="O46" i="12"/>
  <c r="G46" i="12" a="1"/>
  <c r="G46" i="12" l="1"/>
  <c r="H46" i="12" s="1"/>
  <c r="E46" i="12" a="1"/>
  <c r="E46" i="12" l="1"/>
  <c r="F46" i="12" s="1"/>
  <c r="C46" i="12"/>
  <c r="D46" i="12" s="1"/>
  <c r="A46" i="12" a="1"/>
  <c r="A46" i="12" l="1"/>
  <c r="B46" i="12" s="1"/>
  <c r="R45" i="12" a="1"/>
  <c r="R45" i="12" l="1"/>
  <c r="S45" i="12" s="1"/>
  <c r="N45" i="12" a="1"/>
  <c r="N45" i="12" l="1"/>
  <c r="L45" i="12" a="1"/>
  <c r="L45" i="12" l="1"/>
  <c r="M45" i="12" s="1"/>
  <c r="P45" i="12"/>
  <c r="Q45" i="12" s="1"/>
  <c r="O45" i="12"/>
  <c r="G45" i="12" a="1"/>
  <c r="G45" i="12" l="1"/>
  <c r="H45" i="12" s="1"/>
  <c r="E45" i="12" a="1"/>
  <c r="E45" i="12" l="1"/>
  <c r="F45" i="12" s="1"/>
  <c r="C45" i="12"/>
  <c r="D45" i="12" s="1"/>
  <c r="A45" i="12" a="1"/>
  <c r="A45" i="12" l="1"/>
  <c r="B45" i="12" s="1"/>
  <c r="R44" i="12" a="1"/>
  <c r="R44" i="12" l="1"/>
  <c r="S44" i="12" s="1"/>
  <c r="N44" i="12" a="1"/>
  <c r="N44" i="12" l="1"/>
  <c r="L44" i="12" a="1"/>
  <c r="L44" i="12" l="1"/>
  <c r="M44" i="12" s="1"/>
  <c r="P44" i="12"/>
  <c r="Q44" i="12" s="1"/>
  <c r="O44" i="12"/>
  <c r="G44" i="12" a="1"/>
  <c r="G44" i="12" l="1"/>
  <c r="H44" i="12" s="1"/>
  <c r="E44" i="12" a="1"/>
  <c r="E44" i="12" l="1"/>
  <c r="F44" i="12" s="1"/>
  <c r="C44" i="12"/>
  <c r="D44" i="12" s="1"/>
  <c r="A44" i="12" a="1"/>
  <c r="A44" i="12" l="1"/>
  <c r="B44" i="12" s="1"/>
  <c r="R43" i="12" a="1"/>
  <c r="R43" i="12" l="1"/>
  <c r="S43" i="12" s="1"/>
  <c r="N43" i="12" a="1"/>
  <c r="N43" i="12" l="1"/>
  <c r="L43" i="12" a="1"/>
  <c r="L43" i="12" l="1"/>
  <c r="M43" i="12" s="1"/>
  <c r="P43" i="12"/>
  <c r="Q43" i="12" s="1"/>
  <c r="O43" i="12"/>
  <c r="G43" i="12" a="1"/>
  <c r="G43" i="12" l="1"/>
  <c r="H43" i="12" s="1"/>
  <c r="E43" i="12" a="1"/>
  <c r="E43" i="12" l="1"/>
  <c r="F43" i="12" s="1"/>
  <c r="C43" i="12"/>
  <c r="D43" i="12" s="1"/>
  <c r="A43" i="12" a="1"/>
  <c r="A43" i="12" l="1"/>
  <c r="B43" i="12" s="1"/>
  <c r="R42" i="12" a="1"/>
  <c r="R42" i="12" l="1"/>
  <c r="S42" i="12" s="1"/>
  <c r="N42" i="12" a="1"/>
  <c r="N42" i="12" l="1"/>
  <c r="L42" i="12" a="1"/>
  <c r="L42" i="12" l="1"/>
  <c r="M42" i="12" s="1"/>
  <c r="P42" i="12"/>
  <c r="Q42" i="12" s="1"/>
  <c r="O42" i="12"/>
  <c r="G42" i="12" a="1"/>
  <c r="G42" i="12" l="1"/>
  <c r="H42" i="12" s="1"/>
  <c r="E42" i="12" a="1"/>
  <c r="E42" i="12" l="1"/>
  <c r="F42" i="12" s="1"/>
  <c r="C42" i="12"/>
  <c r="D42" i="12" s="1"/>
  <c r="A42" i="12" a="1"/>
  <c r="A42" i="12" l="1"/>
  <c r="B42" i="12" s="1"/>
  <c r="R41" i="12" a="1"/>
  <c r="R41" i="12" l="1"/>
  <c r="S41" i="12" s="1"/>
  <c r="N41" i="12" a="1"/>
  <c r="N41" i="12" l="1"/>
  <c r="L41" i="12" a="1"/>
  <c r="L41" i="12" l="1"/>
  <c r="M41" i="12" s="1"/>
  <c r="O41" i="12"/>
  <c r="G41" i="12" a="1"/>
  <c r="G41" i="12" l="1"/>
  <c r="H41" i="12" s="1"/>
  <c r="P41" i="12"/>
  <c r="Q41" i="12" s="1"/>
  <c r="E41" i="12" a="1"/>
  <c r="E41" i="12" l="1"/>
  <c r="F41" i="12" s="1"/>
  <c r="A41" i="12" a="1"/>
  <c r="A41" i="12" l="1"/>
  <c r="B41" i="12" s="1"/>
  <c r="C41" i="12"/>
  <c r="D41" i="12" s="1"/>
  <c r="R40" i="12" a="1"/>
  <c r="R40" i="12" l="1"/>
  <c r="N40" i="12" a="1"/>
  <c r="N40" i="12" l="1"/>
  <c r="R58" i="12"/>
  <c r="S58" i="12" s="1"/>
  <c r="S40" i="12"/>
  <c r="L40" i="12" a="1"/>
  <c r="L40" i="12" l="1"/>
  <c r="N58" i="12"/>
  <c r="O58" i="12" s="1"/>
  <c r="O40" i="12"/>
  <c r="G40" i="12" a="1"/>
  <c r="G40" i="12" l="1"/>
  <c r="L58" i="12"/>
  <c r="M58" i="12" s="1"/>
  <c r="M40" i="12"/>
  <c r="P40" i="12"/>
  <c r="E40" i="12" a="1"/>
  <c r="E40" i="12" l="1"/>
  <c r="G58" i="12"/>
  <c r="H58" i="12" s="1"/>
  <c r="H40" i="12"/>
  <c r="P58" i="12"/>
  <c r="Q58" i="12" s="1"/>
  <c r="Q40" i="12"/>
  <c r="A40" i="12" a="1"/>
  <c r="A40" i="12" l="1"/>
  <c r="E58" i="12"/>
  <c r="F58" i="12" s="1"/>
  <c r="F40" i="12"/>
  <c r="C40" i="12"/>
  <c r="R36" i="12" a="1"/>
  <c r="R36" i="12" l="1"/>
  <c r="S36" i="12" s="1"/>
  <c r="C58" i="12"/>
  <c r="D58" i="12" s="1"/>
  <c r="D40" i="12"/>
  <c r="A58" i="12"/>
  <c r="B58" i="12" s="1"/>
  <c r="B40" i="12"/>
  <c r="N36" i="12" a="1"/>
  <c r="N36" i="12" l="1"/>
  <c r="L36" i="12" a="1"/>
  <c r="L36" i="12" l="1"/>
  <c r="M36" i="12" s="1"/>
  <c r="O36" i="12"/>
  <c r="G36" i="12" a="1"/>
  <c r="G36" i="12" l="1"/>
  <c r="H36" i="12" s="1"/>
  <c r="P36" i="12"/>
  <c r="Q36" i="12" s="1"/>
  <c r="E36" i="12" a="1"/>
  <c r="E36" i="12" l="1"/>
  <c r="F36" i="12" s="1"/>
  <c r="A36" i="12" a="1"/>
  <c r="A36" i="12" l="1"/>
  <c r="B36" i="12" s="1"/>
  <c r="C36" i="12"/>
  <c r="D36" i="12" s="1"/>
  <c r="R35" i="12" a="1"/>
  <c r="R35" i="12" l="1"/>
  <c r="S35" i="12" s="1"/>
  <c r="N35" i="12" a="1"/>
  <c r="N35" i="12" l="1"/>
  <c r="L35" i="12" a="1"/>
  <c r="L35" i="12" l="1"/>
  <c r="M35" i="12" s="1"/>
  <c r="O35" i="12"/>
  <c r="G35" i="12" a="1"/>
  <c r="G35" i="12" l="1"/>
  <c r="H35" i="12" s="1"/>
  <c r="P35" i="12"/>
  <c r="Q35" i="12" s="1"/>
  <c r="E35" i="12" a="1"/>
  <c r="E35" i="12" l="1"/>
  <c r="F35" i="12" s="1"/>
  <c r="A35" i="12" a="1"/>
  <c r="A35" i="12" l="1"/>
  <c r="B35" i="12" s="1"/>
  <c r="C35" i="12"/>
  <c r="D35" i="12" s="1"/>
  <c r="R34" i="12" a="1"/>
  <c r="R34" i="12" l="1"/>
  <c r="S34" i="12" s="1"/>
  <c r="N34" i="12" a="1"/>
  <c r="N34" i="12" l="1"/>
  <c r="L34" i="12" a="1"/>
  <c r="L34" i="12" l="1"/>
  <c r="M34" i="12" s="1"/>
  <c r="O34" i="12"/>
  <c r="G34" i="12" a="1"/>
  <c r="G34" i="12" l="1"/>
  <c r="H34" i="12" s="1"/>
  <c r="P34" i="12"/>
  <c r="Q34" i="12" s="1"/>
  <c r="E34" i="12" a="1"/>
  <c r="E34" i="12" l="1"/>
  <c r="F34" i="12" s="1"/>
  <c r="A34" i="12" a="1"/>
  <c r="A34" i="12" l="1"/>
  <c r="B34" i="12" s="1"/>
  <c r="C34" i="12"/>
  <c r="D34" i="12" s="1"/>
  <c r="R33" i="12" a="1"/>
  <c r="R33" i="12" l="1"/>
  <c r="N33" i="12" a="1"/>
  <c r="N33" i="12" l="1"/>
  <c r="R38" i="12"/>
  <c r="S38" i="12" s="1"/>
  <c r="S33" i="12"/>
  <c r="L33" i="12" a="1"/>
  <c r="L33" i="12" l="1"/>
  <c r="N38" i="12"/>
  <c r="O38" i="12" s="1"/>
  <c r="O33" i="12"/>
  <c r="G33" i="12" a="1"/>
  <c r="G33" i="12" l="1"/>
  <c r="L38" i="12"/>
  <c r="M38" i="12" s="1"/>
  <c r="M33" i="12"/>
  <c r="P33" i="12"/>
  <c r="E33" i="12" a="1"/>
  <c r="E33" i="12" l="1"/>
  <c r="P38" i="12"/>
  <c r="Q38" i="12" s="1"/>
  <c r="Q33" i="12"/>
  <c r="G38" i="12"/>
  <c r="H38" i="12" s="1"/>
  <c r="H33" i="12"/>
  <c r="A33" i="12" a="1"/>
  <c r="A33" i="12" l="1"/>
  <c r="E38" i="12"/>
  <c r="F38" i="12" s="1"/>
  <c r="F33" i="12"/>
  <c r="C33" i="12"/>
  <c r="R29" i="12" a="1"/>
  <c r="R29" i="12" l="1"/>
  <c r="A38" i="12"/>
  <c r="B38" i="12" s="1"/>
  <c r="B33" i="12"/>
  <c r="C38" i="12"/>
  <c r="D38" i="12" s="1"/>
  <c r="D33" i="12"/>
  <c r="N29" i="12" a="1"/>
  <c r="N29" i="12" l="1"/>
  <c r="L29" i="12" a="1"/>
  <c r="L29" i="12" l="1"/>
  <c r="P29" i="12"/>
  <c r="O29" i="12"/>
  <c r="G29" i="12" a="1"/>
  <c r="G29" i="12" l="1"/>
  <c r="E29" i="12" a="1"/>
  <c r="E29" i="12" l="1"/>
  <c r="F29" i="12" s="1"/>
  <c r="C29" i="12"/>
  <c r="A29" i="12" a="1"/>
  <c r="A29" i="12" l="1"/>
  <c r="R28" i="12" a="1"/>
  <c r="R28" i="12" l="1"/>
  <c r="S28" i="12" s="1"/>
  <c r="N28" i="12" a="1"/>
  <c r="N28" i="12" l="1"/>
  <c r="L28" i="12" a="1"/>
  <c r="L28" i="12" l="1"/>
  <c r="M28" i="12" s="1"/>
  <c r="O28" i="12"/>
  <c r="G28" i="12" a="1"/>
  <c r="P28" i="12" l="1"/>
  <c r="Q28" i="12" s="1"/>
  <c r="G28" i="12"/>
  <c r="H28" i="12" s="1"/>
  <c r="E28" i="12" a="1"/>
  <c r="E28" i="12" l="1"/>
  <c r="F28" i="12" s="1"/>
  <c r="C28" i="12"/>
  <c r="D28" i="12" s="1"/>
  <c r="A28" i="12" a="1"/>
  <c r="A28" i="12" l="1"/>
  <c r="B28" i="12" s="1"/>
  <c r="R27" i="12" a="1"/>
  <c r="R27" i="12" l="1"/>
  <c r="S27" i="12" s="1"/>
  <c r="N27" i="12" a="1"/>
  <c r="N27" i="12" l="1"/>
  <c r="L27" i="12" a="1"/>
  <c r="L27" i="12" l="1"/>
  <c r="M27" i="12" s="1"/>
  <c r="O27" i="12"/>
  <c r="P27" i="12"/>
  <c r="Q27" i="12" s="1"/>
  <c r="G27" i="12" a="1"/>
  <c r="G27" i="12" l="1"/>
  <c r="H27" i="12" s="1"/>
  <c r="E27" i="12" a="1"/>
  <c r="E27" i="12" l="1"/>
  <c r="F27" i="12" s="1"/>
  <c r="C27" i="12"/>
  <c r="D27" i="12" s="1"/>
  <c r="A27" i="12" a="1"/>
  <c r="A27" i="12" l="1"/>
  <c r="B27" i="12" s="1"/>
  <c r="R26" i="12" a="1"/>
  <c r="R26" i="12" l="1"/>
  <c r="S26" i="12" s="1"/>
  <c r="N26" i="12" a="1"/>
  <c r="N26" i="12" l="1"/>
  <c r="L26" i="12" a="1"/>
  <c r="L26" i="12" l="1"/>
  <c r="O26" i="12"/>
  <c r="P26" i="12"/>
  <c r="G26" i="12" a="1"/>
  <c r="G26" i="12" l="1"/>
  <c r="E26" i="12" a="1"/>
  <c r="E26" i="12" l="1"/>
  <c r="F26" i="12" s="1"/>
  <c r="A26" i="12" a="1"/>
  <c r="A26" i="12" l="1"/>
  <c r="B26" i="12" s="1"/>
  <c r="C26" i="12"/>
  <c r="R25" i="12" a="1"/>
  <c r="R25" i="12" l="1"/>
  <c r="S25" i="12" s="1"/>
  <c r="N25" i="12" a="1"/>
  <c r="N25" i="12" l="1"/>
  <c r="L25" i="12" a="1"/>
  <c r="L25" i="12" l="1"/>
  <c r="M25" i="12" s="1"/>
  <c r="P25" i="12"/>
  <c r="Q25" i="12" s="1"/>
  <c r="O25" i="12"/>
  <c r="G25" i="12" a="1"/>
  <c r="G25" i="12" l="1"/>
  <c r="H25" i="12" s="1"/>
  <c r="E25" i="12" a="1"/>
  <c r="E25" i="12" l="1"/>
  <c r="F25" i="12" s="1"/>
  <c r="C25" i="12"/>
  <c r="D25" i="12" s="1"/>
  <c r="A25" i="12" a="1"/>
  <c r="A25" i="12" l="1"/>
  <c r="B25" i="12" s="1"/>
  <c r="R24" i="12" a="1"/>
  <c r="R24" i="12" l="1"/>
  <c r="S24" i="12" s="1"/>
  <c r="N24" i="12" a="1"/>
  <c r="N24" i="12" l="1"/>
  <c r="L24" i="12" a="1"/>
  <c r="L24" i="12" l="1"/>
  <c r="M24" i="12" s="1"/>
  <c r="O24" i="12"/>
  <c r="P24" i="12"/>
  <c r="Q24" i="12" s="1"/>
  <c r="G24" i="12" a="1"/>
  <c r="G24" i="12" l="1"/>
  <c r="H24" i="12" s="1"/>
  <c r="E24" i="12" a="1"/>
  <c r="E24" i="12" l="1"/>
  <c r="F24" i="12" s="1"/>
  <c r="C24" i="12"/>
  <c r="D24" i="12" s="1"/>
  <c r="A24" i="12" a="1"/>
  <c r="A24" i="12" l="1"/>
  <c r="B24" i="12" s="1"/>
  <c r="R23" i="12" a="1"/>
  <c r="R23" i="12" l="1"/>
  <c r="S23" i="12" s="1"/>
  <c r="N23" i="12" a="1"/>
  <c r="N23" i="12" l="1"/>
  <c r="L23" i="12" a="1"/>
  <c r="L23" i="12" l="1"/>
  <c r="M23" i="12" s="1"/>
  <c r="O23" i="12"/>
  <c r="G23" i="12" a="1"/>
  <c r="P23" i="12" l="1"/>
  <c r="Q23" i="12" s="1"/>
  <c r="G23" i="12"/>
  <c r="H23" i="12" s="1"/>
  <c r="E23" i="12" a="1"/>
  <c r="E23" i="12" l="1"/>
  <c r="F23" i="12" s="1"/>
  <c r="A23" i="12" a="1"/>
  <c r="A23" i="12" l="1"/>
  <c r="B23" i="12" s="1"/>
  <c r="C23" i="12"/>
  <c r="D23" i="12" s="1"/>
  <c r="R22" i="12" a="1"/>
  <c r="R22" i="12" l="1"/>
  <c r="S22" i="12" s="1"/>
  <c r="N22" i="12" a="1"/>
  <c r="N22" i="12" l="1"/>
  <c r="L22" i="12" a="1"/>
  <c r="L22" i="12" l="1"/>
  <c r="M22" i="12" s="1"/>
  <c r="P22" i="12"/>
  <c r="Q22" i="12" s="1"/>
  <c r="O22" i="12"/>
  <c r="G22" i="12" a="1"/>
  <c r="G22" i="12" l="1"/>
  <c r="H22" i="12" s="1"/>
  <c r="E22" i="12" a="1"/>
  <c r="E22" i="12" l="1"/>
  <c r="F22" i="12" s="1"/>
  <c r="C22" i="12"/>
  <c r="D22" i="12" s="1"/>
  <c r="A22" i="12" a="1"/>
  <c r="A22" i="12" l="1"/>
  <c r="B22" i="12" s="1"/>
  <c r="R21" i="12" a="1"/>
  <c r="R21" i="12" l="1"/>
  <c r="N21" i="12" a="1"/>
  <c r="N21" i="12" l="1"/>
  <c r="R31" i="12"/>
  <c r="S21" i="12"/>
  <c r="L21" i="12" a="1"/>
  <c r="L21" i="12" l="1"/>
  <c r="P21" i="12" s="1"/>
  <c r="R60" i="12"/>
  <c r="N31" i="12"/>
  <c r="O21" i="12"/>
  <c r="G21" i="12" a="1"/>
  <c r="G21" i="12" l="1"/>
  <c r="L31" i="12"/>
  <c r="M21" i="12"/>
  <c r="P31" i="12"/>
  <c r="Q21" i="12"/>
  <c r="N60" i="12"/>
  <c r="O60" i="12" s="1"/>
  <c r="O31" i="12"/>
  <c r="E21" i="12" a="1"/>
  <c r="E21" i="12" l="1"/>
  <c r="C21" i="12" s="1"/>
  <c r="C31" i="12" s="1"/>
  <c r="P60" i="12"/>
  <c r="G31" i="12"/>
  <c r="H21" i="12"/>
  <c r="L60" i="12"/>
  <c r="A21" i="12" a="1"/>
  <c r="A21" i="12" l="1"/>
  <c r="C60" i="12"/>
  <c r="E31" i="12"/>
  <c r="F21" i="12"/>
  <c r="D21" i="12"/>
  <c r="G60" i="12"/>
  <c r="R17" i="12" a="1"/>
  <c r="R17" i="12" l="1"/>
  <c r="A31" i="12"/>
  <c r="B21" i="12"/>
  <c r="E60" i="12"/>
  <c r="F60" i="12" s="1"/>
  <c r="F31" i="12"/>
  <c r="N17" i="12" a="1"/>
  <c r="N17" i="12" l="1"/>
  <c r="A60" i="12"/>
  <c r="L17" i="12" a="1"/>
  <c r="L17" i="12" l="1"/>
  <c r="P17" i="12"/>
  <c r="O17" i="12"/>
  <c r="G17" i="12"/>
  <c r="E17" i="12" a="1"/>
  <c r="E17" i="12" l="1"/>
  <c r="F17" i="12" s="1"/>
  <c r="C17" i="12"/>
  <c r="A17" i="12" a="1"/>
  <c r="A17" i="12" l="1"/>
  <c r="R16" i="12" a="1"/>
  <c r="R16" i="12" l="1"/>
  <c r="S16" i="12" s="1"/>
  <c r="N16" i="12" a="1"/>
  <c r="N16" i="12" l="1"/>
  <c r="L16" i="12" a="1"/>
  <c r="L16" i="12" l="1"/>
  <c r="M16" i="12" s="1"/>
  <c r="P16" i="12"/>
  <c r="Q16" i="12" s="1"/>
  <c r="O16" i="12"/>
  <c r="G16" i="12" a="1"/>
  <c r="G16" i="12" l="1"/>
  <c r="H16" i="12" s="1"/>
  <c r="E16" i="12" a="1"/>
  <c r="E16" i="12" l="1"/>
  <c r="F16" i="12" s="1"/>
  <c r="C16" i="12"/>
  <c r="D16" i="12" s="1"/>
  <c r="A16" i="12" a="1"/>
  <c r="A16" i="12" l="1"/>
  <c r="B16" i="12" s="1"/>
  <c r="R15" i="12" a="1"/>
  <c r="R15" i="12" l="1"/>
  <c r="S15" i="12" s="1"/>
  <c r="N15" i="12" a="1"/>
  <c r="N15" i="12" l="1"/>
  <c r="L15" i="12" a="1"/>
  <c r="L15" i="12" l="1"/>
  <c r="M15" i="12" s="1"/>
  <c r="O15" i="12"/>
  <c r="G15" i="12" a="1"/>
  <c r="P15" i="12" l="1"/>
  <c r="Q15" i="12" s="1"/>
  <c r="G15" i="12"/>
  <c r="H15" i="12" s="1"/>
  <c r="E15" i="12" a="1"/>
  <c r="E15" i="12" l="1"/>
  <c r="F15" i="12" s="1"/>
  <c r="C15" i="12"/>
  <c r="D15" i="12" s="1"/>
  <c r="A15" i="12" a="1"/>
  <c r="A15" i="12" l="1"/>
  <c r="B15" i="12" s="1"/>
  <c r="R14" i="12" a="1"/>
  <c r="R14" i="12" l="1"/>
  <c r="N14" i="12" a="1"/>
  <c r="N14" i="12" l="1"/>
  <c r="L14" i="12" a="1"/>
  <c r="L14" i="12" l="1"/>
  <c r="P14" i="12"/>
  <c r="O14" i="12"/>
  <c r="G14" i="12" a="1"/>
  <c r="G14" i="12" l="1"/>
  <c r="E14" i="12" a="1"/>
  <c r="E14" i="12" l="1"/>
  <c r="F14" i="12" s="1"/>
  <c r="A14" i="12" a="1"/>
  <c r="A14" i="12" l="1"/>
  <c r="C14" i="12"/>
  <c r="R13" i="12" a="1"/>
  <c r="R13" i="12" l="1"/>
  <c r="S13" i="12" s="1"/>
  <c r="N13" i="12" a="1"/>
  <c r="N13" i="12" l="1"/>
  <c r="L13" i="12" a="1"/>
  <c r="L13" i="12" l="1"/>
  <c r="M13" i="12" s="1"/>
  <c r="P13" i="12"/>
  <c r="Q13" i="12" s="1"/>
  <c r="O13" i="12"/>
  <c r="G13" i="12" a="1"/>
  <c r="G13" i="12" l="1"/>
  <c r="H13" i="12" s="1"/>
  <c r="E13" i="12" a="1"/>
  <c r="E13" i="12" l="1"/>
  <c r="F13" i="12" s="1"/>
  <c r="C13" i="12"/>
  <c r="D13" i="12" s="1"/>
  <c r="A13" i="12" a="1"/>
  <c r="A13" i="12" l="1"/>
  <c r="B13" i="12" s="1"/>
  <c r="R12" i="12" a="1"/>
  <c r="R12" i="12" l="1"/>
  <c r="S12" i="12" s="1"/>
  <c r="N12" i="12" a="1"/>
  <c r="N12" i="12" l="1"/>
  <c r="L12" i="12" a="1"/>
  <c r="L12" i="12" l="1"/>
  <c r="M12" i="12" s="1"/>
  <c r="P12" i="12"/>
  <c r="Q12" i="12" s="1"/>
  <c r="O12" i="12"/>
  <c r="G12" i="12" a="1"/>
  <c r="G12" i="12" l="1"/>
  <c r="H12" i="12" s="1"/>
  <c r="E12" i="12" a="1"/>
  <c r="E12" i="12" l="1"/>
  <c r="F12" i="12" s="1"/>
  <c r="C12" i="12"/>
  <c r="D12" i="12" s="1"/>
  <c r="A12" i="12" a="1"/>
  <c r="A12" i="12" l="1"/>
  <c r="B12" i="12" s="1"/>
  <c r="R11" i="12" a="1"/>
  <c r="R11" i="12" l="1"/>
  <c r="S11" i="12" s="1"/>
  <c r="N11" i="12" a="1"/>
  <c r="N11" i="12" l="1"/>
  <c r="L11" i="12" a="1"/>
  <c r="L11" i="12" l="1"/>
  <c r="M11" i="12" s="1"/>
  <c r="O11" i="12"/>
  <c r="G11" i="12" a="1"/>
  <c r="P11" i="12" l="1"/>
  <c r="Q11" i="12" s="1"/>
  <c r="G11" i="12"/>
  <c r="H11" i="12" s="1"/>
  <c r="E11" i="12" a="1"/>
  <c r="E11" i="12" l="1"/>
  <c r="F11" i="12" s="1"/>
  <c r="C11" i="12"/>
  <c r="D11" i="12" s="1"/>
  <c r="A11" i="12" a="1"/>
  <c r="A11" i="12" l="1"/>
  <c r="B11" i="12" s="1"/>
  <c r="R10" i="12" a="1"/>
  <c r="R10" i="12" l="1"/>
  <c r="S10" i="12" s="1"/>
  <c r="N10" i="12" a="1"/>
  <c r="N10" i="12" l="1"/>
  <c r="L10" i="12" a="1"/>
  <c r="L10" i="12" l="1"/>
  <c r="M10" i="12" s="1"/>
  <c r="P10" i="12"/>
  <c r="Q10" i="12" s="1"/>
  <c r="O10" i="12"/>
  <c r="G10" i="12" a="1"/>
  <c r="G10" i="12" l="1"/>
  <c r="H10" i="12" s="1"/>
  <c r="E10" i="12" a="1"/>
  <c r="E10" i="12" l="1"/>
  <c r="F10" i="12" s="1"/>
  <c r="A10" i="12" a="1"/>
  <c r="A10" i="12" l="1"/>
  <c r="B10" i="12" s="1"/>
  <c r="C10" i="12"/>
  <c r="D10" i="12" s="1"/>
  <c r="R9" i="12" a="1"/>
  <c r="R9" i="12" l="1"/>
  <c r="S9" i="12" s="1"/>
  <c r="N9" i="12" a="1"/>
  <c r="N9" i="12" l="1"/>
  <c r="L9" i="12" a="1"/>
  <c r="L9" i="12" l="1"/>
  <c r="M9" i="12" s="1"/>
  <c r="O9" i="12"/>
  <c r="P9" i="12"/>
  <c r="Q9" i="12" s="1"/>
  <c r="G9" i="12" a="1"/>
  <c r="G9" i="12" l="1"/>
  <c r="H9" i="12" s="1"/>
  <c r="E9" i="12" a="1"/>
  <c r="E9" i="12" l="1"/>
  <c r="F9" i="12" s="1"/>
  <c r="C9" i="12"/>
  <c r="D9" i="12" s="1"/>
  <c r="A9" i="12" a="1"/>
  <c r="A9" i="12" l="1"/>
  <c r="B9" i="12" s="1"/>
  <c r="R8" i="12" a="1"/>
  <c r="R8" i="12" l="1"/>
  <c r="N8" i="12" a="1"/>
  <c r="N8" i="12" l="1"/>
  <c r="R19" i="12"/>
  <c r="S8" i="12"/>
  <c r="L8" i="12" a="1"/>
  <c r="L8" i="12" l="1"/>
  <c r="N19" i="12"/>
  <c r="O8" i="12"/>
  <c r="R62" i="12"/>
  <c r="S62" i="12" s="1"/>
  <c r="S29" i="12"/>
  <c r="S31" i="12"/>
  <c r="S60" i="12"/>
  <c r="S19" i="12"/>
  <c r="S17" i="12"/>
  <c r="S14" i="12"/>
  <c r="G8" i="12" a="1"/>
  <c r="G8" i="12" l="1"/>
  <c r="N62" i="12"/>
  <c r="O62" i="12" s="1"/>
  <c r="O19" i="12"/>
  <c r="L19" i="12"/>
  <c r="M8" i="12"/>
  <c r="P8" i="12"/>
  <c r="E8" i="12" a="1"/>
  <c r="E8" i="12" l="1"/>
  <c r="L62" i="12"/>
  <c r="M62" i="12" s="1"/>
  <c r="M29" i="12"/>
  <c r="M26" i="12"/>
  <c r="M31" i="12"/>
  <c r="M60" i="12"/>
  <c r="M19" i="12"/>
  <c r="M17" i="12"/>
  <c r="M14" i="12"/>
  <c r="G19" i="12"/>
  <c r="H8" i="12"/>
  <c r="P19" i="12"/>
  <c r="Q8" i="12"/>
  <c r="C8" i="12"/>
  <c r="C19" i="12" s="1"/>
  <c r="A8" i="12" a="1"/>
  <c r="A8" i="12" l="1"/>
  <c r="G62" i="12"/>
  <c r="H62" i="12" s="1"/>
  <c r="H29" i="12"/>
  <c r="H26" i="12"/>
  <c r="H19" i="12"/>
  <c r="H31" i="12"/>
  <c r="H60" i="12"/>
  <c r="H17" i="12"/>
  <c r="H14" i="12"/>
  <c r="E19" i="12"/>
  <c r="F8" i="12"/>
  <c r="C62" i="12"/>
  <c r="D62" i="12" s="1"/>
  <c r="D29" i="12"/>
  <c r="D26" i="12"/>
  <c r="D19" i="12"/>
  <c r="D31" i="12"/>
  <c r="D60" i="12"/>
  <c r="D17" i="12"/>
  <c r="D14" i="12"/>
  <c r="D8" i="12"/>
  <c r="P62" i="12"/>
  <c r="Q62" i="12" s="1"/>
  <c r="Q29" i="12"/>
  <c r="Q26" i="12"/>
  <c r="Q31" i="12"/>
  <c r="Q19" i="12"/>
  <c r="Q60" i="12"/>
  <c r="Q17" i="12"/>
  <c r="Q14" i="12"/>
  <c r="U2" i="12"/>
  <c r="R58" i="11" a="1"/>
  <c r="E62" i="12" l="1"/>
  <c r="F62" i="12" s="1"/>
  <c r="F19" i="12"/>
  <c r="A19" i="12"/>
  <c r="B8" i="12"/>
  <c r="R58" i="11"/>
  <c r="S58" i="11" s="1"/>
  <c r="N58" i="11" a="1"/>
  <c r="A62" i="12" l="1"/>
  <c r="B62" i="12" s="1"/>
  <c r="B29" i="12"/>
  <c r="B19" i="12"/>
  <c r="B31" i="12"/>
  <c r="B60" i="12"/>
  <c r="B17" i="12"/>
  <c r="B14" i="12"/>
  <c r="N58" i="11"/>
  <c r="L58" i="11" a="1"/>
  <c r="L58" i="11" l="1"/>
  <c r="M58" i="11" s="1"/>
  <c r="P58" i="11"/>
  <c r="Q58" i="11" s="1"/>
  <c r="O58" i="11"/>
  <c r="G58" i="11" a="1"/>
  <c r="G58" i="11" l="1"/>
  <c r="H58" i="11" s="1"/>
  <c r="E58" i="11" a="1"/>
  <c r="E58" i="11" l="1"/>
  <c r="F58" i="11" s="1"/>
  <c r="A58" i="11" a="1"/>
  <c r="A58" i="11" l="1"/>
  <c r="B58" i="11" s="1"/>
  <c r="C58" i="11"/>
  <c r="D58" i="11" s="1"/>
  <c r="R57" i="11" a="1"/>
  <c r="R57" i="11" l="1"/>
  <c r="S57" i="11" s="1"/>
  <c r="N57" i="11" a="1"/>
  <c r="N57" i="11" l="1"/>
  <c r="L57" i="11" a="1"/>
  <c r="L57" i="11" l="1"/>
  <c r="M57" i="11" s="1"/>
  <c r="O57" i="11"/>
  <c r="P57" i="11"/>
  <c r="Q57" i="11" s="1"/>
  <c r="G57" i="11" a="1"/>
  <c r="G57" i="11" l="1"/>
  <c r="H57" i="11" s="1"/>
  <c r="E57" i="11" a="1"/>
  <c r="E57" i="11" l="1"/>
  <c r="F57" i="11" s="1"/>
  <c r="C57" i="11"/>
  <c r="D57" i="11" s="1"/>
  <c r="A57" i="11" a="1"/>
  <c r="A57" i="11" l="1"/>
  <c r="B57" i="11" s="1"/>
  <c r="R56" i="11" a="1"/>
  <c r="R56" i="11" l="1"/>
  <c r="S56" i="11" s="1"/>
  <c r="N56" i="11" a="1"/>
  <c r="N56" i="11" l="1"/>
  <c r="L56" i="11" a="1"/>
  <c r="L56" i="11" l="1"/>
  <c r="M56" i="11" s="1"/>
  <c r="O56" i="11"/>
  <c r="G56" i="11" a="1"/>
  <c r="G56" i="11" l="1"/>
  <c r="H56" i="11" s="1"/>
  <c r="P56" i="11"/>
  <c r="Q56" i="11" s="1"/>
  <c r="E56" i="11" a="1"/>
  <c r="E56" i="11" l="1"/>
  <c r="F56" i="11" s="1"/>
  <c r="C56" i="11"/>
  <c r="D56" i="11" s="1"/>
  <c r="A56" i="11" a="1"/>
  <c r="A56" i="11" l="1"/>
  <c r="B56" i="11" s="1"/>
  <c r="R55" i="11" a="1"/>
  <c r="R55" i="11" l="1"/>
  <c r="S55" i="11" s="1"/>
  <c r="N55" i="11" a="1"/>
  <c r="N55" i="11" l="1"/>
  <c r="L55" i="11" a="1"/>
  <c r="L55" i="11" l="1"/>
  <c r="M55" i="11" s="1"/>
  <c r="O55" i="11"/>
  <c r="G55" i="11" a="1"/>
  <c r="G55" i="11" l="1"/>
  <c r="H55" i="11" s="1"/>
  <c r="P55" i="11"/>
  <c r="Q55" i="11" s="1"/>
  <c r="E55" i="11" a="1"/>
  <c r="E55" i="11" l="1"/>
  <c r="F55" i="11" s="1"/>
  <c r="C55" i="11"/>
  <c r="D55" i="11" s="1"/>
  <c r="A55" i="11" a="1"/>
  <c r="A55" i="11" l="1"/>
  <c r="B55" i="11" s="1"/>
  <c r="R54" i="11" a="1"/>
  <c r="R54" i="11" l="1"/>
  <c r="S54" i="11" s="1"/>
  <c r="N54" i="11" a="1"/>
  <c r="N54" i="11" l="1"/>
  <c r="L54" i="11" a="1"/>
  <c r="L54" i="11" l="1"/>
  <c r="M54" i="11" s="1"/>
  <c r="P54" i="11"/>
  <c r="Q54" i="11" s="1"/>
  <c r="O54" i="11"/>
  <c r="G54" i="11" a="1"/>
  <c r="G54" i="11" l="1"/>
  <c r="H54" i="11" s="1"/>
  <c r="E54" i="11" a="1"/>
  <c r="E54" i="11" l="1"/>
  <c r="F54" i="11" s="1"/>
  <c r="C54" i="11"/>
  <c r="D54" i="11" s="1"/>
  <c r="A54" i="11" a="1"/>
  <c r="A54" i="11" l="1"/>
  <c r="B54" i="11" s="1"/>
  <c r="R53" i="11" a="1"/>
  <c r="R53" i="11" l="1"/>
  <c r="S53" i="11" s="1"/>
  <c r="N53" i="11" a="1"/>
  <c r="N53" i="11" l="1"/>
  <c r="L53" i="11" a="1"/>
  <c r="L53" i="11" l="1"/>
  <c r="M53" i="11" s="1"/>
  <c r="P53" i="11"/>
  <c r="Q53" i="11" s="1"/>
  <c r="O53" i="11"/>
  <c r="G53" i="11" a="1"/>
  <c r="G53" i="11" l="1"/>
  <c r="H53" i="11" s="1"/>
  <c r="E53" i="11" a="1"/>
  <c r="E53" i="11" l="1"/>
  <c r="F53" i="11" s="1"/>
  <c r="C53" i="11"/>
  <c r="D53" i="11" s="1"/>
  <c r="A53" i="11" a="1"/>
  <c r="A53" i="11" l="1"/>
  <c r="B53" i="11" s="1"/>
  <c r="R52" i="11" a="1"/>
  <c r="R52" i="11" l="1"/>
  <c r="S52" i="11" s="1"/>
  <c r="N52" i="11" a="1"/>
  <c r="N52" i="11" l="1"/>
  <c r="L52" i="11" a="1"/>
  <c r="L52" i="11" l="1"/>
  <c r="M52" i="11" s="1"/>
  <c r="O52" i="11"/>
  <c r="P52" i="11"/>
  <c r="Q52" i="11" s="1"/>
  <c r="G52" i="11" a="1"/>
  <c r="G52" i="11" l="1"/>
  <c r="H52" i="11" s="1"/>
  <c r="E52" i="11" a="1"/>
  <c r="E52" i="11" l="1"/>
  <c r="F52" i="11" s="1"/>
  <c r="C52" i="11"/>
  <c r="D52" i="11" s="1"/>
  <c r="A52" i="11" a="1"/>
  <c r="A52" i="11" l="1"/>
  <c r="B52" i="11" s="1"/>
  <c r="R51" i="11" a="1"/>
  <c r="R51" i="11" l="1"/>
  <c r="S51" i="11" s="1"/>
  <c r="N51" i="11" a="1"/>
  <c r="N51" i="11" l="1"/>
  <c r="L51" i="11" a="1"/>
  <c r="L51" i="11" l="1"/>
  <c r="M51" i="11" s="1"/>
  <c r="O51" i="11"/>
  <c r="G51" i="11" a="1"/>
  <c r="G51" i="11" l="1"/>
  <c r="H51" i="11" s="1"/>
  <c r="P51" i="11"/>
  <c r="Q51" i="11" s="1"/>
  <c r="E51" i="11" a="1"/>
  <c r="E51" i="11" l="1"/>
  <c r="F51" i="11" s="1"/>
  <c r="C51" i="11"/>
  <c r="D51" i="11" s="1"/>
  <c r="A51" i="11" a="1"/>
  <c r="A51" i="11" l="1"/>
  <c r="B51" i="11" s="1"/>
  <c r="R50" i="11" a="1"/>
  <c r="R50" i="11" l="1"/>
  <c r="S50" i="11" s="1"/>
  <c r="N50" i="11" a="1"/>
  <c r="N50" i="11" l="1"/>
  <c r="L50" i="11" a="1"/>
  <c r="L50" i="11" l="1"/>
  <c r="M50" i="11" s="1"/>
  <c r="P50" i="11"/>
  <c r="Q50" i="11" s="1"/>
  <c r="O50" i="11"/>
  <c r="G50" i="11" a="1"/>
  <c r="G50" i="11" l="1"/>
  <c r="H50" i="11" s="1"/>
  <c r="E50" i="11" a="1"/>
  <c r="E50" i="11" l="1"/>
  <c r="F50" i="11" s="1"/>
  <c r="C50" i="11"/>
  <c r="D50" i="11" s="1"/>
  <c r="A50" i="11" a="1"/>
  <c r="A50" i="11" l="1"/>
  <c r="B50" i="11" s="1"/>
  <c r="R49" i="11" a="1"/>
  <c r="R49" i="11" l="1"/>
  <c r="S49" i="11" s="1"/>
  <c r="N49" i="11" a="1"/>
  <c r="N49" i="11" l="1"/>
  <c r="L49" i="11" a="1"/>
  <c r="L49" i="11" l="1"/>
  <c r="M49" i="11" s="1"/>
  <c r="P49" i="11"/>
  <c r="Q49" i="11" s="1"/>
  <c r="O49" i="11"/>
  <c r="G49" i="11" a="1"/>
  <c r="G49" i="11" l="1"/>
  <c r="H49" i="11" s="1"/>
  <c r="E49" i="11" a="1"/>
  <c r="E49" i="11" l="1"/>
  <c r="F49" i="11" s="1"/>
  <c r="C49" i="11"/>
  <c r="D49" i="11" s="1"/>
  <c r="A49" i="11" a="1"/>
  <c r="A49" i="11" l="1"/>
  <c r="B49" i="11" s="1"/>
  <c r="R48" i="11" a="1"/>
  <c r="R48" i="11" l="1"/>
  <c r="S48" i="11" s="1"/>
  <c r="N48" i="11" a="1"/>
  <c r="N48" i="11" l="1"/>
  <c r="L48" i="11" a="1"/>
  <c r="L48" i="11" l="1"/>
  <c r="M48" i="11" s="1"/>
  <c r="P48" i="11"/>
  <c r="Q48" i="11" s="1"/>
  <c r="O48" i="11"/>
  <c r="G48" i="11" a="1"/>
  <c r="G48" i="11" l="1"/>
  <c r="H48" i="11" s="1"/>
  <c r="E48" i="11" a="1"/>
  <c r="E48" i="11" l="1"/>
  <c r="F48" i="11" s="1"/>
  <c r="C48" i="11"/>
  <c r="D48" i="11" s="1"/>
  <c r="A48" i="11" a="1"/>
  <c r="A48" i="11" l="1"/>
  <c r="B48" i="11" s="1"/>
  <c r="R47" i="11" a="1"/>
  <c r="R47" i="11" l="1"/>
  <c r="S47" i="11" s="1"/>
  <c r="N47" i="11" a="1"/>
  <c r="N47" i="11" l="1"/>
  <c r="L47" i="11" a="1"/>
  <c r="L47" i="11" l="1"/>
  <c r="M47" i="11" s="1"/>
  <c r="P47" i="11"/>
  <c r="Q47" i="11" s="1"/>
  <c r="O47" i="11"/>
  <c r="G47" i="11" a="1"/>
  <c r="G47" i="11" l="1"/>
  <c r="H47" i="11" s="1"/>
  <c r="E47" i="11" a="1"/>
  <c r="E47" i="11" l="1"/>
  <c r="F47" i="11" s="1"/>
  <c r="C47" i="11"/>
  <c r="D47" i="11" s="1"/>
  <c r="A47" i="11" a="1"/>
  <c r="A47" i="11" l="1"/>
  <c r="B47" i="11" s="1"/>
  <c r="R46" i="11" a="1"/>
  <c r="R46" i="11" l="1"/>
  <c r="S46" i="11" s="1"/>
  <c r="N46" i="11" a="1"/>
  <c r="N46" i="11" l="1"/>
  <c r="L46" i="11" a="1"/>
  <c r="L46" i="11" l="1"/>
  <c r="M46" i="11" s="1"/>
  <c r="O46" i="11"/>
  <c r="P46" i="11"/>
  <c r="Q46" i="11" s="1"/>
  <c r="G46" i="11" a="1"/>
  <c r="G46" i="11" l="1"/>
  <c r="H46" i="11" s="1"/>
  <c r="E46" i="11" a="1"/>
  <c r="E46" i="11" l="1"/>
  <c r="F46" i="11" s="1"/>
  <c r="C46" i="11"/>
  <c r="D46" i="11" s="1"/>
  <c r="A46" i="11" a="1"/>
  <c r="A46" i="11" l="1"/>
  <c r="B46" i="11" s="1"/>
  <c r="R45" i="11" a="1"/>
  <c r="R45" i="11" l="1"/>
  <c r="S45" i="11" s="1"/>
  <c r="N45" i="11" a="1"/>
  <c r="N45" i="11" l="1"/>
  <c r="L45" i="11" a="1"/>
  <c r="L45" i="11" l="1"/>
  <c r="M45" i="11" s="1"/>
  <c r="P45" i="11"/>
  <c r="Q45" i="11" s="1"/>
  <c r="O45" i="11"/>
  <c r="G45" i="11" a="1"/>
  <c r="G45" i="11" l="1"/>
  <c r="H45" i="11" s="1"/>
  <c r="E45" i="11" a="1"/>
  <c r="E45" i="11" l="1"/>
  <c r="F45" i="11" s="1"/>
  <c r="C45" i="11"/>
  <c r="D45" i="11" s="1"/>
  <c r="A45" i="11" a="1"/>
  <c r="A45" i="11" l="1"/>
  <c r="B45" i="11" s="1"/>
  <c r="R44" i="11" a="1"/>
  <c r="R44" i="11" l="1"/>
  <c r="S44" i="11" s="1"/>
  <c r="N44" i="11" a="1"/>
  <c r="N44" i="11" l="1"/>
  <c r="L44" i="11" a="1"/>
  <c r="L44" i="11" l="1"/>
  <c r="M44" i="11" s="1"/>
  <c r="P44" i="11"/>
  <c r="Q44" i="11" s="1"/>
  <c r="O44" i="11"/>
  <c r="G44" i="11" a="1"/>
  <c r="G44" i="11" l="1"/>
  <c r="H44" i="11" s="1"/>
  <c r="E44" i="11" a="1"/>
  <c r="E44" i="11" l="1"/>
  <c r="F44" i="11" s="1"/>
  <c r="C44" i="11"/>
  <c r="D44" i="11" s="1"/>
  <c r="A44" i="11" a="1"/>
  <c r="A44" i="11" l="1"/>
  <c r="B44" i="11" s="1"/>
  <c r="R43" i="11" a="1"/>
  <c r="R43" i="11" l="1"/>
  <c r="S43" i="11" s="1"/>
  <c r="N43" i="11" a="1"/>
  <c r="N43" i="11" l="1"/>
  <c r="L43" i="11" a="1"/>
  <c r="L43" i="11" l="1"/>
  <c r="M43" i="11" s="1"/>
  <c r="P43" i="11"/>
  <c r="Q43" i="11" s="1"/>
  <c r="O43" i="11"/>
  <c r="G43" i="11" a="1"/>
  <c r="G43" i="11" l="1"/>
  <c r="H43" i="11" s="1"/>
  <c r="E43" i="11" a="1"/>
  <c r="E43" i="11" l="1"/>
  <c r="F43" i="11" s="1"/>
  <c r="C43" i="11"/>
  <c r="D43" i="11" s="1"/>
  <c r="A43" i="11" a="1"/>
  <c r="A43" i="11" l="1"/>
  <c r="B43" i="11" s="1"/>
  <c r="R42" i="11" a="1"/>
  <c r="R42" i="11" l="1"/>
  <c r="S42" i="11" s="1"/>
  <c r="N42" i="11" a="1"/>
  <c r="N42" i="11" l="1"/>
  <c r="L42" i="11" a="1"/>
  <c r="L42" i="11" l="1"/>
  <c r="M42" i="11" s="1"/>
  <c r="P42" i="11"/>
  <c r="Q42" i="11" s="1"/>
  <c r="O42" i="11"/>
  <c r="G42" i="11" a="1"/>
  <c r="G42" i="11" l="1"/>
  <c r="H42" i="11" s="1"/>
  <c r="E42" i="11" a="1"/>
  <c r="E42" i="11" l="1"/>
  <c r="F42" i="11" s="1"/>
  <c r="C42" i="11"/>
  <c r="D42" i="11" s="1"/>
  <c r="A42" i="11" a="1"/>
  <c r="A42" i="11" l="1"/>
  <c r="B42" i="11" s="1"/>
  <c r="R41" i="11" a="1"/>
  <c r="R41" i="11" l="1"/>
  <c r="S41" i="11" s="1"/>
  <c r="N41" i="11" a="1"/>
  <c r="N41" i="11" l="1"/>
  <c r="L41" i="11" a="1"/>
  <c r="L41" i="11" l="1"/>
  <c r="M41" i="11" s="1"/>
  <c r="P41" i="11"/>
  <c r="Q41" i="11" s="1"/>
  <c r="O41" i="11"/>
  <c r="G41" i="11" a="1"/>
  <c r="G41" i="11" l="1"/>
  <c r="H41" i="11" s="1"/>
  <c r="E41" i="11" a="1"/>
  <c r="E41" i="11" l="1"/>
  <c r="F41" i="11" s="1"/>
  <c r="C41" i="11"/>
  <c r="D41" i="11" s="1"/>
  <c r="A41" i="11" a="1"/>
  <c r="A41" i="11" l="1"/>
  <c r="B41" i="11" s="1"/>
  <c r="R40" i="11" a="1"/>
  <c r="R40" i="11" l="1"/>
  <c r="S40" i="11" s="1"/>
  <c r="N40" i="11" a="1"/>
  <c r="N40" i="11" l="1"/>
  <c r="L40" i="11" a="1"/>
  <c r="L40" i="11" l="1"/>
  <c r="M40" i="11" s="1"/>
  <c r="O40" i="11"/>
  <c r="P40" i="11"/>
  <c r="Q40" i="11" s="1"/>
  <c r="G40" i="11" a="1"/>
  <c r="G40" i="11" l="1"/>
  <c r="H40" i="11" s="1"/>
  <c r="E40" i="11" a="1"/>
  <c r="E40" i="11" l="1"/>
  <c r="F40" i="11" s="1"/>
  <c r="A40" i="11" a="1"/>
  <c r="A40" i="11" l="1"/>
  <c r="B40" i="11" s="1"/>
  <c r="C40" i="11"/>
  <c r="D40" i="11" s="1"/>
  <c r="R39" i="11" a="1"/>
  <c r="R39" i="11" l="1"/>
  <c r="S39" i="11" s="1"/>
  <c r="N39" i="11" a="1"/>
  <c r="N39" i="11" l="1"/>
  <c r="L39" i="11" a="1"/>
  <c r="L39" i="11" l="1"/>
  <c r="M39" i="11" s="1"/>
  <c r="O39" i="11"/>
  <c r="P39" i="11"/>
  <c r="Q39" i="11" s="1"/>
  <c r="G39" i="11" a="1"/>
  <c r="G39" i="11" l="1"/>
  <c r="H39" i="11" s="1"/>
  <c r="E39" i="11" a="1"/>
  <c r="E39" i="11" l="1"/>
  <c r="F39" i="11" s="1"/>
  <c r="C39" i="11"/>
  <c r="D39" i="11" s="1"/>
  <c r="A39" i="11" a="1"/>
  <c r="A39" i="11" l="1"/>
  <c r="B39" i="11" s="1"/>
  <c r="R38" i="11" a="1"/>
  <c r="R38" i="11" l="1"/>
  <c r="S38" i="11" s="1"/>
  <c r="N38" i="11" a="1"/>
  <c r="N38" i="11" l="1"/>
  <c r="L38" i="11" a="1"/>
  <c r="L38" i="11" l="1"/>
  <c r="M38" i="11" s="1"/>
  <c r="O38" i="11"/>
  <c r="G38" i="11" a="1"/>
  <c r="G38" i="11" l="1"/>
  <c r="H38" i="11" s="1"/>
  <c r="P38" i="11"/>
  <c r="Q38" i="11" s="1"/>
  <c r="E38" i="11" a="1"/>
  <c r="E38" i="11" l="1"/>
  <c r="F38" i="11" s="1"/>
  <c r="A38" i="11" a="1"/>
  <c r="A38" i="11" l="1"/>
  <c r="B38" i="11" s="1"/>
  <c r="C38" i="11"/>
  <c r="D38" i="11" s="1"/>
  <c r="R37" i="11" a="1"/>
  <c r="R37" i="11" l="1"/>
  <c r="S37" i="11" s="1"/>
  <c r="N37" i="11" a="1"/>
  <c r="N37" i="11" l="1"/>
  <c r="L37" i="11" a="1"/>
  <c r="L37" i="11" l="1"/>
  <c r="M37" i="11" s="1"/>
  <c r="O37" i="11"/>
  <c r="G37" i="11" a="1"/>
  <c r="P37" i="11" l="1"/>
  <c r="Q37" i="11" s="1"/>
  <c r="G37" i="11"/>
  <c r="H37" i="11" s="1"/>
  <c r="E37" i="11" a="1"/>
  <c r="E37" i="11" l="1"/>
  <c r="F37" i="11" s="1"/>
  <c r="C37" i="11"/>
  <c r="D37" i="11" s="1"/>
  <c r="A37" i="11" a="1"/>
  <c r="A37" i="11" l="1"/>
  <c r="B37" i="11" s="1"/>
  <c r="R36" i="11" a="1"/>
  <c r="R36" i="11" l="1"/>
  <c r="N36" i="11" a="1"/>
  <c r="N36" i="11" l="1"/>
  <c r="R60" i="11"/>
  <c r="S60" i="11" s="1"/>
  <c r="S36" i="11"/>
  <c r="L36" i="11" a="1"/>
  <c r="L36" i="11" l="1"/>
  <c r="N60" i="11"/>
  <c r="O60" i="11" s="1"/>
  <c r="P36" i="11"/>
  <c r="O36" i="11"/>
  <c r="G36" i="11" a="1"/>
  <c r="G36" i="11" l="1"/>
  <c r="L60" i="11"/>
  <c r="M60" i="11" s="1"/>
  <c r="M36" i="11"/>
  <c r="P60" i="11"/>
  <c r="Q60" i="11" s="1"/>
  <c r="Q36" i="11"/>
  <c r="E36" i="11" a="1"/>
  <c r="E36" i="11" l="1"/>
  <c r="G60" i="11"/>
  <c r="H60" i="11" s="1"/>
  <c r="H36" i="11"/>
  <c r="A36" i="11" a="1"/>
  <c r="A36" i="11" l="1"/>
  <c r="E60" i="11"/>
  <c r="F60" i="11" s="1"/>
  <c r="F36" i="11"/>
  <c r="C36" i="11"/>
  <c r="R32" i="11" a="1"/>
  <c r="R32" i="11" l="1"/>
  <c r="S32" i="11" s="1"/>
  <c r="A60" i="11"/>
  <c r="B60" i="11" s="1"/>
  <c r="B36" i="11"/>
  <c r="C60" i="11"/>
  <c r="D60" i="11" s="1"/>
  <c r="D36" i="11"/>
  <c r="N32" i="11" a="1"/>
  <c r="N32" i="11" l="1"/>
  <c r="L32" i="11" a="1"/>
  <c r="L32" i="11" l="1"/>
  <c r="M32" i="11" s="1"/>
  <c r="P32" i="11"/>
  <c r="Q32" i="11" s="1"/>
  <c r="O32" i="11"/>
  <c r="G32" i="11" a="1"/>
  <c r="G32" i="11" l="1"/>
  <c r="H32" i="11" s="1"/>
  <c r="E32" i="11" a="1"/>
  <c r="E32" i="11" l="1"/>
  <c r="F32" i="11" s="1"/>
  <c r="A32" i="11" a="1"/>
  <c r="A32" i="11" l="1"/>
  <c r="B32" i="11" s="1"/>
  <c r="C32" i="11"/>
  <c r="D32" i="11" s="1"/>
  <c r="R31" i="11" a="1"/>
  <c r="R31" i="11" l="1"/>
  <c r="S31" i="11" s="1"/>
  <c r="N31" i="11" a="1"/>
  <c r="N31" i="11" l="1"/>
  <c r="L31" i="11" a="1"/>
  <c r="L31" i="11" l="1"/>
  <c r="M31" i="11" s="1"/>
  <c r="O31" i="11"/>
  <c r="P31" i="11"/>
  <c r="Q31" i="11" s="1"/>
  <c r="G31" i="11" a="1"/>
  <c r="G31" i="11" l="1"/>
  <c r="H31" i="11" s="1"/>
  <c r="E31" i="11" a="1"/>
  <c r="E31" i="11" l="1"/>
  <c r="F31" i="11" s="1"/>
  <c r="C31" i="11"/>
  <c r="D31" i="11" s="1"/>
  <c r="A31" i="11" a="1"/>
  <c r="A31" i="11" l="1"/>
  <c r="B31" i="11" s="1"/>
  <c r="R30" i="11" a="1"/>
  <c r="R30" i="11" l="1"/>
  <c r="S30" i="11" s="1"/>
  <c r="N30" i="11" a="1"/>
  <c r="N30" i="11" l="1"/>
  <c r="L30" i="11" a="1"/>
  <c r="L30" i="11" l="1"/>
  <c r="M30" i="11" s="1"/>
  <c r="P30" i="11"/>
  <c r="Q30" i="11" s="1"/>
  <c r="O30" i="11"/>
  <c r="G30" i="11" a="1"/>
  <c r="G30" i="11" l="1"/>
  <c r="H30" i="11" s="1"/>
  <c r="E30" i="11" a="1"/>
  <c r="E30" i="11" l="1"/>
  <c r="F30" i="11" s="1"/>
  <c r="C30" i="11"/>
  <c r="D30" i="11" s="1"/>
  <c r="A30" i="11" a="1"/>
  <c r="A30" i="11" l="1"/>
  <c r="B30" i="11" s="1"/>
  <c r="R29" i="11" a="1"/>
  <c r="R29" i="11" l="1"/>
  <c r="N29" i="11" a="1"/>
  <c r="N29" i="11" l="1"/>
  <c r="R34" i="11"/>
  <c r="S29" i="11"/>
  <c r="L29" i="11" a="1"/>
  <c r="L29" i="11" l="1"/>
  <c r="P29" i="11" s="1"/>
  <c r="S34" i="11"/>
  <c r="N34" i="11"/>
  <c r="O29" i="11"/>
  <c r="G29" i="11" a="1"/>
  <c r="G29" i="11" l="1"/>
  <c r="P34" i="11"/>
  <c r="Q29" i="11"/>
  <c r="O34" i="11"/>
  <c r="L34" i="11"/>
  <c r="M29" i="11"/>
  <c r="E29" i="11" a="1"/>
  <c r="E29" i="11" l="1"/>
  <c r="C29" i="11" s="1"/>
  <c r="M34" i="11"/>
  <c r="Q34" i="11"/>
  <c r="G34" i="11"/>
  <c r="H29" i="11"/>
  <c r="A29" i="11" a="1"/>
  <c r="C34" i="11" l="1"/>
  <c r="D34" i="11" s="1"/>
  <c r="D29" i="11"/>
  <c r="A29" i="11"/>
  <c r="H34" i="11"/>
  <c r="E34" i="11"/>
  <c r="F29" i="11"/>
  <c r="R25" i="11" a="1"/>
  <c r="R25" i="11" l="1"/>
  <c r="F34" i="11"/>
  <c r="A34" i="11"/>
  <c r="B34" i="11" s="1"/>
  <c r="B29" i="11"/>
  <c r="N25" i="11" a="1"/>
  <c r="N25" i="11" l="1"/>
  <c r="L25" i="11" a="1"/>
  <c r="L25" i="11" l="1"/>
  <c r="M25" i="11" s="1"/>
  <c r="P25" i="11"/>
  <c r="Q25" i="11" s="1"/>
  <c r="O25" i="11"/>
  <c r="G25" i="11" a="1"/>
  <c r="G25" i="11" l="1"/>
  <c r="H25" i="11" s="1"/>
  <c r="E25" i="11" a="1"/>
  <c r="E25" i="11" l="1"/>
  <c r="F25" i="11" s="1"/>
  <c r="A25" i="11" a="1"/>
  <c r="A25" i="11" l="1"/>
  <c r="C25" i="11"/>
  <c r="D25" i="11" s="1"/>
  <c r="R24" i="11" a="1"/>
  <c r="R24" i="11" l="1"/>
  <c r="N24" i="11" a="1"/>
  <c r="N24" i="11" l="1"/>
  <c r="L24" i="11" a="1"/>
  <c r="L24" i="11" l="1"/>
  <c r="M24" i="11" s="1"/>
  <c r="O24" i="11"/>
  <c r="G24" i="11" a="1"/>
  <c r="P24" i="11" l="1"/>
  <c r="Q24" i="11" s="1"/>
  <c r="G24" i="11"/>
  <c r="H24" i="11" s="1"/>
  <c r="E24" i="11" a="1"/>
  <c r="E24" i="11" l="1"/>
  <c r="F24" i="11" s="1"/>
  <c r="C24" i="11"/>
  <c r="D24" i="11" s="1"/>
  <c r="A24" i="11" a="1"/>
  <c r="A24" i="11" l="1"/>
  <c r="R23" i="11" a="1"/>
  <c r="R23" i="11" l="1"/>
  <c r="S23" i="11" s="1"/>
  <c r="N23" i="11" a="1"/>
  <c r="N23" i="11" l="1"/>
  <c r="L23" i="11" a="1"/>
  <c r="L23" i="11" l="1"/>
  <c r="M23" i="11" s="1"/>
  <c r="P23" i="11"/>
  <c r="Q23" i="11" s="1"/>
  <c r="O23" i="11"/>
  <c r="G23" i="11" a="1"/>
  <c r="G23" i="11" l="1"/>
  <c r="H23" i="11" s="1"/>
  <c r="E23" i="11" a="1"/>
  <c r="E23" i="11" l="1"/>
  <c r="F23" i="11" s="1"/>
  <c r="C23" i="11"/>
  <c r="D23" i="11" s="1"/>
  <c r="A23" i="11" a="1"/>
  <c r="A23" i="11" l="1"/>
  <c r="B23" i="11" s="1"/>
  <c r="R22" i="11" a="1"/>
  <c r="R22" i="11" l="1"/>
  <c r="S22" i="11" s="1"/>
  <c r="N22" i="11" a="1"/>
  <c r="N22" i="11" l="1"/>
  <c r="L22" i="11" a="1"/>
  <c r="L22" i="11" l="1"/>
  <c r="M22" i="11" s="1"/>
  <c r="O22" i="11"/>
  <c r="P22" i="11"/>
  <c r="Q22" i="11" s="1"/>
  <c r="G22" i="11" a="1"/>
  <c r="G22" i="11" l="1"/>
  <c r="H22" i="11" s="1"/>
  <c r="E22" i="11" a="1"/>
  <c r="E22" i="11" l="1"/>
  <c r="F22" i="11" s="1"/>
  <c r="C22" i="11"/>
  <c r="D22" i="11" s="1"/>
  <c r="A22" i="11" a="1"/>
  <c r="A22" i="11" l="1"/>
  <c r="B22" i="11" s="1"/>
  <c r="R21" i="11" a="1"/>
  <c r="R21" i="11" l="1"/>
  <c r="S21" i="11" s="1"/>
  <c r="N21" i="11" a="1"/>
  <c r="N21" i="11" l="1"/>
  <c r="L21" i="11" a="1"/>
  <c r="L21" i="11" l="1"/>
  <c r="M21" i="11" s="1"/>
  <c r="O21" i="11"/>
  <c r="P21" i="11"/>
  <c r="Q21" i="11" s="1"/>
  <c r="G21" i="11" a="1"/>
  <c r="G21" i="11" l="1"/>
  <c r="H21" i="11" s="1"/>
  <c r="E21" i="11" a="1"/>
  <c r="E21" i="11" l="1"/>
  <c r="F21" i="11" s="1"/>
  <c r="C21" i="11"/>
  <c r="D21" i="11" s="1"/>
  <c r="A21" i="11" a="1"/>
  <c r="A21" i="11" l="1"/>
  <c r="B21" i="11" s="1"/>
  <c r="R20" i="11" a="1"/>
  <c r="R20" i="11" l="1"/>
  <c r="S20" i="11" s="1"/>
  <c r="N20" i="11" a="1"/>
  <c r="N20" i="11" l="1"/>
  <c r="L20" i="11" a="1"/>
  <c r="L20" i="11" l="1"/>
  <c r="M20" i="11" s="1"/>
  <c r="P20" i="11"/>
  <c r="Q20" i="11" s="1"/>
  <c r="O20" i="11"/>
  <c r="G20" i="11" a="1"/>
  <c r="G20" i="11" l="1"/>
  <c r="H20" i="11" s="1"/>
  <c r="E20" i="11" a="1"/>
  <c r="E20" i="11" l="1"/>
  <c r="F20" i="11" s="1"/>
  <c r="C20" i="11"/>
  <c r="D20" i="11" s="1"/>
  <c r="A20" i="11" a="1"/>
  <c r="A20" i="11" l="1"/>
  <c r="B20" i="11" s="1"/>
  <c r="R19" i="11" a="1"/>
  <c r="R19" i="11" l="1"/>
  <c r="N19" i="11" a="1"/>
  <c r="N19" i="11" l="1"/>
  <c r="R27" i="11"/>
  <c r="S19" i="11"/>
  <c r="L19" i="11" a="1"/>
  <c r="L19" i="11" l="1"/>
  <c r="P19" i="11" s="1"/>
  <c r="R62" i="11"/>
  <c r="N27" i="11"/>
  <c r="O19" i="11"/>
  <c r="G19" i="11" a="1"/>
  <c r="G19" i="11" l="1"/>
  <c r="P27" i="11"/>
  <c r="Q19" i="11"/>
  <c r="N62" i="11"/>
  <c r="O62" i="11" s="1"/>
  <c r="O27" i="11"/>
  <c r="L27" i="11"/>
  <c r="M19" i="11"/>
  <c r="E19" i="11" a="1"/>
  <c r="E19" i="11" l="1"/>
  <c r="L62" i="11"/>
  <c r="M62" i="11" s="1"/>
  <c r="M27" i="11"/>
  <c r="P62" i="11"/>
  <c r="Q62" i="11" s="1"/>
  <c r="Q27" i="11"/>
  <c r="G27" i="11"/>
  <c r="H19" i="11"/>
  <c r="C19" i="11"/>
  <c r="C27" i="11" s="1"/>
  <c r="A19" i="11" a="1"/>
  <c r="D19" i="11" l="1"/>
  <c r="A19" i="11"/>
  <c r="H27" i="11"/>
  <c r="G62" i="11"/>
  <c r="H62" i="11" s="1"/>
  <c r="C62" i="11"/>
  <c r="D62" i="11" s="1"/>
  <c r="D27" i="11"/>
  <c r="E27" i="11"/>
  <c r="F19" i="11"/>
  <c r="R15" i="11" a="1"/>
  <c r="R15" i="11" l="1"/>
  <c r="F27" i="11"/>
  <c r="E62" i="11"/>
  <c r="F62" i="11" s="1"/>
  <c r="A27" i="11"/>
  <c r="B19" i="11"/>
  <c r="N15" i="11" a="1"/>
  <c r="N15" i="11" l="1"/>
  <c r="L15" i="11" a="1"/>
  <c r="L15" i="11" l="1"/>
  <c r="M15" i="11" s="1"/>
  <c r="P15" i="11"/>
  <c r="Q15" i="11" s="1"/>
  <c r="O15" i="11"/>
  <c r="G15" i="11" a="1"/>
  <c r="G15" i="11" l="1"/>
  <c r="H15" i="11" s="1"/>
  <c r="E15" i="11" a="1"/>
  <c r="E15" i="11" l="1"/>
  <c r="F15" i="11" s="1"/>
  <c r="C15" i="11"/>
  <c r="D15" i="11" s="1"/>
  <c r="A15" i="11" a="1"/>
  <c r="A15" i="11" l="1"/>
  <c r="R14" i="11" a="1"/>
  <c r="R14" i="11" l="1"/>
  <c r="S14" i="11" s="1"/>
  <c r="N14" i="11" a="1"/>
  <c r="N14" i="11" l="1"/>
  <c r="L14" i="11" a="1"/>
  <c r="L14" i="11" l="1"/>
  <c r="M14" i="11" s="1"/>
  <c r="P14" i="11"/>
  <c r="Q14" i="11" s="1"/>
  <c r="O14" i="11"/>
  <c r="G14" i="11" a="1"/>
  <c r="G14" i="11" l="1"/>
  <c r="H14" i="11" s="1"/>
  <c r="E14" i="11" a="1"/>
  <c r="E14" i="11" l="1"/>
  <c r="F14" i="11" s="1"/>
  <c r="C14" i="11"/>
  <c r="D14" i="11" s="1"/>
  <c r="A14" i="11" a="1"/>
  <c r="A14" i="11" l="1"/>
  <c r="B14" i="11" s="1"/>
  <c r="R13" i="11" a="1"/>
  <c r="R13" i="11" l="1"/>
  <c r="N13" i="11" a="1"/>
  <c r="N13" i="11" l="1"/>
  <c r="L13" i="11" a="1"/>
  <c r="L13" i="11" l="1"/>
  <c r="P13" i="11"/>
  <c r="O13" i="11"/>
  <c r="G13" i="11" a="1"/>
  <c r="G13" i="11" l="1"/>
  <c r="E13" i="11" a="1"/>
  <c r="E13" i="11" l="1"/>
  <c r="F13" i="11" s="1"/>
  <c r="A13" i="11" a="1"/>
  <c r="A13" i="11" l="1"/>
  <c r="C13" i="11"/>
  <c r="R12" i="11" a="1"/>
  <c r="R12" i="11" l="1"/>
  <c r="S12" i="11" s="1"/>
  <c r="N12" i="11" a="1"/>
  <c r="N12" i="11" l="1"/>
  <c r="L12" i="11" a="1"/>
  <c r="L12" i="11" l="1"/>
  <c r="M12" i="11" s="1"/>
  <c r="O12" i="11"/>
  <c r="P12" i="11"/>
  <c r="Q12" i="11" s="1"/>
  <c r="G12" i="11" a="1"/>
  <c r="G12" i="11" l="1"/>
  <c r="H12" i="11" s="1"/>
  <c r="E12" i="11" a="1"/>
  <c r="E12" i="11" l="1"/>
  <c r="F12" i="11" s="1"/>
  <c r="A12" i="11" a="1"/>
  <c r="A12" i="11" l="1"/>
  <c r="B12" i="11" s="1"/>
  <c r="C12" i="11"/>
  <c r="D12" i="11" s="1"/>
  <c r="R11" i="11" a="1"/>
  <c r="R11" i="11" l="1"/>
  <c r="N11" i="11" a="1"/>
  <c r="N11" i="11" l="1"/>
  <c r="L11" i="11" a="1"/>
  <c r="L11" i="11" l="1"/>
  <c r="M11" i="11" s="1"/>
  <c r="P11" i="11"/>
  <c r="Q11" i="11" s="1"/>
  <c r="O11" i="11"/>
  <c r="G11" i="11" a="1"/>
  <c r="G11" i="11" l="1"/>
  <c r="H11" i="11" s="1"/>
  <c r="E11" i="11" a="1"/>
  <c r="E11" i="11" l="1"/>
  <c r="F11" i="11" s="1"/>
  <c r="A11" i="11" a="1"/>
  <c r="A11" i="11" l="1"/>
  <c r="C11" i="11"/>
  <c r="D11" i="11" s="1"/>
  <c r="R10" i="11" a="1"/>
  <c r="R10" i="11" l="1"/>
  <c r="S10" i="11" s="1"/>
  <c r="N10" i="11" a="1"/>
  <c r="N10" i="11" l="1"/>
  <c r="L10" i="11" a="1"/>
  <c r="L10" i="11" l="1"/>
  <c r="M10" i="11" s="1"/>
  <c r="O10" i="11"/>
  <c r="G10" i="11" a="1"/>
  <c r="G10" i="11" l="1"/>
  <c r="H10" i="11" s="1"/>
  <c r="P10" i="11"/>
  <c r="Q10" i="11" s="1"/>
  <c r="E10" i="11" a="1"/>
  <c r="E10" i="11" l="1"/>
  <c r="F10" i="11" s="1"/>
  <c r="C10" i="11"/>
  <c r="D10" i="11" s="1"/>
  <c r="A10" i="11" a="1"/>
  <c r="A10" i="11" l="1"/>
  <c r="B10" i="11" s="1"/>
  <c r="R9" i="11" a="1"/>
  <c r="R9" i="11" l="1"/>
  <c r="N9" i="11" a="1"/>
  <c r="N9" i="11" l="1"/>
  <c r="L9" i="11" a="1"/>
  <c r="L9" i="11" l="1"/>
  <c r="M9" i="11" s="1"/>
  <c r="O9" i="11"/>
  <c r="P9" i="11"/>
  <c r="Q9" i="11" s="1"/>
  <c r="G9" i="11" a="1"/>
  <c r="G9" i="11" l="1"/>
  <c r="H9" i="11" s="1"/>
  <c r="E9" i="11" a="1"/>
  <c r="E9" i="11" l="1"/>
  <c r="F9" i="11" s="1"/>
  <c r="C9" i="11"/>
  <c r="D9" i="11" s="1"/>
  <c r="A9" i="11" a="1"/>
  <c r="A9" i="11" l="1"/>
  <c r="R8" i="11" a="1"/>
  <c r="R8" i="11" l="1"/>
  <c r="N8" i="11" a="1"/>
  <c r="N8" i="11" l="1"/>
  <c r="R17" i="11"/>
  <c r="S8" i="11"/>
  <c r="L8" i="11" a="1"/>
  <c r="L8" i="11" l="1"/>
  <c r="P8" i="11" s="1"/>
  <c r="R64" i="11"/>
  <c r="S64" i="11" s="1"/>
  <c r="S25" i="11"/>
  <c r="S24" i="11"/>
  <c r="S27" i="11"/>
  <c r="S62" i="11"/>
  <c r="S17" i="11"/>
  <c r="S15" i="11"/>
  <c r="S13" i="11"/>
  <c r="S11" i="11"/>
  <c r="S9" i="11"/>
  <c r="N17" i="11"/>
  <c r="O8" i="11"/>
  <c r="G8" i="11" a="1"/>
  <c r="G8" i="11" l="1"/>
  <c r="P17" i="11"/>
  <c r="Q8" i="11"/>
  <c r="N64" i="11"/>
  <c r="O64" i="11" s="1"/>
  <c r="O17" i="11"/>
  <c r="L17" i="11"/>
  <c r="M8" i="11"/>
  <c r="E8" i="11" a="1"/>
  <c r="E8" i="11" l="1"/>
  <c r="P64" i="11"/>
  <c r="Q64" i="11" s="1"/>
  <c r="Q17" i="11"/>
  <c r="Q13" i="11"/>
  <c r="G17" i="11"/>
  <c r="H8" i="11"/>
  <c r="L64" i="11"/>
  <c r="M64" i="11" s="1"/>
  <c r="M17" i="11"/>
  <c r="M13" i="11"/>
  <c r="A8" i="11" a="1"/>
  <c r="A8" i="11" l="1"/>
  <c r="G64" i="11"/>
  <c r="H64" i="11" s="1"/>
  <c r="H17" i="11"/>
  <c r="H13" i="11"/>
  <c r="E17" i="11"/>
  <c r="F8" i="11"/>
  <c r="C8" i="11"/>
  <c r="U2" i="11"/>
  <c r="R75" i="10" a="1"/>
  <c r="A17" i="11" l="1"/>
  <c r="B8" i="11"/>
  <c r="C17" i="11"/>
  <c r="D8" i="11"/>
  <c r="E64" i="11"/>
  <c r="F64" i="11" s="1"/>
  <c r="F17" i="11"/>
  <c r="R75" i="10"/>
  <c r="S75" i="10" s="1"/>
  <c r="N75" i="10" a="1"/>
  <c r="B62" i="11" l="1"/>
  <c r="A64" i="11"/>
  <c r="B64" i="11" s="1"/>
  <c r="B25" i="11"/>
  <c r="B24" i="11"/>
  <c r="B17" i="11"/>
  <c r="B27" i="11"/>
  <c r="B15" i="11"/>
  <c r="B13" i="11"/>
  <c r="B11" i="11"/>
  <c r="B9" i="11"/>
  <c r="C64" i="11"/>
  <c r="D64" i="11" s="1"/>
  <c r="D17" i="11"/>
  <c r="D13" i="11"/>
  <c r="N75" i="10"/>
  <c r="L75" i="10" a="1"/>
  <c r="L75" i="10" l="1"/>
  <c r="M75" i="10" s="1"/>
  <c r="P75" i="10"/>
  <c r="Q75" i="10" s="1"/>
  <c r="O75" i="10"/>
  <c r="G75" i="10" a="1"/>
  <c r="G75" i="10" l="1"/>
  <c r="H75" i="10" s="1"/>
  <c r="E75" i="10" a="1"/>
  <c r="E75" i="10" l="1"/>
  <c r="F75" i="10" s="1"/>
  <c r="A75" i="10" a="1"/>
  <c r="A75" i="10" l="1"/>
  <c r="B75" i="10" s="1"/>
  <c r="C75" i="10"/>
  <c r="D75" i="10" s="1"/>
  <c r="R74" i="10" a="1"/>
  <c r="R74" i="10" l="1"/>
  <c r="S74" i="10" s="1"/>
  <c r="N74" i="10" a="1"/>
  <c r="N74" i="10" l="1"/>
  <c r="L74" i="10" a="1"/>
  <c r="L74" i="10" l="1"/>
  <c r="M74" i="10" s="1"/>
  <c r="P74" i="10"/>
  <c r="Q74" i="10" s="1"/>
  <c r="O74" i="10"/>
  <c r="G74" i="10" a="1"/>
  <c r="G74" i="10" l="1"/>
  <c r="H74" i="10" s="1"/>
  <c r="E74" i="10" a="1"/>
  <c r="E74" i="10" l="1"/>
  <c r="F74" i="10" s="1"/>
  <c r="C74" i="10"/>
  <c r="D74" i="10" s="1"/>
  <c r="A74" i="10" a="1"/>
  <c r="A74" i="10" l="1"/>
  <c r="B74" i="10" s="1"/>
  <c r="R73" i="10" a="1"/>
  <c r="R73" i="10" l="1"/>
  <c r="N73" i="10" a="1"/>
  <c r="N73" i="10" l="1"/>
  <c r="L73" i="10" a="1"/>
  <c r="L73" i="10" l="1"/>
  <c r="M73" i="10" s="1"/>
  <c r="P73" i="10"/>
  <c r="Q73" i="10" s="1"/>
  <c r="O73" i="10"/>
  <c r="G73" i="10" a="1"/>
  <c r="G73" i="10" l="1"/>
  <c r="H73" i="10" s="1"/>
  <c r="E73" i="10" a="1"/>
  <c r="E73" i="10" l="1"/>
  <c r="F73" i="10" s="1"/>
  <c r="C73" i="10"/>
  <c r="D73" i="10" s="1"/>
  <c r="A73" i="10" a="1"/>
  <c r="A73" i="10" l="1"/>
  <c r="R72" i="10" a="1"/>
  <c r="R72" i="10" l="1"/>
  <c r="S72" i="10" s="1"/>
  <c r="N72" i="10" a="1"/>
  <c r="N72" i="10" l="1"/>
  <c r="L72" i="10" a="1"/>
  <c r="L72" i="10" l="1"/>
  <c r="M72" i="10" s="1"/>
  <c r="P72" i="10"/>
  <c r="Q72" i="10" s="1"/>
  <c r="O72" i="10"/>
  <c r="G72" i="10" a="1"/>
  <c r="G72" i="10" l="1"/>
  <c r="H72" i="10" s="1"/>
  <c r="E72" i="10" a="1"/>
  <c r="E72" i="10" l="1"/>
  <c r="F72" i="10" s="1"/>
  <c r="C72" i="10"/>
  <c r="D72" i="10" s="1"/>
  <c r="A72" i="10" a="1"/>
  <c r="A72" i="10" l="1"/>
  <c r="B72" i="10" s="1"/>
  <c r="R71" i="10" a="1"/>
  <c r="R71" i="10" l="1"/>
  <c r="S71" i="10" s="1"/>
  <c r="N71" i="10" a="1"/>
  <c r="N71" i="10" l="1"/>
  <c r="L71" i="10" a="1"/>
  <c r="L71" i="10" l="1"/>
  <c r="M71" i="10" s="1"/>
  <c r="O71" i="10"/>
  <c r="G71" i="10" a="1"/>
  <c r="G71" i="10" l="1"/>
  <c r="H71" i="10" s="1"/>
  <c r="P71" i="10"/>
  <c r="Q71" i="10" s="1"/>
  <c r="E71" i="10" a="1"/>
  <c r="E71" i="10" l="1"/>
  <c r="F71" i="10" s="1"/>
  <c r="C71" i="10"/>
  <c r="D71" i="10" s="1"/>
  <c r="A71" i="10" a="1"/>
  <c r="A71" i="10" l="1"/>
  <c r="B71" i="10" s="1"/>
  <c r="R70" i="10" a="1"/>
  <c r="R70" i="10" l="1"/>
  <c r="S70" i="10" s="1"/>
  <c r="N70" i="10" a="1"/>
  <c r="N70" i="10" l="1"/>
  <c r="L70" i="10" a="1"/>
  <c r="L70" i="10" l="1"/>
  <c r="O70" i="10"/>
  <c r="P70" i="10"/>
  <c r="G70" i="10" a="1"/>
  <c r="G70" i="10" l="1"/>
  <c r="E70" i="10" a="1"/>
  <c r="E70" i="10" l="1"/>
  <c r="F70" i="10" s="1"/>
  <c r="A70" i="10" a="1"/>
  <c r="A70" i="10" l="1"/>
  <c r="B70" i="10" s="1"/>
  <c r="C70" i="10"/>
  <c r="R69" i="10" a="1"/>
  <c r="R69" i="10" l="1"/>
  <c r="S69" i="10" s="1"/>
  <c r="N69" i="10" a="1"/>
  <c r="N69" i="10" l="1"/>
  <c r="L69" i="10" a="1"/>
  <c r="L69" i="10" l="1"/>
  <c r="M69" i="10" s="1"/>
  <c r="P69" i="10"/>
  <c r="Q69" i="10" s="1"/>
  <c r="O69" i="10"/>
  <c r="G69" i="10" a="1"/>
  <c r="G69" i="10" l="1"/>
  <c r="H69" i="10" s="1"/>
  <c r="E69" i="10" a="1"/>
  <c r="E69" i="10" l="1"/>
  <c r="F69" i="10" s="1"/>
  <c r="A69" i="10" a="1"/>
  <c r="A69" i="10" l="1"/>
  <c r="B69" i="10" s="1"/>
  <c r="C69" i="10"/>
  <c r="D69" i="10" s="1"/>
  <c r="R68" i="10" a="1"/>
  <c r="R68" i="10" l="1"/>
  <c r="S68" i="10" s="1"/>
  <c r="N68" i="10" a="1"/>
  <c r="N68" i="10" l="1"/>
  <c r="L68" i="10" a="1"/>
  <c r="L68" i="10" l="1"/>
  <c r="M68" i="10" s="1"/>
  <c r="P68" i="10"/>
  <c r="Q68" i="10" s="1"/>
  <c r="O68" i="10"/>
  <c r="G68" i="10" a="1"/>
  <c r="G68" i="10" l="1"/>
  <c r="H68" i="10" s="1"/>
  <c r="E68" i="10" a="1"/>
  <c r="E68" i="10" l="1"/>
  <c r="F68" i="10" s="1"/>
  <c r="A68" i="10" a="1"/>
  <c r="A68" i="10" l="1"/>
  <c r="B68" i="10" s="1"/>
  <c r="C68" i="10"/>
  <c r="D68" i="10" s="1"/>
  <c r="R67" i="10" a="1"/>
  <c r="R67" i="10" l="1"/>
  <c r="S67" i="10" s="1"/>
  <c r="N67" i="10" a="1"/>
  <c r="N67" i="10" l="1"/>
  <c r="L67" i="10" a="1"/>
  <c r="L67" i="10" l="1"/>
  <c r="M67" i="10" s="1"/>
  <c r="P67" i="10"/>
  <c r="Q67" i="10" s="1"/>
  <c r="O67" i="10"/>
  <c r="G67" i="10" a="1"/>
  <c r="G67" i="10" l="1"/>
  <c r="H67" i="10" s="1"/>
  <c r="E67" i="10" a="1"/>
  <c r="E67" i="10" l="1"/>
  <c r="F67" i="10" s="1"/>
  <c r="A67" i="10" a="1"/>
  <c r="A67" i="10" l="1"/>
  <c r="B67" i="10" s="1"/>
  <c r="C67" i="10"/>
  <c r="D67" i="10" s="1"/>
  <c r="R66" i="10" a="1"/>
  <c r="R66" i="10" l="1"/>
  <c r="N66" i="10" a="1"/>
  <c r="N66" i="10" l="1"/>
  <c r="L66" i="10" a="1"/>
  <c r="L66" i="10" l="1"/>
  <c r="P66" i="10"/>
  <c r="O66" i="10"/>
  <c r="G66" i="10" a="1"/>
  <c r="G66" i="10" l="1"/>
  <c r="E66" i="10" a="1"/>
  <c r="E66" i="10" l="1"/>
  <c r="F66" i="10" s="1"/>
  <c r="A66" i="10" a="1"/>
  <c r="A66" i="10" l="1"/>
  <c r="C66" i="10"/>
  <c r="R65" i="10" a="1"/>
  <c r="R65" i="10" l="1"/>
  <c r="S65" i="10" s="1"/>
  <c r="N65" i="10" a="1"/>
  <c r="N65" i="10" l="1"/>
  <c r="L65" i="10" a="1"/>
  <c r="L65" i="10" l="1"/>
  <c r="M65" i="10" s="1"/>
  <c r="P65" i="10"/>
  <c r="Q65" i="10" s="1"/>
  <c r="O65" i="10"/>
  <c r="G65" i="10" a="1"/>
  <c r="G65" i="10" l="1"/>
  <c r="H65" i="10" s="1"/>
  <c r="E65" i="10" a="1"/>
  <c r="E65" i="10" l="1"/>
  <c r="F65" i="10" s="1"/>
  <c r="C65" i="10"/>
  <c r="D65" i="10" s="1"/>
  <c r="A65" i="10" a="1"/>
  <c r="A65" i="10" l="1"/>
  <c r="B65" i="10" s="1"/>
  <c r="R64" i="10" a="1"/>
  <c r="R64" i="10" l="1"/>
  <c r="S64" i="10" s="1"/>
  <c r="N64" i="10" a="1"/>
  <c r="N64" i="10" l="1"/>
  <c r="L64" i="10" a="1"/>
  <c r="L64" i="10" l="1"/>
  <c r="M64" i="10" s="1"/>
  <c r="P64" i="10"/>
  <c r="Q64" i="10" s="1"/>
  <c r="O64" i="10"/>
  <c r="G64" i="10" a="1"/>
  <c r="G64" i="10" l="1"/>
  <c r="H64" i="10" s="1"/>
  <c r="E64" i="10" a="1"/>
  <c r="E64" i="10" l="1"/>
  <c r="F64" i="10" s="1"/>
  <c r="C64" i="10"/>
  <c r="D64" i="10" s="1"/>
  <c r="A64" i="10" a="1"/>
  <c r="A64" i="10" l="1"/>
  <c r="B64" i="10" s="1"/>
  <c r="R63" i="10" a="1"/>
  <c r="R63" i="10" l="1"/>
  <c r="S63" i="10" s="1"/>
  <c r="N63" i="10" a="1"/>
  <c r="N63" i="10" l="1"/>
  <c r="L63" i="10" a="1"/>
  <c r="L63" i="10" l="1"/>
  <c r="M63" i="10" s="1"/>
  <c r="O63" i="10"/>
  <c r="G63" i="10" a="1"/>
  <c r="G63" i="10" l="1"/>
  <c r="H63" i="10" s="1"/>
  <c r="P63" i="10"/>
  <c r="Q63" i="10" s="1"/>
  <c r="E63" i="10" a="1"/>
  <c r="E63" i="10" l="1"/>
  <c r="F63" i="10" s="1"/>
  <c r="C63" i="10"/>
  <c r="D63" i="10" s="1"/>
  <c r="A63" i="10" a="1"/>
  <c r="A63" i="10" l="1"/>
  <c r="B63" i="10" s="1"/>
  <c r="R62" i="10" a="1"/>
  <c r="R62" i="10" l="1"/>
  <c r="S62" i="10" s="1"/>
  <c r="N62" i="10" a="1"/>
  <c r="N62" i="10" l="1"/>
  <c r="L62" i="10" a="1"/>
  <c r="L62" i="10" l="1"/>
  <c r="M62" i="10" s="1"/>
  <c r="O62" i="10"/>
  <c r="P62" i="10"/>
  <c r="Q62" i="10" s="1"/>
  <c r="G62" i="10" a="1"/>
  <c r="G62" i="10" l="1"/>
  <c r="H62" i="10" s="1"/>
  <c r="E62" i="10" a="1"/>
  <c r="E62" i="10" l="1"/>
  <c r="F62" i="10" s="1"/>
  <c r="C62" i="10"/>
  <c r="D62" i="10" s="1"/>
  <c r="A62" i="10" a="1"/>
  <c r="A62" i="10" l="1"/>
  <c r="B62" i="10" s="1"/>
  <c r="R61" i="10" a="1"/>
  <c r="R61" i="10" l="1"/>
  <c r="S61" i="10" s="1"/>
  <c r="N61" i="10" a="1"/>
  <c r="N61" i="10" l="1"/>
  <c r="L61" i="10" a="1"/>
  <c r="L61" i="10" l="1"/>
  <c r="M61" i="10" s="1"/>
  <c r="O61" i="10"/>
  <c r="G61" i="10" a="1"/>
  <c r="P61" i="10" l="1"/>
  <c r="Q61" i="10" s="1"/>
  <c r="G61" i="10"/>
  <c r="H61" i="10" s="1"/>
  <c r="E61" i="10" a="1"/>
  <c r="E61" i="10" l="1"/>
  <c r="F61" i="10" s="1"/>
  <c r="C61" i="10"/>
  <c r="D61" i="10" s="1"/>
  <c r="A61" i="10" a="1"/>
  <c r="A61" i="10" l="1"/>
  <c r="B61" i="10" s="1"/>
  <c r="R60" i="10" a="1"/>
  <c r="R60" i="10" l="1"/>
  <c r="S60" i="10" s="1"/>
  <c r="N60" i="10" a="1"/>
  <c r="N60" i="10" l="1"/>
  <c r="L60" i="10" a="1"/>
  <c r="L60" i="10" l="1"/>
  <c r="M60" i="10" s="1"/>
  <c r="P60" i="10"/>
  <c r="Q60" i="10" s="1"/>
  <c r="O60" i="10"/>
  <c r="G60" i="10" a="1"/>
  <c r="G60" i="10" l="1"/>
  <c r="H60" i="10" s="1"/>
  <c r="E60" i="10" a="1"/>
  <c r="E60" i="10" l="1"/>
  <c r="F60" i="10" s="1"/>
  <c r="A60" i="10" a="1"/>
  <c r="A60" i="10" l="1"/>
  <c r="B60" i="10" s="1"/>
  <c r="C60" i="10"/>
  <c r="D60" i="10" s="1"/>
  <c r="R59" i="10" a="1"/>
  <c r="R59" i="10" l="1"/>
  <c r="S59" i="10" s="1"/>
  <c r="N59" i="10" a="1"/>
  <c r="N59" i="10" l="1"/>
  <c r="L59" i="10" a="1"/>
  <c r="L59" i="10" l="1"/>
  <c r="M59" i="10" s="1"/>
  <c r="O59" i="10"/>
  <c r="G59" i="10" a="1"/>
  <c r="G59" i="10" l="1"/>
  <c r="H59" i="10" s="1"/>
  <c r="P59" i="10"/>
  <c r="Q59" i="10" s="1"/>
  <c r="E59" i="10" a="1"/>
  <c r="E59" i="10" l="1"/>
  <c r="F59" i="10" s="1"/>
  <c r="A59" i="10" a="1"/>
  <c r="A59" i="10" l="1"/>
  <c r="B59" i="10" s="1"/>
  <c r="C59" i="10"/>
  <c r="D59" i="10" s="1"/>
  <c r="R58" i="10" a="1"/>
  <c r="R58" i="10" l="1"/>
  <c r="N58" i="10" a="1"/>
  <c r="N58" i="10" l="1"/>
  <c r="L58" i="10" a="1"/>
  <c r="L58" i="10" l="1"/>
  <c r="M58" i="10" s="1"/>
  <c r="P58" i="10"/>
  <c r="Q58" i="10" s="1"/>
  <c r="O58" i="10"/>
  <c r="G58" i="10" a="1"/>
  <c r="G58" i="10" l="1"/>
  <c r="H58" i="10" s="1"/>
  <c r="E58" i="10" a="1"/>
  <c r="E58" i="10" l="1"/>
  <c r="F58" i="10" s="1"/>
  <c r="C58" i="10"/>
  <c r="D58" i="10" s="1"/>
  <c r="A58" i="10" a="1"/>
  <c r="A58" i="10" l="1"/>
  <c r="R57" i="10" a="1"/>
  <c r="R57" i="10" l="1"/>
  <c r="S57" i="10" s="1"/>
  <c r="N57" i="10" a="1"/>
  <c r="N57" i="10" l="1"/>
  <c r="L57" i="10" a="1"/>
  <c r="L57" i="10" l="1"/>
  <c r="O57" i="10"/>
  <c r="P57" i="10"/>
  <c r="G57" i="10" a="1"/>
  <c r="G57" i="10" l="1"/>
  <c r="E57" i="10" a="1"/>
  <c r="E57" i="10" l="1"/>
  <c r="F57" i="10" s="1"/>
  <c r="A57" i="10" a="1"/>
  <c r="A57" i="10" l="1"/>
  <c r="B57" i="10" s="1"/>
  <c r="C57" i="10"/>
  <c r="R56" i="10" a="1"/>
  <c r="R56" i="10" l="1"/>
  <c r="N56" i="10" a="1"/>
  <c r="N56" i="10" l="1"/>
  <c r="L56" i="10" a="1"/>
  <c r="L56" i="10" l="1"/>
  <c r="M56" i="10" s="1"/>
  <c r="O56" i="10"/>
  <c r="G56" i="10" a="1"/>
  <c r="G56" i="10" l="1"/>
  <c r="H56" i="10" s="1"/>
  <c r="P56" i="10"/>
  <c r="Q56" i="10" s="1"/>
  <c r="E56" i="10" a="1"/>
  <c r="E56" i="10" l="1"/>
  <c r="F56" i="10" s="1"/>
  <c r="C56" i="10"/>
  <c r="D56" i="10" s="1"/>
  <c r="A56" i="10" a="1"/>
  <c r="A56" i="10" l="1"/>
  <c r="R55" i="10" a="1"/>
  <c r="R55" i="10" l="1"/>
  <c r="S55" i="10" s="1"/>
  <c r="N55" i="10" a="1"/>
  <c r="N55" i="10" l="1"/>
  <c r="L55" i="10" a="1"/>
  <c r="L55" i="10" l="1"/>
  <c r="P55" i="10"/>
  <c r="O55" i="10"/>
  <c r="G55" i="10" a="1"/>
  <c r="G55" i="10" l="1"/>
  <c r="E55" i="10" a="1"/>
  <c r="E55" i="10" l="1"/>
  <c r="F55" i="10" s="1"/>
  <c r="A55" i="10" a="1"/>
  <c r="A55" i="10" l="1"/>
  <c r="B55" i="10" s="1"/>
  <c r="C55" i="10"/>
  <c r="R54" i="10" a="1"/>
  <c r="R54" i="10" l="1"/>
  <c r="S54" i="10" s="1"/>
  <c r="N54" i="10" a="1"/>
  <c r="N54" i="10" l="1"/>
  <c r="L54" i="10" a="1"/>
  <c r="L54" i="10" l="1"/>
  <c r="P54" i="10" s="1"/>
  <c r="O54" i="10"/>
  <c r="G54" i="10" a="1"/>
  <c r="G54" i="10" l="1"/>
  <c r="E54" i="10" a="1"/>
  <c r="E54" i="10" l="1"/>
  <c r="F54" i="10" s="1"/>
  <c r="A54" i="10" a="1"/>
  <c r="A54" i="10" l="1"/>
  <c r="B54" i="10" s="1"/>
  <c r="C54" i="10"/>
  <c r="R53" i="10" a="1"/>
  <c r="R53" i="10" l="1"/>
  <c r="S53" i="10" s="1"/>
  <c r="N53" i="10" a="1"/>
  <c r="N53" i="10" l="1"/>
  <c r="L53" i="10" a="1"/>
  <c r="L53" i="10" l="1"/>
  <c r="M53" i="10" s="1"/>
  <c r="P53" i="10"/>
  <c r="Q53" i="10" s="1"/>
  <c r="O53" i="10"/>
  <c r="G53" i="10" a="1"/>
  <c r="G53" i="10" l="1"/>
  <c r="H53" i="10" s="1"/>
  <c r="E53" i="10" a="1"/>
  <c r="E53" i="10" l="1"/>
  <c r="F53" i="10" s="1"/>
  <c r="C53" i="10"/>
  <c r="D53" i="10" s="1"/>
  <c r="A53" i="10" a="1"/>
  <c r="A53" i="10" l="1"/>
  <c r="B53" i="10" s="1"/>
  <c r="R52" i="10" a="1"/>
  <c r="R52" i="10" l="1"/>
  <c r="S52" i="10" s="1"/>
  <c r="N52" i="10" a="1"/>
  <c r="N52" i="10" l="1"/>
  <c r="L52" i="10" a="1"/>
  <c r="L52" i="10" l="1"/>
  <c r="M52" i="10" s="1"/>
  <c r="O52" i="10"/>
  <c r="P52" i="10"/>
  <c r="Q52" i="10" s="1"/>
  <c r="G52" i="10" a="1"/>
  <c r="G52" i="10" l="1"/>
  <c r="H52" i="10" s="1"/>
  <c r="E52" i="10" a="1"/>
  <c r="E52" i="10" l="1"/>
  <c r="F52" i="10" s="1"/>
  <c r="C52" i="10"/>
  <c r="D52" i="10" s="1"/>
  <c r="A52" i="10" a="1"/>
  <c r="A52" i="10" l="1"/>
  <c r="B52" i="10" s="1"/>
  <c r="R51" i="10" a="1"/>
  <c r="R51" i="10" l="1"/>
  <c r="S51" i="10" s="1"/>
  <c r="N51" i="10" a="1"/>
  <c r="N51" i="10" l="1"/>
  <c r="L51" i="10" a="1"/>
  <c r="L51" i="10" l="1"/>
  <c r="P51" i="10"/>
  <c r="O51" i="10"/>
  <c r="G51" i="10" a="1"/>
  <c r="G51" i="10" l="1"/>
  <c r="E51" i="10" a="1"/>
  <c r="E51" i="10" l="1"/>
  <c r="F51" i="10" s="1"/>
  <c r="C51" i="10"/>
  <c r="A51" i="10" a="1"/>
  <c r="A51" i="10" l="1"/>
  <c r="B51" i="10" s="1"/>
  <c r="R50" i="10" a="1"/>
  <c r="R50" i="10" l="1"/>
  <c r="S50" i="10" s="1"/>
  <c r="N50" i="10" a="1"/>
  <c r="N50" i="10" l="1"/>
  <c r="L50" i="10" a="1"/>
  <c r="L50" i="10" l="1"/>
  <c r="M50" i="10" s="1"/>
  <c r="P50" i="10"/>
  <c r="Q50" i="10" s="1"/>
  <c r="O50" i="10"/>
  <c r="G50" i="10" a="1"/>
  <c r="G50" i="10" l="1"/>
  <c r="H50" i="10" s="1"/>
  <c r="E50" i="10" a="1"/>
  <c r="E50" i="10" l="1"/>
  <c r="F50" i="10" s="1"/>
  <c r="C50" i="10"/>
  <c r="D50" i="10" s="1"/>
  <c r="A50" i="10" a="1"/>
  <c r="A50" i="10" l="1"/>
  <c r="B50" i="10" s="1"/>
  <c r="R49" i="10" a="1"/>
  <c r="R49" i="10" l="1"/>
  <c r="S49" i="10" s="1"/>
  <c r="N49" i="10" a="1"/>
  <c r="N49" i="10" l="1"/>
  <c r="L49" i="10" a="1"/>
  <c r="L49" i="10" l="1"/>
  <c r="M49" i="10" s="1"/>
  <c r="P49" i="10"/>
  <c r="Q49" i="10" s="1"/>
  <c r="O49" i="10"/>
  <c r="G49" i="10" a="1"/>
  <c r="G49" i="10" l="1"/>
  <c r="H49" i="10" s="1"/>
  <c r="E49" i="10" a="1"/>
  <c r="E49" i="10" l="1"/>
  <c r="F49" i="10" s="1"/>
  <c r="C49" i="10"/>
  <c r="D49" i="10" s="1"/>
  <c r="A49" i="10" a="1"/>
  <c r="A49" i="10" l="1"/>
  <c r="B49" i="10" s="1"/>
  <c r="R48" i="10" a="1"/>
  <c r="R48" i="10" l="1"/>
  <c r="S48" i="10" s="1"/>
  <c r="N48" i="10" a="1"/>
  <c r="N48" i="10" l="1"/>
  <c r="L48" i="10" a="1"/>
  <c r="L48" i="10" l="1"/>
  <c r="M48" i="10" s="1"/>
  <c r="O48" i="10"/>
  <c r="P48" i="10"/>
  <c r="Q48" i="10" s="1"/>
  <c r="G48" i="10" a="1"/>
  <c r="G48" i="10" l="1"/>
  <c r="H48" i="10" s="1"/>
  <c r="E48" i="10" a="1"/>
  <c r="E48" i="10" l="1"/>
  <c r="F48" i="10" s="1"/>
  <c r="C48" i="10"/>
  <c r="D48" i="10" s="1"/>
  <c r="A48" i="10" a="1"/>
  <c r="A48" i="10" l="1"/>
  <c r="B48" i="10" s="1"/>
  <c r="R47" i="10" a="1"/>
  <c r="R47" i="10" l="1"/>
  <c r="S47" i="10" s="1"/>
  <c r="N47" i="10" a="1"/>
  <c r="N47" i="10" l="1"/>
  <c r="L47" i="10" a="1"/>
  <c r="L47" i="10" l="1"/>
  <c r="M47" i="10" s="1"/>
  <c r="O47" i="10"/>
  <c r="P47" i="10"/>
  <c r="Q47" i="10" s="1"/>
  <c r="G47" i="10" a="1"/>
  <c r="G47" i="10" l="1"/>
  <c r="H47" i="10" s="1"/>
  <c r="E47" i="10" a="1"/>
  <c r="E47" i="10" l="1"/>
  <c r="F47" i="10" s="1"/>
  <c r="C47" i="10"/>
  <c r="D47" i="10" s="1"/>
  <c r="A47" i="10" a="1"/>
  <c r="A47" i="10" l="1"/>
  <c r="B47" i="10" s="1"/>
  <c r="R46" i="10" a="1"/>
  <c r="R46" i="10" l="1"/>
  <c r="S46" i="10" s="1"/>
  <c r="N46" i="10" a="1"/>
  <c r="N46" i="10" l="1"/>
  <c r="L46" i="10" a="1"/>
  <c r="L46" i="10" l="1"/>
  <c r="M46" i="10" s="1"/>
  <c r="O46" i="10"/>
  <c r="P46" i="10"/>
  <c r="Q46" i="10" s="1"/>
  <c r="G46" i="10" a="1"/>
  <c r="G46" i="10" l="1"/>
  <c r="H46" i="10" s="1"/>
  <c r="E46" i="10" a="1"/>
  <c r="E46" i="10" l="1"/>
  <c r="F46" i="10" s="1"/>
  <c r="C46" i="10"/>
  <c r="D46" i="10" s="1"/>
  <c r="A46" i="10" a="1"/>
  <c r="A46" i="10" l="1"/>
  <c r="B46" i="10" s="1"/>
  <c r="R45" i="10" a="1"/>
  <c r="R45" i="10" l="1"/>
  <c r="S45" i="10" s="1"/>
  <c r="N45" i="10" a="1"/>
  <c r="N45" i="10" l="1"/>
  <c r="L45" i="10" a="1"/>
  <c r="L45" i="10" l="1"/>
  <c r="M45" i="10" s="1"/>
  <c r="O45" i="10"/>
  <c r="P45" i="10"/>
  <c r="Q45" i="10" s="1"/>
  <c r="G45" i="10" a="1"/>
  <c r="G45" i="10" l="1"/>
  <c r="H45" i="10" s="1"/>
  <c r="E45" i="10" a="1"/>
  <c r="E45" i="10" l="1"/>
  <c r="F45" i="10" s="1"/>
  <c r="C45" i="10"/>
  <c r="D45" i="10" s="1"/>
  <c r="A45" i="10" a="1"/>
  <c r="A45" i="10" l="1"/>
  <c r="B45" i="10" s="1"/>
  <c r="R44" i="10" a="1"/>
  <c r="R44" i="10" l="1"/>
  <c r="S44" i="10" s="1"/>
  <c r="N44" i="10" a="1"/>
  <c r="N44" i="10" l="1"/>
  <c r="L44" i="10" a="1"/>
  <c r="L44" i="10" l="1"/>
  <c r="M44" i="10" s="1"/>
  <c r="P44" i="10"/>
  <c r="Q44" i="10" s="1"/>
  <c r="O44" i="10"/>
  <c r="G44" i="10" a="1"/>
  <c r="G44" i="10" l="1"/>
  <c r="H44" i="10" s="1"/>
  <c r="E44" i="10" a="1"/>
  <c r="E44" i="10" l="1"/>
  <c r="F44" i="10" s="1"/>
  <c r="C44" i="10"/>
  <c r="D44" i="10" s="1"/>
  <c r="A44" i="10" a="1"/>
  <c r="A44" i="10" l="1"/>
  <c r="B44" i="10" s="1"/>
  <c r="R43" i="10" a="1"/>
  <c r="R43" i="10" l="1"/>
  <c r="S43" i="10" s="1"/>
  <c r="N43" i="10" a="1"/>
  <c r="N43" i="10" l="1"/>
  <c r="L43" i="10" a="1"/>
  <c r="L43" i="10" l="1"/>
  <c r="M43" i="10" s="1"/>
  <c r="O43" i="10"/>
  <c r="P43" i="10"/>
  <c r="Q43" i="10" s="1"/>
  <c r="G43" i="10" a="1"/>
  <c r="G43" i="10" l="1"/>
  <c r="H43" i="10" s="1"/>
  <c r="E43" i="10" a="1"/>
  <c r="E43" i="10" l="1"/>
  <c r="F43" i="10" s="1"/>
  <c r="A43" i="10" a="1"/>
  <c r="C43" i="10" l="1"/>
  <c r="D43" i="10" s="1"/>
  <c r="A43" i="10"/>
  <c r="B43" i="10" s="1"/>
  <c r="R42" i="10" a="1"/>
  <c r="R42" i="10" l="1"/>
  <c r="S42" i="10" s="1"/>
  <c r="N42" i="10" a="1"/>
  <c r="N42" i="10" l="1"/>
  <c r="L42" i="10" a="1"/>
  <c r="L42" i="10" l="1"/>
  <c r="M42" i="10" s="1"/>
  <c r="O42" i="10"/>
  <c r="G42" i="10" a="1"/>
  <c r="G42" i="10" l="1"/>
  <c r="H42" i="10" s="1"/>
  <c r="P42" i="10"/>
  <c r="Q42" i="10" s="1"/>
  <c r="E42" i="10" a="1"/>
  <c r="E42" i="10" l="1"/>
  <c r="F42" i="10" s="1"/>
  <c r="C42" i="10"/>
  <c r="D42" i="10" s="1"/>
  <c r="A42" i="10" a="1"/>
  <c r="A42" i="10" l="1"/>
  <c r="B42" i="10" s="1"/>
  <c r="R41" i="10" a="1"/>
  <c r="R41" i="10" l="1"/>
  <c r="S41" i="10" s="1"/>
  <c r="N41" i="10" a="1"/>
  <c r="N41" i="10" l="1"/>
  <c r="L41" i="10" a="1"/>
  <c r="L41" i="10" l="1"/>
  <c r="M41" i="10" s="1"/>
  <c r="O41" i="10"/>
  <c r="P41" i="10"/>
  <c r="Q41" i="10" s="1"/>
  <c r="G41" i="10" a="1"/>
  <c r="G41" i="10" l="1"/>
  <c r="H41" i="10" s="1"/>
  <c r="E41" i="10" a="1"/>
  <c r="E41" i="10" l="1"/>
  <c r="F41" i="10" s="1"/>
  <c r="C41" i="10"/>
  <c r="D41" i="10" s="1"/>
  <c r="A41" i="10" a="1"/>
  <c r="A41" i="10" l="1"/>
  <c r="B41" i="10" s="1"/>
  <c r="R40" i="10" a="1"/>
  <c r="R40" i="10" l="1"/>
  <c r="S40" i="10" s="1"/>
  <c r="N40" i="10" a="1"/>
  <c r="N40" i="10" l="1"/>
  <c r="L40" i="10" a="1"/>
  <c r="L40" i="10" l="1"/>
  <c r="P40" i="10" s="1"/>
  <c r="O40" i="10"/>
  <c r="G40" i="10" a="1"/>
  <c r="G40" i="10" l="1"/>
  <c r="E40" i="10" a="1"/>
  <c r="E40" i="10" l="1"/>
  <c r="F40" i="10" s="1"/>
  <c r="C40" i="10"/>
  <c r="A40" i="10" a="1"/>
  <c r="A40" i="10" l="1"/>
  <c r="B40" i="10" s="1"/>
  <c r="R39" i="10" a="1"/>
  <c r="R39" i="10" l="1"/>
  <c r="N39" i="10" a="1"/>
  <c r="N39" i="10" l="1"/>
  <c r="L39" i="10" a="1"/>
  <c r="L39" i="10" l="1"/>
  <c r="P39" i="10"/>
  <c r="O39" i="10"/>
  <c r="G39" i="10" a="1"/>
  <c r="G39" i="10" l="1"/>
  <c r="E39" i="10" a="1"/>
  <c r="E39" i="10" l="1"/>
  <c r="F39" i="10" s="1"/>
  <c r="A39" i="10" a="1"/>
  <c r="A39" i="10" l="1"/>
  <c r="C39" i="10"/>
  <c r="R38" i="10" a="1"/>
  <c r="R38" i="10" l="1"/>
  <c r="S38" i="10" s="1"/>
  <c r="N38" i="10" a="1"/>
  <c r="N38" i="10" l="1"/>
  <c r="L38" i="10" a="1"/>
  <c r="L38" i="10" l="1"/>
  <c r="M38" i="10" s="1"/>
  <c r="P38" i="10"/>
  <c r="Q38" i="10" s="1"/>
  <c r="O38" i="10"/>
  <c r="G38" i="10" a="1"/>
  <c r="G38" i="10" l="1"/>
  <c r="H38" i="10" s="1"/>
  <c r="E38" i="10" a="1"/>
  <c r="E38" i="10" l="1"/>
  <c r="F38" i="10" s="1"/>
  <c r="C38" i="10"/>
  <c r="D38" i="10" s="1"/>
  <c r="A38" i="10" a="1"/>
  <c r="A38" i="10" l="1"/>
  <c r="B38" i="10" s="1"/>
  <c r="R37" i="10" a="1"/>
  <c r="R37" i="10" l="1"/>
  <c r="S37" i="10" s="1"/>
  <c r="N37" i="10" a="1"/>
  <c r="N37" i="10" l="1"/>
  <c r="L37" i="10" a="1"/>
  <c r="L37" i="10" l="1"/>
  <c r="O37" i="10"/>
  <c r="G37" i="10" a="1"/>
  <c r="G37" i="10" l="1"/>
  <c r="P37" i="10"/>
  <c r="E37" i="10" a="1"/>
  <c r="E37" i="10" l="1"/>
  <c r="F37" i="10" s="1"/>
  <c r="C37" i="10"/>
  <c r="A37" i="10" a="1"/>
  <c r="A37" i="10" l="1"/>
  <c r="B37" i="10" s="1"/>
  <c r="R36" i="10" a="1"/>
  <c r="R36" i="10" l="1"/>
  <c r="N36" i="10" a="1"/>
  <c r="N36" i="10" l="1"/>
  <c r="R77" i="10"/>
  <c r="S36" i="10"/>
  <c r="L36" i="10" a="1"/>
  <c r="L36" i="10" l="1"/>
  <c r="N77" i="10"/>
  <c r="O77" i="10" s="1"/>
  <c r="O36" i="10"/>
  <c r="G36" i="10" a="1"/>
  <c r="G36" i="10" l="1"/>
  <c r="L77" i="10"/>
  <c r="P36" i="10"/>
  <c r="E36" i="10" a="1"/>
  <c r="E36" i="10" l="1"/>
  <c r="C36" i="10" s="1"/>
  <c r="P77" i="10"/>
  <c r="G77" i="10"/>
  <c r="A36" i="10" a="1"/>
  <c r="A36" i="10" l="1"/>
  <c r="C77" i="10"/>
  <c r="E77" i="10"/>
  <c r="F77" i="10" s="1"/>
  <c r="F36" i="10"/>
  <c r="R32" i="10" a="1"/>
  <c r="R32" i="10" l="1"/>
  <c r="S32" i="10" s="1"/>
  <c r="A77" i="10"/>
  <c r="B36" i="10"/>
  <c r="N32" i="10" a="1"/>
  <c r="N32" i="10" l="1"/>
  <c r="L32" i="10" a="1"/>
  <c r="L32" i="10" l="1"/>
  <c r="M32" i="10" s="1"/>
  <c r="O32" i="10"/>
  <c r="G32" i="10" a="1"/>
  <c r="G32" i="10" l="1"/>
  <c r="H32" i="10" s="1"/>
  <c r="P32" i="10"/>
  <c r="Q32" i="10" s="1"/>
  <c r="E32" i="10" a="1"/>
  <c r="E32" i="10" l="1"/>
  <c r="F32" i="10" s="1"/>
  <c r="C32" i="10"/>
  <c r="D32" i="10" s="1"/>
  <c r="A32" i="10" a="1"/>
  <c r="A32" i="10" l="1"/>
  <c r="B32" i="10" s="1"/>
  <c r="R31" i="10" a="1"/>
  <c r="R31" i="10" l="1"/>
  <c r="S31" i="10" s="1"/>
  <c r="N31" i="10" a="1"/>
  <c r="N31" i="10" l="1"/>
  <c r="L31" i="10" a="1"/>
  <c r="L31" i="10" l="1"/>
  <c r="O31" i="10"/>
  <c r="G31" i="10" a="1"/>
  <c r="G31" i="10" l="1"/>
  <c r="P31" i="10"/>
  <c r="E31" i="10" a="1"/>
  <c r="E31" i="10" l="1"/>
  <c r="F31" i="10" s="1"/>
  <c r="A31" i="10" a="1"/>
  <c r="A31" i="10" l="1"/>
  <c r="B31" i="10" s="1"/>
  <c r="C31" i="10"/>
  <c r="R30" i="10" a="1"/>
  <c r="R30" i="10" l="1"/>
  <c r="S30" i="10" s="1"/>
  <c r="N30" i="10" a="1"/>
  <c r="N30" i="10" l="1"/>
  <c r="L30" i="10" a="1"/>
  <c r="L30" i="10" l="1"/>
  <c r="P30" i="10"/>
  <c r="O30" i="10"/>
  <c r="G30" i="10" a="1"/>
  <c r="G30" i="10" l="1"/>
  <c r="E30" i="10" a="1"/>
  <c r="E30" i="10" l="1"/>
  <c r="F30" i="10" s="1"/>
  <c r="A30" i="10" a="1"/>
  <c r="A30" i="10" l="1"/>
  <c r="B30" i="10" s="1"/>
  <c r="C30" i="10"/>
  <c r="R29" i="10" a="1"/>
  <c r="R29" i="10" l="1"/>
  <c r="S29" i="10" s="1"/>
  <c r="N29" i="10" a="1"/>
  <c r="N29" i="10" l="1"/>
  <c r="L29" i="10" a="1"/>
  <c r="L29" i="10" l="1"/>
  <c r="M29" i="10" s="1"/>
  <c r="O29" i="10"/>
  <c r="G29" i="10" a="1"/>
  <c r="G29" i="10" l="1"/>
  <c r="H29" i="10" s="1"/>
  <c r="P29" i="10"/>
  <c r="Q29" i="10" s="1"/>
  <c r="E29" i="10" a="1"/>
  <c r="E29" i="10" l="1"/>
  <c r="F29" i="10" s="1"/>
  <c r="A29" i="10" a="1"/>
  <c r="A29" i="10" l="1"/>
  <c r="B29" i="10" s="1"/>
  <c r="C29" i="10"/>
  <c r="D29" i="10" s="1"/>
  <c r="R28" i="10" a="1"/>
  <c r="R28" i="10" l="1"/>
  <c r="S28" i="10" s="1"/>
  <c r="N28" i="10" a="1"/>
  <c r="N28" i="10" l="1"/>
  <c r="L28" i="10" a="1"/>
  <c r="L28" i="10" l="1"/>
  <c r="O28" i="10"/>
  <c r="G28" i="10"/>
  <c r="P28" i="10" l="1"/>
  <c r="E28" i="10" a="1"/>
  <c r="E28" i="10" l="1"/>
  <c r="F28" i="10" s="1"/>
  <c r="C28" i="10"/>
  <c r="A28" i="10" a="1"/>
  <c r="A28" i="10" l="1"/>
  <c r="B28" i="10" s="1"/>
  <c r="R27" i="10" a="1"/>
  <c r="R27" i="10" l="1"/>
  <c r="S27" i="10" s="1"/>
  <c r="N27" i="10" a="1"/>
  <c r="N27" i="10" l="1"/>
  <c r="L27" i="10" a="1"/>
  <c r="L27" i="10" l="1"/>
  <c r="P27" i="10"/>
  <c r="O27" i="10"/>
  <c r="G27" i="10" a="1"/>
  <c r="G27" i="10" l="1"/>
  <c r="E27" i="10" a="1"/>
  <c r="E27" i="10" l="1"/>
  <c r="F27" i="10" s="1"/>
  <c r="C27" i="10"/>
  <c r="A27" i="10" a="1"/>
  <c r="A27" i="10" l="1"/>
  <c r="B27" i="10" s="1"/>
  <c r="R26" i="10" a="1"/>
  <c r="R26" i="10" l="1"/>
  <c r="S26" i="10" s="1"/>
  <c r="N26" i="10" a="1"/>
  <c r="N26" i="10" l="1"/>
  <c r="L26" i="10" a="1"/>
  <c r="L26" i="10" l="1"/>
  <c r="O26" i="10"/>
  <c r="G26" i="10"/>
  <c r="P26" i="10" l="1"/>
  <c r="E26" i="10" a="1"/>
  <c r="E26" i="10" l="1"/>
  <c r="F26" i="10" s="1"/>
  <c r="A26" i="10" a="1"/>
  <c r="A26" i="10" l="1"/>
  <c r="B26" i="10" s="1"/>
  <c r="C26" i="10"/>
  <c r="R25" i="10" a="1"/>
  <c r="R25" i="10" l="1"/>
  <c r="N25" i="10" a="1"/>
  <c r="N25" i="10" l="1"/>
  <c r="R34" i="10"/>
  <c r="L25" i="10" a="1"/>
  <c r="L25" i="10" l="1"/>
  <c r="N34" i="10"/>
  <c r="O34" i="10" s="1"/>
  <c r="O25" i="10"/>
  <c r="G25" i="10" a="1"/>
  <c r="G25" i="10" l="1"/>
  <c r="L34" i="10"/>
  <c r="P25" i="10"/>
  <c r="E25" i="10" a="1"/>
  <c r="E25" i="10" l="1"/>
  <c r="G34" i="10"/>
  <c r="P34" i="10"/>
  <c r="A25" i="10" a="1"/>
  <c r="A25" i="10" l="1"/>
  <c r="E34" i="10"/>
  <c r="F34" i="10" s="1"/>
  <c r="F25" i="10"/>
  <c r="C25" i="10"/>
  <c r="R21" i="10" a="1"/>
  <c r="R21" i="10" l="1"/>
  <c r="S21" i="10" s="1"/>
  <c r="A34" i="10"/>
  <c r="C34" i="10"/>
  <c r="N21" i="10" a="1"/>
  <c r="N21" i="10" l="1"/>
  <c r="L21" i="10" a="1"/>
  <c r="L21" i="10" l="1"/>
  <c r="M21" i="10" s="1"/>
  <c r="O21" i="10"/>
  <c r="G21" i="10" a="1"/>
  <c r="G21" i="10" l="1"/>
  <c r="H21" i="10" s="1"/>
  <c r="P21" i="10"/>
  <c r="Q21" i="10" s="1"/>
  <c r="E21" i="10" a="1"/>
  <c r="E21" i="10" l="1"/>
  <c r="F21" i="10" s="1"/>
  <c r="A21" i="10" a="1"/>
  <c r="A21" i="10" l="1"/>
  <c r="B21" i="10" s="1"/>
  <c r="C21" i="10"/>
  <c r="D21" i="10" s="1"/>
  <c r="R20" i="10" a="1"/>
  <c r="R20" i="10" l="1"/>
  <c r="S20" i="10" s="1"/>
  <c r="N20" i="10" a="1"/>
  <c r="N20" i="10" l="1"/>
  <c r="L20" i="10" a="1"/>
  <c r="L20" i="10" l="1"/>
  <c r="M20" i="10" s="1"/>
  <c r="P20" i="10"/>
  <c r="Q20" i="10" s="1"/>
  <c r="O20" i="10"/>
  <c r="G20" i="10" a="1"/>
  <c r="G20" i="10" l="1"/>
  <c r="H20" i="10" s="1"/>
  <c r="E20" i="10" a="1"/>
  <c r="E20" i="10" l="1"/>
  <c r="F20" i="10" s="1"/>
  <c r="C20" i="10"/>
  <c r="D20" i="10" s="1"/>
  <c r="A20" i="10" a="1"/>
  <c r="A20" i="10" l="1"/>
  <c r="B20" i="10" s="1"/>
  <c r="R19" i="10" a="1"/>
  <c r="R19" i="10" l="1"/>
  <c r="S19" i="10" s="1"/>
  <c r="N19" i="10" a="1"/>
  <c r="N19" i="10" l="1"/>
  <c r="L19" i="10" a="1"/>
  <c r="L19" i="10" l="1"/>
  <c r="M19" i="10" s="1"/>
  <c r="O19" i="10"/>
  <c r="P19" i="10"/>
  <c r="Q19" i="10" s="1"/>
  <c r="G19" i="10" a="1"/>
  <c r="G19" i="10" l="1"/>
  <c r="H19" i="10" s="1"/>
  <c r="E19" i="10" a="1"/>
  <c r="E19" i="10" l="1"/>
  <c r="F19" i="10" s="1"/>
  <c r="C19" i="10"/>
  <c r="D19" i="10" s="1"/>
  <c r="A19" i="10" a="1"/>
  <c r="A19" i="10" l="1"/>
  <c r="B19" i="10" s="1"/>
  <c r="R18" i="10" a="1"/>
  <c r="R18" i="10" l="1"/>
  <c r="S18" i="10" s="1"/>
  <c r="N18" i="10" a="1"/>
  <c r="N18" i="10" l="1"/>
  <c r="L18" i="10" a="1"/>
  <c r="L18" i="10" l="1"/>
  <c r="M18" i="10" s="1"/>
  <c r="O18" i="10"/>
  <c r="P18" i="10"/>
  <c r="Q18" i="10" s="1"/>
  <c r="G18" i="10"/>
  <c r="H18" i="10" l="1"/>
  <c r="E18" i="10" a="1"/>
  <c r="E18" i="10" l="1"/>
  <c r="F18" i="10" s="1"/>
  <c r="C18" i="10"/>
  <c r="D18" i="10" s="1"/>
  <c r="A18" i="10" a="1"/>
  <c r="A18" i="10" l="1"/>
  <c r="B18" i="10" s="1"/>
  <c r="R17" i="10" a="1"/>
  <c r="R17" i="10" l="1"/>
  <c r="N17" i="10" a="1"/>
  <c r="N17" i="10" l="1"/>
  <c r="L17" i="10" a="1"/>
  <c r="L17" i="10" l="1"/>
  <c r="O17" i="10"/>
  <c r="P17" i="10"/>
  <c r="G17" i="10" a="1"/>
  <c r="G17" i="10" l="1"/>
  <c r="E17" i="10" a="1"/>
  <c r="E17" i="10" l="1"/>
  <c r="F17" i="10" s="1"/>
  <c r="A17" i="10" a="1"/>
  <c r="A17" i="10" l="1"/>
  <c r="C17" i="10"/>
  <c r="R16" i="10" a="1"/>
  <c r="R16" i="10" l="1"/>
  <c r="N16" i="10" a="1"/>
  <c r="N16" i="10" l="1"/>
  <c r="R23" i="10"/>
  <c r="L16" i="10" a="1"/>
  <c r="L16" i="10" l="1"/>
  <c r="P16" i="10" s="1"/>
  <c r="R79" i="10"/>
  <c r="N23" i="10"/>
  <c r="O16" i="10"/>
  <c r="G16" i="10"/>
  <c r="G23" i="10" l="1"/>
  <c r="L23" i="10"/>
  <c r="P23" i="10"/>
  <c r="N79" i="10"/>
  <c r="O79" i="10" s="1"/>
  <c r="O23" i="10"/>
  <c r="E16" i="10" a="1"/>
  <c r="E16" i="10" l="1"/>
  <c r="C16" i="10" s="1"/>
  <c r="C23" i="10" s="1"/>
  <c r="G79" i="10"/>
  <c r="P79" i="10"/>
  <c r="L79" i="10"/>
  <c r="A16" i="10" a="1"/>
  <c r="A16" i="10" l="1"/>
  <c r="C79" i="10"/>
  <c r="E23" i="10"/>
  <c r="F16" i="10"/>
  <c r="R12" i="10" a="1"/>
  <c r="R12" i="10" l="1"/>
  <c r="E79" i="10"/>
  <c r="F79" i="10" s="1"/>
  <c r="F23" i="10"/>
  <c r="A23" i="10"/>
  <c r="N12" i="10" a="1"/>
  <c r="N12" i="10" l="1"/>
  <c r="A79" i="10"/>
  <c r="L12" i="10" a="1"/>
  <c r="L12" i="10" l="1"/>
  <c r="O12" i="10"/>
  <c r="G12" i="10" a="1"/>
  <c r="G12" i="10" l="1"/>
  <c r="P12" i="10"/>
  <c r="E12" i="10" a="1"/>
  <c r="E12" i="10" l="1"/>
  <c r="F12" i="10" s="1"/>
  <c r="A12" i="10" a="1"/>
  <c r="A12" i="10" l="1"/>
  <c r="C12" i="10"/>
  <c r="R11" i="10" a="1"/>
  <c r="R11" i="10" l="1"/>
  <c r="N11" i="10" a="1"/>
  <c r="N11" i="10" l="1"/>
  <c r="L11" i="10" a="1"/>
  <c r="L11" i="10" l="1"/>
  <c r="M11" i="10" s="1"/>
  <c r="O11" i="10"/>
  <c r="G11" i="10" a="1"/>
  <c r="G11" i="10" l="1"/>
  <c r="H11" i="10" s="1"/>
  <c r="P11" i="10"/>
  <c r="Q11" i="10" s="1"/>
  <c r="E11" i="10" a="1"/>
  <c r="E11" i="10" l="1"/>
  <c r="F11" i="10" s="1"/>
  <c r="C11" i="10"/>
  <c r="D11" i="10" s="1"/>
  <c r="A11" i="10" a="1"/>
  <c r="A11" i="10" l="1"/>
  <c r="R10" i="10" a="1"/>
  <c r="R10" i="10" l="1"/>
  <c r="S10" i="10" s="1"/>
  <c r="N10" i="10" a="1"/>
  <c r="N10" i="10" l="1"/>
  <c r="L10" i="10" a="1"/>
  <c r="L10" i="10" l="1"/>
  <c r="M10" i="10" s="1"/>
  <c r="P10" i="10"/>
  <c r="Q10" i="10" s="1"/>
  <c r="O10" i="10"/>
  <c r="G10" i="10" a="1"/>
  <c r="G10" i="10" l="1"/>
  <c r="H10" i="10" s="1"/>
  <c r="E10" i="10" a="1"/>
  <c r="E10" i="10" l="1"/>
  <c r="F10" i="10" s="1"/>
  <c r="C10" i="10"/>
  <c r="D10" i="10" s="1"/>
  <c r="A10" i="10" a="1"/>
  <c r="A10" i="10" l="1"/>
  <c r="B10" i="10" s="1"/>
  <c r="R9" i="10" a="1"/>
  <c r="R9" i="10" l="1"/>
  <c r="N9" i="10" a="1"/>
  <c r="N9" i="10" l="1"/>
  <c r="O9" i="10" l="1"/>
  <c r="P9" i="10"/>
  <c r="G9" i="10"/>
  <c r="H17" i="10" l="1"/>
  <c r="M17" i="10"/>
  <c r="E9" i="10" a="1"/>
  <c r="E9" i="10" l="1"/>
  <c r="F9" i="10" s="1"/>
  <c r="C9" i="10"/>
  <c r="A9" i="10" a="1"/>
  <c r="A9" i="10" l="1"/>
  <c r="R8" i="10" a="1"/>
  <c r="R8" i="10" l="1"/>
  <c r="N8" i="10" a="1"/>
  <c r="N8" i="10" l="1"/>
  <c r="R14" i="10"/>
  <c r="L8" i="10" a="1"/>
  <c r="L8" i="10" l="1"/>
  <c r="R81" i="10"/>
  <c r="S81" i="10" s="1"/>
  <c r="S73" i="10"/>
  <c r="S66" i="10"/>
  <c r="S58" i="10"/>
  <c r="S56" i="10"/>
  <c r="S39" i="10"/>
  <c r="S77" i="10"/>
  <c r="S25" i="10"/>
  <c r="S34" i="10"/>
  <c r="S17" i="10"/>
  <c r="S16" i="10"/>
  <c r="S23" i="10"/>
  <c r="S79" i="10"/>
  <c r="S14" i="10"/>
  <c r="S12" i="10"/>
  <c r="S11" i="10"/>
  <c r="S9" i="10"/>
  <c r="N14" i="10"/>
  <c r="O8" i="10"/>
  <c r="S8" i="10"/>
  <c r="G8" i="10" a="1"/>
  <c r="G8" i="10" l="1"/>
  <c r="M16" i="10"/>
  <c r="L14" i="10"/>
  <c r="P8" i="10"/>
  <c r="N81" i="10"/>
  <c r="O81" i="10" s="1"/>
  <c r="O14" i="10"/>
  <c r="E8" i="10" a="1"/>
  <c r="E8" i="10" l="1"/>
  <c r="P14" i="10"/>
  <c r="L81" i="10"/>
  <c r="M81" i="10" s="1"/>
  <c r="M70" i="10"/>
  <c r="M66" i="10"/>
  <c r="M57" i="10"/>
  <c r="M55" i="10"/>
  <c r="M54" i="10"/>
  <c r="M51" i="10"/>
  <c r="M40" i="10"/>
  <c r="M39" i="10"/>
  <c r="M37" i="10"/>
  <c r="M36" i="10"/>
  <c r="M77" i="10"/>
  <c r="M31" i="10"/>
  <c r="M30" i="10"/>
  <c r="M28" i="10"/>
  <c r="M27" i="10"/>
  <c r="M26" i="10"/>
  <c r="M25" i="10"/>
  <c r="M34" i="10"/>
  <c r="M23" i="10"/>
  <c r="M79" i="10"/>
  <c r="M14" i="10"/>
  <c r="M12" i="10"/>
  <c r="M9" i="10"/>
  <c r="M8" i="10"/>
  <c r="H16" i="10"/>
  <c r="G14" i="10"/>
  <c r="H8" i="10" s="1"/>
  <c r="C8" i="10"/>
  <c r="C14" i="10" s="1"/>
  <c r="A8" i="10" a="1"/>
  <c r="A8" i="10" l="1"/>
  <c r="P81" i="10"/>
  <c r="Q81" i="10" s="1"/>
  <c r="Q70" i="10"/>
  <c r="Q66" i="10"/>
  <c r="Q57" i="10"/>
  <c r="Q55" i="10"/>
  <c r="Q54" i="10"/>
  <c r="Q51" i="10"/>
  <c r="Q40" i="10"/>
  <c r="Q39" i="10"/>
  <c r="Q37" i="10"/>
  <c r="Q36" i="10"/>
  <c r="Q77" i="10"/>
  <c r="Q31" i="10"/>
  <c r="Q30" i="10"/>
  <c r="Q28" i="10"/>
  <c r="Q27" i="10"/>
  <c r="Q26" i="10"/>
  <c r="Q25" i="10"/>
  <c r="Q34" i="10"/>
  <c r="Q17" i="10"/>
  <c r="Q16" i="10"/>
  <c r="Q23" i="10"/>
  <c r="Q79" i="10"/>
  <c r="Q14" i="10"/>
  <c r="Q12" i="10"/>
  <c r="Q9" i="10"/>
  <c r="D8" i="10"/>
  <c r="C81" i="10"/>
  <c r="D81" i="10" s="1"/>
  <c r="D70" i="10"/>
  <c r="D66" i="10"/>
  <c r="D57" i="10"/>
  <c r="D55" i="10"/>
  <c r="D54" i="10"/>
  <c r="D51" i="10"/>
  <c r="D40" i="10"/>
  <c r="D39" i="10"/>
  <c r="D37" i="10"/>
  <c r="D36" i="10"/>
  <c r="D77" i="10"/>
  <c r="D31" i="10"/>
  <c r="D30" i="10"/>
  <c r="D28" i="10"/>
  <c r="D27" i="10"/>
  <c r="D26" i="10"/>
  <c r="D25" i="10"/>
  <c r="D34" i="10"/>
  <c r="D17" i="10"/>
  <c r="D16" i="10"/>
  <c r="D23" i="10"/>
  <c r="D14" i="10"/>
  <c r="D79" i="10"/>
  <c r="D12" i="10"/>
  <c r="D9" i="10"/>
  <c r="E14" i="10"/>
  <c r="F8" i="10"/>
  <c r="G81" i="10"/>
  <c r="H81" i="10" s="1"/>
  <c r="H70" i="10"/>
  <c r="H66" i="10"/>
  <c r="H57" i="10"/>
  <c r="H55" i="10"/>
  <c r="H54" i="10"/>
  <c r="H51" i="10"/>
  <c r="H40" i="10"/>
  <c r="H39" i="10"/>
  <c r="H37" i="10"/>
  <c r="H36" i="10"/>
  <c r="H77" i="10"/>
  <c r="H31" i="10"/>
  <c r="H30" i="10"/>
  <c r="H28" i="10"/>
  <c r="H27" i="10"/>
  <c r="H26" i="10"/>
  <c r="H25" i="10"/>
  <c r="H34" i="10"/>
  <c r="H23" i="10"/>
  <c r="H14" i="10"/>
  <c r="H79" i="10"/>
  <c r="H12" i="10"/>
  <c r="H9" i="10"/>
  <c r="Q8" i="10"/>
  <c r="U2" i="10"/>
  <c r="R79" i="9" a="1"/>
  <c r="E81" i="10" l="1"/>
  <c r="F81" i="10" s="1"/>
  <c r="F14" i="10"/>
  <c r="A14" i="10"/>
  <c r="B8" i="10" s="1"/>
  <c r="R79" i="9"/>
  <c r="N79" i="9" a="1"/>
  <c r="A81" i="10" l="1"/>
  <c r="B81" i="10" s="1"/>
  <c r="B73" i="10"/>
  <c r="B66" i="10"/>
  <c r="B58" i="10"/>
  <c r="B56" i="10"/>
  <c r="B39" i="10"/>
  <c r="B77" i="10"/>
  <c r="B25" i="10"/>
  <c r="B34" i="10"/>
  <c r="B17" i="10"/>
  <c r="B14" i="10"/>
  <c r="B16" i="10"/>
  <c r="B23" i="10"/>
  <c r="B79" i="10"/>
  <c r="B12" i="10"/>
  <c r="B11" i="10"/>
  <c r="B9" i="10"/>
  <c r="N79" i="9"/>
  <c r="L79" i="9" a="1"/>
  <c r="L79" i="9" l="1"/>
  <c r="P79" i="9"/>
  <c r="G79" i="9" a="1"/>
  <c r="G79" i="9" l="1"/>
  <c r="E79" i="9" a="1"/>
  <c r="E79" i="9" l="1"/>
  <c r="C79" i="9"/>
  <c r="A79" i="9" a="1"/>
  <c r="A79" i="9" l="1"/>
  <c r="R78" i="9" a="1"/>
  <c r="R78" i="9" l="1"/>
  <c r="N78" i="9" a="1"/>
  <c r="N78" i="9" l="1"/>
  <c r="L78" i="9" a="1"/>
  <c r="L78" i="9" l="1"/>
  <c r="P78" i="9"/>
  <c r="G78" i="9" a="1"/>
  <c r="G78" i="9" l="1"/>
  <c r="E78" i="9" a="1"/>
  <c r="E78" i="9" l="1"/>
  <c r="C78" i="9"/>
  <c r="A78" i="9" a="1"/>
  <c r="A78" i="9" l="1"/>
  <c r="R77" i="9" a="1"/>
  <c r="R77" i="9" l="1"/>
  <c r="N77" i="9" a="1"/>
  <c r="N77" i="9" l="1"/>
  <c r="L77" i="9" a="1"/>
  <c r="L77" i="9" l="1"/>
  <c r="P77" i="9"/>
  <c r="G77" i="9" a="1"/>
  <c r="G77" i="9" l="1"/>
  <c r="E77" i="9" a="1"/>
  <c r="E77" i="9" l="1"/>
  <c r="C77" i="9" s="1"/>
  <c r="A77" i="9" a="1"/>
  <c r="A77" i="9" l="1"/>
  <c r="R76" i="9" a="1"/>
  <c r="R76" i="9" l="1"/>
  <c r="N76" i="9" a="1"/>
  <c r="N76" i="9" l="1"/>
  <c r="L76" i="9" a="1"/>
  <c r="L76" i="9" l="1"/>
  <c r="P76" i="9"/>
  <c r="G76" i="9" a="1"/>
  <c r="G76" i="9" l="1"/>
  <c r="E76" i="9" a="1"/>
  <c r="E76" i="9" l="1"/>
  <c r="C76" i="9"/>
  <c r="A76" i="9" a="1"/>
  <c r="A76" i="9" l="1"/>
  <c r="R75" i="9" a="1"/>
  <c r="R75" i="9" l="1"/>
  <c r="N75" i="9" a="1"/>
  <c r="N75" i="9" l="1"/>
  <c r="L75" i="9" a="1"/>
  <c r="L75" i="9" l="1"/>
  <c r="P75" i="9"/>
  <c r="G75" i="9" a="1"/>
  <c r="G75" i="9" l="1"/>
  <c r="E75" i="9" a="1"/>
  <c r="E75" i="9" l="1"/>
  <c r="C75" i="9"/>
  <c r="A75" i="9" a="1"/>
  <c r="A75" i="9" l="1"/>
  <c r="R67" i="9" a="1"/>
  <c r="R67" i="9" l="1"/>
  <c r="S67" i="9" s="1"/>
  <c r="N67" i="9" a="1"/>
  <c r="N67" i="9" l="1"/>
  <c r="L67" i="9" a="1"/>
  <c r="L67" i="9" l="1"/>
  <c r="M67" i="9" s="1"/>
  <c r="P67" i="9"/>
  <c r="Q67" i="9" s="1"/>
  <c r="O67" i="9"/>
  <c r="G67" i="9" a="1"/>
  <c r="G67" i="9" l="1"/>
  <c r="H67" i="9" s="1"/>
  <c r="E67" i="9" a="1"/>
  <c r="E67" i="9" l="1"/>
  <c r="F67" i="9" s="1"/>
  <c r="C67" i="9"/>
  <c r="D67" i="9" s="1"/>
  <c r="A67" i="9" a="1"/>
  <c r="A67" i="9" l="1"/>
  <c r="B67" i="9" s="1"/>
  <c r="R66" i="9" a="1"/>
  <c r="R66" i="9" l="1"/>
  <c r="N66" i="9" a="1"/>
  <c r="N66" i="9" l="1"/>
  <c r="L66" i="9" a="1"/>
  <c r="L66" i="9" l="1"/>
  <c r="M66" i="9" s="1"/>
  <c r="P66" i="9"/>
  <c r="Q66" i="9" s="1"/>
  <c r="O66" i="9"/>
  <c r="G66" i="9" a="1"/>
  <c r="G66" i="9" l="1"/>
  <c r="H66" i="9" s="1"/>
  <c r="E66" i="9" a="1"/>
  <c r="E66" i="9" l="1"/>
  <c r="F66" i="9" s="1"/>
  <c r="C66" i="9"/>
  <c r="D66" i="9" s="1"/>
  <c r="A66" i="9" a="1"/>
  <c r="A66" i="9" l="1"/>
  <c r="B66" i="9" s="1"/>
  <c r="R65" i="9" a="1"/>
  <c r="R65" i="9" l="1"/>
  <c r="S65" i="9" s="1"/>
  <c r="N65" i="9" a="1"/>
  <c r="N65" i="9" l="1"/>
  <c r="L65" i="9" a="1"/>
  <c r="L65" i="9" l="1"/>
  <c r="O65" i="9"/>
  <c r="P65" i="9"/>
  <c r="G65" i="9" a="1"/>
  <c r="G65" i="9" l="1"/>
  <c r="E65" i="9" a="1"/>
  <c r="E65" i="9" l="1"/>
  <c r="F65" i="9" s="1"/>
  <c r="A65" i="9" a="1"/>
  <c r="A65" i="9" l="1"/>
  <c r="B65" i="9" s="1"/>
  <c r="C65" i="9"/>
  <c r="R64" i="9" a="1"/>
  <c r="R64" i="9" l="1"/>
  <c r="S64" i="9" s="1"/>
  <c r="N64" i="9" a="1"/>
  <c r="N64" i="9" l="1"/>
  <c r="L64" i="9" a="1"/>
  <c r="L64" i="9" l="1"/>
  <c r="M64" i="9" s="1"/>
  <c r="O64" i="9"/>
  <c r="P64" i="9"/>
  <c r="Q64" i="9" s="1"/>
  <c r="G64" i="9" a="1"/>
  <c r="G64" i="9" l="1"/>
  <c r="H64" i="9" s="1"/>
  <c r="E64" i="9" a="1"/>
  <c r="E64" i="9" l="1"/>
  <c r="F64" i="9" s="1"/>
  <c r="C64" i="9"/>
  <c r="D64" i="9" s="1"/>
  <c r="A64" i="9" a="1"/>
  <c r="A64" i="9" l="1"/>
  <c r="B64" i="9" s="1"/>
  <c r="R63" i="9" a="1"/>
  <c r="R63" i="9" l="1"/>
  <c r="S63" i="9" s="1"/>
  <c r="N63" i="9" a="1"/>
  <c r="N63" i="9" l="1"/>
  <c r="L63" i="9" a="1"/>
  <c r="L63" i="9" l="1"/>
  <c r="P63" i="9" s="1"/>
  <c r="O63" i="9"/>
  <c r="G63" i="9" a="1"/>
  <c r="G63" i="9" l="1"/>
  <c r="E63" i="9" a="1"/>
  <c r="E63" i="9" l="1"/>
  <c r="F63" i="9" s="1"/>
  <c r="A63" i="9" a="1"/>
  <c r="A63" i="9" l="1"/>
  <c r="B63" i="9" s="1"/>
  <c r="C63" i="9"/>
  <c r="R62" i="9" a="1"/>
  <c r="R62" i="9" l="1"/>
  <c r="S62" i="9" s="1"/>
  <c r="N62" i="9" a="1"/>
  <c r="N62" i="9" l="1"/>
  <c r="L62" i="9" a="1"/>
  <c r="L62" i="9" l="1"/>
  <c r="M62" i="9" s="1"/>
  <c r="P62" i="9"/>
  <c r="Q62" i="9" s="1"/>
  <c r="O62" i="9"/>
  <c r="G62" i="9" a="1"/>
  <c r="G62" i="9" l="1"/>
  <c r="H62" i="9" s="1"/>
  <c r="E62" i="9" a="1"/>
  <c r="E62" i="9" l="1"/>
  <c r="F62" i="9" s="1"/>
  <c r="A62" i="9" a="1"/>
  <c r="C62" i="9" l="1"/>
  <c r="D62" i="9" s="1"/>
  <c r="A62" i="9"/>
  <c r="B62" i="9" s="1"/>
  <c r="R61" i="9" a="1"/>
  <c r="R61" i="9" l="1"/>
  <c r="S61" i="9" s="1"/>
  <c r="N61" i="9" a="1"/>
  <c r="N61" i="9" l="1"/>
  <c r="L61" i="9" a="1"/>
  <c r="L61" i="9" l="1"/>
  <c r="M61" i="9" s="1"/>
  <c r="P61" i="9"/>
  <c r="Q61" i="9" s="1"/>
  <c r="O61" i="9"/>
  <c r="G61" i="9" a="1"/>
  <c r="G61" i="9" l="1"/>
  <c r="H61" i="9" s="1"/>
  <c r="E61" i="9" a="1"/>
  <c r="E61" i="9" l="1"/>
  <c r="F61" i="9" s="1"/>
  <c r="C61" i="9"/>
  <c r="D61" i="9" s="1"/>
  <c r="A61" i="9" a="1"/>
  <c r="A61" i="9" l="1"/>
  <c r="B61" i="9" s="1"/>
  <c r="R60" i="9" a="1"/>
  <c r="R60" i="9" l="1"/>
  <c r="S60" i="9" s="1"/>
  <c r="N60" i="9" a="1"/>
  <c r="N60" i="9" l="1"/>
  <c r="L60" i="9" a="1"/>
  <c r="L60" i="9" l="1"/>
  <c r="M60" i="9" s="1"/>
  <c r="P60" i="9"/>
  <c r="Q60" i="9" s="1"/>
  <c r="O60" i="9"/>
  <c r="G60" i="9" a="1"/>
  <c r="G60" i="9" l="1"/>
  <c r="H60" i="9" s="1"/>
  <c r="E60" i="9" a="1"/>
  <c r="E60" i="9" l="1"/>
  <c r="F60" i="9" s="1"/>
  <c r="A60" i="9" a="1"/>
  <c r="A60" i="9" l="1"/>
  <c r="B60" i="9" s="1"/>
  <c r="C60" i="9"/>
  <c r="D60" i="9" s="1"/>
  <c r="R59" i="9" a="1"/>
  <c r="R59" i="9" l="1"/>
  <c r="S59" i="9" s="1"/>
  <c r="N59" i="9" a="1"/>
  <c r="N59" i="9" l="1"/>
  <c r="L59" i="9" a="1"/>
  <c r="L59" i="9" l="1"/>
  <c r="M59" i="9" s="1"/>
  <c r="O59" i="9"/>
  <c r="P59" i="9"/>
  <c r="Q59" i="9" s="1"/>
  <c r="G59" i="9" a="1"/>
  <c r="G59" i="9" l="1"/>
  <c r="H59" i="9" s="1"/>
  <c r="E59" i="9" a="1"/>
  <c r="E59" i="9" l="1"/>
  <c r="F59" i="9" s="1"/>
  <c r="C59" i="9"/>
  <c r="D59" i="9" s="1"/>
  <c r="A59" i="9" a="1"/>
  <c r="A59" i="9" l="1"/>
  <c r="B59" i="9" s="1"/>
  <c r="R58" i="9" a="1"/>
  <c r="R58" i="9" l="1"/>
  <c r="S58" i="9" s="1"/>
  <c r="N58" i="9" a="1"/>
  <c r="N58" i="9" l="1"/>
  <c r="L58" i="9" a="1"/>
  <c r="L58" i="9" l="1"/>
  <c r="M58" i="9" s="1"/>
  <c r="P58" i="9"/>
  <c r="Q58" i="9" s="1"/>
  <c r="O58" i="9"/>
  <c r="G58" i="9" a="1"/>
  <c r="G58" i="9" l="1"/>
  <c r="H58" i="9" s="1"/>
  <c r="E58" i="9" a="1"/>
  <c r="E58" i="9" l="1"/>
  <c r="F58" i="9" s="1"/>
  <c r="A58" i="9" a="1"/>
  <c r="C58" i="9" l="1"/>
  <c r="D58" i="9" s="1"/>
  <c r="A58" i="9"/>
  <c r="B58" i="9" s="1"/>
  <c r="R57" i="9" a="1"/>
  <c r="R57" i="9" l="1"/>
  <c r="S57" i="9" s="1"/>
  <c r="N57" i="9" a="1"/>
  <c r="N57" i="9" l="1"/>
  <c r="L57" i="9" a="1"/>
  <c r="L57" i="9" l="1"/>
  <c r="M57" i="9" s="1"/>
  <c r="P57" i="9"/>
  <c r="Q57" i="9" s="1"/>
  <c r="O57" i="9"/>
  <c r="G57" i="9" a="1"/>
  <c r="G57" i="9" l="1"/>
  <c r="H57" i="9" s="1"/>
  <c r="E57" i="9" a="1"/>
  <c r="E57" i="9" l="1"/>
  <c r="F57" i="9" s="1"/>
  <c r="C57" i="9"/>
  <c r="D57" i="9" s="1"/>
  <c r="A57" i="9" a="1"/>
  <c r="A57" i="9" l="1"/>
  <c r="B57" i="9" s="1"/>
  <c r="R56" i="9" a="1"/>
  <c r="R56" i="9" l="1"/>
  <c r="S56" i="9" s="1"/>
  <c r="N56" i="9" a="1"/>
  <c r="N56" i="9" l="1"/>
  <c r="L56" i="9" a="1"/>
  <c r="L56" i="9" l="1"/>
  <c r="M56" i="9" s="1"/>
  <c r="O56" i="9"/>
  <c r="P56" i="9"/>
  <c r="Q56" i="9" s="1"/>
  <c r="G56" i="9" a="1"/>
  <c r="G56" i="9" l="1"/>
  <c r="H56" i="9" s="1"/>
  <c r="E56" i="9" a="1"/>
  <c r="E56" i="9" l="1"/>
  <c r="F56" i="9" s="1"/>
  <c r="C56" i="9"/>
  <c r="D56" i="9" s="1"/>
  <c r="A56" i="9" a="1"/>
  <c r="A56" i="9" l="1"/>
  <c r="B56" i="9" s="1"/>
  <c r="R55" i="9" a="1"/>
  <c r="R55" i="9" l="1"/>
  <c r="S55" i="9" s="1"/>
  <c r="N55" i="9" a="1"/>
  <c r="N55" i="9" l="1"/>
  <c r="L55" i="9" a="1"/>
  <c r="L55" i="9" l="1"/>
  <c r="M55" i="9" s="1"/>
  <c r="O55" i="9"/>
  <c r="G55" i="9" a="1"/>
  <c r="G55" i="9" l="1"/>
  <c r="H55" i="9" s="1"/>
  <c r="P55" i="9"/>
  <c r="Q55" i="9" s="1"/>
  <c r="E55" i="9" a="1"/>
  <c r="E55" i="9" l="1"/>
  <c r="F55" i="9" s="1"/>
  <c r="C55" i="9"/>
  <c r="D55" i="9" s="1"/>
  <c r="A55" i="9" a="1"/>
  <c r="A55" i="9" l="1"/>
  <c r="B55" i="9" s="1"/>
  <c r="R54" i="9" a="1"/>
  <c r="R54" i="9" l="1"/>
  <c r="S54" i="9" s="1"/>
  <c r="N54" i="9" a="1"/>
  <c r="N54" i="9" l="1"/>
  <c r="L54" i="9" a="1"/>
  <c r="L54" i="9" l="1"/>
  <c r="M54" i="9" s="1"/>
  <c r="P54" i="9"/>
  <c r="Q54" i="9" s="1"/>
  <c r="O54" i="9"/>
  <c r="G54" i="9" a="1"/>
  <c r="G54" i="9" l="1"/>
  <c r="H54" i="9" s="1"/>
  <c r="E54" i="9" a="1"/>
  <c r="E54" i="9" l="1"/>
  <c r="F54" i="9" s="1"/>
  <c r="C54" i="9"/>
  <c r="D54" i="9" s="1"/>
  <c r="A54" i="9" a="1"/>
  <c r="A54" i="9" l="1"/>
  <c r="B54" i="9" s="1"/>
  <c r="R53" i="9" a="1"/>
  <c r="R53" i="9" l="1"/>
  <c r="S53" i="9" s="1"/>
  <c r="N53" i="9" a="1"/>
  <c r="N53" i="9" l="1"/>
  <c r="L53" i="9" a="1"/>
  <c r="L53" i="9" l="1"/>
  <c r="M53" i="9" s="1"/>
  <c r="P53" i="9"/>
  <c r="Q53" i="9" s="1"/>
  <c r="O53" i="9"/>
  <c r="G53" i="9" a="1"/>
  <c r="G53" i="9" l="1"/>
  <c r="H53" i="9" s="1"/>
  <c r="E53" i="9" a="1"/>
  <c r="E53" i="9" l="1"/>
  <c r="F53" i="9" s="1"/>
  <c r="C53" i="9"/>
  <c r="D53" i="9" s="1"/>
  <c r="A53" i="9" a="1"/>
  <c r="A53" i="9" l="1"/>
  <c r="B53" i="9" s="1"/>
  <c r="R52" i="9" a="1"/>
  <c r="R52" i="9" l="1"/>
  <c r="S52" i="9" s="1"/>
  <c r="N52" i="9" a="1"/>
  <c r="N52" i="9" l="1"/>
  <c r="L52" i="9" a="1"/>
  <c r="L52" i="9" l="1"/>
  <c r="M52" i="9" s="1"/>
  <c r="P52" i="9"/>
  <c r="Q52" i="9" s="1"/>
  <c r="O52" i="9"/>
  <c r="G52" i="9" a="1"/>
  <c r="G52" i="9" l="1"/>
  <c r="H52" i="9" s="1"/>
  <c r="E52" i="9" a="1"/>
  <c r="E52" i="9" l="1"/>
  <c r="F52" i="9" s="1"/>
  <c r="C52" i="9"/>
  <c r="D52" i="9" s="1"/>
  <c r="A52" i="9" a="1"/>
  <c r="A52" i="9" l="1"/>
  <c r="B52" i="9" s="1"/>
  <c r="R51" i="9" a="1"/>
  <c r="R51" i="9" l="1"/>
  <c r="S51" i="9" s="1"/>
  <c r="N51" i="9" a="1"/>
  <c r="N51" i="9" l="1"/>
  <c r="L51" i="9" a="1"/>
  <c r="L51" i="9" l="1"/>
  <c r="M51" i="9" s="1"/>
  <c r="P51" i="9"/>
  <c r="Q51" i="9" s="1"/>
  <c r="O51" i="9"/>
  <c r="G51" i="9" a="1"/>
  <c r="G51" i="9" l="1"/>
  <c r="H51" i="9" s="1"/>
  <c r="E51" i="9" a="1"/>
  <c r="E51" i="9" l="1"/>
  <c r="F51" i="9" s="1"/>
  <c r="C51" i="9"/>
  <c r="D51" i="9" s="1"/>
  <c r="A51" i="9" a="1"/>
  <c r="A51" i="9" l="1"/>
  <c r="B51" i="9" s="1"/>
  <c r="R50" i="9" a="1"/>
  <c r="R50" i="9" l="1"/>
  <c r="S50" i="9" s="1"/>
  <c r="N50" i="9" a="1"/>
  <c r="N50" i="9" l="1"/>
  <c r="L50" i="9" a="1"/>
  <c r="L50" i="9" l="1"/>
  <c r="M50" i="9" s="1"/>
  <c r="O50" i="9"/>
  <c r="G50" i="9" a="1"/>
  <c r="P50" i="9" l="1"/>
  <c r="Q50" i="9" s="1"/>
  <c r="G50" i="9"/>
  <c r="H50" i="9" s="1"/>
  <c r="E50" i="9" a="1"/>
  <c r="E50" i="9" l="1"/>
  <c r="F50" i="9" s="1"/>
  <c r="A50" i="9" a="1"/>
  <c r="A50" i="9" l="1"/>
  <c r="B50" i="9" s="1"/>
  <c r="C50" i="9"/>
  <c r="D50" i="9" s="1"/>
  <c r="R49" i="9" a="1"/>
  <c r="R49" i="9" l="1"/>
  <c r="S49" i="9" s="1"/>
  <c r="N49" i="9" a="1"/>
  <c r="N49" i="9" l="1"/>
  <c r="L49" i="9" a="1"/>
  <c r="L49" i="9" l="1"/>
  <c r="M49" i="9" s="1"/>
  <c r="O49" i="9"/>
  <c r="P49" i="9"/>
  <c r="Q49" i="9" s="1"/>
  <c r="G49" i="9" a="1"/>
  <c r="G49" i="9" l="1"/>
  <c r="H49" i="9" s="1"/>
  <c r="E49" i="9" a="1"/>
  <c r="E49" i="9" l="1"/>
  <c r="F49" i="9" s="1"/>
  <c r="A49" i="9" a="1"/>
  <c r="A49" i="9" l="1"/>
  <c r="B49" i="9" s="1"/>
  <c r="C49" i="9"/>
  <c r="D49" i="9" s="1"/>
  <c r="R48" i="9" a="1"/>
  <c r="R48" i="9" l="1"/>
  <c r="S48" i="9" s="1"/>
  <c r="N48" i="9" a="1"/>
  <c r="N48" i="9" l="1"/>
  <c r="L48" i="9" a="1"/>
  <c r="L48" i="9" l="1"/>
  <c r="M48" i="9" s="1"/>
  <c r="O48" i="9"/>
  <c r="P48" i="9"/>
  <c r="Q48" i="9" s="1"/>
  <c r="G48" i="9" a="1"/>
  <c r="G48" i="9" l="1"/>
  <c r="H48" i="9" s="1"/>
  <c r="E48" i="9" a="1"/>
  <c r="E48" i="9" l="1"/>
  <c r="F48" i="9" s="1"/>
  <c r="C48" i="9"/>
  <c r="D48" i="9" s="1"/>
  <c r="A48" i="9" a="1"/>
  <c r="A48" i="9" l="1"/>
  <c r="B48" i="9" s="1"/>
  <c r="R47" i="9" a="1"/>
  <c r="R47" i="9" l="1"/>
  <c r="S47" i="9" s="1"/>
  <c r="N47" i="9" a="1"/>
  <c r="N47" i="9" l="1"/>
  <c r="L47" i="9" a="1"/>
  <c r="L47" i="9" l="1"/>
  <c r="M47" i="9" s="1"/>
  <c r="O47" i="9"/>
  <c r="P47" i="9"/>
  <c r="Q47" i="9" s="1"/>
  <c r="G47" i="9" a="1"/>
  <c r="G47" i="9" l="1"/>
  <c r="H47" i="9" s="1"/>
  <c r="E47" i="9" a="1"/>
  <c r="E47" i="9" l="1"/>
  <c r="F47" i="9" s="1"/>
  <c r="A47" i="9" a="1"/>
  <c r="C47" i="9" l="1"/>
  <c r="D47" i="9" s="1"/>
  <c r="A47" i="9"/>
  <c r="B47" i="9" s="1"/>
  <c r="R46" i="9" a="1"/>
  <c r="R46" i="9" l="1"/>
  <c r="S46" i="9" s="1"/>
  <c r="N46" i="9" a="1"/>
  <c r="N46" i="9" l="1"/>
  <c r="L46" i="9" a="1"/>
  <c r="L46" i="9" l="1"/>
  <c r="M46" i="9" s="1"/>
  <c r="P46" i="9"/>
  <c r="Q46" i="9" s="1"/>
  <c r="O46" i="9"/>
  <c r="G46" i="9" a="1"/>
  <c r="G46" i="9" l="1"/>
  <c r="H46" i="9" s="1"/>
  <c r="E46" i="9" a="1"/>
  <c r="E46" i="9" l="1"/>
  <c r="F46" i="9" s="1"/>
  <c r="C46" i="9"/>
  <c r="D46" i="9" s="1"/>
  <c r="A46" i="9" a="1"/>
  <c r="A46" i="9" l="1"/>
  <c r="B46" i="9" s="1"/>
  <c r="R45" i="9" a="1"/>
  <c r="R45" i="9" l="1"/>
  <c r="S45" i="9" s="1"/>
  <c r="N45" i="9" a="1"/>
  <c r="N45" i="9" l="1"/>
  <c r="L45" i="9" a="1"/>
  <c r="L45" i="9" l="1"/>
  <c r="M45" i="9" s="1"/>
  <c r="O45" i="9"/>
  <c r="P45" i="9"/>
  <c r="Q45" i="9" s="1"/>
  <c r="G45" i="9" a="1"/>
  <c r="G45" i="9" l="1"/>
  <c r="H45" i="9" s="1"/>
  <c r="E45" i="9" a="1"/>
  <c r="E45" i="9" l="1"/>
  <c r="F45" i="9" s="1"/>
  <c r="A45" i="9" a="1"/>
  <c r="A45" i="9" l="1"/>
  <c r="B45" i="9" s="1"/>
  <c r="C45" i="9"/>
  <c r="D45" i="9" s="1"/>
  <c r="R44" i="9" a="1"/>
  <c r="R44" i="9" l="1"/>
  <c r="S44" i="9" s="1"/>
  <c r="N44" i="9" a="1"/>
  <c r="N44" i="9" l="1"/>
  <c r="L44" i="9" a="1"/>
  <c r="L44" i="9" l="1"/>
  <c r="O44" i="9"/>
  <c r="P44" i="9"/>
  <c r="G44" i="9" a="1"/>
  <c r="G44" i="9" l="1"/>
  <c r="E44" i="9" a="1"/>
  <c r="E44" i="9" l="1"/>
  <c r="F44" i="9" s="1"/>
  <c r="A44" i="9" a="1"/>
  <c r="A44" i="9" l="1"/>
  <c r="B44" i="9" s="1"/>
  <c r="C44" i="9"/>
  <c r="R43" i="9" a="1"/>
  <c r="R43" i="9" l="1"/>
  <c r="S43" i="9" s="1"/>
  <c r="N43" i="9" a="1"/>
  <c r="N43" i="9" l="1"/>
  <c r="L43" i="9" a="1"/>
  <c r="L43" i="9" l="1"/>
  <c r="M43" i="9" s="1"/>
  <c r="P43" i="9"/>
  <c r="Q43" i="9" s="1"/>
  <c r="O43" i="9"/>
  <c r="G43" i="9" a="1"/>
  <c r="G43" i="9" l="1"/>
  <c r="H43" i="9" s="1"/>
  <c r="E43" i="9" a="1"/>
  <c r="E43" i="9" l="1"/>
  <c r="F43" i="9" s="1"/>
  <c r="C43" i="9"/>
  <c r="D43" i="9" s="1"/>
  <c r="A43" i="9" a="1"/>
  <c r="A43" i="9" l="1"/>
  <c r="B43" i="9" s="1"/>
  <c r="R42" i="9" a="1"/>
  <c r="R42" i="9" l="1"/>
  <c r="S42" i="9" s="1"/>
  <c r="N42" i="9" a="1"/>
  <c r="N42" i="9" l="1"/>
  <c r="L42" i="9" a="1"/>
  <c r="L42" i="9" l="1"/>
  <c r="M42" i="9" s="1"/>
  <c r="O42" i="9"/>
  <c r="G42" i="9" a="1"/>
  <c r="G42" i="9" l="1"/>
  <c r="H42" i="9" s="1"/>
  <c r="P42" i="9"/>
  <c r="Q42" i="9" s="1"/>
  <c r="E42" i="9" a="1"/>
  <c r="E42" i="9" l="1"/>
  <c r="F42" i="9" s="1"/>
  <c r="A42" i="9" a="1"/>
  <c r="A42" i="9" l="1"/>
  <c r="B42" i="9" s="1"/>
  <c r="C42" i="9"/>
  <c r="D42" i="9" s="1"/>
  <c r="R41" i="9" a="1"/>
  <c r="R41" i="9" l="1"/>
  <c r="S41" i="9" s="1"/>
  <c r="N41" i="9" a="1"/>
  <c r="N41" i="9" l="1"/>
  <c r="L41" i="9" a="1"/>
  <c r="L41" i="9" l="1"/>
  <c r="M41" i="9" s="1"/>
  <c r="O41" i="9"/>
  <c r="G41" i="9" a="1"/>
  <c r="G41" i="9" l="1"/>
  <c r="H41" i="9" s="1"/>
  <c r="P41" i="9"/>
  <c r="Q41" i="9" s="1"/>
  <c r="E41" i="9" a="1"/>
  <c r="E41" i="9" l="1"/>
  <c r="F41" i="9" s="1"/>
  <c r="C41" i="9"/>
  <c r="D41" i="9" s="1"/>
  <c r="A41" i="9" a="1"/>
  <c r="A41" i="9" l="1"/>
  <c r="B41" i="9" s="1"/>
  <c r="R40" i="9" a="1"/>
  <c r="R40" i="9" l="1"/>
  <c r="S40" i="9" s="1"/>
  <c r="N40" i="9" a="1"/>
  <c r="N40" i="9" l="1"/>
  <c r="L40" i="9" a="1"/>
  <c r="L40" i="9" l="1"/>
  <c r="M40" i="9" s="1"/>
  <c r="O40" i="9"/>
  <c r="P40" i="9"/>
  <c r="Q40" i="9" s="1"/>
  <c r="G40" i="9" a="1"/>
  <c r="G40" i="9" l="1"/>
  <c r="H40" i="9" s="1"/>
  <c r="E40" i="9" a="1"/>
  <c r="E40" i="9" l="1"/>
  <c r="F40" i="9" s="1"/>
  <c r="C40" i="9"/>
  <c r="D40" i="9" s="1"/>
  <c r="A40" i="9" a="1"/>
  <c r="A40" i="9" l="1"/>
  <c r="B40" i="9" s="1"/>
  <c r="R39" i="9" a="1"/>
  <c r="R39" i="9" l="1"/>
  <c r="S39" i="9" s="1"/>
  <c r="N39" i="9" a="1"/>
  <c r="N39" i="9" l="1"/>
  <c r="L39" i="9" a="1"/>
  <c r="L39" i="9" l="1"/>
  <c r="M39" i="9" s="1"/>
  <c r="O39" i="9"/>
  <c r="P39" i="9"/>
  <c r="Q39" i="9" s="1"/>
  <c r="G39" i="9" a="1"/>
  <c r="G39" i="9" l="1"/>
  <c r="H39" i="9" s="1"/>
  <c r="E39" i="9" a="1"/>
  <c r="E39" i="9" l="1"/>
  <c r="F39" i="9" s="1"/>
  <c r="C39" i="9"/>
  <c r="D39" i="9" s="1"/>
  <c r="A39" i="9" a="1"/>
  <c r="A39" i="9" l="1"/>
  <c r="B39" i="9" s="1"/>
  <c r="R38" i="9" a="1"/>
  <c r="R38" i="9" l="1"/>
  <c r="S38" i="9" s="1"/>
  <c r="N38" i="9" a="1"/>
  <c r="N38" i="9" l="1"/>
  <c r="L38" i="9" a="1"/>
  <c r="L38" i="9" l="1"/>
  <c r="M38" i="9" s="1"/>
  <c r="P38" i="9"/>
  <c r="Q38" i="9" s="1"/>
  <c r="O38" i="9"/>
  <c r="G38" i="9" a="1"/>
  <c r="G38" i="9" l="1"/>
  <c r="H38" i="9" s="1"/>
  <c r="E38" i="9" a="1"/>
  <c r="E38" i="9" l="1"/>
  <c r="F38" i="9" s="1"/>
  <c r="C38" i="9"/>
  <c r="D38" i="9" s="1"/>
  <c r="A38" i="9" a="1"/>
  <c r="A38" i="9" l="1"/>
  <c r="B38" i="9" s="1"/>
  <c r="R37" i="9" a="1"/>
  <c r="R37" i="9" l="1"/>
  <c r="S37" i="9" s="1"/>
  <c r="N37" i="9" a="1"/>
  <c r="N37" i="9" l="1"/>
  <c r="L37" i="9" a="1"/>
  <c r="L37" i="9" l="1"/>
  <c r="M37" i="9" s="1"/>
  <c r="P37" i="9"/>
  <c r="Q37" i="9" s="1"/>
  <c r="O37" i="9"/>
  <c r="G37" i="9" a="1"/>
  <c r="G37" i="9" l="1"/>
  <c r="H37" i="9" s="1"/>
  <c r="E37" i="9" a="1"/>
  <c r="E37" i="9" l="1"/>
  <c r="F37" i="9" s="1"/>
  <c r="C37" i="9"/>
  <c r="D37" i="9" s="1"/>
  <c r="A37" i="9" a="1"/>
  <c r="A37" i="9" l="1"/>
  <c r="B37" i="9" s="1"/>
  <c r="R36" i="9" a="1"/>
  <c r="R36" i="9" l="1"/>
  <c r="S36" i="9" s="1"/>
  <c r="N36" i="9" a="1"/>
  <c r="N36" i="9" l="1"/>
  <c r="L36" i="9" a="1"/>
  <c r="L36" i="9" l="1"/>
  <c r="M36" i="9" s="1"/>
  <c r="O36" i="9"/>
  <c r="P36" i="9"/>
  <c r="Q36" i="9" s="1"/>
  <c r="G36" i="9" a="1"/>
  <c r="G36" i="9" l="1"/>
  <c r="H36" i="9" s="1"/>
  <c r="E36" i="9" a="1"/>
  <c r="E36" i="9" l="1"/>
  <c r="F36" i="9" s="1"/>
  <c r="A36" i="9" a="1"/>
  <c r="A36" i="9" l="1"/>
  <c r="B36" i="9" s="1"/>
  <c r="C36" i="9"/>
  <c r="D36" i="9" s="1"/>
  <c r="R35" i="9" a="1"/>
  <c r="R35" i="9" l="1"/>
  <c r="S35" i="9" s="1"/>
  <c r="N35" i="9" a="1"/>
  <c r="N35" i="9" l="1"/>
  <c r="L35" i="9" a="1"/>
  <c r="L35" i="9" l="1"/>
  <c r="M35" i="9" s="1"/>
  <c r="O35" i="9"/>
  <c r="G35" i="9" a="1"/>
  <c r="P35" i="9" l="1"/>
  <c r="Q35" i="9" s="1"/>
  <c r="G35" i="9"/>
  <c r="H35" i="9" s="1"/>
  <c r="E35" i="9" a="1"/>
  <c r="E35" i="9" l="1"/>
  <c r="F35" i="9" s="1"/>
  <c r="C35" i="9"/>
  <c r="D35" i="9" s="1"/>
  <c r="A35" i="9" a="1"/>
  <c r="A35" i="9" l="1"/>
  <c r="B35" i="9" s="1"/>
  <c r="R34" i="9" a="1"/>
  <c r="R34" i="9" l="1"/>
  <c r="S34" i="9" s="1"/>
  <c r="N34" i="9" a="1"/>
  <c r="N34" i="9" l="1"/>
  <c r="L34" i="9" a="1"/>
  <c r="L34" i="9" l="1"/>
  <c r="M34" i="9" s="1"/>
  <c r="O34" i="9"/>
  <c r="P34" i="9"/>
  <c r="Q34" i="9" s="1"/>
  <c r="G34" i="9" a="1"/>
  <c r="G34" i="9" l="1"/>
  <c r="H34" i="9" s="1"/>
  <c r="E34" i="9" a="1"/>
  <c r="E34" i="9" l="1"/>
  <c r="F34" i="9" s="1"/>
  <c r="C34" i="9"/>
  <c r="D34" i="9" s="1"/>
  <c r="A34" i="9" a="1"/>
  <c r="A34" i="9" l="1"/>
  <c r="B34" i="9" s="1"/>
  <c r="R33" i="9" a="1"/>
  <c r="R33" i="9" l="1"/>
  <c r="S33" i="9" s="1"/>
  <c r="N33" i="9" a="1"/>
  <c r="N33" i="9" l="1"/>
  <c r="L33" i="9" a="1"/>
  <c r="L33" i="9" l="1"/>
  <c r="M33" i="9" s="1"/>
  <c r="P33" i="9"/>
  <c r="Q33" i="9" s="1"/>
  <c r="O33" i="9"/>
  <c r="G33" i="9" a="1"/>
  <c r="G33" i="9" l="1"/>
  <c r="H33" i="9" s="1"/>
  <c r="E33" i="9" a="1"/>
  <c r="E33" i="9" l="1"/>
  <c r="F33" i="9" s="1"/>
  <c r="C33" i="9"/>
  <c r="D33" i="9" s="1"/>
  <c r="A33" i="9" a="1"/>
  <c r="A33" i="9" l="1"/>
  <c r="B33" i="9" s="1"/>
  <c r="R32" i="9" a="1"/>
  <c r="R32" i="9" l="1"/>
  <c r="S32" i="9" s="1"/>
  <c r="N32" i="9" a="1"/>
  <c r="N32" i="9" l="1"/>
  <c r="L32" i="9" a="1"/>
  <c r="L32" i="9" l="1"/>
  <c r="M32" i="9" s="1"/>
  <c r="O32" i="9"/>
  <c r="G32" i="9" a="1"/>
  <c r="G32" i="9" l="1"/>
  <c r="H32" i="9" s="1"/>
  <c r="P32" i="9"/>
  <c r="Q32" i="9" s="1"/>
  <c r="E32" i="9" a="1"/>
  <c r="E32" i="9" l="1"/>
  <c r="F32" i="9" s="1"/>
  <c r="C32" i="9"/>
  <c r="D32" i="9" s="1"/>
  <c r="A32" i="9" a="1"/>
  <c r="A32" i="9" l="1"/>
  <c r="B32" i="9" s="1"/>
  <c r="R31" i="9" a="1"/>
  <c r="R31" i="9" l="1"/>
  <c r="S31" i="9" s="1"/>
  <c r="N31" i="9" a="1"/>
  <c r="N31" i="9" l="1"/>
  <c r="L31" i="9" a="1"/>
  <c r="L31" i="9" l="1"/>
  <c r="M31" i="9" s="1"/>
  <c r="O31" i="9"/>
  <c r="P31" i="9"/>
  <c r="Q31" i="9" s="1"/>
  <c r="G31" i="9" a="1"/>
  <c r="G31" i="9" l="1"/>
  <c r="H31" i="9" s="1"/>
  <c r="E31" i="9" a="1"/>
  <c r="E31" i="9" l="1"/>
  <c r="F31" i="9" s="1"/>
  <c r="C31" i="9"/>
  <c r="D31" i="9" s="1"/>
  <c r="A31" i="9" a="1"/>
  <c r="A31" i="9" l="1"/>
  <c r="B31" i="9" s="1"/>
  <c r="R30" i="9" a="1"/>
  <c r="R30" i="9" l="1"/>
  <c r="S30" i="9" s="1"/>
  <c r="N30" i="9" a="1"/>
  <c r="N30" i="9" l="1"/>
  <c r="L30" i="9" a="1"/>
  <c r="L30" i="9" l="1"/>
  <c r="M30" i="9" s="1"/>
  <c r="P30" i="9"/>
  <c r="Q30" i="9" s="1"/>
  <c r="O30" i="9"/>
  <c r="G30" i="9" a="1"/>
  <c r="G30" i="9" l="1"/>
  <c r="H30" i="9" s="1"/>
  <c r="E30" i="9" a="1"/>
  <c r="E30" i="9" l="1"/>
  <c r="F30" i="9" s="1"/>
  <c r="C30" i="9"/>
  <c r="D30" i="9" s="1"/>
  <c r="A30" i="9" a="1"/>
  <c r="A30" i="9" l="1"/>
  <c r="B30" i="9" s="1"/>
  <c r="R29" i="9" a="1"/>
  <c r="R29" i="9" l="1"/>
  <c r="S29" i="9" s="1"/>
  <c r="N29" i="9" a="1"/>
  <c r="N29" i="9" l="1"/>
  <c r="L29" i="9" a="1"/>
  <c r="L29" i="9" l="1"/>
  <c r="M29" i="9" s="1"/>
  <c r="O29" i="9"/>
  <c r="G29" i="9" a="1"/>
  <c r="G29" i="9" l="1"/>
  <c r="H29" i="9" s="1"/>
  <c r="P29" i="9"/>
  <c r="Q29" i="9" s="1"/>
  <c r="E29" i="9" a="1"/>
  <c r="E29" i="9" l="1"/>
  <c r="F29" i="9" s="1"/>
  <c r="C29" i="9"/>
  <c r="D29" i="9" s="1"/>
  <c r="A29" i="9" a="1"/>
  <c r="A29" i="9" l="1"/>
  <c r="B29" i="9" s="1"/>
  <c r="R28" i="9" a="1"/>
  <c r="R28" i="9" l="1"/>
  <c r="S28" i="9" s="1"/>
  <c r="N28" i="9" a="1"/>
  <c r="N28" i="9" l="1"/>
  <c r="L28" i="9" a="1"/>
  <c r="L28" i="9" l="1"/>
  <c r="M28" i="9" s="1"/>
  <c r="O28" i="9"/>
  <c r="G28" i="9" a="1"/>
  <c r="G28" i="9" l="1"/>
  <c r="H28" i="9" s="1"/>
  <c r="P28" i="9"/>
  <c r="Q28" i="9" s="1"/>
  <c r="E28" i="9" a="1"/>
  <c r="E28" i="9" l="1"/>
  <c r="F28" i="9" s="1"/>
  <c r="A28" i="9" a="1"/>
  <c r="A28" i="9" l="1"/>
  <c r="B28" i="9" s="1"/>
  <c r="C28" i="9"/>
  <c r="D28" i="9" s="1"/>
  <c r="R27" i="9" a="1"/>
  <c r="R27" i="9" l="1"/>
  <c r="N27" i="9" a="1"/>
  <c r="N27" i="9" l="1"/>
  <c r="L27" i="9" a="1"/>
  <c r="L27" i="9" l="1"/>
  <c r="O27" i="9"/>
  <c r="P27" i="9"/>
  <c r="G27" i="9" a="1"/>
  <c r="G27" i="9" l="1"/>
  <c r="E27" i="9" a="1"/>
  <c r="E27" i="9" l="1"/>
  <c r="F27" i="9" s="1"/>
  <c r="A27" i="9" a="1"/>
  <c r="A27" i="9" l="1"/>
  <c r="C27" i="9"/>
  <c r="R26" i="9" a="1"/>
  <c r="R26" i="9" l="1"/>
  <c r="N26" i="9" a="1"/>
  <c r="N26" i="9" l="1"/>
  <c r="R69" i="9"/>
  <c r="L26" i="9" a="1"/>
  <c r="L26" i="9" l="1"/>
  <c r="N69" i="9"/>
  <c r="O69" i="9" s="1"/>
  <c r="O26" i="9"/>
  <c r="G26" i="9" a="1"/>
  <c r="G26" i="9" l="1"/>
  <c r="L69" i="9"/>
  <c r="P26" i="9"/>
  <c r="E26" i="9" a="1"/>
  <c r="E26" i="9" l="1"/>
  <c r="G69" i="9"/>
  <c r="P69" i="9"/>
  <c r="A26" i="9" a="1"/>
  <c r="A26" i="9" l="1"/>
  <c r="E69" i="9"/>
  <c r="F69" i="9" s="1"/>
  <c r="F26" i="9"/>
  <c r="C26" i="9"/>
  <c r="R22" i="9" a="1"/>
  <c r="R22" i="9" l="1"/>
  <c r="S22" i="9" s="1"/>
  <c r="C69" i="9"/>
  <c r="A69" i="9"/>
  <c r="N22" i="9" a="1"/>
  <c r="N22" i="9" l="1"/>
  <c r="L22" i="9" a="1"/>
  <c r="L22" i="9" l="1"/>
  <c r="M22" i="9" s="1"/>
  <c r="P22" i="9"/>
  <c r="Q22" i="9" s="1"/>
  <c r="O22" i="9"/>
  <c r="G22" i="9" a="1"/>
  <c r="G22" i="9" l="1"/>
  <c r="H22" i="9" s="1"/>
  <c r="E22" i="9" a="1"/>
  <c r="E22" i="9" l="1"/>
  <c r="F22" i="9" s="1"/>
  <c r="C22" i="9"/>
  <c r="D22" i="9" s="1"/>
  <c r="A22" i="9" a="1"/>
  <c r="A22" i="9" l="1"/>
  <c r="B22" i="9" s="1"/>
  <c r="R21" i="9" a="1"/>
  <c r="R21" i="9" l="1"/>
  <c r="S21" i="9" s="1"/>
  <c r="N21" i="9" a="1"/>
  <c r="N21" i="9" l="1"/>
  <c r="L21" i="9" a="1"/>
  <c r="L21" i="9" l="1"/>
  <c r="M21" i="9" s="1"/>
  <c r="O21" i="9"/>
  <c r="G21" i="9" a="1"/>
  <c r="P21" i="9" l="1"/>
  <c r="Q21" i="9" s="1"/>
  <c r="G21" i="9"/>
  <c r="H21" i="9" s="1"/>
  <c r="E21" i="9" a="1"/>
  <c r="E21" i="9" l="1"/>
  <c r="F21" i="9" s="1"/>
  <c r="C21" i="9"/>
  <c r="D21" i="9" s="1"/>
  <c r="A21" i="9" a="1"/>
  <c r="A21" i="9" l="1"/>
  <c r="B21" i="9" s="1"/>
  <c r="R20" i="9" a="1"/>
  <c r="R20" i="9" l="1"/>
  <c r="S20" i="9" s="1"/>
  <c r="N20" i="9" a="1"/>
  <c r="N20" i="9" l="1"/>
  <c r="L20" i="9" a="1"/>
  <c r="L20" i="9" l="1"/>
  <c r="M20" i="9" s="1"/>
  <c r="P20" i="9"/>
  <c r="Q20" i="9" s="1"/>
  <c r="O20" i="9"/>
  <c r="G20" i="9" a="1"/>
  <c r="G20" i="9" l="1"/>
  <c r="H20" i="9" s="1"/>
  <c r="E20" i="9" a="1"/>
  <c r="E20" i="9" l="1"/>
  <c r="F20" i="9" s="1"/>
  <c r="C20" i="9"/>
  <c r="D20" i="9" s="1"/>
  <c r="A20" i="9" a="1"/>
  <c r="A20" i="9" l="1"/>
  <c r="B20" i="9" s="1"/>
  <c r="R19" i="9" a="1"/>
  <c r="R19" i="9" l="1"/>
  <c r="S19" i="9" s="1"/>
  <c r="N19" i="9" a="1"/>
  <c r="N19" i="9" l="1"/>
  <c r="L19" i="9" a="1"/>
  <c r="L19" i="9" l="1"/>
  <c r="P19" i="9"/>
  <c r="O19" i="9"/>
  <c r="G19" i="9" a="1"/>
  <c r="G19" i="9" l="1"/>
  <c r="E19" i="9" a="1"/>
  <c r="E19" i="9" l="1"/>
  <c r="F19" i="9" s="1"/>
  <c r="C19" i="9"/>
  <c r="A19" i="9" a="1"/>
  <c r="A19" i="9" l="1"/>
  <c r="B19" i="9" s="1"/>
  <c r="R18" i="9" a="1"/>
  <c r="R18" i="9" l="1"/>
  <c r="S18" i="9" s="1"/>
  <c r="N18" i="9" a="1"/>
  <c r="N18" i="9" l="1"/>
  <c r="L18" i="9" a="1"/>
  <c r="L18" i="9" l="1"/>
  <c r="M18" i="9" s="1"/>
  <c r="P18" i="9"/>
  <c r="Q18" i="9" s="1"/>
  <c r="O18" i="9"/>
  <c r="G18" i="9" a="1"/>
  <c r="G18" i="9" l="1"/>
  <c r="H18" i="9" s="1"/>
  <c r="E18" i="9" a="1"/>
  <c r="E18" i="9" l="1"/>
  <c r="F18" i="9" s="1"/>
  <c r="C18" i="9"/>
  <c r="D18" i="9" s="1"/>
  <c r="A18" i="9" a="1"/>
  <c r="A18" i="9" l="1"/>
  <c r="B18" i="9" s="1"/>
  <c r="R17" i="9" a="1"/>
  <c r="R17" i="9" l="1"/>
  <c r="N17" i="9" a="1"/>
  <c r="N17" i="9" l="1"/>
  <c r="L17" i="9" a="1"/>
  <c r="L17" i="9" l="1"/>
  <c r="P17" i="9"/>
  <c r="O17" i="9"/>
  <c r="G17" i="9" a="1"/>
  <c r="G17" i="9" l="1"/>
  <c r="E17" i="9" a="1"/>
  <c r="E17" i="9" l="1"/>
  <c r="F17" i="9" s="1"/>
  <c r="A17" i="9" a="1"/>
  <c r="A17" i="9" l="1"/>
  <c r="C17" i="9"/>
  <c r="R16" i="9" a="1"/>
  <c r="R16" i="9" l="1"/>
  <c r="N16" i="9" a="1"/>
  <c r="N16" i="9" l="1"/>
  <c r="R24" i="9"/>
  <c r="S16" i="9"/>
  <c r="L16" i="9" a="1"/>
  <c r="L16" i="9" l="1"/>
  <c r="P16" i="9" s="1"/>
  <c r="R70" i="9"/>
  <c r="N24" i="9"/>
  <c r="O16" i="9"/>
  <c r="G16" i="9" a="1"/>
  <c r="G16" i="9" l="1"/>
  <c r="P24" i="9"/>
  <c r="Q16" i="9"/>
  <c r="N70" i="9"/>
  <c r="O70" i="9" s="1"/>
  <c r="O24" i="9"/>
  <c r="L24" i="9"/>
  <c r="M16" i="9"/>
  <c r="E16" i="9" a="1"/>
  <c r="E16" i="9" l="1"/>
  <c r="P70" i="9"/>
  <c r="G24" i="9"/>
  <c r="H16" i="9"/>
  <c r="L70" i="9"/>
  <c r="C16" i="9"/>
  <c r="C24" i="9" s="1"/>
  <c r="A16" i="9" a="1"/>
  <c r="A16" i="9" l="1"/>
  <c r="D16" i="9"/>
  <c r="G70" i="9"/>
  <c r="C70" i="9"/>
  <c r="E24" i="9"/>
  <c r="F16" i="9"/>
  <c r="R12" i="9" a="1"/>
  <c r="R12" i="9" l="1"/>
  <c r="S12" i="9" s="1"/>
  <c r="E70" i="9"/>
  <c r="F70" i="9" s="1"/>
  <c r="F24" i="9"/>
  <c r="A24" i="9"/>
  <c r="B16" i="9"/>
  <c r="N12" i="9" a="1"/>
  <c r="N12" i="9" l="1"/>
  <c r="A70" i="9"/>
  <c r="L12" i="9" a="1"/>
  <c r="L12" i="9" l="1"/>
  <c r="M12" i="9" s="1"/>
  <c r="P12" i="9"/>
  <c r="Q12" i="9" s="1"/>
  <c r="O12" i="9"/>
  <c r="G12" i="9" a="1"/>
  <c r="G12" i="9" l="1"/>
  <c r="H12" i="9" s="1"/>
  <c r="E12" i="9" a="1"/>
  <c r="E12" i="9" l="1"/>
  <c r="F12" i="9" s="1"/>
  <c r="C12" i="9"/>
  <c r="D12" i="9" s="1"/>
  <c r="A12" i="9" a="1"/>
  <c r="A12" i="9" l="1"/>
  <c r="B12" i="9" s="1"/>
  <c r="R11" i="9" a="1"/>
  <c r="R11" i="9" l="1"/>
  <c r="N11" i="9" a="1"/>
  <c r="N11" i="9" l="1"/>
  <c r="L11" i="9" a="1"/>
  <c r="L11" i="9" l="1"/>
  <c r="P11" i="9"/>
  <c r="O11" i="9"/>
  <c r="G11" i="9" a="1"/>
  <c r="G11" i="9" l="1"/>
  <c r="E11" i="9" a="1"/>
  <c r="E11" i="9" l="1"/>
  <c r="F11" i="9" s="1"/>
  <c r="A11" i="9" a="1"/>
  <c r="A11" i="9" l="1"/>
  <c r="C11" i="9"/>
  <c r="R10" i="9" a="1"/>
  <c r="R10" i="9" l="1"/>
  <c r="N10" i="9" a="1"/>
  <c r="N10" i="9" l="1"/>
  <c r="L10" i="9" a="1"/>
  <c r="L10" i="9" l="1"/>
  <c r="P10" i="9"/>
  <c r="O10" i="9"/>
  <c r="G10" i="9" a="1"/>
  <c r="G10" i="9" l="1"/>
  <c r="E10" i="9" a="1"/>
  <c r="E10" i="9" l="1"/>
  <c r="F10" i="9" s="1"/>
  <c r="A10" i="9" a="1"/>
  <c r="A10" i="9" l="1"/>
  <c r="C10" i="9"/>
  <c r="R9" i="9" a="1"/>
  <c r="R9" i="9" l="1"/>
  <c r="S9" i="9" s="1"/>
  <c r="N9" i="9" a="1"/>
  <c r="N9" i="9" l="1"/>
  <c r="L9" i="9" a="1"/>
  <c r="L9" i="9" l="1"/>
  <c r="M9" i="9" s="1"/>
  <c r="P9" i="9"/>
  <c r="Q9" i="9" s="1"/>
  <c r="O9" i="9"/>
  <c r="G9" i="9" a="1"/>
  <c r="G9" i="9" l="1"/>
  <c r="H9" i="9" s="1"/>
  <c r="E9" i="9" a="1"/>
  <c r="E9" i="9" l="1"/>
  <c r="F9" i="9" s="1"/>
  <c r="C9" i="9"/>
  <c r="D9" i="9" s="1"/>
  <c r="A9" i="9" a="1"/>
  <c r="A9" i="9" l="1"/>
  <c r="B9" i="9" s="1"/>
  <c r="R8" i="9" a="1"/>
  <c r="R8" i="9" l="1"/>
  <c r="N8" i="9" a="1"/>
  <c r="N8" i="9" l="1"/>
  <c r="R14" i="9"/>
  <c r="L8" i="9"/>
  <c r="L14" i="9" l="1"/>
  <c r="M8" i="9"/>
  <c r="R71" i="9"/>
  <c r="S71" i="9" s="1"/>
  <c r="S27" i="9"/>
  <c r="S26" i="9"/>
  <c r="S69" i="9"/>
  <c r="S17" i="9"/>
  <c r="S24" i="9"/>
  <c r="S70" i="9"/>
  <c r="S14" i="9"/>
  <c r="S11" i="9"/>
  <c r="S10" i="9"/>
  <c r="N14" i="9"/>
  <c r="O8" i="9"/>
  <c r="P8" i="9"/>
  <c r="S8" i="9"/>
  <c r="G8" i="9" a="1"/>
  <c r="G8" i="9" l="1"/>
  <c r="N71" i="9"/>
  <c r="O71" i="9" s="1"/>
  <c r="O14" i="9"/>
  <c r="L71" i="9"/>
  <c r="M71" i="9" s="1"/>
  <c r="M65" i="9"/>
  <c r="M63" i="9"/>
  <c r="M44" i="9"/>
  <c r="M27" i="9"/>
  <c r="M26" i="9"/>
  <c r="M69" i="9"/>
  <c r="M19" i="9"/>
  <c r="M17" i="9"/>
  <c r="M24" i="9"/>
  <c r="M14" i="9"/>
  <c r="M70" i="9"/>
  <c r="M11" i="9"/>
  <c r="M10" i="9"/>
  <c r="P14" i="9"/>
  <c r="Q8" i="9" s="1"/>
  <c r="E8" i="9" a="1"/>
  <c r="E8" i="9" l="1"/>
  <c r="C8" i="9" s="1"/>
  <c r="C14" i="9" s="1"/>
  <c r="G14" i="9"/>
  <c r="H8" i="9"/>
  <c r="P71" i="9"/>
  <c r="Q71" i="9" s="1"/>
  <c r="Q65" i="9"/>
  <c r="Q63" i="9"/>
  <c r="Q44" i="9"/>
  <c r="Q27" i="9"/>
  <c r="Q26" i="9"/>
  <c r="Q69" i="9"/>
  <c r="Q19" i="9"/>
  <c r="Q17" i="9"/>
  <c r="Q24" i="9"/>
  <c r="Q14" i="9"/>
  <c r="Q70" i="9"/>
  <c r="Q11" i="9"/>
  <c r="Q10" i="9"/>
  <c r="A8" i="9" a="1"/>
  <c r="A8" i="9" l="1"/>
  <c r="D8" i="9"/>
  <c r="E14" i="9"/>
  <c r="F8" i="9"/>
  <c r="C71" i="9"/>
  <c r="D71" i="9" s="1"/>
  <c r="D65" i="9"/>
  <c r="D63" i="9"/>
  <c r="D44" i="9"/>
  <c r="D27" i="9"/>
  <c r="D26" i="9"/>
  <c r="D69" i="9"/>
  <c r="D19" i="9"/>
  <c r="D17" i="9"/>
  <c r="D14" i="9"/>
  <c r="D24" i="9"/>
  <c r="D70" i="9"/>
  <c r="D11" i="9"/>
  <c r="D10" i="9"/>
  <c r="G71" i="9"/>
  <c r="H71" i="9" s="1"/>
  <c r="H65" i="9"/>
  <c r="H63" i="9"/>
  <c r="H44" i="9"/>
  <c r="H27" i="9"/>
  <c r="H26" i="9"/>
  <c r="H69" i="9"/>
  <c r="H19" i="9"/>
  <c r="H17" i="9"/>
  <c r="H24" i="9"/>
  <c r="H14" i="9"/>
  <c r="H70" i="9"/>
  <c r="H11" i="9"/>
  <c r="H10" i="9"/>
  <c r="U2" i="9"/>
  <c r="R81" i="8" a="1"/>
  <c r="A14" i="9" l="1"/>
  <c r="B8" i="9"/>
  <c r="E71" i="9"/>
  <c r="F71" i="9" s="1"/>
  <c r="F14" i="9"/>
  <c r="R81" i="8"/>
  <c r="N81" i="8" a="1"/>
  <c r="A71" i="9" l="1"/>
  <c r="B71" i="9" s="1"/>
  <c r="B27" i="9"/>
  <c r="B26" i="9"/>
  <c r="B69" i="9"/>
  <c r="B17" i="9"/>
  <c r="B14" i="9"/>
  <c r="B24" i="9"/>
  <c r="B70" i="9"/>
  <c r="B11" i="9"/>
  <c r="B10" i="9"/>
  <c r="N81" i="8"/>
  <c r="L81" i="8" a="1"/>
  <c r="L81" i="8" l="1"/>
  <c r="P81" i="8"/>
  <c r="G81" i="8" a="1"/>
  <c r="G81" i="8" l="1"/>
  <c r="E81" i="8" a="1"/>
  <c r="E81" i="8" l="1"/>
  <c r="C81" i="8"/>
  <c r="A81" i="8" a="1"/>
  <c r="A81" i="8" l="1"/>
  <c r="R80" i="8" a="1"/>
  <c r="R80" i="8" l="1"/>
  <c r="N80" i="8" a="1"/>
  <c r="N80" i="8" l="1"/>
  <c r="L80" i="8" a="1"/>
  <c r="L80" i="8" l="1"/>
  <c r="P80" i="8"/>
  <c r="G80" i="8" a="1"/>
  <c r="G80" i="8" l="1"/>
  <c r="E80" i="8" a="1"/>
  <c r="E80" i="8" l="1"/>
  <c r="C80" i="8"/>
  <c r="A80" i="8" a="1"/>
  <c r="A80" i="8" l="1"/>
  <c r="R79" i="8" a="1"/>
  <c r="R79" i="8" l="1"/>
  <c r="N79" i="8" a="1"/>
  <c r="N79" i="8" l="1"/>
  <c r="L79" i="8" a="1"/>
  <c r="L79" i="8" l="1"/>
  <c r="P79" i="8"/>
  <c r="G79" i="8" a="1"/>
  <c r="G79" i="8" l="1"/>
  <c r="E79" i="8" a="1"/>
  <c r="E79" i="8" l="1"/>
  <c r="C79" i="8"/>
  <c r="A79" i="8" a="1"/>
  <c r="A79" i="8" l="1"/>
  <c r="R78" i="8" a="1"/>
  <c r="R78" i="8" l="1"/>
  <c r="N78" i="8" a="1"/>
  <c r="N78" i="8" l="1"/>
  <c r="L78" i="8" a="1"/>
  <c r="L78" i="8" l="1"/>
  <c r="P78" i="8"/>
  <c r="G78" i="8" a="1"/>
  <c r="G78" i="8" l="1"/>
  <c r="E78" i="8" a="1"/>
  <c r="E78" i="8" l="1"/>
  <c r="C78" i="8"/>
  <c r="A78" i="8" a="1"/>
  <c r="A78" i="8" l="1"/>
  <c r="R77" i="8" a="1"/>
  <c r="R77" i="8" l="1"/>
  <c r="N77" i="8" a="1"/>
  <c r="N77" i="8" l="1"/>
  <c r="L77" i="8" a="1"/>
  <c r="L77" i="8" l="1"/>
  <c r="P77" i="8"/>
  <c r="G77" i="8" a="1"/>
  <c r="G77" i="8" l="1"/>
  <c r="E77" i="8" a="1"/>
  <c r="E77" i="8" l="1"/>
  <c r="C77" i="8"/>
  <c r="A77" i="8" a="1"/>
  <c r="A77" i="8" l="1"/>
  <c r="R69" i="8" a="1"/>
  <c r="R69" i="8" l="1"/>
  <c r="S69" i="8" s="1"/>
  <c r="N69" i="8" a="1"/>
  <c r="N69" i="8" l="1"/>
  <c r="L69" i="8" a="1"/>
  <c r="L69" i="8" l="1"/>
  <c r="M69" i="8" s="1"/>
  <c r="O69" i="8"/>
  <c r="P69" i="8"/>
  <c r="Q69" i="8" s="1"/>
  <c r="G69" i="8" a="1"/>
  <c r="G69" i="8" l="1"/>
  <c r="H69" i="8" s="1"/>
  <c r="E69" i="8" a="1"/>
  <c r="E69" i="8" l="1"/>
  <c r="F69" i="8" s="1"/>
  <c r="C69" i="8"/>
  <c r="D69" i="8" s="1"/>
  <c r="A69" i="8" a="1"/>
  <c r="A69" i="8" l="1"/>
  <c r="B69" i="8" s="1"/>
  <c r="R68" i="8" a="1"/>
  <c r="R68" i="8" l="1"/>
  <c r="N68" i="8" a="1"/>
  <c r="N68" i="8" l="1"/>
  <c r="L68" i="8" a="1"/>
  <c r="L68" i="8" l="1"/>
  <c r="P68" i="8"/>
  <c r="O68" i="8"/>
  <c r="G68" i="8" a="1"/>
  <c r="G68" i="8" l="1"/>
  <c r="E68" i="8" a="1"/>
  <c r="E68" i="8" l="1"/>
  <c r="F68" i="8" s="1"/>
  <c r="A68" i="8" a="1"/>
  <c r="A68" i="8" l="1"/>
  <c r="C68" i="8"/>
  <c r="R67" i="8" a="1"/>
  <c r="R67" i="8" l="1"/>
  <c r="S67" i="8" s="1"/>
  <c r="N67" i="8" a="1"/>
  <c r="N67" i="8" l="1"/>
  <c r="L67" i="8" a="1"/>
  <c r="L67" i="8" l="1"/>
  <c r="M67" i="8" s="1"/>
  <c r="P67" i="8"/>
  <c r="Q67" i="8" s="1"/>
  <c r="O67" i="8"/>
  <c r="G67" i="8" a="1"/>
  <c r="G67" i="8" l="1"/>
  <c r="H67" i="8" s="1"/>
  <c r="E67" i="8" a="1"/>
  <c r="E67" i="8" l="1"/>
  <c r="F67" i="8" s="1"/>
  <c r="C67" i="8"/>
  <c r="D67" i="8" s="1"/>
  <c r="A67" i="8" a="1"/>
  <c r="A67" i="8" l="1"/>
  <c r="B67" i="8" s="1"/>
  <c r="R66" i="8" a="1"/>
  <c r="R66" i="8" l="1"/>
  <c r="N66" i="8" a="1"/>
  <c r="N66" i="8" l="1"/>
  <c r="L66" i="8" a="1"/>
  <c r="L66" i="8" l="1"/>
  <c r="M66" i="8" s="1"/>
  <c r="O66" i="8"/>
  <c r="P66" i="8"/>
  <c r="Q66" i="8" s="1"/>
  <c r="G66" i="8" a="1"/>
  <c r="G66" i="8" l="1"/>
  <c r="H66" i="8" s="1"/>
  <c r="E66" i="8" a="1"/>
  <c r="E66" i="8" l="1"/>
  <c r="F66" i="8" s="1"/>
  <c r="C66" i="8"/>
  <c r="D66" i="8" s="1"/>
  <c r="A66" i="8" a="1"/>
  <c r="A66" i="8" l="1"/>
  <c r="R65" i="8" a="1"/>
  <c r="R65" i="8" l="1"/>
  <c r="S65" i="8" s="1"/>
  <c r="N65" i="8" a="1"/>
  <c r="N65" i="8" l="1"/>
  <c r="L65" i="8" a="1"/>
  <c r="L65" i="8" l="1"/>
  <c r="P65" i="8"/>
  <c r="O65" i="8"/>
  <c r="G65" i="8" a="1"/>
  <c r="G65" i="8" l="1"/>
  <c r="E65" i="8" a="1"/>
  <c r="E65" i="8" l="1"/>
  <c r="F65" i="8" s="1"/>
  <c r="A65" i="8" a="1"/>
  <c r="A65" i="8" l="1"/>
  <c r="B65" i="8" s="1"/>
  <c r="C65" i="8"/>
  <c r="R64" i="8" a="1"/>
  <c r="R64" i="8" l="1"/>
  <c r="S64" i="8" s="1"/>
  <c r="N64" i="8" a="1"/>
  <c r="N64" i="8" l="1"/>
  <c r="L64" i="8" a="1"/>
  <c r="L64" i="8" l="1"/>
  <c r="M64" i="8" s="1"/>
  <c r="P64" i="8"/>
  <c r="Q64" i="8" s="1"/>
  <c r="O64" i="8"/>
  <c r="G64" i="8" a="1"/>
  <c r="G64" i="8" l="1"/>
  <c r="H64" i="8" s="1"/>
  <c r="E64" i="8" a="1"/>
  <c r="E64" i="8" l="1"/>
  <c r="F64" i="8" s="1"/>
  <c r="C64" i="8"/>
  <c r="D64" i="8" s="1"/>
  <c r="A64" i="8" a="1"/>
  <c r="A64" i="8" l="1"/>
  <c r="B64" i="8" s="1"/>
  <c r="R63" i="8" a="1"/>
  <c r="R63" i="8" l="1"/>
  <c r="S63" i="8" s="1"/>
  <c r="N63" i="8" a="1"/>
  <c r="N63" i="8" l="1"/>
  <c r="L63" i="8" a="1"/>
  <c r="L63" i="8" l="1"/>
  <c r="M63" i="8" s="1"/>
  <c r="P63" i="8"/>
  <c r="Q63" i="8" s="1"/>
  <c r="O63" i="8"/>
  <c r="G63" i="8" a="1"/>
  <c r="G63" i="8" l="1"/>
  <c r="H63" i="8" s="1"/>
  <c r="E63" i="8" a="1"/>
  <c r="E63" i="8" l="1"/>
  <c r="F63" i="8" s="1"/>
  <c r="C63" i="8"/>
  <c r="D63" i="8" s="1"/>
  <c r="A63" i="8" a="1"/>
  <c r="A63" i="8" l="1"/>
  <c r="B63" i="8" s="1"/>
  <c r="R62" i="8" a="1"/>
  <c r="R62" i="8" l="1"/>
  <c r="S62" i="8" s="1"/>
  <c r="N62" i="8" a="1"/>
  <c r="N62" i="8" l="1"/>
  <c r="L62" i="8" a="1"/>
  <c r="L62" i="8" l="1"/>
  <c r="M62" i="8" s="1"/>
  <c r="O62" i="8"/>
  <c r="P62" i="8"/>
  <c r="Q62" i="8" s="1"/>
  <c r="G62" i="8" a="1"/>
  <c r="G62" i="8" l="1"/>
  <c r="H62" i="8" s="1"/>
  <c r="E62" i="8" a="1"/>
  <c r="E62" i="8" l="1"/>
  <c r="F62" i="8" s="1"/>
  <c r="C62" i="8"/>
  <c r="D62" i="8" s="1"/>
  <c r="A62" i="8" a="1"/>
  <c r="A62" i="8" l="1"/>
  <c r="B62" i="8" s="1"/>
  <c r="R61" i="8" a="1"/>
  <c r="R61" i="8" l="1"/>
  <c r="S61" i="8" s="1"/>
  <c r="N61" i="8" a="1"/>
  <c r="N61" i="8" l="1"/>
  <c r="L61" i="8" a="1"/>
  <c r="L61" i="8" l="1"/>
  <c r="M61" i="8" s="1"/>
  <c r="O61" i="8"/>
  <c r="P61" i="8"/>
  <c r="Q61" i="8" s="1"/>
  <c r="G61" i="8" a="1"/>
  <c r="G61" i="8" l="1"/>
  <c r="H61" i="8" s="1"/>
  <c r="E61" i="8" a="1"/>
  <c r="E61" i="8" l="1"/>
  <c r="F61" i="8" s="1"/>
  <c r="A61" i="8" a="1"/>
  <c r="A61" i="8" l="1"/>
  <c r="B61" i="8" s="1"/>
  <c r="C61" i="8"/>
  <c r="D61" i="8" s="1"/>
  <c r="R60" i="8" a="1"/>
  <c r="R60" i="8" l="1"/>
  <c r="S60" i="8" s="1"/>
  <c r="N60" i="8" a="1"/>
  <c r="N60" i="8" l="1"/>
  <c r="L60" i="8" a="1"/>
  <c r="L60" i="8" l="1"/>
  <c r="M60" i="8" s="1"/>
  <c r="O60" i="8"/>
  <c r="G60" i="8" a="1"/>
  <c r="G60" i="8" l="1"/>
  <c r="H60" i="8" s="1"/>
  <c r="P60" i="8"/>
  <c r="Q60" i="8" s="1"/>
  <c r="E60" i="8" a="1"/>
  <c r="E60" i="8" l="1"/>
  <c r="F60" i="8" s="1"/>
  <c r="A60" i="8" a="1"/>
  <c r="A60" i="8" l="1"/>
  <c r="B60" i="8" s="1"/>
  <c r="C60" i="8"/>
  <c r="D60" i="8" s="1"/>
  <c r="R59" i="8" a="1"/>
  <c r="R59" i="8" l="1"/>
  <c r="S59" i="8" s="1"/>
  <c r="N59" i="8" a="1"/>
  <c r="N59" i="8" l="1"/>
  <c r="L59" i="8" a="1"/>
  <c r="L59" i="8" l="1"/>
  <c r="M59" i="8" s="1"/>
  <c r="P59" i="8"/>
  <c r="Q59" i="8" s="1"/>
  <c r="O59" i="8"/>
  <c r="G59" i="8" a="1"/>
  <c r="G59" i="8" l="1"/>
  <c r="H59" i="8" s="1"/>
  <c r="E59" i="8" a="1"/>
  <c r="E59" i="8" l="1"/>
  <c r="F59" i="8" s="1"/>
  <c r="C59" i="8"/>
  <c r="D59" i="8" s="1"/>
  <c r="A59" i="8" a="1"/>
  <c r="A59" i="8" l="1"/>
  <c r="B59" i="8" s="1"/>
  <c r="R58" i="8" a="1"/>
  <c r="R58" i="8" l="1"/>
  <c r="S58" i="8" s="1"/>
  <c r="N58" i="8" a="1"/>
  <c r="N58" i="8" l="1"/>
  <c r="L58" i="8" a="1"/>
  <c r="L58" i="8" l="1"/>
  <c r="M58" i="8" s="1"/>
  <c r="O58" i="8"/>
  <c r="G58" i="8" a="1"/>
  <c r="G58" i="8" l="1"/>
  <c r="H58" i="8" s="1"/>
  <c r="P58" i="8"/>
  <c r="Q58" i="8" s="1"/>
  <c r="E58" i="8" a="1"/>
  <c r="E58" i="8" l="1"/>
  <c r="F58" i="8" s="1"/>
  <c r="C58" i="8"/>
  <c r="D58" i="8" s="1"/>
  <c r="A58" i="8" a="1"/>
  <c r="A58" i="8" l="1"/>
  <c r="B58" i="8" s="1"/>
  <c r="R57" i="8" a="1"/>
  <c r="R57" i="8" l="1"/>
  <c r="S57" i="8" s="1"/>
  <c r="N57" i="8" a="1"/>
  <c r="N57" i="8" l="1"/>
  <c r="L57" i="8" a="1"/>
  <c r="L57" i="8" l="1"/>
  <c r="M57" i="8" s="1"/>
  <c r="P57" i="8"/>
  <c r="Q57" i="8" s="1"/>
  <c r="O57" i="8"/>
  <c r="G57" i="8" a="1"/>
  <c r="G57" i="8" l="1"/>
  <c r="H57" i="8" s="1"/>
  <c r="E57" i="8" a="1"/>
  <c r="E57" i="8" l="1"/>
  <c r="F57" i="8" s="1"/>
  <c r="C57" i="8"/>
  <c r="D57" i="8" s="1"/>
  <c r="A57" i="8" a="1"/>
  <c r="A57" i="8" l="1"/>
  <c r="B57" i="8" s="1"/>
  <c r="R56" i="8" a="1"/>
  <c r="R56" i="8" l="1"/>
  <c r="S56" i="8" s="1"/>
  <c r="N56" i="8" a="1"/>
  <c r="N56" i="8" l="1"/>
  <c r="L56" i="8" a="1"/>
  <c r="L56" i="8" l="1"/>
  <c r="M56" i="8" s="1"/>
  <c r="P56" i="8"/>
  <c r="Q56" i="8" s="1"/>
  <c r="O56" i="8"/>
  <c r="G56" i="8" a="1"/>
  <c r="G56" i="8" l="1"/>
  <c r="H56" i="8" s="1"/>
  <c r="E56" i="8" a="1"/>
  <c r="E56" i="8" l="1"/>
  <c r="F56" i="8" s="1"/>
  <c r="C56" i="8"/>
  <c r="D56" i="8" s="1"/>
  <c r="A56" i="8" a="1"/>
  <c r="A56" i="8" l="1"/>
  <c r="B56" i="8" s="1"/>
  <c r="R55" i="8" a="1"/>
  <c r="R55" i="8" l="1"/>
  <c r="S55" i="8" s="1"/>
  <c r="N55" i="8" a="1"/>
  <c r="N55" i="8" l="1"/>
  <c r="L55" i="8" a="1"/>
  <c r="L55" i="8" l="1"/>
  <c r="M55" i="8" s="1"/>
  <c r="O55" i="8"/>
  <c r="P55" i="8"/>
  <c r="Q55" i="8" s="1"/>
  <c r="G55" i="8" a="1"/>
  <c r="G55" i="8" l="1"/>
  <c r="H55" i="8" s="1"/>
  <c r="E55" i="8" a="1"/>
  <c r="E55" i="8" l="1"/>
  <c r="F55" i="8" s="1"/>
  <c r="C55" i="8"/>
  <c r="D55" i="8" s="1"/>
  <c r="A55" i="8" a="1"/>
  <c r="A55" i="8" l="1"/>
  <c r="B55" i="8" s="1"/>
  <c r="R54" i="8" a="1"/>
  <c r="R54" i="8" l="1"/>
  <c r="S54" i="8" s="1"/>
  <c r="N54" i="8" a="1"/>
  <c r="N54" i="8" l="1"/>
  <c r="L54" i="8" a="1"/>
  <c r="L54" i="8" l="1"/>
  <c r="M54" i="8" s="1"/>
  <c r="O54" i="8"/>
  <c r="P54" i="8"/>
  <c r="Q54" i="8" s="1"/>
  <c r="G54" i="8" a="1"/>
  <c r="G54" i="8" l="1"/>
  <c r="H54" i="8" s="1"/>
  <c r="E54" i="8" a="1"/>
  <c r="E54" i="8" l="1"/>
  <c r="F54" i="8" s="1"/>
  <c r="C54" i="8"/>
  <c r="D54" i="8" s="1"/>
  <c r="A54" i="8" a="1"/>
  <c r="A54" i="8" l="1"/>
  <c r="B54" i="8" s="1"/>
  <c r="R53" i="8" a="1"/>
  <c r="R53" i="8" l="1"/>
  <c r="S53" i="8" s="1"/>
  <c r="N53" i="8" a="1"/>
  <c r="N53" i="8" l="1"/>
  <c r="L53" i="8" a="1"/>
  <c r="L53" i="8" l="1"/>
  <c r="M53" i="8" s="1"/>
  <c r="O53" i="8"/>
  <c r="P53" i="8"/>
  <c r="Q53" i="8" s="1"/>
  <c r="G53" i="8" a="1"/>
  <c r="G53" i="8" l="1"/>
  <c r="H53" i="8" s="1"/>
  <c r="E53" i="8" a="1"/>
  <c r="E53" i="8" l="1"/>
  <c r="F53" i="8" s="1"/>
  <c r="A53" i="8" a="1"/>
  <c r="A53" i="8" l="1"/>
  <c r="B53" i="8" s="1"/>
  <c r="C53" i="8"/>
  <c r="D53" i="8" s="1"/>
  <c r="R52" i="8" a="1"/>
  <c r="R52" i="8" l="1"/>
  <c r="S52" i="8" s="1"/>
  <c r="N52" i="8" a="1"/>
  <c r="N52" i="8" l="1"/>
  <c r="L52" i="8" a="1"/>
  <c r="L52" i="8" l="1"/>
  <c r="M52" i="8" s="1"/>
  <c r="O52" i="8"/>
  <c r="P52" i="8"/>
  <c r="Q52" i="8" s="1"/>
  <c r="G52" i="8" a="1"/>
  <c r="G52" i="8" l="1"/>
  <c r="H52" i="8" s="1"/>
  <c r="E52" i="8" a="1"/>
  <c r="E52" i="8" l="1"/>
  <c r="F52" i="8" s="1"/>
  <c r="C52" i="8"/>
  <c r="D52" i="8" s="1"/>
  <c r="A52" i="8" a="1"/>
  <c r="A52" i="8" l="1"/>
  <c r="B52" i="8" s="1"/>
  <c r="R51" i="8" a="1"/>
  <c r="R51" i="8" l="1"/>
  <c r="S51" i="8" s="1"/>
  <c r="N51" i="8" a="1"/>
  <c r="N51" i="8" l="1"/>
  <c r="L51" i="8" a="1"/>
  <c r="L51" i="8" l="1"/>
  <c r="M51" i="8" s="1"/>
  <c r="O51" i="8"/>
  <c r="P51" i="8"/>
  <c r="Q51" i="8" s="1"/>
  <c r="G51" i="8" a="1"/>
  <c r="G51" i="8" l="1"/>
  <c r="H51" i="8" s="1"/>
  <c r="E51" i="8" a="1"/>
  <c r="E51" i="8" l="1"/>
  <c r="F51" i="8" s="1"/>
  <c r="C51" i="8"/>
  <c r="D51" i="8" s="1"/>
  <c r="A51" i="8" a="1"/>
  <c r="A51" i="8" l="1"/>
  <c r="B51" i="8" s="1"/>
  <c r="R50" i="8" a="1"/>
  <c r="R50" i="8" l="1"/>
  <c r="S50" i="8" s="1"/>
  <c r="N50" i="8" a="1"/>
  <c r="N50" i="8" l="1"/>
  <c r="L50" i="8" a="1"/>
  <c r="L50" i="8" l="1"/>
  <c r="M50" i="8" s="1"/>
  <c r="O50" i="8"/>
  <c r="P50" i="8"/>
  <c r="Q50" i="8" s="1"/>
  <c r="G50" i="8" a="1"/>
  <c r="G50" i="8" l="1"/>
  <c r="H50" i="8" s="1"/>
  <c r="E50" i="8" a="1"/>
  <c r="E50" i="8" l="1"/>
  <c r="F50" i="8" s="1"/>
  <c r="C50" i="8"/>
  <c r="D50" i="8" s="1"/>
  <c r="A50" i="8" a="1"/>
  <c r="A50" i="8" l="1"/>
  <c r="B50" i="8" s="1"/>
  <c r="R49" i="8" a="1"/>
  <c r="R49" i="8" l="1"/>
  <c r="S49" i="8" s="1"/>
  <c r="N49" i="8" a="1"/>
  <c r="N49" i="8" l="1"/>
  <c r="L49" i="8" a="1"/>
  <c r="L49" i="8" l="1"/>
  <c r="M49" i="8" s="1"/>
  <c r="O49" i="8"/>
  <c r="P49" i="8"/>
  <c r="Q49" i="8" s="1"/>
  <c r="G49" i="8" a="1"/>
  <c r="G49" i="8" l="1"/>
  <c r="H49" i="8" s="1"/>
  <c r="E49" i="8" a="1"/>
  <c r="E49" i="8" l="1"/>
  <c r="F49" i="8" s="1"/>
  <c r="C49" i="8"/>
  <c r="D49" i="8" s="1"/>
  <c r="A49" i="8" a="1"/>
  <c r="A49" i="8" l="1"/>
  <c r="B49" i="8" s="1"/>
  <c r="R48" i="8" a="1"/>
  <c r="R48" i="8" l="1"/>
  <c r="S48" i="8" s="1"/>
  <c r="N48" i="8" a="1"/>
  <c r="N48" i="8" l="1"/>
  <c r="L48" i="8" a="1"/>
  <c r="L48" i="8" l="1"/>
  <c r="M48" i="8" s="1"/>
  <c r="O48" i="8"/>
  <c r="P48" i="8"/>
  <c r="Q48" i="8" s="1"/>
  <c r="G48" i="8" a="1"/>
  <c r="G48" i="8" l="1"/>
  <c r="H48" i="8" s="1"/>
  <c r="E48" i="8" a="1"/>
  <c r="E48" i="8" l="1"/>
  <c r="F48" i="8" s="1"/>
  <c r="A48" i="8" a="1"/>
  <c r="A48" i="8" l="1"/>
  <c r="B48" i="8" s="1"/>
  <c r="C48" i="8"/>
  <c r="D48" i="8" s="1"/>
  <c r="R47" i="8" a="1"/>
  <c r="R47" i="8" l="1"/>
  <c r="S47" i="8" s="1"/>
  <c r="N47" i="8" a="1"/>
  <c r="N47" i="8" l="1"/>
  <c r="L47" i="8" a="1"/>
  <c r="L47" i="8" l="1"/>
  <c r="M47" i="8" s="1"/>
  <c r="O47" i="8"/>
  <c r="G47" i="8" a="1"/>
  <c r="G47" i="8" l="1"/>
  <c r="H47" i="8" s="1"/>
  <c r="P47" i="8"/>
  <c r="Q47" i="8" s="1"/>
  <c r="E47" i="8" a="1"/>
  <c r="E47" i="8" l="1"/>
  <c r="F47" i="8" s="1"/>
  <c r="C47" i="8"/>
  <c r="D47" i="8" s="1"/>
  <c r="A47" i="8" a="1"/>
  <c r="A47" i="8" l="1"/>
  <c r="B47" i="8" s="1"/>
  <c r="R46" i="8" a="1"/>
  <c r="R46" i="8" l="1"/>
  <c r="S46" i="8" s="1"/>
  <c r="N46" i="8" a="1"/>
  <c r="N46" i="8" l="1"/>
  <c r="L46" i="8" a="1"/>
  <c r="L46" i="8" l="1"/>
  <c r="P46" i="8"/>
  <c r="O46" i="8"/>
  <c r="G46" i="8" a="1"/>
  <c r="G46" i="8" l="1"/>
  <c r="E46" i="8" a="1"/>
  <c r="E46" i="8" l="1"/>
  <c r="F46" i="8" s="1"/>
  <c r="A46" i="8" a="1"/>
  <c r="A46" i="8" l="1"/>
  <c r="B46" i="8" s="1"/>
  <c r="C46" i="8"/>
  <c r="R45" i="8" a="1"/>
  <c r="R45" i="8" l="1"/>
  <c r="N45" i="8" a="1"/>
  <c r="N45" i="8" l="1"/>
  <c r="L45" i="8" a="1"/>
  <c r="L45" i="8" l="1"/>
  <c r="P45" i="8"/>
  <c r="O45" i="8"/>
  <c r="G45" i="8" a="1"/>
  <c r="G45" i="8" l="1"/>
  <c r="E45" i="8" a="1"/>
  <c r="E45" i="8" l="1"/>
  <c r="F45" i="8" s="1"/>
  <c r="A45" i="8" a="1"/>
  <c r="A45" i="8" l="1"/>
  <c r="C45" i="8"/>
  <c r="R44" i="8" a="1"/>
  <c r="R44" i="8" l="1"/>
  <c r="S44" i="8" s="1"/>
  <c r="N44" i="8" a="1"/>
  <c r="N44" i="8" l="1"/>
  <c r="L44" i="8" a="1"/>
  <c r="L44" i="8" l="1"/>
  <c r="M44" i="8" s="1"/>
  <c r="P44" i="8"/>
  <c r="Q44" i="8" s="1"/>
  <c r="O44" i="8"/>
  <c r="G44" i="8" a="1"/>
  <c r="G44" i="8" l="1"/>
  <c r="H44" i="8" s="1"/>
  <c r="E44" i="8" a="1"/>
  <c r="E44" i="8" l="1"/>
  <c r="F44" i="8" s="1"/>
  <c r="A44" i="8" a="1"/>
  <c r="A44" i="8" l="1"/>
  <c r="B44" i="8" s="1"/>
  <c r="C44" i="8"/>
  <c r="D44" i="8" s="1"/>
  <c r="R43" i="8" a="1"/>
  <c r="R43" i="8" l="1"/>
  <c r="N43" i="8" a="1"/>
  <c r="N43" i="8" l="1"/>
  <c r="L43" i="8" a="1"/>
  <c r="L43" i="8" l="1"/>
  <c r="O43" i="8"/>
  <c r="P43" i="8"/>
  <c r="G43" i="8" a="1"/>
  <c r="G43" i="8" l="1"/>
  <c r="E43" i="8" a="1"/>
  <c r="E43" i="8" l="1"/>
  <c r="F43" i="8" s="1"/>
  <c r="A43" i="8" a="1"/>
  <c r="A43" i="8" l="1"/>
  <c r="C43" i="8"/>
  <c r="R42" i="8" a="1"/>
  <c r="R42" i="8" l="1"/>
  <c r="S42" i="8" s="1"/>
  <c r="N42" i="8" a="1"/>
  <c r="N42" i="8" l="1"/>
  <c r="L42" i="8" a="1"/>
  <c r="L42" i="8" l="1"/>
  <c r="M42" i="8" s="1"/>
  <c r="O42" i="8"/>
  <c r="P42" i="8"/>
  <c r="Q42" i="8" s="1"/>
  <c r="G42" i="8" a="1"/>
  <c r="G42" i="8" l="1"/>
  <c r="H42" i="8" s="1"/>
  <c r="E42" i="8" a="1"/>
  <c r="E42" i="8" l="1"/>
  <c r="F42" i="8" s="1"/>
  <c r="C42" i="8"/>
  <c r="D42" i="8" s="1"/>
  <c r="A42" i="8" a="1"/>
  <c r="A42" i="8" l="1"/>
  <c r="B42" i="8" s="1"/>
  <c r="R41" i="8" a="1"/>
  <c r="R41" i="8" l="1"/>
  <c r="S41" i="8" s="1"/>
  <c r="N41" i="8" a="1"/>
  <c r="N41" i="8" l="1"/>
  <c r="L41" i="8" a="1"/>
  <c r="L41" i="8" l="1"/>
  <c r="M41" i="8" s="1"/>
  <c r="P41" i="8"/>
  <c r="Q41" i="8" s="1"/>
  <c r="O41" i="8"/>
  <c r="G41" i="8" a="1"/>
  <c r="G41" i="8" l="1"/>
  <c r="H41" i="8" s="1"/>
  <c r="E41" i="8" a="1"/>
  <c r="E41" i="8" l="1"/>
  <c r="F41" i="8" s="1"/>
  <c r="C41" i="8"/>
  <c r="D41" i="8" s="1"/>
  <c r="A41" i="8" a="1"/>
  <c r="A41" i="8" l="1"/>
  <c r="B41" i="8" s="1"/>
  <c r="R40" i="8" a="1"/>
  <c r="R40" i="8" l="1"/>
  <c r="S40" i="8" s="1"/>
  <c r="N40" i="8" a="1"/>
  <c r="N40" i="8" l="1"/>
  <c r="L40" i="8" a="1"/>
  <c r="L40" i="8" l="1"/>
  <c r="M40" i="8" s="1"/>
  <c r="P40" i="8"/>
  <c r="Q40" i="8" s="1"/>
  <c r="O40" i="8"/>
  <c r="G40" i="8" a="1"/>
  <c r="G40" i="8" l="1"/>
  <c r="H40" i="8" s="1"/>
  <c r="E40" i="8" a="1"/>
  <c r="E40" i="8" l="1"/>
  <c r="F40" i="8" s="1"/>
  <c r="C40" i="8"/>
  <c r="D40" i="8" s="1"/>
  <c r="A40" i="8" a="1"/>
  <c r="A40" i="8" l="1"/>
  <c r="B40" i="8" s="1"/>
  <c r="R39" i="8" a="1"/>
  <c r="R39" i="8" l="1"/>
  <c r="S39" i="8" s="1"/>
  <c r="N39" i="8" a="1"/>
  <c r="N39" i="8" l="1"/>
  <c r="L39" i="8" a="1"/>
  <c r="L39" i="8" l="1"/>
  <c r="M39" i="8" s="1"/>
  <c r="P39" i="8"/>
  <c r="Q39" i="8" s="1"/>
  <c r="O39" i="8"/>
  <c r="G39" i="8" a="1"/>
  <c r="G39" i="8" l="1"/>
  <c r="H39" i="8" s="1"/>
  <c r="E39" i="8" a="1"/>
  <c r="E39" i="8" l="1"/>
  <c r="F39" i="8" s="1"/>
  <c r="C39" i="8"/>
  <c r="D39" i="8" s="1"/>
  <c r="A39" i="8" a="1"/>
  <c r="A39" i="8" l="1"/>
  <c r="B39" i="8" s="1"/>
  <c r="R38" i="8" a="1"/>
  <c r="R38" i="8" l="1"/>
  <c r="N38" i="8" a="1"/>
  <c r="N38" i="8" l="1"/>
  <c r="L38" i="8" a="1"/>
  <c r="L38" i="8" l="1"/>
  <c r="M38" i="8" s="1"/>
  <c r="P38" i="8"/>
  <c r="Q38" i="8" s="1"/>
  <c r="O38" i="8"/>
  <c r="G38" i="8" a="1"/>
  <c r="G38" i="8" l="1"/>
  <c r="H38" i="8" s="1"/>
  <c r="E38" i="8" a="1"/>
  <c r="E38" i="8" l="1"/>
  <c r="F38" i="8" s="1"/>
  <c r="A38" i="8" a="1"/>
  <c r="A38" i="8" l="1"/>
  <c r="C38" i="8"/>
  <c r="D38" i="8" s="1"/>
  <c r="R37" i="8" a="1"/>
  <c r="R37" i="8" l="1"/>
  <c r="S37" i="8" s="1"/>
  <c r="N37" i="8" a="1"/>
  <c r="N37" i="8" l="1"/>
  <c r="L37" i="8" a="1"/>
  <c r="L37" i="8" l="1"/>
  <c r="M37" i="8" s="1"/>
  <c r="P37" i="8"/>
  <c r="Q37" i="8" s="1"/>
  <c r="O37" i="8"/>
  <c r="G37" i="8" a="1"/>
  <c r="G37" i="8" l="1"/>
  <c r="H37" i="8" s="1"/>
  <c r="E37" i="8" a="1"/>
  <c r="E37" i="8" l="1"/>
  <c r="F37" i="8" s="1"/>
  <c r="C37" i="8"/>
  <c r="D37" i="8" s="1"/>
  <c r="A37" i="8" a="1"/>
  <c r="A37" i="8" l="1"/>
  <c r="B37" i="8" s="1"/>
  <c r="R36" i="8" a="1"/>
  <c r="R36" i="8" l="1"/>
  <c r="S36" i="8" s="1"/>
  <c r="N36" i="8" a="1"/>
  <c r="N36" i="8" l="1"/>
  <c r="L36" i="8" a="1"/>
  <c r="L36" i="8" l="1"/>
  <c r="M36" i="8" s="1"/>
  <c r="O36" i="8"/>
  <c r="P36" i="8"/>
  <c r="Q36" i="8" s="1"/>
  <c r="G36" i="8" a="1"/>
  <c r="G36" i="8" l="1"/>
  <c r="H36" i="8" s="1"/>
  <c r="E36" i="8" a="1"/>
  <c r="E36" i="8" l="1"/>
  <c r="F36" i="8" s="1"/>
  <c r="A36" i="8" a="1"/>
  <c r="A36" i="8" l="1"/>
  <c r="B36" i="8" s="1"/>
  <c r="C36" i="8"/>
  <c r="D36" i="8" s="1"/>
  <c r="R35" i="8" a="1"/>
  <c r="R35" i="8" l="1"/>
  <c r="S35" i="8" s="1"/>
  <c r="N35" i="8" a="1"/>
  <c r="N35" i="8" l="1"/>
  <c r="L35" i="8" a="1"/>
  <c r="L35" i="8" l="1"/>
  <c r="M35" i="8" s="1"/>
  <c r="O35" i="8"/>
  <c r="P35" i="8"/>
  <c r="Q35" i="8" s="1"/>
  <c r="G35" i="8" a="1"/>
  <c r="G35" i="8" l="1"/>
  <c r="H35" i="8" s="1"/>
  <c r="E35" i="8" a="1"/>
  <c r="E35" i="8" l="1"/>
  <c r="F35" i="8" s="1"/>
  <c r="C35" i="8"/>
  <c r="D35" i="8" s="1"/>
  <c r="A35" i="8" a="1"/>
  <c r="A35" i="8" l="1"/>
  <c r="B35" i="8" s="1"/>
  <c r="R34" i="8" a="1"/>
  <c r="R34" i="8" l="1"/>
  <c r="S34" i="8" s="1"/>
  <c r="N34" i="8" a="1"/>
  <c r="N34" i="8" l="1"/>
  <c r="L34" i="8" a="1"/>
  <c r="L34" i="8" l="1"/>
  <c r="M34" i="8" s="1"/>
  <c r="O34" i="8"/>
  <c r="G34" i="8" a="1"/>
  <c r="G34" i="8" l="1"/>
  <c r="H34" i="8" s="1"/>
  <c r="P34" i="8"/>
  <c r="Q34" i="8" s="1"/>
  <c r="E34" i="8" a="1"/>
  <c r="E34" i="8" l="1"/>
  <c r="F34" i="8" s="1"/>
  <c r="C34" i="8"/>
  <c r="D34" i="8" s="1"/>
  <c r="A34" i="8" a="1"/>
  <c r="A34" i="8" l="1"/>
  <c r="B34" i="8" s="1"/>
  <c r="R33" i="8" a="1"/>
  <c r="R33" i="8" l="1"/>
  <c r="S33" i="8" s="1"/>
  <c r="N33" i="8" a="1"/>
  <c r="N33" i="8" l="1"/>
  <c r="L33" i="8" a="1"/>
  <c r="L33" i="8" l="1"/>
  <c r="M33" i="8" s="1"/>
  <c r="O33" i="8"/>
  <c r="P33" i="8"/>
  <c r="Q33" i="8" s="1"/>
  <c r="G33" i="8" a="1"/>
  <c r="G33" i="8" l="1"/>
  <c r="H33" i="8" s="1"/>
  <c r="E33" i="8" a="1"/>
  <c r="E33" i="8" l="1"/>
  <c r="F33" i="8" s="1"/>
  <c r="A33" i="8" a="1"/>
  <c r="A33" i="8" l="1"/>
  <c r="B33" i="8" s="1"/>
  <c r="C33" i="8"/>
  <c r="D33" i="8" s="1"/>
  <c r="R32" i="8" a="1"/>
  <c r="R32" i="8" l="1"/>
  <c r="N32" i="8" a="1"/>
  <c r="N32" i="8" l="1"/>
  <c r="L32" i="8" a="1"/>
  <c r="L32" i="8" l="1"/>
  <c r="O32" i="8"/>
  <c r="P32" i="8"/>
  <c r="G32" i="8" a="1"/>
  <c r="G32" i="8" l="1"/>
  <c r="E32" i="8" a="1"/>
  <c r="E32" i="8" l="1"/>
  <c r="F32" i="8" s="1"/>
  <c r="A32" i="8" a="1"/>
  <c r="A32" i="8" l="1"/>
  <c r="C32" i="8"/>
  <c r="R31" i="8" a="1"/>
  <c r="R31" i="8" l="1"/>
  <c r="S31" i="8" s="1"/>
  <c r="N31" i="8" a="1"/>
  <c r="N31" i="8" l="1"/>
  <c r="L31" i="8" a="1"/>
  <c r="L31" i="8" l="1"/>
  <c r="M31" i="8" s="1"/>
  <c r="O31" i="8"/>
  <c r="G31" i="8" a="1"/>
  <c r="G31" i="8" l="1"/>
  <c r="H31" i="8" s="1"/>
  <c r="P31" i="8"/>
  <c r="Q31" i="8" s="1"/>
  <c r="E31" i="8" a="1"/>
  <c r="E31" i="8" l="1"/>
  <c r="F31" i="8" s="1"/>
  <c r="C31" i="8"/>
  <c r="D31" i="8" s="1"/>
  <c r="A31" i="8" a="1"/>
  <c r="A31" i="8" l="1"/>
  <c r="B31" i="8" s="1"/>
  <c r="R30" i="8" a="1"/>
  <c r="R30" i="8" l="1"/>
  <c r="S30" i="8" s="1"/>
  <c r="N30" i="8" a="1"/>
  <c r="N30" i="8" l="1"/>
  <c r="L30" i="8" a="1"/>
  <c r="L30" i="8" l="1"/>
  <c r="O30" i="8"/>
  <c r="G30" i="8" a="1"/>
  <c r="G30" i="8" l="1"/>
  <c r="P30" i="8"/>
  <c r="E30" i="8" a="1"/>
  <c r="E30" i="8" l="1"/>
  <c r="F30" i="8" s="1"/>
  <c r="A30" i="8" a="1"/>
  <c r="A30" i="8" l="1"/>
  <c r="B30" i="8" s="1"/>
  <c r="C30" i="8"/>
  <c r="R29" i="8" a="1"/>
  <c r="R29" i="8" l="1"/>
  <c r="S29" i="8" s="1"/>
  <c r="N29" i="8" a="1"/>
  <c r="N29" i="8" l="1"/>
  <c r="L29" i="8" a="1"/>
  <c r="L29" i="8" l="1"/>
  <c r="M29" i="8" s="1"/>
  <c r="P29" i="8"/>
  <c r="Q29" i="8" s="1"/>
  <c r="O29" i="8"/>
  <c r="G29" i="8" a="1"/>
  <c r="G29" i="8" l="1"/>
  <c r="H29" i="8" s="1"/>
  <c r="E29" i="8" a="1"/>
  <c r="E29" i="8" l="1"/>
  <c r="F29" i="8" s="1"/>
  <c r="A29" i="8" a="1"/>
  <c r="A29" i="8" l="1"/>
  <c r="B29" i="8" s="1"/>
  <c r="C29" i="8"/>
  <c r="D29" i="8" s="1"/>
  <c r="R28" i="8" a="1"/>
  <c r="R28" i="8" l="1"/>
  <c r="N28" i="8" a="1"/>
  <c r="N28" i="8" l="1"/>
  <c r="R71" i="8"/>
  <c r="S28" i="8"/>
  <c r="L28" i="8" a="1"/>
  <c r="L28" i="8" l="1"/>
  <c r="P28" i="8" s="1"/>
  <c r="N71" i="8"/>
  <c r="O71" i="8" s="1"/>
  <c r="O28" i="8"/>
  <c r="G28" i="8" a="1"/>
  <c r="G28" i="8" l="1"/>
  <c r="P71" i="8"/>
  <c r="Q28" i="8"/>
  <c r="L71" i="8"/>
  <c r="M28" i="8"/>
  <c r="E28" i="8" a="1"/>
  <c r="E28" i="8" l="1"/>
  <c r="C28" i="8" s="1"/>
  <c r="C71" i="8" s="1"/>
  <c r="G71" i="8"/>
  <c r="H28" i="8"/>
  <c r="A28" i="8" a="1"/>
  <c r="A28" i="8" l="1"/>
  <c r="D28" i="8"/>
  <c r="E71" i="8"/>
  <c r="F71" i="8" s="1"/>
  <c r="F28" i="8"/>
  <c r="R24" i="8" a="1"/>
  <c r="R24" i="8" l="1"/>
  <c r="S24" i="8" s="1"/>
  <c r="A71" i="8"/>
  <c r="B28" i="8"/>
  <c r="N24" i="8" a="1"/>
  <c r="N24" i="8" l="1"/>
  <c r="L24" i="8" a="1"/>
  <c r="L24" i="8" l="1"/>
  <c r="M24" i="8" s="1"/>
  <c r="O24" i="8"/>
  <c r="G24" i="8" a="1"/>
  <c r="G24" i="8" l="1"/>
  <c r="H24" i="8" s="1"/>
  <c r="P24" i="8"/>
  <c r="Q24" i="8" s="1"/>
  <c r="E24" i="8" a="1"/>
  <c r="E24" i="8" l="1"/>
  <c r="F24" i="8" s="1"/>
  <c r="C24" i="8"/>
  <c r="D24" i="8" s="1"/>
  <c r="A24" i="8" a="1"/>
  <c r="A24" i="8" l="1"/>
  <c r="B24" i="8" s="1"/>
  <c r="R23" i="8" a="1"/>
  <c r="R23" i="8" l="1"/>
  <c r="S23" i="8" s="1"/>
  <c r="N23" i="8" a="1"/>
  <c r="N23" i="8" l="1"/>
  <c r="L23" i="8" a="1"/>
  <c r="L23" i="8" l="1"/>
  <c r="P23" i="8"/>
  <c r="O23" i="8"/>
  <c r="G23" i="8" a="1"/>
  <c r="G23" i="8" l="1"/>
  <c r="E23" i="8" a="1"/>
  <c r="E23" i="8" l="1"/>
  <c r="F23" i="8" s="1"/>
  <c r="A23" i="8" a="1"/>
  <c r="A23" i="8" l="1"/>
  <c r="B23" i="8" s="1"/>
  <c r="C23" i="8"/>
  <c r="R22" i="8" a="1"/>
  <c r="R22" i="8" l="1"/>
  <c r="S22" i="8" s="1"/>
  <c r="N22" i="8" a="1"/>
  <c r="N22" i="8" l="1"/>
  <c r="L22" i="8" a="1"/>
  <c r="L22" i="8" l="1"/>
  <c r="M22" i="8" s="1"/>
  <c r="P22" i="8"/>
  <c r="Q22" i="8" s="1"/>
  <c r="O22" i="8"/>
  <c r="G22" i="8" a="1"/>
  <c r="G22" i="8" l="1"/>
  <c r="H22" i="8" s="1"/>
  <c r="E22" i="8" a="1"/>
  <c r="E22" i="8" l="1"/>
  <c r="F22" i="8" s="1"/>
  <c r="C22" i="8"/>
  <c r="D22" i="8" s="1"/>
  <c r="A22" i="8" a="1"/>
  <c r="A22" i="8" l="1"/>
  <c r="B22" i="8" s="1"/>
  <c r="R21" i="8" a="1"/>
  <c r="R21" i="8" l="1"/>
  <c r="S21" i="8" s="1"/>
  <c r="N21" i="8" a="1"/>
  <c r="N21" i="8" l="1"/>
  <c r="L21" i="8" a="1"/>
  <c r="L21" i="8" l="1"/>
  <c r="O21" i="8"/>
  <c r="P21" i="8"/>
  <c r="G21" i="8" a="1"/>
  <c r="G21" i="8" l="1"/>
  <c r="E21" i="8" a="1"/>
  <c r="E21" i="8" l="1"/>
  <c r="F21" i="8" s="1"/>
  <c r="A21" i="8" a="1"/>
  <c r="A21" i="8" l="1"/>
  <c r="B21" i="8" s="1"/>
  <c r="C21" i="8"/>
  <c r="R20" i="8" a="1"/>
  <c r="R20" i="8" l="1"/>
  <c r="S20" i="8" s="1"/>
  <c r="N20" i="8" a="1"/>
  <c r="N20" i="8" l="1"/>
  <c r="L20" i="8" a="1"/>
  <c r="L20" i="8" l="1"/>
  <c r="M20" i="8" s="1"/>
  <c r="P20" i="8"/>
  <c r="Q20" i="8" s="1"/>
  <c r="O20" i="8"/>
  <c r="G20" i="8" a="1"/>
  <c r="G20" i="8" l="1"/>
  <c r="H20" i="8" s="1"/>
  <c r="E20" i="8" a="1"/>
  <c r="E20" i="8" l="1"/>
  <c r="F20" i="8" s="1"/>
  <c r="C20" i="8"/>
  <c r="D20" i="8" s="1"/>
  <c r="A20" i="8" a="1"/>
  <c r="A20" i="8" l="1"/>
  <c r="B20" i="8" s="1"/>
  <c r="R19" i="8" a="1"/>
  <c r="R19" i="8" l="1"/>
  <c r="S19" i="8" s="1"/>
  <c r="N19" i="8" a="1"/>
  <c r="N19" i="8" l="1"/>
  <c r="L19" i="8" a="1"/>
  <c r="L19" i="8" l="1"/>
  <c r="M19" i="8" s="1"/>
  <c r="O19" i="8"/>
  <c r="G19" i="8" a="1"/>
  <c r="G19" i="8" l="1"/>
  <c r="H19" i="8" s="1"/>
  <c r="P19" i="8"/>
  <c r="Q19" i="8" s="1"/>
  <c r="E19" i="8" a="1"/>
  <c r="E19" i="8" l="1"/>
  <c r="F19" i="8" s="1"/>
  <c r="C19" i="8"/>
  <c r="D19" i="8" s="1"/>
  <c r="A19" i="8" a="1"/>
  <c r="A19" i="8" l="1"/>
  <c r="B19" i="8" s="1"/>
  <c r="R18" i="8" a="1"/>
  <c r="R18" i="8" l="1"/>
  <c r="N18" i="8" a="1"/>
  <c r="N18" i="8" l="1"/>
  <c r="L18" i="8" a="1"/>
  <c r="L18" i="8" l="1"/>
  <c r="P18" i="8"/>
  <c r="O18" i="8"/>
  <c r="G18" i="8" a="1"/>
  <c r="G18" i="8" l="1"/>
  <c r="E18" i="8" a="1"/>
  <c r="E18" i="8" l="1"/>
  <c r="F18" i="8" s="1"/>
  <c r="C18" i="8"/>
  <c r="A18" i="8" a="1"/>
  <c r="A18" i="8" l="1"/>
  <c r="R17" i="8" a="1"/>
  <c r="R17" i="8" l="1"/>
  <c r="S17" i="8" s="1"/>
  <c r="N17" i="8" a="1"/>
  <c r="N17" i="8" l="1"/>
  <c r="L17" i="8" a="1"/>
  <c r="L17" i="8" l="1"/>
  <c r="P17" i="8"/>
  <c r="O17" i="8"/>
  <c r="G17" i="8" a="1"/>
  <c r="G17" i="8" l="1"/>
  <c r="E17" i="8" a="1"/>
  <c r="E17" i="8" l="1"/>
  <c r="F17" i="8" s="1"/>
  <c r="C17" i="8"/>
  <c r="A17" i="8" a="1"/>
  <c r="A17" i="8" l="1"/>
  <c r="B17" i="8" s="1"/>
  <c r="R16" i="8" a="1"/>
  <c r="R16" i="8" l="1"/>
  <c r="N16" i="8" a="1"/>
  <c r="N16" i="8" l="1"/>
  <c r="R26" i="8"/>
  <c r="S16" i="8"/>
  <c r="L16" i="8" a="1"/>
  <c r="L16" i="8" l="1"/>
  <c r="P16" i="8" s="1"/>
  <c r="R72" i="8"/>
  <c r="N26" i="8"/>
  <c r="O16" i="8"/>
  <c r="G16" i="8" a="1"/>
  <c r="G16" i="8" l="1"/>
  <c r="L26" i="8"/>
  <c r="M16" i="8"/>
  <c r="P26" i="8"/>
  <c r="Q16" i="8"/>
  <c r="N72" i="8"/>
  <c r="O72" i="8" s="1"/>
  <c r="O26" i="8"/>
  <c r="E16" i="8" a="1"/>
  <c r="E16" i="8" l="1"/>
  <c r="L72" i="8"/>
  <c r="G26" i="8"/>
  <c r="H16" i="8"/>
  <c r="P72" i="8"/>
  <c r="C16" i="8"/>
  <c r="C26" i="8" s="1"/>
  <c r="A16" i="8" a="1"/>
  <c r="D16" i="8" l="1"/>
  <c r="A16" i="8"/>
  <c r="G72" i="8"/>
  <c r="C72" i="8"/>
  <c r="E26" i="8"/>
  <c r="F16" i="8"/>
  <c r="R12" i="8" a="1"/>
  <c r="R12" i="8" l="1"/>
  <c r="S12" i="8" s="1"/>
  <c r="A26" i="8"/>
  <c r="B16" i="8"/>
  <c r="E72" i="8"/>
  <c r="F72" i="8" s="1"/>
  <c r="F26" i="8"/>
  <c r="N12" i="8" a="1"/>
  <c r="N12" i="8" l="1"/>
  <c r="A72" i="8"/>
  <c r="L12" i="8" a="1"/>
  <c r="L12" i="8" l="1"/>
  <c r="M12" i="8" s="1"/>
  <c r="P12" i="8"/>
  <c r="Q12" i="8" s="1"/>
  <c r="O12" i="8"/>
  <c r="G12" i="8" a="1"/>
  <c r="G12" i="8" l="1"/>
  <c r="H12" i="8" s="1"/>
  <c r="E12" i="8" a="1"/>
  <c r="E12" i="8" l="1"/>
  <c r="F12" i="8" s="1"/>
  <c r="C12" i="8"/>
  <c r="D12" i="8" s="1"/>
  <c r="A12" i="8" a="1"/>
  <c r="A12" i="8" l="1"/>
  <c r="B12" i="8" s="1"/>
  <c r="R11" i="8" a="1"/>
  <c r="R11" i="8" l="1"/>
  <c r="N11" i="8" a="1"/>
  <c r="N11" i="8" l="1"/>
  <c r="L11" i="8" a="1"/>
  <c r="L11" i="8" l="1"/>
  <c r="P11" i="8"/>
  <c r="O11" i="8"/>
  <c r="G11" i="8" a="1"/>
  <c r="G11" i="8" l="1"/>
  <c r="E11" i="8" a="1"/>
  <c r="E11" i="8" l="1"/>
  <c r="F11" i="8" s="1"/>
  <c r="A11" i="8" a="1"/>
  <c r="A11" i="8" l="1"/>
  <c r="C11" i="8"/>
  <c r="R10" i="8" a="1"/>
  <c r="R10" i="8" l="1"/>
  <c r="N10" i="8" a="1"/>
  <c r="N10" i="8" l="1"/>
  <c r="L10" i="8" a="1"/>
  <c r="L10" i="8" l="1"/>
  <c r="O10" i="8"/>
  <c r="P10" i="8"/>
  <c r="G10" i="8" a="1"/>
  <c r="G10" i="8" l="1"/>
  <c r="E10" i="8" a="1"/>
  <c r="E10" i="8" l="1"/>
  <c r="F10" i="8" s="1"/>
  <c r="A10" i="8" a="1"/>
  <c r="A10" i="8" l="1"/>
  <c r="C10" i="8"/>
  <c r="R9" i="8" a="1"/>
  <c r="R9" i="8" l="1"/>
  <c r="S9" i="8" s="1"/>
  <c r="N9" i="8" a="1"/>
  <c r="N9" i="8" l="1"/>
  <c r="L9" i="8" a="1"/>
  <c r="L9" i="8" l="1"/>
  <c r="M9" i="8" s="1"/>
  <c r="P9" i="8"/>
  <c r="Q9" i="8" s="1"/>
  <c r="O9" i="8"/>
  <c r="G9" i="8" a="1"/>
  <c r="G9" i="8" l="1"/>
  <c r="H9" i="8" s="1"/>
  <c r="E9" i="8" a="1"/>
  <c r="E9" i="8" l="1"/>
  <c r="F9" i="8" s="1"/>
  <c r="A9" i="8" a="1"/>
  <c r="A9" i="8" l="1"/>
  <c r="B9" i="8" s="1"/>
  <c r="C9" i="8"/>
  <c r="D9" i="8" s="1"/>
  <c r="R8" i="8" a="1"/>
  <c r="R8" i="8" l="1"/>
  <c r="N8" i="8" a="1"/>
  <c r="N8" i="8" l="1"/>
  <c r="R14" i="8"/>
  <c r="L8" i="8"/>
  <c r="L14" i="8" l="1"/>
  <c r="M8" i="8"/>
  <c r="N14" i="8"/>
  <c r="O8" i="8"/>
  <c r="P8" i="8"/>
  <c r="R73" i="8"/>
  <c r="S73" i="8" s="1"/>
  <c r="S68" i="8"/>
  <c r="S66" i="8"/>
  <c r="S45" i="8"/>
  <c r="S43" i="8"/>
  <c r="S38" i="8"/>
  <c r="S32" i="8"/>
  <c r="S71" i="8"/>
  <c r="S18" i="8"/>
  <c r="S26" i="8"/>
  <c r="S72" i="8"/>
  <c r="S14" i="8"/>
  <c r="S11" i="8"/>
  <c r="S10" i="8"/>
  <c r="S8" i="8"/>
  <c r="G8" i="8" a="1"/>
  <c r="G8" i="8" l="1"/>
  <c r="N73" i="8"/>
  <c r="O73" i="8" s="1"/>
  <c r="O14" i="8"/>
  <c r="L73" i="8"/>
  <c r="M73" i="8" s="1"/>
  <c r="M68" i="8"/>
  <c r="M65" i="8"/>
  <c r="M46" i="8"/>
  <c r="M45" i="8"/>
  <c r="M43" i="8"/>
  <c r="M32" i="8"/>
  <c r="M30" i="8"/>
  <c r="M71" i="8"/>
  <c r="M23" i="8"/>
  <c r="M21" i="8"/>
  <c r="M18" i="8"/>
  <c r="M17" i="8"/>
  <c r="M26" i="8"/>
  <c r="M72" i="8"/>
  <c r="M14" i="8"/>
  <c r="M11" i="8"/>
  <c r="M10" i="8"/>
  <c r="P14" i="8"/>
  <c r="Q8" i="8" s="1"/>
  <c r="E8" i="8" a="1"/>
  <c r="E8" i="8" l="1"/>
  <c r="G14" i="8"/>
  <c r="H8" i="8"/>
  <c r="P73" i="8"/>
  <c r="Q73" i="8" s="1"/>
  <c r="Q68" i="8"/>
  <c r="Q65" i="8"/>
  <c r="Q46" i="8"/>
  <c r="Q45" i="8"/>
  <c r="Q43" i="8"/>
  <c r="Q32" i="8"/>
  <c r="Q30" i="8"/>
  <c r="Q71" i="8"/>
  <c r="Q23" i="8"/>
  <c r="Q21" i="8"/>
  <c r="Q18" i="8"/>
  <c r="Q17" i="8"/>
  <c r="Q26" i="8"/>
  <c r="Q14" i="8"/>
  <c r="Q72" i="8"/>
  <c r="Q11" i="8"/>
  <c r="Q10" i="8"/>
  <c r="C8" i="8"/>
  <c r="C14" i="8" s="1"/>
  <c r="A8" i="8" a="1"/>
  <c r="A8" i="8" l="1"/>
  <c r="G73" i="8"/>
  <c r="H73" i="8" s="1"/>
  <c r="H68" i="8"/>
  <c r="H65" i="8"/>
  <c r="H46" i="8"/>
  <c r="H45" i="8"/>
  <c r="H43" i="8"/>
  <c r="H32" i="8"/>
  <c r="H30" i="8"/>
  <c r="H71" i="8"/>
  <c r="H23" i="8"/>
  <c r="H21" i="8"/>
  <c r="H18" i="8"/>
  <c r="H17" i="8"/>
  <c r="H26" i="8"/>
  <c r="H14" i="8"/>
  <c r="H72" i="8"/>
  <c r="H11" i="8"/>
  <c r="H10" i="8"/>
  <c r="E14" i="8"/>
  <c r="F8" i="8"/>
  <c r="C73" i="8"/>
  <c r="D73" i="8" s="1"/>
  <c r="D68" i="8"/>
  <c r="D65" i="8"/>
  <c r="D46" i="8"/>
  <c r="D45" i="8"/>
  <c r="D43" i="8"/>
  <c r="D32" i="8"/>
  <c r="D30" i="8"/>
  <c r="D71" i="8"/>
  <c r="D23" i="8"/>
  <c r="D21" i="8"/>
  <c r="D18" i="8"/>
  <c r="D17" i="8"/>
  <c r="D14" i="8"/>
  <c r="D26" i="8"/>
  <c r="D72" i="8"/>
  <c r="D11" i="8"/>
  <c r="D10" i="8"/>
  <c r="D8" i="8"/>
  <c r="U2" i="8"/>
  <c r="R82" i="7" a="1"/>
  <c r="A14" i="8" l="1"/>
  <c r="B8" i="8" s="1"/>
  <c r="E73" i="8"/>
  <c r="F73" i="8" s="1"/>
  <c r="F14" i="8"/>
  <c r="R82" i="7"/>
  <c r="N82" i="7" a="1"/>
  <c r="A73" i="8" l="1"/>
  <c r="B73" i="8" s="1"/>
  <c r="B68" i="8"/>
  <c r="B66" i="8"/>
  <c r="B45" i="8"/>
  <c r="B43" i="8"/>
  <c r="B38" i="8"/>
  <c r="B32" i="8"/>
  <c r="B71" i="8"/>
  <c r="B18" i="8"/>
  <c r="B14" i="8"/>
  <c r="B26" i="8"/>
  <c r="B72" i="8"/>
  <c r="B11" i="8"/>
  <c r="B10" i="8"/>
  <c r="N82" i="7"/>
  <c r="L82" i="7" a="1"/>
  <c r="L82" i="7" l="1"/>
  <c r="P82" i="7"/>
  <c r="G82" i="7" a="1"/>
  <c r="G82" i="7" l="1"/>
  <c r="E82" i="7" a="1"/>
  <c r="E82" i="7" l="1"/>
  <c r="C82" i="7" s="1"/>
  <c r="A82" i="7" a="1"/>
  <c r="A82" i="7" l="1"/>
  <c r="R80" i="7" a="1"/>
  <c r="R80" i="7" l="1"/>
  <c r="N80" i="7" a="1"/>
  <c r="N80" i="7" l="1"/>
  <c r="L80" i="7" a="1"/>
  <c r="L80" i="7" l="1"/>
  <c r="P80" i="7"/>
  <c r="G80" i="7" a="1"/>
  <c r="G80" i="7" l="1"/>
  <c r="E80" i="7" a="1"/>
  <c r="E80" i="7" l="1"/>
  <c r="C80" i="7"/>
  <c r="A80" i="7" a="1"/>
  <c r="A80" i="7" l="1"/>
  <c r="R78" i="7" a="1"/>
  <c r="R78" i="7" l="1"/>
  <c r="R79" i="7" s="1"/>
  <c r="N78" i="7" a="1"/>
  <c r="N78" i="7" l="1"/>
  <c r="L78" i="7" a="1"/>
  <c r="G78" i="7"/>
  <c r="G79" i="7" l="1"/>
  <c r="L78" i="7"/>
  <c r="L79" i="7" s="1"/>
  <c r="N79" i="7"/>
  <c r="E78" i="7" a="1"/>
  <c r="P78" i="7" l="1"/>
  <c r="P79" i="7" s="1"/>
  <c r="E78" i="7"/>
  <c r="E79" i="7" s="1"/>
  <c r="C78" i="7"/>
  <c r="C79" i="7" s="1"/>
  <c r="A78" i="7"/>
  <c r="A79" i="7" l="1"/>
  <c r="R70" i="7" a="1"/>
  <c r="R70" i="7" l="1"/>
  <c r="S70" i="7" s="1"/>
  <c r="N70" i="7" a="1"/>
  <c r="N70" i="7" l="1"/>
  <c r="L70" i="7" a="1"/>
  <c r="L70" i="7" l="1"/>
  <c r="M70" i="7" s="1"/>
  <c r="O70" i="7"/>
  <c r="P70" i="7"/>
  <c r="Q70" i="7" s="1"/>
  <c r="G70" i="7" a="1"/>
  <c r="G70" i="7" l="1"/>
  <c r="H70" i="7" s="1"/>
  <c r="E70" i="7" a="1"/>
  <c r="E70" i="7" l="1"/>
  <c r="F70" i="7" s="1"/>
  <c r="C70" i="7"/>
  <c r="D70" i="7" s="1"/>
  <c r="A70" i="7" a="1"/>
  <c r="A70" i="7" l="1"/>
  <c r="B70" i="7" s="1"/>
  <c r="R69" i="7" a="1"/>
  <c r="R69" i="7" l="1"/>
  <c r="N69" i="7" a="1"/>
  <c r="N69" i="7" l="1"/>
  <c r="L69" i="7" a="1"/>
  <c r="L69" i="7" l="1"/>
  <c r="M69" i="7" s="1"/>
  <c r="P69" i="7"/>
  <c r="Q69" i="7" s="1"/>
  <c r="O69" i="7"/>
  <c r="G69" i="7" a="1"/>
  <c r="G69" i="7" l="1"/>
  <c r="H69" i="7" s="1"/>
  <c r="E69" i="7" a="1"/>
  <c r="E69" i="7" l="1"/>
  <c r="F69" i="7" s="1"/>
  <c r="A69" i="7" a="1"/>
  <c r="A69" i="7" l="1"/>
  <c r="B69" i="7" s="1"/>
  <c r="C69" i="7"/>
  <c r="D69" i="7" s="1"/>
  <c r="R68" i="7" a="1"/>
  <c r="R68" i="7" l="1"/>
  <c r="N68" i="7" a="1"/>
  <c r="N68" i="7" l="1"/>
  <c r="L68" i="7" a="1"/>
  <c r="L68" i="7" l="1"/>
  <c r="P68" i="7"/>
  <c r="O68" i="7"/>
  <c r="G68" i="7" a="1"/>
  <c r="G68" i="7" l="1"/>
  <c r="E68" i="7" a="1"/>
  <c r="E68" i="7" l="1"/>
  <c r="F68" i="7" s="1"/>
  <c r="A68" i="7" a="1"/>
  <c r="A68" i="7" l="1"/>
  <c r="C68" i="7"/>
  <c r="R67" i="7" a="1"/>
  <c r="R67" i="7" l="1"/>
  <c r="S67" i="7" s="1"/>
  <c r="N67" i="7" a="1"/>
  <c r="N67" i="7" l="1"/>
  <c r="L67" i="7" a="1"/>
  <c r="L67" i="7" l="1"/>
  <c r="M67" i="7" s="1"/>
  <c r="P67" i="7"/>
  <c r="Q67" i="7" s="1"/>
  <c r="O67" i="7"/>
  <c r="G67" i="7" a="1"/>
  <c r="G67" i="7" l="1"/>
  <c r="H67" i="7" s="1"/>
  <c r="E67" i="7" a="1"/>
  <c r="E67" i="7" l="1"/>
  <c r="F67" i="7" s="1"/>
  <c r="A67" i="7" a="1"/>
  <c r="A67" i="7" l="1"/>
  <c r="B67" i="7" s="1"/>
  <c r="C67" i="7"/>
  <c r="D67" i="7" s="1"/>
  <c r="R66" i="7" a="1"/>
  <c r="R66" i="7" l="1"/>
  <c r="S66" i="7" s="1"/>
  <c r="N66" i="7" a="1"/>
  <c r="N66" i="7" l="1"/>
  <c r="L66" i="7" a="1"/>
  <c r="L66" i="7" l="1"/>
  <c r="O66" i="7"/>
  <c r="P66" i="7"/>
  <c r="G66" i="7" a="1"/>
  <c r="G66" i="7" l="1"/>
  <c r="E66" i="7" a="1"/>
  <c r="E66" i="7" l="1"/>
  <c r="F66" i="7" s="1"/>
  <c r="A66" i="7" a="1"/>
  <c r="A66" i="7" l="1"/>
  <c r="B66" i="7" s="1"/>
  <c r="C66" i="7"/>
  <c r="R65" i="7" a="1"/>
  <c r="R65" i="7" l="1"/>
  <c r="S65" i="7" s="1"/>
  <c r="N65" i="7" a="1"/>
  <c r="N65" i="7" l="1"/>
  <c r="L65" i="7" a="1"/>
  <c r="L65" i="7" l="1"/>
  <c r="M65" i="7" s="1"/>
  <c r="O65" i="7"/>
  <c r="G65" i="7" a="1"/>
  <c r="G65" i="7" l="1"/>
  <c r="H65" i="7" s="1"/>
  <c r="P65" i="7"/>
  <c r="Q65" i="7" s="1"/>
  <c r="E65" i="7" a="1"/>
  <c r="E65" i="7" l="1"/>
  <c r="F65" i="7" s="1"/>
  <c r="C65" i="7"/>
  <c r="D65" i="7" s="1"/>
  <c r="A65" i="7" a="1"/>
  <c r="A65" i="7" l="1"/>
  <c r="B65" i="7" s="1"/>
  <c r="R64" i="7" a="1"/>
  <c r="R64" i="7" l="1"/>
  <c r="S64" i="7" s="1"/>
  <c r="N64" i="7" a="1"/>
  <c r="N64" i="7" l="1"/>
  <c r="L64" i="7" a="1"/>
  <c r="L64" i="7" l="1"/>
  <c r="M64" i="7" s="1"/>
  <c r="O64" i="7"/>
  <c r="G64" i="7" a="1"/>
  <c r="G64" i="7" l="1"/>
  <c r="H64" i="7" s="1"/>
  <c r="P64" i="7"/>
  <c r="Q64" i="7" s="1"/>
  <c r="E64" i="7" a="1"/>
  <c r="E64" i="7" l="1"/>
  <c r="F64" i="7" s="1"/>
  <c r="C64" i="7"/>
  <c r="D64" i="7" s="1"/>
  <c r="A64" i="7" a="1"/>
  <c r="A64" i="7" l="1"/>
  <c r="B64" i="7" s="1"/>
  <c r="R63" i="7" a="1"/>
  <c r="R63" i="7" l="1"/>
  <c r="S63" i="7" s="1"/>
  <c r="N63" i="7" a="1"/>
  <c r="N63" i="7" l="1"/>
  <c r="L63" i="7" a="1"/>
  <c r="L63" i="7" l="1"/>
  <c r="M63" i="7" s="1"/>
  <c r="O63" i="7"/>
  <c r="P63" i="7"/>
  <c r="Q63" i="7" s="1"/>
  <c r="G63" i="7" a="1"/>
  <c r="G63" i="7" l="1"/>
  <c r="H63" i="7" s="1"/>
  <c r="E63" i="7" a="1"/>
  <c r="E63" i="7" l="1"/>
  <c r="F63" i="7" s="1"/>
  <c r="A63" i="7" a="1"/>
  <c r="A63" i="7" l="1"/>
  <c r="B63" i="7" s="1"/>
  <c r="C63" i="7"/>
  <c r="D63" i="7" s="1"/>
  <c r="R62" i="7" a="1"/>
  <c r="R62" i="7" l="1"/>
  <c r="N62" i="7" a="1"/>
  <c r="N62" i="7" l="1"/>
  <c r="L62" i="7" a="1"/>
  <c r="L62" i="7" l="1"/>
  <c r="M62" i="7" s="1"/>
  <c r="P62" i="7"/>
  <c r="Q62" i="7" s="1"/>
  <c r="O62" i="7"/>
  <c r="G62" i="7" a="1"/>
  <c r="G62" i="7" l="1"/>
  <c r="H62" i="7" s="1"/>
  <c r="E62" i="7" a="1"/>
  <c r="E62" i="7" l="1"/>
  <c r="F62" i="7" s="1"/>
  <c r="C62" i="7"/>
  <c r="D62" i="7" s="1"/>
  <c r="A62" i="7" a="1"/>
  <c r="A62" i="7" l="1"/>
  <c r="R61" i="7" a="1"/>
  <c r="R61" i="7" l="1"/>
  <c r="S61" i="7" s="1"/>
  <c r="N61" i="7" a="1"/>
  <c r="N61" i="7" l="1"/>
  <c r="L61" i="7" a="1"/>
  <c r="L61" i="7" l="1"/>
  <c r="M61" i="7" s="1"/>
  <c r="P61" i="7"/>
  <c r="Q61" i="7" s="1"/>
  <c r="O61" i="7"/>
  <c r="G61" i="7" a="1"/>
  <c r="G61" i="7" l="1"/>
  <c r="H61" i="7" s="1"/>
  <c r="E61" i="7" a="1"/>
  <c r="E61" i="7" l="1"/>
  <c r="F61" i="7" s="1"/>
  <c r="C61" i="7"/>
  <c r="D61" i="7" s="1"/>
  <c r="A61" i="7" a="1"/>
  <c r="A61" i="7" l="1"/>
  <c r="B61" i="7" s="1"/>
  <c r="R60" i="7" a="1"/>
  <c r="R60" i="7" l="1"/>
  <c r="S60" i="7" s="1"/>
  <c r="N60" i="7" a="1"/>
  <c r="N60" i="7" l="1"/>
  <c r="L60" i="7" a="1"/>
  <c r="L60" i="7" l="1"/>
  <c r="M60" i="7" s="1"/>
  <c r="O60" i="7"/>
  <c r="G60" i="7" a="1"/>
  <c r="G60" i="7" l="1"/>
  <c r="H60" i="7" s="1"/>
  <c r="P60" i="7"/>
  <c r="Q60" i="7" s="1"/>
  <c r="E60" i="7" a="1"/>
  <c r="E60" i="7" l="1"/>
  <c r="F60" i="7" s="1"/>
  <c r="C60" i="7"/>
  <c r="D60" i="7" s="1"/>
  <c r="A60" i="7" a="1"/>
  <c r="A60" i="7" l="1"/>
  <c r="B60" i="7" s="1"/>
  <c r="R59" i="7" a="1"/>
  <c r="R59" i="7" l="1"/>
  <c r="S59" i="7" s="1"/>
  <c r="N59" i="7" a="1"/>
  <c r="N59" i="7" l="1"/>
  <c r="L59" i="7" a="1"/>
  <c r="L59" i="7" l="1"/>
  <c r="M59" i="7" s="1"/>
  <c r="P59" i="7"/>
  <c r="Q59" i="7" s="1"/>
  <c r="O59" i="7"/>
  <c r="G59" i="7" a="1"/>
  <c r="G59" i="7" l="1"/>
  <c r="H59" i="7" s="1"/>
  <c r="E59" i="7" a="1"/>
  <c r="E59" i="7" l="1"/>
  <c r="F59" i="7" s="1"/>
  <c r="C59" i="7"/>
  <c r="D59" i="7" s="1"/>
  <c r="A59" i="7" a="1"/>
  <c r="A59" i="7" l="1"/>
  <c r="B59" i="7" s="1"/>
  <c r="R58" i="7" a="1"/>
  <c r="R58" i="7" l="1"/>
  <c r="S58" i="7" s="1"/>
  <c r="N58" i="7" a="1"/>
  <c r="N58" i="7" l="1"/>
  <c r="L58" i="7" a="1"/>
  <c r="L58" i="7" l="1"/>
  <c r="M58" i="7" s="1"/>
  <c r="P58" i="7"/>
  <c r="Q58" i="7" s="1"/>
  <c r="O58" i="7"/>
  <c r="G58" i="7" a="1"/>
  <c r="G58" i="7" l="1"/>
  <c r="H58" i="7" s="1"/>
  <c r="E58" i="7" a="1"/>
  <c r="E58" i="7" l="1"/>
  <c r="F58" i="7" s="1"/>
  <c r="C58" i="7"/>
  <c r="D58" i="7" s="1"/>
  <c r="A58" i="7" a="1"/>
  <c r="A58" i="7" l="1"/>
  <c r="B58" i="7" s="1"/>
  <c r="R57" i="7" a="1"/>
  <c r="R57" i="7" l="1"/>
  <c r="S57" i="7" s="1"/>
  <c r="N57" i="7" a="1"/>
  <c r="N57" i="7" l="1"/>
  <c r="L57" i="7" a="1"/>
  <c r="L57" i="7" l="1"/>
  <c r="M57" i="7" s="1"/>
  <c r="P57" i="7"/>
  <c r="Q57" i="7" s="1"/>
  <c r="O57" i="7"/>
  <c r="G57" i="7" a="1"/>
  <c r="G57" i="7" l="1"/>
  <c r="H57" i="7" s="1"/>
  <c r="E57" i="7" a="1"/>
  <c r="E57" i="7" l="1"/>
  <c r="F57" i="7" s="1"/>
  <c r="C57" i="7"/>
  <c r="D57" i="7" s="1"/>
  <c r="A57" i="7" a="1"/>
  <c r="A57" i="7" l="1"/>
  <c r="B57" i="7" s="1"/>
  <c r="R56" i="7" a="1"/>
  <c r="R56" i="7" l="1"/>
  <c r="S56" i="7" s="1"/>
  <c r="N56" i="7" a="1"/>
  <c r="N56" i="7" l="1"/>
  <c r="L56" i="7" a="1"/>
  <c r="L56" i="7" l="1"/>
  <c r="M56" i="7" s="1"/>
  <c r="O56" i="7"/>
  <c r="G56" i="7" a="1"/>
  <c r="P56" i="7" l="1"/>
  <c r="Q56" i="7" s="1"/>
  <c r="G56" i="7"/>
  <c r="H56" i="7" s="1"/>
  <c r="E56" i="7" a="1"/>
  <c r="E56" i="7" l="1"/>
  <c r="F56" i="7" s="1"/>
  <c r="A56" i="7" a="1"/>
  <c r="C56" i="7" l="1"/>
  <c r="D56" i="7" s="1"/>
  <c r="A56" i="7"/>
  <c r="B56" i="7" s="1"/>
  <c r="R55" i="7" a="1"/>
  <c r="R55" i="7" l="1"/>
  <c r="S55" i="7" s="1"/>
  <c r="N55" i="7" a="1"/>
  <c r="N55" i="7" l="1"/>
  <c r="L55" i="7" a="1"/>
  <c r="L55" i="7" l="1"/>
  <c r="M55" i="7" s="1"/>
  <c r="O55" i="7"/>
  <c r="G55" i="7" a="1"/>
  <c r="G55" i="7" l="1"/>
  <c r="H55" i="7" s="1"/>
  <c r="P55" i="7"/>
  <c r="Q55" i="7" s="1"/>
  <c r="E55" i="7" a="1"/>
  <c r="E55" i="7" l="1"/>
  <c r="F55" i="7" s="1"/>
  <c r="C55" i="7"/>
  <c r="D55" i="7" s="1"/>
  <c r="A55" i="7" a="1"/>
  <c r="A55" i="7" l="1"/>
  <c r="B55" i="7" s="1"/>
  <c r="R54" i="7" a="1"/>
  <c r="R54" i="7" l="1"/>
  <c r="S54" i="7" s="1"/>
  <c r="N54" i="7" a="1"/>
  <c r="N54" i="7" l="1"/>
  <c r="L54" i="7" a="1"/>
  <c r="L54" i="7" l="1"/>
  <c r="M54" i="7" s="1"/>
  <c r="O54" i="7"/>
  <c r="P54" i="7"/>
  <c r="Q54" i="7" s="1"/>
  <c r="G54" i="7" a="1"/>
  <c r="G54" i="7" l="1"/>
  <c r="H54" i="7" s="1"/>
  <c r="E54" i="7" a="1"/>
  <c r="E54" i="7" l="1"/>
  <c r="F54" i="7" s="1"/>
  <c r="A54" i="7" a="1"/>
  <c r="A54" i="7" l="1"/>
  <c r="B54" i="7" s="1"/>
  <c r="C54" i="7"/>
  <c r="D54" i="7" s="1"/>
  <c r="R53" i="7" a="1"/>
  <c r="R53" i="7" l="1"/>
  <c r="N53" i="7" a="1"/>
  <c r="N53" i="7" l="1"/>
  <c r="L53" i="7" a="1"/>
  <c r="L53" i="7" l="1"/>
  <c r="M53" i="7" s="1"/>
  <c r="O53" i="7"/>
  <c r="G53" i="7" a="1"/>
  <c r="G53" i="7" l="1"/>
  <c r="H53" i="7" s="1"/>
  <c r="P53" i="7"/>
  <c r="Q53" i="7" s="1"/>
  <c r="E53" i="7" a="1"/>
  <c r="E53" i="7" l="1"/>
  <c r="F53" i="7" s="1"/>
  <c r="A53" i="7" a="1"/>
  <c r="C53" i="7" l="1"/>
  <c r="D53" i="7" s="1"/>
  <c r="A53" i="7"/>
  <c r="R52" i="7" a="1"/>
  <c r="R52" i="7" l="1"/>
  <c r="S52" i="7" s="1"/>
  <c r="N52" i="7" a="1"/>
  <c r="N52" i="7" l="1"/>
  <c r="L52" i="7" a="1"/>
  <c r="L52" i="7" l="1"/>
  <c r="M52" i="7" s="1"/>
  <c r="O52" i="7"/>
  <c r="G52" i="7" a="1"/>
  <c r="P52" i="7" l="1"/>
  <c r="Q52" i="7" s="1"/>
  <c r="G52" i="7"/>
  <c r="H52" i="7" s="1"/>
  <c r="E52" i="7" a="1"/>
  <c r="E52" i="7" l="1"/>
  <c r="F52" i="7" s="1"/>
  <c r="C52" i="7"/>
  <c r="D52" i="7" s="1"/>
  <c r="A52" i="7" a="1"/>
  <c r="A52" i="7" l="1"/>
  <c r="B52" i="7" s="1"/>
  <c r="R51" i="7" a="1"/>
  <c r="R51" i="7" l="1"/>
  <c r="S51" i="7" s="1"/>
  <c r="N51" i="7" a="1"/>
  <c r="N51" i="7" l="1"/>
  <c r="L51" i="7" a="1"/>
  <c r="L51" i="7" l="1"/>
  <c r="M51" i="7" s="1"/>
  <c r="O51" i="7"/>
  <c r="G51" i="7" a="1"/>
  <c r="G51" i="7" l="1"/>
  <c r="H51" i="7" s="1"/>
  <c r="P51" i="7"/>
  <c r="Q51" i="7" s="1"/>
  <c r="E51" i="7" a="1"/>
  <c r="E51" i="7" l="1"/>
  <c r="F51" i="7" s="1"/>
  <c r="C51" i="7"/>
  <c r="D51" i="7" s="1"/>
  <c r="A51" i="7" a="1"/>
  <c r="A51" i="7" l="1"/>
  <c r="B51" i="7" s="1"/>
  <c r="R50" i="7" a="1"/>
  <c r="R50" i="7" l="1"/>
  <c r="N50" i="7" a="1"/>
  <c r="N50" i="7" l="1"/>
  <c r="L50" i="7" a="1"/>
  <c r="L50" i="7" l="1"/>
  <c r="M50" i="7" s="1"/>
  <c r="O50" i="7"/>
  <c r="P50" i="7"/>
  <c r="Q50" i="7" s="1"/>
  <c r="G50" i="7" a="1"/>
  <c r="G50" i="7" l="1"/>
  <c r="H50" i="7" s="1"/>
  <c r="E50" i="7" a="1"/>
  <c r="E50" i="7" l="1"/>
  <c r="F50" i="7" s="1"/>
  <c r="C50" i="7"/>
  <c r="D50" i="7" s="1"/>
  <c r="A50" i="7" a="1"/>
  <c r="A50" i="7" l="1"/>
  <c r="R49" i="7" a="1"/>
  <c r="R49" i="7" l="1"/>
  <c r="N49" i="7" a="1"/>
  <c r="N49" i="7" l="1"/>
  <c r="L49" i="7" a="1"/>
  <c r="L49" i="7" l="1"/>
  <c r="M49" i="7" s="1"/>
  <c r="O49" i="7"/>
  <c r="G49" i="7" a="1"/>
  <c r="G49" i="7" l="1"/>
  <c r="H49" i="7" s="1"/>
  <c r="P49" i="7"/>
  <c r="Q49" i="7" s="1"/>
  <c r="E49" i="7" a="1"/>
  <c r="E49" i="7" l="1"/>
  <c r="F49" i="7" s="1"/>
  <c r="C49" i="7"/>
  <c r="D49" i="7" s="1"/>
  <c r="A49" i="7" a="1"/>
  <c r="A49" i="7" l="1"/>
  <c r="R48" i="7" a="1"/>
  <c r="R48" i="7" l="1"/>
  <c r="S48" i="7" s="1"/>
  <c r="N48" i="7" a="1"/>
  <c r="N48" i="7" l="1"/>
  <c r="L48" i="7" a="1"/>
  <c r="L48" i="7" l="1"/>
  <c r="M48" i="7" s="1"/>
  <c r="O48" i="7"/>
  <c r="G48" i="7" a="1"/>
  <c r="G48" i="7" l="1"/>
  <c r="H48" i="7" s="1"/>
  <c r="P48" i="7"/>
  <c r="Q48" i="7" s="1"/>
  <c r="E48" i="7" a="1"/>
  <c r="E48" i="7" l="1"/>
  <c r="F48" i="7" s="1"/>
  <c r="C48" i="7"/>
  <c r="D48" i="7" s="1"/>
  <c r="A48" i="7" a="1"/>
  <c r="A48" i="7" l="1"/>
  <c r="B48" i="7" s="1"/>
  <c r="R47" i="7" a="1"/>
  <c r="R47" i="7" l="1"/>
  <c r="N47" i="7" a="1"/>
  <c r="N47" i="7" l="1"/>
  <c r="L47" i="7" a="1"/>
  <c r="L47" i="7" l="1"/>
  <c r="O47" i="7"/>
  <c r="P47" i="7"/>
  <c r="G47" i="7" a="1"/>
  <c r="G47" i="7" l="1"/>
  <c r="E47" i="7" a="1"/>
  <c r="E47" i="7" l="1"/>
  <c r="F47" i="7" s="1"/>
  <c r="A47" i="7" a="1"/>
  <c r="A47" i="7" l="1"/>
  <c r="C47" i="7"/>
  <c r="R46" i="7" a="1"/>
  <c r="R46" i="7" l="1"/>
  <c r="S46" i="7" s="1"/>
  <c r="N46" i="7" a="1"/>
  <c r="N46" i="7" l="1"/>
  <c r="L46" i="7" a="1"/>
  <c r="L46" i="7" l="1"/>
  <c r="M46" i="7" s="1"/>
  <c r="P46" i="7"/>
  <c r="Q46" i="7" s="1"/>
  <c r="O46" i="7"/>
  <c r="G46" i="7" a="1"/>
  <c r="G46" i="7" l="1"/>
  <c r="H46" i="7" s="1"/>
  <c r="E46" i="7" a="1"/>
  <c r="E46" i="7" l="1"/>
  <c r="F46" i="7" s="1"/>
  <c r="A46" i="7" a="1"/>
  <c r="A46" i="7" l="1"/>
  <c r="B46" i="7" s="1"/>
  <c r="C46" i="7"/>
  <c r="D46" i="7" s="1"/>
  <c r="R45" i="7" a="1"/>
  <c r="R45" i="7" l="1"/>
  <c r="S45" i="7" s="1"/>
  <c r="N45" i="7" a="1"/>
  <c r="N45" i="7" l="1"/>
  <c r="L45" i="7" a="1"/>
  <c r="L45" i="7" l="1"/>
  <c r="O45" i="7"/>
  <c r="P45" i="7"/>
  <c r="G45" i="7" a="1"/>
  <c r="G45" i="7" l="1"/>
  <c r="E45" i="7" a="1"/>
  <c r="E45" i="7" l="1"/>
  <c r="F45" i="7" s="1"/>
  <c r="A45" i="7" a="1"/>
  <c r="A45" i="7" l="1"/>
  <c r="B45" i="7" s="1"/>
  <c r="C45" i="7"/>
  <c r="R44" i="7" a="1"/>
  <c r="R44" i="7" l="1"/>
  <c r="S44" i="7" s="1"/>
  <c r="N44" i="7" a="1"/>
  <c r="N44" i="7" l="1"/>
  <c r="L44" i="7" a="1"/>
  <c r="L44" i="7" l="1"/>
  <c r="P44" i="7"/>
  <c r="O44" i="7"/>
  <c r="G44" i="7" a="1"/>
  <c r="G44" i="7" l="1"/>
  <c r="E44" i="7" a="1"/>
  <c r="E44" i="7" l="1"/>
  <c r="F44" i="7" s="1"/>
  <c r="C44" i="7"/>
  <c r="A44" i="7" a="1"/>
  <c r="A44" i="7" l="1"/>
  <c r="B44" i="7" s="1"/>
  <c r="R43" i="7" a="1"/>
  <c r="R43" i="7" l="1"/>
  <c r="S43" i="7" s="1"/>
  <c r="N43" i="7" a="1"/>
  <c r="N43" i="7" l="1"/>
  <c r="L43" i="7" a="1"/>
  <c r="L43" i="7" l="1"/>
  <c r="M43" i="7" s="1"/>
  <c r="O43" i="7"/>
  <c r="P43" i="7"/>
  <c r="Q43" i="7" s="1"/>
  <c r="G43" i="7" a="1"/>
  <c r="G43" i="7" l="1"/>
  <c r="H43" i="7" s="1"/>
  <c r="E43" i="7" a="1"/>
  <c r="E43" i="7" l="1"/>
  <c r="F43" i="7" s="1"/>
  <c r="C43" i="7"/>
  <c r="D43" i="7" s="1"/>
  <c r="A43" i="7" a="1"/>
  <c r="A43" i="7" l="1"/>
  <c r="B43" i="7" s="1"/>
  <c r="R42" i="7" a="1"/>
  <c r="R42" i="7" l="1"/>
  <c r="S42" i="7" s="1"/>
  <c r="N42" i="7" a="1"/>
  <c r="N42" i="7" l="1"/>
  <c r="L42" i="7" a="1"/>
  <c r="L42" i="7" l="1"/>
  <c r="M42" i="7" s="1"/>
  <c r="O42" i="7"/>
  <c r="G42" i="7" a="1"/>
  <c r="G42" i="7" l="1"/>
  <c r="H42" i="7" s="1"/>
  <c r="P42" i="7"/>
  <c r="Q42" i="7" s="1"/>
  <c r="E42" i="7" a="1"/>
  <c r="E42" i="7" l="1"/>
  <c r="F42" i="7" s="1"/>
  <c r="C42" i="7"/>
  <c r="D42" i="7" s="1"/>
  <c r="A42" i="7" a="1"/>
  <c r="A42" i="7" l="1"/>
  <c r="B42" i="7" s="1"/>
  <c r="R41" i="7" a="1"/>
  <c r="R41" i="7" l="1"/>
  <c r="S41" i="7" s="1"/>
  <c r="N41" i="7" a="1"/>
  <c r="N41" i="7" l="1"/>
  <c r="L41" i="7" a="1"/>
  <c r="L41" i="7" l="1"/>
  <c r="M41" i="7" s="1"/>
  <c r="P41" i="7"/>
  <c r="Q41" i="7" s="1"/>
  <c r="O41" i="7"/>
  <c r="G41" i="7" a="1"/>
  <c r="G41" i="7" l="1"/>
  <c r="H41" i="7" s="1"/>
  <c r="E41" i="7" a="1"/>
  <c r="E41" i="7" l="1"/>
  <c r="F41" i="7" s="1"/>
  <c r="C41" i="7"/>
  <c r="D41" i="7" s="1"/>
  <c r="A41" i="7" a="1"/>
  <c r="A41" i="7" l="1"/>
  <c r="B41" i="7" s="1"/>
  <c r="R40" i="7" a="1"/>
  <c r="R40" i="7" l="1"/>
  <c r="S40" i="7" s="1"/>
  <c r="N40" i="7" a="1"/>
  <c r="N40" i="7" l="1"/>
  <c r="L40" i="7" a="1"/>
  <c r="L40" i="7" l="1"/>
  <c r="M40" i="7" s="1"/>
  <c r="P40" i="7"/>
  <c r="Q40" i="7" s="1"/>
  <c r="O40" i="7"/>
  <c r="G40" i="7" a="1"/>
  <c r="G40" i="7" l="1"/>
  <c r="H40" i="7" s="1"/>
  <c r="E40" i="7" a="1"/>
  <c r="E40" i="7" l="1"/>
  <c r="F40" i="7" s="1"/>
  <c r="C40" i="7"/>
  <c r="D40" i="7" s="1"/>
  <c r="A40" i="7" a="1"/>
  <c r="A40" i="7" l="1"/>
  <c r="B40" i="7" s="1"/>
  <c r="R39" i="7" a="1"/>
  <c r="R39" i="7" l="1"/>
  <c r="S39" i="7" s="1"/>
  <c r="N39" i="7" a="1"/>
  <c r="N39" i="7" l="1"/>
  <c r="L39" i="7" a="1"/>
  <c r="L39" i="7" l="1"/>
  <c r="M39" i="7" s="1"/>
  <c r="O39" i="7"/>
  <c r="G39" i="7" a="1"/>
  <c r="G39" i="7" l="1"/>
  <c r="H39" i="7" s="1"/>
  <c r="P39" i="7"/>
  <c r="Q39" i="7" s="1"/>
  <c r="E39" i="7" a="1"/>
  <c r="E39" i="7" l="1"/>
  <c r="F39" i="7" s="1"/>
  <c r="C39" i="7"/>
  <c r="D39" i="7" s="1"/>
  <c r="A39" i="7" a="1"/>
  <c r="A39" i="7" l="1"/>
  <c r="B39" i="7" s="1"/>
  <c r="R38" i="7" a="1"/>
  <c r="R38" i="7" l="1"/>
  <c r="S38" i="7" s="1"/>
  <c r="N38" i="7" a="1"/>
  <c r="N38" i="7" l="1"/>
  <c r="L38" i="7" a="1"/>
  <c r="L38" i="7" l="1"/>
  <c r="M38" i="7" s="1"/>
  <c r="O38" i="7"/>
  <c r="P38" i="7"/>
  <c r="Q38" i="7" s="1"/>
  <c r="G38" i="7" a="1"/>
  <c r="G38" i="7" l="1"/>
  <c r="H38" i="7" s="1"/>
  <c r="E38" i="7" a="1"/>
  <c r="E38" i="7" l="1"/>
  <c r="F38" i="7" s="1"/>
  <c r="C38" i="7"/>
  <c r="D38" i="7" s="1"/>
  <c r="A38" i="7" a="1"/>
  <c r="A38" i="7" l="1"/>
  <c r="B38" i="7" s="1"/>
  <c r="R37" i="7" a="1"/>
  <c r="R37" i="7" l="1"/>
  <c r="S37" i="7" s="1"/>
  <c r="N37" i="7" a="1"/>
  <c r="N37" i="7" l="1"/>
  <c r="L37" i="7" a="1"/>
  <c r="L37" i="7" l="1"/>
  <c r="M37" i="7" s="1"/>
  <c r="O37" i="7"/>
  <c r="P37" i="7"/>
  <c r="Q37" i="7" s="1"/>
  <c r="G37" i="7" a="1"/>
  <c r="G37" i="7" l="1"/>
  <c r="H37" i="7" s="1"/>
  <c r="E37" i="7" a="1"/>
  <c r="E37" i="7" l="1"/>
  <c r="F37" i="7" s="1"/>
  <c r="A37" i="7" a="1"/>
  <c r="A37" i="7" l="1"/>
  <c r="B37" i="7" s="1"/>
  <c r="C37" i="7"/>
  <c r="D37" i="7" s="1"/>
  <c r="R36" i="7" a="1"/>
  <c r="R36" i="7" l="1"/>
  <c r="S36" i="7" s="1"/>
  <c r="N36" i="7" a="1"/>
  <c r="N36" i="7" l="1"/>
  <c r="L36" i="7" a="1"/>
  <c r="L36" i="7" l="1"/>
  <c r="M36" i="7" s="1"/>
  <c r="O36" i="7"/>
  <c r="G36" i="7" a="1"/>
  <c r="G36" i="7" l="1"/>
  <c r="H36" i="7" s="1"/>
  <c r="P36" i="7"/>
  <c r="Q36" i="7" s="1"/>
  <c r="E36" i="7" a="1"/>
  <c r="E36" i="7" l="1"/>
  <c r="F36" i="7" s="1"/>
  <c r="A36" i="7" a="1"/>
  <c r="A36" i="7" l="1"/>
  <c r="B36" i="7" s="1"/>
  <c r="C36" i="7"/>
  <c r="D36" i="7" s="1"/>
  <c r="R35" i="7" a="1"/>
  <c r="R35" i="7" l="1"/>
  <c r="S35" i="7" s="1"/>
  <c r="N35" i="7" a="1"/>
  <c r="N35" i="7" l="1"/>
  <c r="L35" i="7" a="1"/>
  <c r="L35" i="7" l="1"/>
  <c r="M35" i="7" s="1"/>
  <c r="O35" i="7"/>
  <c r="P35" i="7"/>
  <c r="Q35" i="7" s="1"/>
  <c r="G35" i="7" a="1"/>
  <c r="G35" i="7" l="1"/>
  <c r="H35" i="7" s="1"/>
  <c r="E35" i="7" a="1"/>
  <c r="E35" i="7" l="1"/>
  <c r="F35" i="7" s="1"/>
  <c r="C35" i="7"/>
  <c r="D35" i="7" s="1"/>
  <c r="A35" i="7" a="1"/>
  <c r="A35" i="7" l="1"/>
  <c r="B35" i="7" s="1"/>
  <c r="R34" i="7" a="1"/>
  <c r="R34" i="7" l="1"/>
  <c r="S34" i="7" s="1"/>
  <c r="N34" i="7" a="1"/>
  <c r="N34" i="7" l="1"/>
  <c r="L34" i="7" a="1"/>
  <c r="L34" i="7" l="1"/>
  <c r="M34" i="7" s="1"/>
  <c r="P34" i="7"/>
  <c r="Q34" i="7" s="1"/>
  <c r="O34" i="7"/>
  <c r="G34" i="7" a="1"/>
  <c r="G34" i="7" l="1"/>
  <c r="H34" i="7" s="1"/>
  <c r="E34" i="7" a="1"/>
  <c r="E34" i="7" l="1"/>
  <c r="F34" i="7" s="1"/>
  <c r="A34" i="7" a="1"/>
  <c r="A34" i="7" l="1"/>
  <c r="B34" i="7" s="1"/>
  <c r="C34" i="7"/>
  <c r="D34" i="7" s="1"/>
  <c r="R33" i="7" a="1"/>
  <c r="R33" i="7" l="1"/>
  <c r="S33" i="7" s="1"/>
  <c r="N33" i="7" a="1"/>
  <c r="N33" i="7" l="1"/>
  <c r="L33" i="7" a="1"/>
  <c r="L33" i="7" l="1"/>
  <c r="M33" i="7" s="1"/>
  <c r="P33" i="7"/>
  <c r="Q33" i="7" s="1"/>
  <c r="O33" i="7"/>
  <c r="G33" i="7" a="1"/>
  <c r="G33" i="7" l="1"/>
  <c r="H33" i="7" s="1"/>
  <c r="E33" i="7" a="1"/>
  <c r="E33" i="7" l="1"/>
  <c r="F33" i="7" s="1"/>
  <c r="A33" i="7" a="1"/>
  <c r="A33" i="7" l="1"/>
  <c r="B33" i="7" s="1"/>
  <c r="C33" i="7"/>
  <c r="D33" i="7" s="1"/>
  <c r="R32" i="7" a="1"/>
  <c r="R32" i="7" l="1"/>
  <c r="S32" i="7" s="1"/>
  <c r="N32" i="7" a="1"/>
  <c r="N32" i="7" l="1"/>
  <c r="L32" i="7" a="1"/>
  <c r="L32" i="7" l="1"/>
  <c r="M32" i="7" s="1"/>
  <c r="O32" i="7"/>
  <c r="G32" i="7" a="1"/>
  <c r="G32" i="7" l="1"/>
  <c r="H32" i="7" s="1"/>
  <c r="P32" i="7"/>
  <c r="Q32" i="7" s="1"/>
  <c r="E32" i="7" a="1"/>
  <c r="E32" i="7" l="1"/>
  <c r="F32" i="7" s="1"/>
  <c r="C32" i="7"/>
  <c r="D32" i="7" s="1"/>
  <c r="A32" i="7" a="1"/>
  <c r="A32" i="7" l="1"/>
  <c r="B32" i="7" s="1"/>
  <c r="R31" i="7" a="1"/>
  <c r="R31" i="7" l="1"/>
  <c r="S31" i="7" s="1"/>
  <c r="N31" i="7" a="1"/>
  <c r="N31" i="7" l="1"/>
  <c r="L31" i="7" a="1"/>
  <c r="L31" i="7" l="1"/>
  <c r="M31" i="7" s="1"/>
  <c r="O31" i="7"/>
  <c r="P31" i="7"/>
  <c r="Q31" i="7" s="1"/>
  <c r="G31" i="7" a="1"/>
  <c r="G31" i="7" l="1"/>
  <c r="H31" i="7" s="1"/>
  <c r="E31" i="7" a="1"/>
  <c r="E31" i="7" l="1"/>
  <c r="F31" i="7" s="1"/>
  <c r="C31" i="7"/>
  <c r="D31" i="7" s="1"/>
  <c r="A31" i="7" a="1"/>
  <c r="A31" i="7" l="1"/>
  <c r="B31" i="7" s="1"/>
  <c r="R30" i="7" a="1"/>
  <c r="R30" i="7" l="1"/>
  <c r="S30" i="7" s="1"/>
  <c r="N30" i="7" a="1"/>
  <c r="N30" i="7" l="1"/>
  <c r="L30" i="7" a="1"/>
  <c r="L30" i="7" l="1"/>
  <c r="M30" i="7" s="1"/>
  <c r="O30" i="7"/>
  <c r="P30" i="7"/>
  <c r="Q30" i="7" s="1"/>
  <c r="G30" i="7" a="1"/>
  <c r="G30" i="7" l="1"/>
  <c r="H30" i="7" s="1"/>
  <c r="E30" i="7" a="1"/>
  <c r="E30" i="7" l="1"/>
  <c r="F30" i="7" s="1"/>
  <c r="C30" i="7"/>
  <c r="D30" i="7" s="1"/>
  <c r="A30" i="7" a="1"/>
  <c r="A30" i="7" l="1"/>
  <c r="B30" i="7" s="1"/>
  <c r="R29" i="7" a="1"/>
  <c r="R29" i="7" l="1"/>
  <c r="N29" i="7" a="1"/>
  <c r="N29" i="7" l="1"/>
  <c r="L29" i="7" a="1"/>
  <c r="L29" i="7" l="1"/>
  <c r="O29" i="7"/>
  <c r="P29" i="7"/>
  <c r="G29" i="7" a="1"/>
  <c r="G29" i="7" l="1"/>
  <c r="E29" i="7" a="1"/>
  <c r="E29" i="7" l="1"/>
  <c r="F29" i="7" s="1"/>
  <c r="A29" i="7" a="1"/>
  <c r="A29" i="7" l="1"/>
  <c r="C29" i="7"/>
  <c r="R28" i="7" a="1"/>
  <c r="R28" i="7" l="1"/>
  <c r="N28" i="7" a="1"/>
  <c r="N28" i="7" l="1"/>
  <c r="R72" i="7"/>
  <c r="S28" i="7"/>
  <c r="L28" i="7" a="1"/>
  <c r="L28" i="7" l="1"/>
  <c r="N72" i="7"/>
  <c r="O72" i="7" s="1"/>
  <c r="O28" i="7"/>
  <c r="G28" i="7" a="1"/>
  <c r="G28" i="7" l="1"/>
  <c r="L72" i="7"/>
  <c r="M28" i="7"/>
  <c r="P28" i="7"/>
  <c r="E28" i="7" a="1"/>
  <c r="E28" i="7" l="1"/>
  <c r="G72" i="7"/>
  <c r="H28" i="7"/>
  <c r="P72" i="7"/>
  <c r="Q28" i="7"/>
  <c r="A28" i="7" a="1"/>
  <c r="A28" i="7" l="1"/>
  <c r="E72" i="7"/>
  <c r="F72" i="7" s="1"/>
  <c r="F28" i="7"/>
  <c r="C28" i="7"/>
  <c r="R24" i="7" a="1"/>
  <c r="R24" i="7" l="1"/>
  <c r="A72" i="7"/>
  <c r="B28" i="7"/>
  <c r="C72" i="7"/>
  <c r="D28" i="7"/>
  <c r="N24" i="7" a="1"/>
  <c r="N24" i="7" l="1"/>
  <c r="L24" i="7" a="1"/>
  <c r="L24" i="7" l="1"/>
  <c r="M24" i="7" s="1"/>
  <c r="P24" i="7"/>
  <c r="Q24" i="7" s="1"/>
  <c r="O24" i="7"/>
  <c r="G24" i="7" a="1"/>
  <c r="G24" i="7" l="1"/>
  <c r="H24" i="7" s="1"/>
  <c r="E24" i="7" a="1"/>
  <c r="E24" i="7" l="1"/>
  <c r="F24" i="7" s="1"/>
  <c r="C24" i="7"/>
  <c r="D24" i="7" s="1"/>
  <c r="A24" i="7" a="1"/>
  <c r="A24" i="7" l="1"/>
  <c r="R23" i="7" a="1"/>
  <c r="R23" i="7" l="1"/>
  <c r="S23" i="7" s="1"/>
  <c r="N23" i="7" a="1"/>
  <c r="N23" i="7" l="1"/>
  <c r="L23" i="7" a="1"/>
  <c r="L23" i="7" l="1"/>
  <c r="P23" i="7" s="1"/>
  <c r="O23" i="7"/>
  <c r="G23" i="7" a="1"/>
  <c r="G23" i="7" l="1"/>
  <c r="E23" i="7" a="1"/>
  <c r="E23" i="7" l="1"/>
  <c r="F23" i="7" s="1"/>
  <c r="A23" i="7" a="1"/>
  <c r="A23" i="7" l="1"/>
  <c r="B23" i="7" s="1"/>
  <c r="C23" i="7"/>
  <c r="R22" i="7" a="1"/>
  <c r="R22" i="7" l="1"/>
  <c r="S22" i="7" s="1"/>
  <c r="N22" i="7" a="1"/>
  <c r="N22" i="7" l="1"/>
  <c r="L22" i="7" a="1"/>
  <c r="L22" i="7" l="1"/>
  <c r="M22" i="7" s="1"/>
  <c r="P22" i="7"/>
  <c r="Q22" i="7" s="1"/>
  <c r="O22" i="7"/>
  <c r="G22" i="7" a="1"/>
  <c r="G22" i="7" l="1"/>
  <c r="H22" i="7" s="1"/>
  <c r="E22" i="7" a="1"/>
  <c r="E22" i="7" l="1"/>
  <c r="F22" i="7" s="1"/>
  <c r="A22" i="7" a="1"/>
  <c r="C22" i="7" l="1"/>
  <c r="D22" i="7" s="1"/>
  <c r="A22" i="7"/>
  <c r="B22" i="7" s="1"/>
  <c r="R21" i="7" a="1"/>
  <c r="R21" i="7" l="1"/>
  <c r="S21" i="7" s="1"/>
  <c r="N21" i="7" a="1"/>
  <c r="N21" i="7" l="1"/>
  <c r="L21" i="7" a="1"/>
  <c r="L21" i="7" l="1"/>
  <c r="O21" i="7"/>
  <c r="P21" i="7"/>
  <c r="G21" i="7" a="1"/>
  <c r="G21" i="7" l="1"/>
  <c r="E21" i="7" a="1"/>
  <c r="E21" i="7" l="1"/>
  <c r="F21" i="7" s="1"/>
  <c r="A21" i="7" a="1"/>
  <c r="A21" i="7" l="1"/>
  <c r="B21" i="7" s="1"/>
  <c r="C21" i="7"/>
  <c r="R20" i="7" a="1"/>
  <c r="R20" i="7" l="1"/>
  <c r="S20" i="7" s="1"/>
  <c r="N20" i="7" a="1"/>
  <c r="N20" i="7" l="1"/>
  <c r="L20" i="7" a="1"/>
  <c r="L20" i="7" l="1"/>
  <c r="M20" i="7" s="1"/>
  <c r="P20" i="7"/>
  <c r="Q20" i="7" s="1"/>
  <c r="O20" i="7"/>
  <c r="G20" i="7" a="1"/>
  <c r="G20" i="7" l="1"/>
  <c r="H20" i="7" s="1"/>
  <c r="E20" i="7" a="1"/>
  <c r="E20" i="7" l="1"/>
  <c r="F20" i="7" s="1"/>
  <c r="C20" i="7"/>
  <c r="D20" i="7" s="1"/>
  <c r="A20" i="7" a="1"/>
  <c r="A20" i="7" l="1"/>
  <c r="B20" i="7" s="1"/>
  <c r="R19" i="7" a="1"/>
  <c r="R19" i="7" l="1"/>
  <c r="S19" i="7" s="1"/>
  <c r="N19" i="7" a="1"/>
  <c r="N19" i="7" l="1"/>
  <c r="L19" i="7" a="1"/>
  <c r="L19" i="7" l="1"/>
  <c r="M19" i="7" s="1"/>
  <c r="O19" i="7"/>
  <c r="P19" i="7"/>
  <c r="Q19" i="7" s="1"/>
  <c r="G19" i="7" a="1"/>
  <c r="G19" i="7" l="1"/>
  <c r="H19" i="7" s="1"/>
  <c r="E19" i="7" a="1"/>
  <c r="E19" i="7" l="1"/>
  <c r="F19" i="7" s="1"/>
  <c r="C19" i="7"/>
  <c r="D19" i="7" s="1"/>
  <c r="A19" i="7" a="1"/>
  <c r="A19" i="7" l="1"/>
  <c r="B19" i="7" s="1"/>
  <c r="R18" i="7" a="1"/>
  <c r="R18" i="7" l="1"/>
  <c r="N18" i="7" a="1"/>
  <c r="N18" i="7" l="1"/>
  <c r="L18" i="7" a="1"/>
  <c r="L18" i="7" l="1"/>
  <c r="O18" i="7"/>
  <c r="G18" i="7" a="1"/>
  <c r="G18" i="7" l="1"/>
  <c r="P18" i="7"/>
  <c r="E18" i="7" a="1"/>
  <c r="E18" i="7" l="1"/>
  <c r="F18" i="7" s="1"/>
  <c r="A18" i="7" a="1"/>
  <c r="A18" i="7" l="1"/>
  <c r="C18" i="7"/>
  <c r="R17" i="7" a="1"/>
  <c r="R17" i="7" l="1"/>
  <c r="S17" i="7" s="1"/>
  <c r="N17" i="7" a="1"/>
  <c r="N17" i="7" l="1"/>
  <c r="L17" i="7" a="1"/>
  <c r="L17" i="7" l="1"/>
  <c r="P17" i="7"/>
  <c r="O17" i="7"/>
  <c r="G17" i="7" a="1"/>
  <c r="G17" i="7" l="1"/>
  <c r="E17" i="7" a="1"/>
  <c r="E17" i="7" l="1"/>
  <c r="F17" i="7" s="1"/>
  <c r="A17" i="7" a="1"/>
  <c r="A17" i="7" l="1"/>
  <c r="B17" i="7" s="1"/>
  <c r="C17" i="7"/>
  <c r="R16" i="7" a="1"/>
  <c r="R16" i="7" l="1"/>
  <c r="N16" i="7" a="1"/>
  <c r="N16" i="7" l="1"/>
  <c r="R26" i="7"/>
  <c r="S16" i="7"/>
  <c r="L16" i="7" a="1"/>
  <c r="L16" i="7" l="1"/>
  <c r="N26" i="7"/>
  <c r="P16" i="7"/>
  <c r="O16" i="7"/>
  <c r="R73" i="7"/>
  <c r="G16" i="7"/>
  <c r="G26" i="7" l="1"/>
  <c r="H16" i="7"/>
  <c r="N73" i="7"/>
  <c r="O73" i="7" s="1"/>
  <c r="O26" i="7"/>
  <c r="L26" i="7"/>
  <c r="M16" i="7"/>
  <c r="P26" i="7"/>
  <c r="Q16" i="7"/>
  <c r="E16" i="7" a="1"/>
  <c r="E16" i="7" l="1"/>
  <c r="C16" i="7" s="1"/>
  <c r="C26" i="7" s="1"/>
  <c r="G73" i="7"/>
  <c r="P73" i="7"/>
  <c r="L73" i="7"/>
  <c r="A16" i="7" a="1"/>
  <c r="A16" i="7" l="1"/>
  <c r="C73" i="7"/>
  <c r="E26" i="7"/>
  <c r="F16" i="7"/>
  <c r="D16" i="7"/>
  <c r="R12" i="7" a="1"/>
  <c r="R12" i="7" l="1"/>
  <c r="S12" i="7" s="1"/>
  <c r="A26" i="7"/>
  <c r="B16" i="7"/>
  <c r="E73" i="7"/>
  <c r="F73" i="7" s="1"/>
  <c r="F26" i="7"/>
  <c r="N12" i="7" a="1"/>
  <c r="N12" i="7" l="1"/>
  <c r="A73" i="7"/>
  <c r="L12" i="7" a="1"/>
  <c r="L12" i="7" l="1"/>
  <c r="M12" i="7" s="1"/>
  <c r="P12" i="7"/>
  <c r="Q12" i="7" s="1"/>
  <c r="O12" i="7"/>
  <c r="G12" i="7" a="1"/>
  <c r="G12" i="7" l="1"/>
  <c r="H12" i="7" s="1"/>
  <c r="E12" i="7" a="1"/>
  <c r="E12" i="7" l="1"/>
  <c r="F12" i="7" s="1"/>
  <c r="C12" i="7"/>
  <c r="D12" i="7" s="1"/>
  <c r="A12" i="7" a="1"/>
  <c r="A12" i="7" l="1"/>
  <c r="B12" i="7" s="1"/>
  <c r="R11" i="7" a="1"/>
  <c r="R11" i="7" l="1"/>
  <c r="N11" i="7" a="1"/>
  <c r="N11" i="7" l="1"/>
  <c r="L11" i="7" a="1"/>
  <c r="L11" i="7" l="1"/>
  <c r="O11" i="7"/>
  <c r="P11" i="7"/>
  <c r="G11" i="7" a="1"/>
  <c r="G11" i="7" l="1"/>
  <c r="E11" i="7" a="1"/>
  <c r="E11" i="7" l="1"/>
  <c r="F11" i="7" s="1"/>
  <c r="C11" i="7"/>
  <c r="A11" i="7" a="1"/>
  <c r="A11" i="7" l="1"/>
  <c r="R10" i="7" a="1"/>
  <c r="R10" i="7" l="1"/>
  <c r="N10" i="7" a="1"/>
  <c r="N10" i="7" l="1"/>
  <c r="L10" i="7" a="1"/>
  <c r="L10" i="7" l="1"/>
  <c r="O10" i="7"/>
  <c r="G10" i="7" a="1"/>
  <c r="G10" i="7" l="1"/>
  <c r="P10" i="7"/>
  <c r="E10" i="7" a="1"/>
  <c r="E10" i="7" l="1"/>
  <c r="F10" i="7" s="1"/>
  <c r="C10" i="7"/>
  <c r="A10" i="7" a="1"/>
  <c r="A10" i="7" l="1"/>
  <c r="R9" i="7" a="1"/>
  <c r="R9" i="7" l="1"/>
  <c r="S9" i="7" s="1"/>
  <c r="N9" i="7" a="1"/>
  <c r="N9" i="7" l="1"/>
  <c r="L9" i="7" a="1"/>
  <c r="L9" i="7" l="1"/>
  <c r="M9" i="7" s="1"/>
  <c r="P9" i="7"/>
  <c r="Q9" i="7" s="1"/>
  <c r="O9" i="7"/>
  <c r="G9" i="7" a="1"/>
  <c r="G9" i="7" l="1"/>
  <c r="H9" i="7" s="1"/>
  <c r="E9" i="7" a="1"/>
  <c r="E9" i="7" l="1"/>
  <c r="F9" i="7" s="1"/>
  <c r="C9" i="7"/>
  <c r="D9" i="7" s="1"/>
  <c r="A9" i="7" a="1"/>
  <c r="A9" i="7" l="1"/>
  <c r="B9" i="7" s="1"/>
  <c r="R8" i="7" a="1"/>
  <c r="R8" i="7" l="1"/>
  <c r="N8" i="7" a="1"/>
  <c r="N8" i="7" l="1"/>
  <c r="R81" i="7"/>
  <c r="R14" i="7"/>
  <c r="L8" i="7"/>
  <c r="L81" i="7" l="1"/>
  <c r="L14" i="7"/>
  <c r="M8" i="7"/>
  <c r="N81" i="7"/>
  <c r="N14" i="7"/>
  <c r="O8" i="7"/>
  <c r="P8" i="7"/>
  <c r="R74" i="7"/>
  <c r="S74" i="7" s="1"/>
  <c r="S68" i="7"/>
  <c r="S62" i="7"/>
  <c r="S53" i="7"/>
  <c r="S50" i="7"/>
  <c r="S49" i="7"/>
  <c r="S47" i="7"/>
  <c r="S29" i="7"/>
  <c r="S72" i="7"/>
  <c r="S24" i="7"/>
  <c r="S18" i="7"/>
  <c r="S26" i="7"/>
  <c r="S73" i="7"/>
  <c r="S14" i="7"/>
  <c r="S11" i="7"/>
  <c r="S10" i="7"/>
  <c r="S8" i="7"/>
  <c r="G8" i="7" a="1"/>
  <c r="G8" i="7" l="1"/>
  <c r="L74" i="7"/>
  <c r="M74" i="7" s="1"/>
  <c r="M68" i="7"/>
  <c r="M66" i="7"/>
  <c r="M47" i="7"/>
  <c r="M45" i="7"/>
  <c r="M44" i="7"/>
  <c r="M29" i="7"/>
  <c r="M72" i="7"/>
  <c r="M23" i="7"/>
  <c r="M21" i="7"/>
  <c r="M18" i="7"/>
  <c r="M17" i="7"/>
  <c r="M26" i="7"/>
  <c r="M73" i="7"/>
  <c r="M14" i="7"/>
  <c r="M11" i="7"/>
  <c r="M10" i="7"/>
  <c r="P81" i="7"/>
  <c r="P14" i="7"/>
  <c r="Q8" i="7" s="1"/>
  <c r="N74" i="7"/>
  <c r="O74" i="7" s="1"/>
  <c r="O14" i="7"/>
  <c r="E8" i="7" a="1"/>
  <c r="E8" i="7" l="1"/>
  <c r="P74" i="7"/>
  <c r="Q74" i="7" s="1"/>
  <c r="Q68" i="7"/>
  <c r="Q66" i="7"/>
  <c r="Q47" i="7"/>
  <c r="Q45" i="7"/>
  <c r="Q44" i="7"/>
  <c r="Q29" i="7"/>
  <c r="Q72" i="7"/>
  <c r="Q23" i="7"/>
  <c r="Q21" i="7"/>
  <c r="Q18" i="7"/>
  <c r="Q17" i="7"/>
  <c r="Q26" i="7"/>
  <c r="Q14" i="7"/>
  <c r="Q73" i="7"/>
  <c r="Q11" i="7"/>
  <c r="Q10" i="7"/>
  <c r="G81" i="7"/>
  <c r="G14" i="7"/>
  <c r="H8" i="7"/>
  <c r="C8" i="7"/>
  <c r="A8" i="7" a="1"/>
  <c r="A8" i="7" l="1"/>
  <c r="E81" i="7"/>
  <c r="E14" i="7"/>
  <c r="F8" i="7"/>
  <c r="C81" i="7"/>
  <c r="C14" i="7"/>
  <c r="D8" i="7" s="1"/>
  <c r="G74" i="7"/>
  <c r="H74" i="7" s="1"/>
  <c r="H68" i="7"/>
  <c r="H66" i="7"/>
  <c r="H47" i="7"/>
  <c r="H45" i="7"/>
  <c r="H44" i="7"/>
  <c r="H29" i="7"/>
  <c r="H72" i="7"/>
  <c r="H23" i="7"/>
  <c r="H21" i="7"/>
  <c r="H18" i="7"/>
  <c r="H17" i="7"/>
  <c r="H26" i="7"/>
  <c r="H73" i="7"/>
  <c r="H14" i="7"/>
  <c r="H11" i="7"/>
  <c r="H10" i="7"/>
  <c r="U2" i="7"/>
  <c r="G84" i="6"/>
  <c r="R82" i="6" a="1"/>
  <c r="E74" i="7" l="1"/>
  <c r="F74" i="7" s="1"/>
  <c r="F14" i="7"/>
  <c r="A81" i="7"/>
  <c r="A14" i="7"/>
  <c r="B8" i="7"/>
  <c r="C74" i="7"/>
  <c r="D74" i="7" s="1"/>
  <c r="D68" i="7"/>
  <c r="D66" i="7"/>
  <c r="D47" i="7"/>
  <c r="D45" i="7"/>
  <c r="D44" i="7"/>
  <c r="D29" i="7"/>
  <c r="D72" i="7"/>
  <c r="D23" i="7"/>
  <c r="D21" i="7"/>
  <c r="D18" i="7"/>
  <c r="D17" i="7"/>
  <c r="D14" i="7"/>
  <c r="D26" i="7"/>
  <c r="D73" i="7"/>
  <c r="D11" i="7"/>
  <c r="D10" i="7"/>
  <c r="R82" i="6"/>
  <c r="N82" i="6" a="1"/>
  <c r="A74" i="7" l="1"/>
  <c r="B74" i="7" s="1"/>
  <c r="B68" i="7"/>
  <c r="B62" i="7"/>
  <c r="B53" i="7"/>
  <c r="B50" i="7"/>
  <c r="B49" i="7"/>
  <c r="B47" i="7"/>
  <c r="B29" i="7"/>
  <c r="B72" i="7"/>
  <c r="B24" i="7"/>
  <c r="B18" i="7"/>
  <c r="B14" i="7"/>
  <c r="B26" i="7"/>
  <c r="B73" i="7"/>
  <c r="B11" i="7"/>
  <c r="B10" i="7"/>
  <c r="N82" i="6"/>
  <c r="L82" i="6" a="1"/>
  <c r="G82" i="6"/>
  <c r="L82" i="6" l="1"/>
  <c r="P82" i="6"/>
  <c r="E82" i="6" a="1"/>
  <c r="E82" i="6" l="1"/>
  <c r="C82" i="6" s="1"/>
  <c r="A82" i="6" a="1"/>
  <c r="A82" i="6" l="1"/>
  <c r="R80" i="6" a="1"/>
  <c r="R80" i="6" l="1"/>
  <c r="N80" i="6" a="1"/>
  <c r="N80" i="6" l="1"/>
  <c r="L80" i="6" a="1"/>
  <c r="G80" i="6"/>
  <c r="L80" i="6" l="1"/>
  <c r="P80" i="6"/>
  <c r="E80" i="6" a="1"/>
  <c r="E80" i="6" l="1"/>
  <c r="C80" i="6" s="1"/>
  <c r="A80" i="6" a="1"/>
  <c r="A80" i="6" l="1"/>
  <c r="R78" i="6" a="1"/>
  <c r="R78" i="6" l="1"/>
  <c r="R79" i="6" s="1"/>
  <c r="N78" i="6" a="1"/>
  <c r="N78" i="6" l="1"/>
  <c r="L78" i="6" a="1"/>
  <c r="G78" i="6"/>
  <c r="G79" i="6" l="1"/>
  <c r="L78" i="6"/>
  <c r="L79" i="6" s="1"/>
  <c r="N79" i="6"/>
  <c r="E78" i="6" a="1"/>
  <c r="P78" i="6" l="1"/>
  <c r="P79" i="6" s="1"/>
  <c r="E78" i="6"/>
  <c r="E79" i="6" s="1"/>
  <c r="C78" i="6"/>
  <c r="C79" i="6" s="1"/>
  <c r="A78" i="6" a="1"/>
  <c r="A78" i="6" l="1"/>
  <c r="A79" i="6" s="1"/>
  <c r="R70" i="6" a="1"/>
  <c r="R70" i="6" l="1"/>
  <c r="S70" i="6" s="1"/>
  <c r="N70" i="6" a="1"/>
  <c r="N70" i="6" l="1"/>
  <c r="L70" i="6" a="1"/>
  <c r="L70" i="6" l="1"/>
  <c r="M70" i="6" s="1"/>
  <c r="P70" i="6"/>
  <c r="Q70" i="6" s="1"/>
  <c r="O70" i="6"/>
  <c r="G70" i="6" a="1"/>
  <c r="G70" i="6" l="1"/>
  <c r="H70" i="6" s="1"/>
  <c r="E70" i="6" a="1"/>
  <c r="E70" i="6" l="1"/>
  <c r="F70" i="6" s="1"/>
  <c r="C70" i="6"/>
  <c r="D70" i="6" s="1"/>
  <c r="A70" i="6" a="1"/>
  <c r="A70" i="6" l="1"/>
  <c r="B70" i="6" s="1"/>
  <c r="R69" i="6" a="1"/>
  <c r="R69" i="6" l="1"/>
  <c r="N69" i="6" a="1"/>
  <c r="N69" i="6" l="1"/>
  <c r="L69" i="6" a="1"/>
  <c r="L69" i="6" l="1"/>
  <c r="P69" i="6" s="1"/>
  <c r="O69" i="6"/>
  <c r="G69" i="6" a="1"/>
  <c r="G69" i="6" l="1"/>
  <c r="E69" i="6" a="1"/>
  <c r="E69" i="6" l="1"/>
  <c r="F69" i="6" s="1"/>
  <c r="C69" i="6"/>
  <c r="A69" i="6" a="1"/>
  <c r="A69" i="6" l="1"/>
  <c r="R68" i="6" a="1"/>
  <c r="R68" i="6" l="1"/>
  <c r="N68" i="6" a="1"/>
  <c r="N68" i="6" l="1"/>
  <c r="L68" i="6" a="1"/>
  <c r="L68" i="6" l="1"/>
  <c r="O68" i="6"/>
  <c r="P68" i="6"/>
  <c r="G68" i="6" a="1"/>
  <c r="G68" i="6" l="1"/>
  <c r="E68" i="6" a="1"/>
  <c r="E68" i="6" l="1"/>
  <c r="F68" i="6" s="1"/>
  <c r="A68" i="6" a="1"/>
  <c r="A68" i="6" l="1"/>
  <c r="C68" i="6"/>
  <c r="R67" i="6" a="1"/>
  <c r="R67" i="6" l="1"/>
  <c r="N67" i="6" a="1"/>
  <c r="N67" i="6" l="1"/>
  <c r="L67" i="6" a="1"/>
  <c r="L67" i="6" l="1"/>
  <c r="M67" i="6" s="1"/>
  <c r="P67" i="6"/>
  <c r="Q67" i="6" s="1"/>
  <c r="O67" i="6"/>
  <c r="G67" i="6" a="1"/>
  <c r="G67" i="6" l="1"/>
  <c r="H67" i="6" s="1"/>
  <c r="E67" i="6" a="1"/>
  <c r="E67" i="6" l="1"/>
  <c r="F67" i="6" s="1"/>
  <c r="C67" i="6"/>
  <c r="D67" i="6" s="1"/>
  <c r="A67" i="6" a="1"/>
  <c r="A67" i="6" l="1"/>
  <c r="R66" i="6" a="1"/>
  <c r="R66" i="6" l="1"/>
  <c r="S66" i="6" s="1"/>
  <c r="N66" i="6" a="1"/>
  <c r="N66" i="6" l="1"/>
  <c r="L66" i="6" a="1"/>
  <c r="L66" i="6" l="1"/>
  <c r="P66" i="6"/>
  <c r="O66" i="6"/>
  <c r="G66" i="6" a="1"/>
  <c r="G66" i="6" l="1"/>
  <c r="E66" i="6" a="1"/>
  <c r="E66" i="6" l="1"/>
  <c r="F66" i="6" s="1"/>
  <c r="A66" i="6" a="1"/>
  <c r="A66" i="6" l="1"/>
  <c r="B66" i="6" s="1"/>
  <c r="C66" i="6"/>
  <c r="R65" i="6" a="1"/>
  <c r="R65" i="6" l="1"/>
  <c r="S65" i="6" s="1"/>
  <c r="N65" i="6" a="1"/>
  <c r="N65" i="6" l="1"/>
  <c r="L65" i="6" a="1"/>
  <c r="L65" i="6" l="1"/>
  <c r="M65" i="6" s="1"/>
  <c r="P65" i="6"/>
  <c r="Q65" i="6" s="1"/>
  <c r="O65" i="6"/>
  <c r="G65" i="6" a="1"/>
  <c r="G65" i="6" l="1"/>
  <c r="H65" i="6" s="1"/>
  <c r="E65" i="6" a="1"/>
  <c r="E65" i="6" l="1"/>
  <c r="F65" i="6" s="1"/>
  <c r="C65" i="6"/>
  <c r="D65" i="6" s="1"/>
  <c r="A65" i="6" a="1"/>
  <c r="A65" i="6" l="1"/>
  <c r="B65" i="6" s="1"/>
  <c r="R64" i="6" a="1"/>
  <c r="R64" i="6" l="1"/>
  <c r="S64" i="6" s="1"/>
  <c r="N64" i="6" a="1"/>
  <c r="N64" i="6" l="1"/>
  <c r="L64" i="6" a="1"/>
  <c r="L64" i="6" l="1"/>
  <c r="M64" i="6" s="1"/>
  <c r="O64" i="6"/>
  <c r="P64" i="6"/>
  <c r="Q64" i="6" s="1"/>
  <c r="G64" i="6" a="1"/>
  <c r="G64" i="6" l="1"/>
  <c r="H64" i="6" s="1"/>
  <c r="E64" i="6" a="1"/>
  <c r="E64" i="6" l="1"/>
  <c r="F64" i="6" s="1"/>
  <c r="C64" i="6"/>
  <c r="D64" i="6" s="1"/>
  <c r="A64" i="6" a="1"/>
  <c r="A64" i="6" l="1"/>
  <c r="B64" i="6" s="1"/>
  <c r="R63" i="6" a="1"/>
  <c r="R63" i="6" l="1"/>
  <c r="S63" i="6" s="1"/>
  <c r="N63" i="6" a="1"/>
  <c r="N63" i="6" l="1"/>
  <c r="L63" i="6" a="1"/>
  <c r="L63" i="6" l="1"/>
  <c r="M63" i="6" s="1"/>
  <c r="O63" i="6"/>
  <c r="P63" i="6"/>
  <c r="Q63" i="6" s="1"/>
  <c r="G63" i="6" a="1"/>
  <c r="G63" i="6" l="1"/>
  <c r="H63" i="6" s="1"/>
  <c r="E63" i="6" a="1"/>
  <c r="E63" i="6" l="1"/>
  <c r="F63" i="6" s="1"/>
  <c r="C63" i="6"/>
  <c r="D63" i="6" s="1"/>
  <c r="A63" i="6" a="1"/>
  <c r="A63" i="6" l="1"/>
  <c r="B63" i="6" s="1"/>
  <c r="R62" i="6" a="1"/>
  <c r="R62" i="6" l="1"/>
  <c r="N62" i="6" a="1"/>
  <c r="N62" i="6" l="1"/>
  <c r="L62" i="6" a="1"/>
  <c r="L62" i="6" l="1"/>
  <c r="M62" i="6" s="1"/>
  <c r="P62" i="6"/>
  <c r="Q62" i="6" s="1"/>
  <c r="O62" i="6"/>
  <c r="G62" i="6" a="1"/>
  <c r="G62" i="6" l="1"/>
  <c r="H62" i="6" s="1"/>
  <c r="E62" i="6" a="1"/>
  <c r="E62" i="6" l="1"/>
  <c r="F62" i="6" s="1"/>
  <c r="C62" i="6"/>
  <c r="D62" i="6" s="1"/>
  <c r="A62" i="6" a="1"/>
  <c r="A62" i="6" l="1"/>
  <c r="R61" i="6" a="1"/>
  <c r="R61" i="6" l="1"/>
  <c r="S61" i="6" s="1"/>
  <c r="N61" i="6" a="1"/>
  <c r="N61" i="6" l="1"/>
  <c r="L61" i="6" a="1"/>
  <c r="L61" i="6" l="1"/>
  <c r="M61" i="6" s="1"/>
  <c r="P61" i="6"/>
  <c r="Q61" i="6" s="1"/>
  <c r="O61" i="6"/>
  <c r="G61" i="6" a="1"/>
  <c r="G61" i="6" l="1"/>
  <c r="H61" i="6" s="1"/>
  <c r="E61" i="6" a="1"/>
  <c r="E61" i="6" l="1"/>
  <c r="F61" i="6" s="1"/>
  <c r="C61" i="6"/>
  <c r="D61" i="6" s="1"/>
  <c r="A61" i="6" a="1"/>
  <c r="A61" i="6" l="1"/>
  <c r="B61" i="6" s="1"/>
  <c r="R60" i="6" a="1"/>
  <c r="R60" i="6" l="1"/>
  <c r="S60" i="6" s="1"/>
  <c r="N60" i="6" a="1"/>
  <c r="N60" i="6" l="1"/>
  <c r="L60" i="6" a="1"/>
  <c r="L60" i="6" l="1"/>
  <c r="M60" i="6" s="1"/>
  <c r="O60" i="6"/>
  <c r="P60" i="6"/>
  <c r="Q60" i="6" s="1"/>
  <c r="G60" i="6" a="1"/>
  <c r="G60" i="6" l="1"/>
  <c r="H60" i="6" s="1"/>
  <c r="E60" i="6" a="1"/>
  <c r="E60" i="6" l="1"/>
  <c r="F60" i="6" s="1"/>
  <c r="C60" i="6"/>
  <c r="D60" i="6" s="1"/>
  <c r="A60" i="6" a="1"/>
  <c r="A60" i="6" l="1"/>
  <c r="B60" i="6" s="1"/>
  <c r="R59" i="6" a="1"/>
  <c r="R59" i="6" l="1"/>
  <c r="S59" i="6" s="1"/>
  <c r="N59" i="6" a="1"/>
  <c r="N59" i="6" l="1"/>
  <c r="L59" i="6" a="1"/>
  <c r="L59" i="6" l="1"/>
  <c r="M59" i="6" s="1"/>
  <c r="O59" i="6"/>
  <c r="P59" i="6"/>
  <c r="Q59" i="6" s="1"/>
  <c r="G59" i="6" a="1"/>
  <c r="G59" i="6" l="1"/>
  <c r="H59" i="6" s="1"/>
  <c r="E59" i="6" a="1"/>
  <c r="E59" i="6" l="1"/>
  <c r="F59" i="6" s="1"/>
  <c r="C59" i="6"/>
  <c r="D59" i="6" s="1"/>
  <c r="A59" i="6" a="1"/>
  <c r="A59" i="6" l="1"/>
  <c r="B59" i="6" s="1"/>
  <c r="R58" i="6" a="1"/>
  <c r="R58" i="6" l="1"/>
  <c r="S58" i="6" s="1"/>
  <c r="N58" i="6" a="1"/>
  <c r="N58" i="6" l="1"/>
  <c r="L58" i="6" a="1"/>
  <c r="L58" i="6" l="1"/>
  <c r="M58" i="6" s="1"/>
  <c r="O58" i="6"/>
  <c r="P58" i="6"/>
  <c r="Q58" i="6" s="1"/>
  <c r="G58" i="6" a="1"/>
  <c r="G58" i="6" l="1"/>
  <c r="H58" i="6" s="1"/>
  <c r="E58" i="6" a="1"/>
  <c r="E58" i="6" l="1"/>
  <c r="F58" i="6" s="1"/>
  <c r="C58" i="6"/>
  <c r="D58" i="6" s="1"/>
  <c r="A58" i="6" a="1"/>
  <c r="A58" i="6" l="1"/>
  <c r="B58" i="6" s="1"/>
  <c r="R57" i="6" a="1"/>
  <c r="R57" i="6" l="1"/>
  <c r="S57" i="6" s="1"/>
  <c r="N57" i="6" a="1"/>
  <c r="N57" i="6" l="1"/>
  <c r="L57" i="6" a="1"/>
  <c r="L57" i="6" l="1"/>
  <c r="M57" i="6" s="1"/>
  <c r="O57" i="6"/>
  <c r="G57" i="6" a="1"/>
  <c r="P57" i="6" l="1"/>
  <c r="Q57" i="6" s="1"/>
  <c r="G57" i="6"/>
  <c r="H57" i="6" s="1"/>
  <c r="E57" i="6" a="1"/>
  <c r="E57" i="6" l="1"/>
  <c r="F57" i="6" s="1"/>
  <c r="C57" i="6"/>
  <c r="D57" i="6" s="1"/>
  <c r="A57" i="6" a="1"/>
  <c r="A57" i="6" l="1"/>
  <c r="B57" i="6" s="1"/>
  <c r="R56" i="6" a="1"/>
  <c r="R56" i="6" l="1"/>
  <c r="S56" i="6" s="1"/>
  <c r="N56" i="6" a="1"/>
  <c r="N56" i="6" l="1"/>
  <c r="L56" i="6" a="1"/>
  <c r="L56" i="6" l="1"/>
  <c r="M56" i="6" s="1"/>
  <c r="O56" i="6"/>
  <c r="G56" i="6" a="1"/>
  <c r="G56" i="6" l="1"/>
  <c r="H56" i="6" s="1"/>
  <c r="P56" i="6"/>
  <c r="Q56" i="6" s="1"/>
  <c r="E56" i="6" a="1"/>
  <c r="E56" i="6" l="1"/>
  <c r="F56" i="6" s="1"/>
  <c r="C56" i="6"/>
  <c r="D56" i="6" s="1"/>
  <c r="A56" i="6" a="1"/>
  <c r="A56" i="6" l="1"/>
  <c r="B56" i="6" s="1"/>
  <c r="R55" i="6" a="1"/>
  <c r="R55" i="6" l="1"/>
  <c r="S55" i="6" s="1"/>
  <c r="N55" i="6" a="1"/>
  <c r="N55" i="6" l="1"/>
  <c r="L55" i="6" a="1"/>
  <c r="L55" i="6" l="1"/>
  <c r="M55" i="6" s="1"/>
  <c r="P55" i="6"/>
  <c r="Q55" i="6" s="1"/>
  <c r="O55" i="6"/>
  <c r="G55" i="6" a="1"/>
  <c r="G55" i="6" l="1"/>
  <c r="H55" i="6" s="1"/>
  <c r="E55" i="6" a="1"/>
  <c r="E55" i="6" l="1"/>
  <c r="F55" i="6" s="1"/>
  <c r="C55" i="6"/>
  <c r="D55" i="6" s="1"/>
  <c r="A55" i="6" a="1"/>
  <c r="A55" i="6" l="1"/>
  <c r="B55" i="6" s="1"/>
  <c r="R54" i="6" a="1"/>
  <c r="R54" i="6" l="1"/>
  <c r="S54" i="6" s="1"/>
  <c r="N54" i="6" a="1"/>
  <c r="N54" i="6" l="1"/>
  <c r="L54" i="6" a="1"/>
  <c r="L54" i="6" l="1"/>
  <c r="M54" i="6" s="1"/>
  <c r="P54" i="6"/>
  <c r="Q54" i="6" s="1"/>
  <c r="O54" i="6"/>
  <c r="G54" i="6" a="1"/>
  <c r="G54" i="6" l="1"/>
  <c r="H54" i="6" s="1"/>
  <c r="E54" i="6" a="1"/>
  <c r="E54" i="6" l="1"/>
  <c r="F54" i="6" s="1"/>
  <c r="C54" i="6"/>
  <c r="D54" i="6" s="1"/>
  <c r="A54" i="6" a="1"/>
  <c r="A54" i="6" l="1"/>
  <c r="B54" i="6" s="1"/>
  <c r="R53" i="6" a="1"/>
  <c r="R53" i="6" l="1"/>
  <c r="N53" i="6" a="1"/>
  <c r="N53" i="6" l="1"/>
  <c r="L53" i="6" a="1"/>
  <c r="L53" i="6" l="1"/>
  <c r="M53" i="6" s="1"/>
  <c r="O53" i="6"/>
  <c r="G53" i="6" a="1"/>
  <c r="G53" i="6" l="1"/>
  <c r="H53" i="6" s="1"/>
  <c r="P53" i="6"/>
  <c r="Q53" i="6" s="1"/>
  <c r="E53" i="6" a="1"/>
  <c r="E53" i="6" l="1"/>
  <c r="F53" i="6" s="1"/>
  <c r="C53" i="6"/>
  <c r="D53" i="6" s="1"/>
  <c r="A53" i="6" a="1"/>
  <c r="A53" i="6" l="1"/>
  <c r="R52" i="6" a="1"/>
  <c r="R52" i="6" l="1"/>
  <c r="S52" i="6" s="1"/>
  <c r="N52" i="6" a="1"/>
  <c r="N52" i="6" l="1"/>
  <c r="L52" i="6" a="1"/>
  <c r="L52" i="6" l="1"/>
  <c r="M52" i="6" s="1"/>
  <c r="P52" i="6"/>
  <c r="Q52" i="6" s="1"/>
  <c r="O52" i="6"/>
  <c r="G52" i="6" a="1"/>
  <c r="G52" i="6" l="1"/>
  <c r="H52" i="6" s="1"/>
  <c r="E52" i="6" a="1"/>
  <c r="E52" i="6" l="1"/>
  <c r="F52" i="6" s="1"/>
  <c r="C52" i="6"/>
  <c r="D52" i="6" s="1"/>
  <c r="A52" i="6" a="1"/>
  <c r="A52" i="6" l="1"/>
  <c r="B52" i="6" s="1"/>
  <c r="R51" i="6" a="1"/>
  <c r="R51" i="6" l="1"/>
  <c r="S51" i="6" s="1"/>
  <c r="N51" i="6" a="1"/>
  <c r="N51" i="6" l="1"/>
  <c r="L51" i="6" a="1"/>
  <c r="L51" i="6" l="1"/>
  <c r="M51" i="6" s="1"/>
  <c r="O51" i="6"/>
  <c r="G51" i="6" a="1"/>
  <c r="P51" i="6" l="1"/>
  <c r="Q51" i="6" s="1"/>
  <c r="G51" i="6"/>
  <c r="H51" i="6" s="1"/>
  <c r="E51" i="6" a="1"/>
  <c r="E51" i="6" l="1"/>
  <c r="F51" i="6" s="1"/>
  <c r="C51" i="6"/>
  <c r="D51" i="6" s="1"/>
  <c r="A51" i="6" a="1"/>
  <c r="A51" i="6" l="1"/>
  <c r="B51" i="6" s="1"/>
  <c r="R50" i="6" a="1"/>
  <c r="R50" i="6" l="1"/>
  <c r="N50" i="6" a="1"/>
  <c r="N50" i="6" l="1"/>
  <c r="L50" i="6" a="1"/>
  <c r="L50" i="6" l="1"/>
  <c r="M50" i="6" s="1"/>
  <c r="O50" i="6"/>
  <c r="P50" i="6"/>
  <c r="Q50" i="6" s="1"/>
  <c r="G50" i="6" a="1"/>
  <c r="G50" i="6" l="1"/>
  <c r="H50" i="6" s="1"/>
  <c r="E50" i="6" a="1"/>
  <c r="E50" i="6" l="1"/>
  <c r="F50" i="6" s="1"/>
  <c r="C50" i="6"/>
  <c r="D50" i="6" s="1"/>
  <c r="A50" i="6" a="1"/>
  <c r="A50" i="6" l="1"/>
  <c r="R49" i="6" a="1"/>
  <c r="R49" i="6" l="1"/>
  <c r="N49" i="6" a="1"/>
  <c r="N49" i="6" l="1"/>
  <c r="L49" i="6" a="1"/>
  <c r="L49" i="6" l="1"/>
  <c r="M49" i="6" s="1"/>
  <c r="P49" i="6"/>
  <c r="Q49" i="6" s="1"/>
  <c r="O49" i="6"/>
  <c r="G49" i="6" a="1"/>
  <c r="G49" i="6" l="1"/>
  <c r="H49" i="6" s="1"/>
  <c r="E49" i="6" a="1"/>
  <c r="E49" i="6" l="1"/>
  <c r="F49" i="6" s="1"/>
  <c r="C49" i="6"/>
  <c r="D49" i="6" s="1"/>
  <c r="A49" i="6" a="1"/>
  <c r="A49" i="6" l="1"/>
  <c r="R48" i="6" a="1"/>
  <c r="R48" i="6" l="1"/>
  <c r="S48" i="6" s="1"/>
  <c r="N48" i="6" a="1"/>
  <c r="N48" i="6" l="1"/>
  <c r="L48" i="6" a="1"/>
  <c r="L48" i="6" l="1"/>
  <c r="M48" i="6" s="1"/>
  <c r="O48" i="6"/>
  <c r="G48" i="6" a="1"/>
  <c r="P48" i="6" l="1"/>
  <c r="Q48" i="6" s="1"/>
  <c r="G48" i="6"/>
  <c r="H48" i="6" s="1"/>
  <c r="E48" i="6" a="1"/>
  <c r="E48" i="6" l="1"/>
  <c r="F48" i="6" s="1"/>
  <c r="C48" i="6"/>
  <c r="D48" i="6" s="1"/>
  <c r="A48" i="6" a="1"/>
  <c r="A48" i="6" l="1"/>
  <c r="B48" i="6" s="1"/>
  <c r="R47" i="6" a="1"/>
  <c r="R47" i="6" l="1"/>
  <c r="N47" i="6" a="1"/>
  <c r="N47" i="6" l="1"/>
  <c r="L47" i="6" a="1"/>
  <c r="L47" i="6" l="1"/>
  <c r="O47" i="6"/>
  <c r="G47" i="6" a="1"/>
  <c r="G47" i="6" l="1"/>
  <c r="P47" i="6"/>
  <c r="E47" i="6" a="1"/>
  <c r="E47" i="6" l="1"/>
  <c r="F47" i="6" s="1"/>
  <c r="C47" i="6"/>
  <c r="A47" i="6" a="1"/>
  <c r="A47" i="6" l="1"/>
  <c r="R46" i="6" a="1"/>
  <c r="R46" i="6" l="1"/>
  <c r="N46" i="6" a="1"/>
  <c r="N46" i="6" l="1"/>
  <c r="L46" i="6" a="1"/>
  <c r="L46" i="6" l="1"/>
  <c r="O46" i="6"/>
  <c r="P46" i="6"/>
  <c r="G46" i="6" a="1"/>
  <c r="G46" i="6" l="1"/>
  <c r="E46" i="6" a="1"/>
  <c r="E46" i="6" l="1"/>
  <c r="F46" i="6" s="1"/>
  <c r="A46" i="6" a="1"/>
  <c r="A46" i="6" l="1"/>
  <c r="C46" i="6"/>
  <c r="R45" i="6" a="1"/>
  <c r="R45" i="6" l="1"/>
  <c r="S45" i="6" s="1"/>
  <c r="N45" i="6" a="1"/>
  <c r="N45" i="6" l="1"/>
  <c r="L45" i="6" a="1"/>
  <c r="L45" i="6" l="1"/>
  <c r="P45" i="6"/>
  <c r="O45" i="6"/>
  <c r="G45" i="6" a="1"/>
  <c r="G45" i="6" l="1"/>
  <c r="E45" i="6" a="1"/>
  <c r="E45" i="6" l="1"/>
  <c r="F45" i="6" s="1"/>
  <c r="A45" i="6" a="1"/>
  <c r="A45" i="6" l="1"/>
  <c r="B45" i="6" s="1"/>
  <c r="C45" i="6"/>
  <c r="R44" i="6" a="1"/>
  <c r="R44" i="6" l="1"/>
  <c r="N44" i="6" a="1"/>
  <c r="N44" i="6" l="1"/>
  <c r="L44" i="6" a="1"/>
  <c r="L44" i="6" l="1"/>
  <c r="P44" i="6"/>
  <c r="O44" i="6"/>
  <c r="G44" i="6" a="1"/>
  <c r="G44" i="6" l="1"/>
  <c r="E44" i="6" a="1"/>
  <c r="E44" i="6" l="1"/>
  <c r="F44" i="6" s="1"/>
  <c r="A44" i="6" a="1"/>
  <c r="A44" i="6" l="1"/>
  <c r="C44" i="6"/>
  <c r="R43" i="6" a="1"/>
  <c r="R43" i="6" l="1"/>
  <c r="S43" i="6" s="1"/>
  <c r="N43" i="6" a="1"/>
  <c r="N43" i="6" l="1"/>
  <c r="L43" i="6" a="1"/>
  <c r="L43" i="6" l="1"/>
  <c r="M43" i="6" s="1"/>
  <c r="O43" i="6"/>
  <c r="G43" i="6" a="1"/>
  <c r="P43" i="6" l="1"/>
  <c r="Q43" i="6" s="1"/>
  <c r="G43" i="6"/>
  <c r="H43" i="6" s="1"/>
  <c r="E43" i="6" a="1"/>
  <c r="E43" i="6" l="1"/>
  <c r="F43" i="6" s="1"/>
  <c r="A43" i="6" a="1"/>
  <c r="C43" i="6" l="1"/>
  <c r="D43" i="6" s="1"/>
  <c r="A43" i="6"/>
  <c r="B43" i="6" s="1"/>
  <c r="R42" i="6" a="1"/>
  <c r="R42" i="6" l="1"/>
  <c r="S42" i="6" s="1"/>
  <c r="N42" i="6" a="1"/>
  <c r="N42" i="6" l="1"/>
  <c r="L42" i="6" a="1"/>
  <c r="L42" i="6" l="1"/>
  <c r="M42" i="6" s="1"/>
  <c r="O42" i="6"/>
  <c r="G42" i="6" a="1"/>
  <c r="P42" i="6" l="1"/>
  <c r="Q42" i="6" s="1"/>
  <c r="G42" i="6"/>
  <c r="H42" i="6" s="1"/>
  <c r="E42" i="6" a="1"/>
  <c r="E42" i="6" l="1"/>
  <c r="F42" i="6" s="1"/>
  <c r="A42" i="6" a="1"/>
  <c r="C42" i="6" l="1"/>
  <c r="D42" i="6" s="1"/>
  <c r="A42" i="6"/>
  <c r="B42" i="6" s="1"/>
  <c r="R41" i="6" a="1"/>
  <c r="R41" i="6" l="1"/>
  <c r="S41" i="6" s="1"/>
  <c r="N41" i="6" a="1"/>
  <c r="N41" i="6" l="1"/>
  <c r="L41" i="6" a="1"/>
  <c r="L41" i="6" l="1"/>
  <c r="M41" i="6" s="1"/>
  <c r="O41" i="6"/>
  <c r="P41" i="6"/>
  <c r="Q41" i="6" s="1"/>
  <c r="G41" i="6" a="1"/>
  <c r="G41" i="6" l="1"/>
  <c r="H41" i="6" s="1"/>
  <c r="E41" i="6" a="1"/>
  <c r="E41" i="6" l="1"/>
  <c r="F41" i="6" s="1"/>
  <c r="A41" i="6" a="1"/>
  <c r="C41" i="6" l="1"/>
  <c r="D41" i="6" s="1"/>
  <c r="A41" i="6"/>
  <c r="B41" i="6" s="1"/>
  <c r="R40" i="6" a="1"/>
  <c r="R40" i="6" l="1"/>
  <c r="S40" i="6" s="1"/>
  <c r="N40" i="6" a="1"/>
  <c r="N40" i="6" l="1"/>
  <c r="L40" i="6" a="1"/>
  <c r="L40" i="6" l="1"/>
  <c r="M40" i="6" s="1"/>
  <c r="P40" i="6"/>
  <c r="Q40" i="6" s="1"/>
  <c r="O40" i="6"/>
  <c r="G40" i="6" a="1"/>
  <c r="G40" i="6" l="1"/>
  <c r="H40" i="6" s="1"/>
  <c r="E40" i="6" a="1"/>
  <c r="E40" i="6" l="1"/>
  <c r="F40" i="6" s="1"/>
  <c r="A40" i="6" a="1"/>
  <c r="C40" i="6" l="1"/>
  <c r="D40" i="6" s="1"/>
  <c r="A40" i="6"/>
  <c r="B40" i="6" s="1"/>
  <c r="R39" i="6" a="1"/>
  <c r="R39" i="6" l="1"/>
  <c r="N39" i="6" a="1"/>
  <c r="N39" i="6" l="1"/>
  <c r="L39" i="6" a="1"/>
  <c r="L39" i="6" l="1"/>
  <c r="M39" i="6" s="1"/>
  <c r="P39" i="6"/>
  <c r="Q39" i="6" s="1"/>
  <c r="O39" i="6"/>
  <c r="G39" i="6" a="1"/>
  <c r="G39" i="6" l="1"/>
  <c r="H39" i="6" s="1"/>
  <c r="E39" i="6" a="1"/>
  <c r="E39" i="6" l="1"/>
  <c r="F39" i="6" s="1"/>
  <c r="C39" i="6"/>
  <c r="D39" i="6" s="1"/>
  <c r="A39" i="6" a="1"/>
  <c r="A39" i="6" l="1"/>
  <c r="R38" i="6" a="1"/>
  <c r="R38" i="6" l="1"/>
  <c r="S38" i="6" s="1"/>
  <c r="N38" i="6" a="1"/>
  <c r="N38" i="6" l="1"/>
  <c r="L38" i="6" a="1"/>
  <c r="L38" i="6" l="1"/>
  <c r="M38" i="6" s="1"/>
  <c r="P38" i="6"/>
  <c r="Q38" i="6" s="1"/>
  <c r="O38" i="6"/>
  <c r="G38" i="6" a="1"/>
  <c r="G38" i="6" l="1"/>
  <c r="H38" i="6" s="1"/>
  <c r="E38" i="6" a="1"/>
  <c r="E38" i="6" l="1"/>
  <c r="F38" i="6" s="1"/>
  <c r="C38" i="6"/>
  <c r="D38" i="6" s="1"/>
  <c r="A38" i="6" a="1"/>
  <c r="A38" i="6" l="1"/>
  <c r="B38" i="6" s="1"/>
  <c r="R37" i="6" a="1"/>
  <c r="R37" i="6" l="1"/>
  <c r="S37" i="6" s="1"/>
  <c r="N37" i="6" a="1"/>
  <c r="N37" i="6" l="1"/>
  <c r="L37" i="6" a="1"/>
  <c r="L37" i="6" l="1"/>
  <c r="M37" i="6" s="1"/>
  <c r="P37" i="6"/>
  <c r="Q37" i="6" s="1"/>
  <c r="O37" i="6"/>
  <c r="G37" i="6" a="1"/>
  <c r="G37" i="6" l="1"/>
  <c r="H37" i="6" s="1"/>
  <c r="E37" i="6" a="1"/>
  <c r="E37" i="6" l="1"/>
  <c r="F37" i="6" s="1"/>
  <c r="C37" i="6"/>
  <c r="D37" i="6" s="1"/>
  <c r="A37" i="6" a="1"/>
  <c r="A37" i="6" l="1"/>
  <c r="B37" i="6" s="1"/>
  <c r="R36" i="6" a="1"/>
  <c r="R36" i="6" l="1"/>
  <c r="S36" i="6" s="1"/>
  <c r="N36" i="6" a="1"/>
  <c r="N36" i="6" l="1"/>
  <c r="L36" i="6" a="1"/>
  <c r="L36" i="6" l="1"/>
  <c r="M36" i="6" s="1"/>
  <c r="P36" i="6"/>
  <c r="Q36" i="6" s="1"/>
  <c r="O36" i="6"/>
  <c r="G36" i="6" a="1"/>
  <c r="G36" i="6" l="1"/>
  <c r="H36" i="6" s="1"/>
  <c r="E36" i="6" a="1"/>
  <c r="E36" i="6" l="1"/>
  <c r="F36" i="6" s="1"/>
  <c r="C36" i="6"/>
  <c r="D36" i="6" s="1"/>
  <c r="A36" i="6" a="1"/>
  <c r="A36" i="6" l="1"/>
  <c r="B36" i="6" s="1"/>
  <c r="R35" i="6" a="1"/>
  <c r="R35" i="6" l="1"/>
  <c r="S35" i="6" s="1"/>
  <c r="N35" i="6" a="1"/>
  <c r="N35" i="6" l="1"/>
  <c r="L35" i="6" a="1"/>
  <c r="L35" i="6" l="1"/>
  <c r="M35" i="6" s="1"/>
  <c r="P35" i="6"/>
  <c r="Q35" i="6" s="1"/>
  <c r="O35" i="6"/>
  <c r="G35" i="6" a="1"/>
  <c r="G35" i="6" l="1"/>
  <c r="H35" i="6" s="1"/>
  <c r="E35" i="6" a="1"/>
  <c r="E35" i="6" l="1"/>
  <c r="F35" i="6" s="1"/>
  <c r="C35" i="6"/>
  <c r="D35" i="6" s="1"/>
  <c r="A35" i="6" a="1"/>
  <c r="A35" i="6" l="1"/>
  <c r="B35" i="6" s="1"/>
  <c r="R34" i="6" a="1"/>
  <c r="R34" i="6" l="1"/>
  <c r="S34" i="6" s="1"/>
  <c r="N34" i="6" a="1"/>
  <c r="N34" i="6" l="1"/>
  <c r="L34" i="6" a="1"/>
  <c r="L34" i="6" l="1"/>
  <c r="M34" i="6" s="1"/>
  <c r="O34" i="6"/>
  <c r="P34" i="6"/>
  <c r="Q34" i="6" s="1"/>
  <c r="G34" i="6" a="1"/>
  <c r="G34" i="6" l="1"/>
  <c r="H34" i="6" s="1"/>
  <c r="E34" i="6" a="1"/>
  <c r="E34" i="6" l="1"/>
  <c r="F34" i="6" s="1"/>
  <c r="A34" i="6" a="1"/>
  <c r="C34" i="6" l="1"/>
  <c r="D34" i="6" s="1"/>
  <c r="A34" i="6"/>
  <c r="B34" i="6" s="1"/>
  <c r="R33" i="6" a="1"/>
  <c r="R33" i="6" l="1"/>
  <c r="N33" i="6" a="1"/>
  <c r="N33" i="6" l="1"/>
  <c r="L33" i="6" a="1"/>
  <c r="L33" i="6" l="1"/>
  <c r="O33" i="6"/>
  <c r="P33" i="6"/>
  <c r="G33" i="6" a="1"/>
  <c r="G33" i="6" l="1"/>
  <c r="E33" i="6" a="1"/>
  <c r="E33" i="6" l="1"/>
  <c r="F33" i="6" s="1"/>
  <c r="A33" i="6" a="1"/>
  <c r="A33" i="6" l="1"/>
  <c r="C33" i="6"/>
  <c r="R32" i="6" a="1"/>
  <c r="R32" i="6" l="1"/>
  <c r="S32" i="6" s="1"/>
  <c r="N32" i="6" a="1"/>
  <c r="N32" i="6" l="1"/>
  <c r="L32" i="6" a="1"/>
  <c r="L32" i="6" l="1"/>
  <c r="M32" i="6" s="1"/>
  <c r="P32" i="6"/>
  <c r="Q32" i="6" s="1"/>
  <c r="O32" i="6"/>
  <c r="G32" i="6" a="1"/>
  <c r="G32" i="6" l="1"/>
  <c r="H32" i="6" s="1"/>
  <c r="E32" i="6" a="1"/>
  <c r="E32" i="6" l="1"/>
  <c r="F32" i="6" s="1"/>
  <c r="C32" i="6"/>
  <c r="D32" i="6" s="1"/>
  <c r="A32" i="6" a="1"/>
  <c r="A32" i="6" l="1"/>
  <c r="B32" i="6" s="1"/>
  <c r="R31" i="6" a="1"/>
  <c r="R31" i="6" l="1"/>
  <c r="S31" i="6" s="1"/>
  <c r="N31" i="6" a="1"/>
  <c r="N31" i="6" l="1"/>
  <c r="L31" i="6" a="1"/>
  <c r="L31" i="6" l="1"/>
  <c r="P31" i="6"/>
  <c r="O31" i="6"/>
  <c r="G31" i="6" a="1"/>
  <c r="G31" i="6" l="1"/>
  <c r="E31" i="6" a="1"/>
  <c r="E31" i="6" l="1"/>
  <c r="F31" i="6" s="1"/>
  <c r="A31" i="6" a="1"/>
  <c r="A31" i="6" l="1"/>
  <c r="B31" i="6" s="1"/>
  <c r="C31" i="6"/>
  <c r="R30" i="6" a="1"/>
  <c r="R30" i="6" l="1"/>
  <c r="N30" i="6" a="1"/>
  <c r="N30" i="6" l="1"/>
  <c r="L30" i="6" a="1"/>
  <c r="L30" i="6" l="1"/>
  <c r="P30" i="6"/>
  <c r="O30" i="6"/>
  <c r="G30" i="6" a="1"/>
  <c r="G30" i="6" l="1"/>
  <c r="E30" i="6" a="1"/>
  <c r="E30" i="6" l="1"/>
  <c r="F30" i="6" s="1"/>
  <c r="C30" i="6"/>
  <c r="A30" i="6" a="1"/>
  <c r="A30" i="6" l="1"/>
  <c r="R29" i="6" a="1"/>
  <c r="R29" i="6" l="1"/>
  <c r="N29" i="6" a="1"/>
  <c r="N29" i="6" l="1"/>
  <c r="L29" i="6" a="1"/>
  <c r="L29" i="6" l="1"/>
  <c r="P29" i="6"/>
  <c r="O29" i="6"/>
  <c r="G29" i="6" a="1"/>
  <c r="G29" i="6" l="1"/>
  <c r="E29" i="6" a="1"/>
  <c r="E29" i="6" l="1"/>
  <c r="F29" i="6" s="1"/>
  <c r="A29" i="6" a="1"/>
  <c r="A29" i="6" l="1"/>
  <c r="C29" i="6"/>
  <c r="R28" i="6" a="1"/>
  <c r="R28" i="6" l="1"/>
  <c r="N28" i="6" a="1"/>
  <c r="N28" i="6" l="1"/>
  <c r="R72" i="6"/>
  <c r="L28" i="6" a="1"/>
  <c r="L28" i="6" l="1"/>
  <c r="N72" i="6"/>
  <c r="O72" i="6" s="1"/>
  <c r="O28" i="6"/>
  <c r="G28" i="6" a="1"/>
  <c r="G28" i="6" l="1"/>
  <c r="L72" i="6"/>
  <c r="P28" i="6"/>
  <c r="E28" i="6" a="1"/>
  <c r="E28" i="6" l="1"/>
  <c r="G72" i="6"/>
  <c r="P72" i="6"/>
  <c r="A28" i="6" a="1"/>
  <c r="A28" i="6" l="1"/>
  <c r="E72" i="6"/>
  <c r="F72" i="6" s="1"/>
  <c r="F28" i="6"/>
  <c r="C28" i="6"/>
  <c r="R24" i="6" a="1"/>
  <c r="R24" i="6" l="1"/>
  <c r="A72" i="6"/>
  <c r="C72" i="6"/>
  <c r="N24" i="6" a="1"/>
  <c r="N24" i="6" l="1"/>
  <c r="L24" i="6" a="1"/>
  <c r="L24" i="6" l="1"/>
  <c r="M24" i="6" s="1"/>
  <c r="P24" i="6"/>
  <c r="Q24" i="6" s="1"/>
  <c r="O24" i="6"/>
  <c r="G24" i="6" a="1"/>
  <c r="G24" i="6" l="1"/>
  <c r="H24" i="6" s="1"/>
  <c r="E24" i="6" a="1"/>
  <c r="E24" i="6" l="1"/>
  <c r="F24" i="6" s="1"/>
  <c r="C24" i="6"/>
  <c r="D24" i="6" s="1"/>
  <c r="A24" i="6" a="1"/>
  <c r="A24" i="6" l="1"/>
  <c r="R23" i="6" a="1"/>
  <c r="R23" i="6" l="1"/>
  <c r="S23" i="6" s="1"/>
  <c r="N23" i="6" a="1"/>
  <c r="N23" i="6" l="1"/>
  <c r="L23" i="6" a="1"/>
  <c r="L23" i="6" l="1"/>
  <c r="P23" i="6"/>
  <c r="O23" i="6"/>
  <c r="G23" i="6" a="1"/>
  <c r="G23" i="6" l="1"/>
  <c r="E23" i="6" a="1"/>
  <c r="E23" i="6" l="1"/>
  <c r="F23" i="6" s="1"/>
  <c r="C23" i="6"/>
  <c r="A23" i="6" a="1"/>
  <c r="A23" i="6" l="1"/>
  <c r="B23" i="6" s="1"/>
  <c r="R22" i="6" a="1"/>
  <c r="R22" i="6" l="1"/>
  <c r="S22" i="6" s="1"/>
  <c r="N22" i="6" a="1"/>
  <c r="N22" i="6" l="1"/>
  <c r="L22" i="6" a="1"/>
  <c r="L22" i="6" l="1"/>
  <c r="M22" i="6" s="1"/>
  <c r="P22" i="6"/>
  <c r="Q22" i="6" s="1"/>
  <c r="O22" i="6"/>
  <c r="G22" i="6" a="1"/>
  <c r="G22" i="6" l="1"/>
  <c r="H22" i="6" s="1"/>
  <c r="E22" i="6" a="1"/>
  <c r="E22" i="6" l="1"/>
  <c r="F22" i="6" s="1"/>
  <c r="C22" i="6"/>
  <c r="D22" i="6" s="1"/>
  <c r="A22" i="6" a="1"/>
  <c r="A22" i="6" l="1"/>
  <c r="B22" i="6" s="1"/>
  <c r="R21" i="6" a="1"/>
  <c r="R21" i="6" l="1"/>
  <c r="S21" i="6" s="1"/>
  <c r="N21" i="6" a="1"/>
  <c r="N21" i="6" l="1"/>
  <c r="L21" i="6" a="1"/>
  <c r="L21" i="6" l="1"/>
  <c r="O21" i="6"/>
  <c r="P21" i="6"/>
  <c r="G21" i="6" a="1"/>
  <c r="G21" i="6" l="1"/>
  <c r="E21" i="6" a="1"/>
  <c r="E21" i="6" l="1"/>
  <c r="F21" i="6" s="1"/>
  <c r="A21" i="6" a="1"/>
  <c r="A21" i="6" l="1"/>
  <c r="B21" i="6" s="1"/>
  <c r="C21" i="6"/>
  <c r="R20" i="6" a="1"/>
  <c r="R20" i="6" l="1"/>
  <c r="S20" i="6" s="1"/>
  <c r="N20" i="6" a="1"/>
  <c r="N20" i="6" l="1"/>
  <c r="L20" i="6" a="1"/>
  <c r="L20" i="6" l="1"/>
  <c r="M20" i="6" s="1"/>
  <c r="P20" i="6"/>
  <c r="Q20" i="6" s="1"/>
  <c r="O20" i="6"/>
  <c r="G20" i="6" a="1"/>
  <c r="G20" i="6" l="1"/>
  <c r="H20" i="6" s="1"/>
  <c r="E20" i="6" a="1"/>
  <c r="E20" i="6" l="1"/>
  <c r="F20" i="6" s="1"/>
  <c r="C20" i="6"/>
  <c r="D20" i="6" s="1"/>
  <c r="A20" i="6" a="1"/>
  <c r="A20" i="6" l="1"/>
  <c r="B20" i="6" s="1"/>
  <c r="R19" i="6" a="1"/>
  <c r="R19" i="6" l="1"/>
  <c r="S19" i="6" s="1"/>
  <c r="N19" i="6" a="1"/>
  <c r="N19" i="6" l="1"/>
  <c r="L19" i="6" a="1"/>
  <c r="L19" i="6" l="1"/>
  <c r="M19" i="6" s="1"/>
  <c r="O19" i="6"/>
  <c r="P19" i="6"/>
  <c r="Q19" i="6" s="1"/>
  <c r="G19" i="6"/>
  <c r="H19" i="6" l="1"/>
  <c r="E19" i="6" a="1"/>
  <c r="E19" i="6" l="1"/>
  <c r="F19" i="6" s="1"/>
  <c r="A19" i="6" a="1"/>
  <c r="A19" i="6" l="1"/>
  <c r="B19" i="6" s="1"/>
  <c r="C19" i="6"/>
  <c r="D19" i="6" s="1"/>
  <c r="R18" i="6" a="1"/>
  <c r="R18" i="6" l="1"/>
  <c r="N18" i="6" a="1"/>
  <c r="N18" i="6" l="1"/>
  <c r="L18" i="6" a="1"/>
  <c r="L18" i="6" l="1"/>
  <c r="P18" i="6"/>
  <c r="O18" i="6"/>
  <c r="G18" i="6" a="1"/>
  <c r="G18" i="6" l="1"/>
  <c r="E18" i="6" a="1"/>
  <c r="E18" i="6" l="1"/>
  <c r="F18" i="6" s="1"/>
  <c r="C18" i="6"/>
  <c r="A18" i="6" a="1"/>
  <c r="A18" i="6" l="1"/>
  <c r="R17" i="6" a="1"/>
  <c r="R17" i="6" l="1"/>
  <c r="S17" i="6" s="1"/>
  <c r="N17" i="6" a="1"/>
  <c r="N17" i="6" l="1"/>
  <c r="L17" i="6" a="1"/>
  <c r="L17" i="6" l="1"/>
  <c r="P17" i="6"/>
  <c r="O17" i="6"/>
  <c r="G17" i="6" a="1"/>
  <c r="G17" i="6" l="1"/>
  <c r="E17" i="6" a="1"/>
  <c r="E17" i="6" l="1"/>
  <c r="F17" i="6" s="1"/>
  <c r="A17" i="6" a="1"/>
  <c r="A17" i="6" l="1"/>
  <c r="B17" i="6" s="1"/>
  <c r="C17" i="6"/>
  <c r="R16" i="6" a="1"/>
  <c r="R16" i="6" l="1"/>
  <c r="N16" i="6" a="1"/>
  <c r="N16" i="6" l="1"/>
  <c r="R26" i="6"/>
  <c r="S16" i="6"/>
  <c r="L16" i="6" a="1"/>
  <c r="L16" i="6" l="1"/>
  <c r="P16" i="6" s="1"/>
  <c r="R73" i="6"/>
  <c r="N26" i="6"/>
  <c r="O16" i="6"/>
  <c r="G16" i="6"/>
  <c r="G26" i="6" l="1"/>
  <c r="H16" i="6"/>
  <c r="L26" i="6"/>
  <c r="M16" i="6"/>
  <c r="P26" i="6"/>
  <c r="Q16" i="6"/>
  <c r="N73" i="6"/>
  <c r="O73" i="6" s="1"/>
  <c r="O26" i="6"/>
  <c r="E16" i="6" a="1"/>
  <c r="E16" i="6" l="1"/>
  <c r="C16" i="6" s="1"/>
  <c r="C26" i="6" s="1"/>
  <c r="G73" i="6"/>
  <c r="P73" i="6"/>
  <c r="L73" i="6"/>
  <c r="A16" i="6" a="1"/>
  <c r="A16" i="6" l="1"/>
  <c r="C73" i="6"/>
  <c r="E26" i="6"/>
  <c r="F16" i="6"/>
  <c r="D16" i="6"/>
  <c r="R12" i="6" a="1"/>
  <c r="R12" i="6" l="1"/>
  <c r="S12" i="6" s="1"/>
  <c r="A26" i="6"/>
  <c r="B16" i="6"/>
  <c r="E73" i="6"/>
  <c r="F73" i="6" s="1"/>
  <c r="F26" i="6"/>
  <c r="N12" i="6" a="1"/>
  <c r="N12" i="6" l="1"/>
  <c r="A73" i="6"/>
  <c r="L12" i="6" a="1"/>
  <c r="L12" i="6" l="1"/>
  <c r="M12" i="6" s="1"/>
  <c r="O12" i="6"/>
  <c r="P12" i="6"/>
  <c r="Q12" i="6" s="1"/>
  <c r="G12" i="6" a="1"/>
  <c r="G12" i="6" l="1"/>
  <c r="H12" i="6" s="1"/>
  <c r="E12" i="6" a="1"/>
  <c r="E12" i="6" l="1"/>
  <c r="F12" i="6" s="1"/>
  <c r="A12" i="6" a="1"/>
  <c r="C12" i="6" l="1"/>
  <c r="D12" i="6" s="1"/>
  <c r="A12" i="6"/>
  <c r="B12" i="6" s="1"/>
  <c r="R11" i="6" a="1"/>
  <c r="R11" i="6" l="1"/>
  <c r="N11" i="6" a="1"/>
  <c r="N11" i="6" l="1"/>
  <c r="L11" i="6" a="1"/>
  <c r="L11" i="6" l="1"/>
  <c r="O11" i="6"/>
  <c r="G11" i="6" a="1"/>
  <c r="G11" i="6" l="1"/>
  <c r="P11" i="6"/>
  <c r="E11" i="6" a="1"/>
  <c r="E11" i="6" l="1"/>
  <c r="F11" i="6" s="1"/>
  <c r="A11" i="6" a="1"/>
  <c r="A11" i="6" l="1"/>
  <c r="C11" i="6"/>
  <c r="R10" i="6" a="1"/>
  <c r="R10" i="6" l="1"/>
  <c r="N10" i="6" a="1"/>
  <c r="N10" i="6" l="1"/>
  <c r="L10" i="6" a="1"/>
  <c r="L10" i="6" l="1"/>
  <c r="O10" i="6"/>
  <c r="P10" i="6"/>
  <c r="G10" i="6" a="1"/>
  <c r="G10" i="6" l="1"/>
  <c r="E10" i="6" a="1"/>
  <c r="E10" i="6" l="1"/>
  <c r="F10" i="6" s="1"/>
  <c r="A10" i="6" a="1"/>
  <c r="A10" i="6" l="1"/>
  <c r="C10" i="6"/>
  <c r="R9" i="6" a="1"/>
  <c r="R9" i="6" l="1"/>
  <c r="S9" i="6" s="1"/>
  <c r="N9" i="6" a="1"/>
  <c r="N9" i="6" l="1"/>
  <c r="L9" i="6" a="1"/>
  <c r="L9" i="6" l="1"/>
  <c r="M9" i="6" s="1"/>
  <c r="P9" i="6"/>
  <c r="Q9" i="6" s="1"/>
  <c r="O9" i="6"/>
  <c r="G9" i="6" a="1"/>
  <c r="G9" i="6" l="1"/>
  <c r="H9" i="6" s="1"/>
  <c r="E9" i="6" a="1"/>
  <c r="E9" i="6" l="1"/>
  <c r="F9" i="6" s="1"/>
  <c r="A9" i="6" a="1"/>
  <c r="A9" i="6" l="1"/>
  <c r="B9" i="6" s="1"/>
  <c r="C9" i="6"/>
  <c r="D9" i="6" s="1"/>
  <c r="R8" i="6" a="1"/>
  <c r="R8" i="6" l="1"/>
  <c r="N8" i="6" a="1"/>
  <c r="N8" i="6" l="1"/>
  <c r="R81" i="6"/>
  <c r="R14" i="6"/>
  <c r="S8" i="6" s="1"/>
  <c r="L8" i="6"/>
  <c r="L81" i="6" l="1"/>
  <c r="L14" i="6"/>
  <c r="N81" i="6"/>
  <c r="N14" i="6"/>
  <c r="P8" i="6"/>
  <c r="O8" i="6"/>
  <c r="R74" i="6"/>
  <c r="S74" i="6" s="1"/>
  <c r="S69" i="6"/>
  <c r="S68" i="6"/>
  <c r="S67" i="6"/>
  <c r="S62" i="6"/>
  <c r="S53" i="6"/>
  <c r="S50" i="6"/>
  <c r="S49" i="6"/>
  <c r="S47" i="6"/>
  <c r="S46" i="6"/>
  <c r="S44" i="6"/>
  <c r="S39" i="6"/>
  <c r="S33" i="6"/>
  <c r="S30" i="6"/>
  <c r="S29" i="6"/>
  <c r="S28" i="6"/>
  <c r="S72" i="6"/>
  <c r="S24" i="6"/>
  <c r="S18" i="6"/>
  <c r="S26" i="6"/>
  <c r="S73" i="6"/>
  <c r="S14" i="6"/>
  <c r="S11" i="6"/>
  <c r="S10" i="6"/>
  <c r="G8" i="6"/>
  <c r="G81" i="6" l="1"/>
  <c r="G14" i="6"/>
  <c r="H8" i="6"/>
  <c r="L74" i="6"/>
  <c r="M74" i="6" s="1"/>
  <c r="M69" i="6"/>
  <c r="M68" i="6"/>
  <c r="M66" i="6"/>
  <c r="M47" i="6"/>
  <c r="M46" i="6"/>
  <c r="M45" i="6"/>
  <c r="M44" i="6"/>
  <c r="M33" i="6"/>
  <c r="M31" i="6"/>
  <c r="M30" i="6"/>
  <c r="M29" i="6"/>
  <c r="M28" i="6"/>
  <c r="M72" i="6"/>
  <c r="M23" i="6"/>
  <c r="M21" i="6"/>
  <c r="M18" i="6"/>
  <c r="M17" i="6"/>
  <c r="M26" i="6"/>
  <c r="M14" i="6"/>
  <c r="M73" i="6"/>
  <c r="M11" i="6"/>
  <c r="M10" i="6"/>
  <c r="N74" i="6"/>
  <c r="O74" i="6" s="1"/>
  <c r="O14" i="6"/>
  <c r="P81" i="6"/>
  <c r="P14" i="6"/>
  <c r="Q8" i="6"/>
  <c r="M8" i="6"/>
  <c r="E8" i="6" a="1"/>
  <c r="E8" i="6" l="1"/>
  <c r="C8" i="6" s="1"/>
  <c r="G74" i="6"/>
  <c r="H69" i="6"/>
  <c r="H68" i="6"/>
  <c r="H66" i="6"/>
  <c r="H47" i="6"/>
  <c r="H46" i="6"/>
  <c r="H45" i="6"/>
  <c r="H44" i="6"/>
  <c r="H33" i="6"/>
  <c r="H31" i="6"/>
  <c r="H30" i="6"/>
  <c r="H29" i="6"/>
  <c r="H28" i="6"/>
  <c r="H72" i="6"/>
  <c r="H23" i="6"/>
  <c r="H21" i="6"/>
  <c r="H18" i="6"/>
  <c r="H17" i="6"/>
  <c r="H26" i="6"/>
  <c r="H73" i="6"/>
  <c r="H14" i="6"/>
  <c r="H11" i="6"/>
  <c r="H10" i="6"/>
  <c r="P74" i="6"/>
  <c r="Q74" i="6" s="1"/>
  <c r="Q69" i="6"/>
  <c r="Q68" i="6"/>
  <c r="Q66" i="6"/>
  <c r="Q47" i="6"/>
  <c r="Q46" i="6"/>
  <c r="Q45" i="6"/>
  <c r="Q44" i="6"/>
  <c r="Q33" i="6"/>
  <c r="Q31" i="6"/>
  <c r="Q30" i="6"/>
  <c r="Q29" i="6"/>
  <c r="Q28" i="6"/>
  <c r="Q72" i="6"/>
  <c r="Q23" i="6"/>
  <c r="Q21" i="6"/>
  <c r="Q18" i="6"/>
  <c r="Q17" i="6"/>
  <c r="Q26" i="6"/>
  <c r="Q73" i="6"/>
  <c r="Q14" i="6"/>
  <c r="Q11" i="6"/>
  <c r="Q10" i="6"/>
  <c r="A8" i="6" a="1"/>
  <c r="A8" i="6" l="1"/>
  <c r="G85" i="6"/>
  <c r="H74" i="6"/>
  <c r="C81" i="6"/>
  <c r="C14" i="6"/>
  <c r="E81" i="6"/>
  <c r="E14" i="6"/>
  <c r="F8" i="6"/>
  <c r="U2" i="6"/>
  <c r="R81" i="5" a="1"/>
  <c r="C74" i="6" l="1"/>
  <c r="D74" i="6" s="1"/>
  <c r="D69" i="6"/>
  <c r="D68" i="6"/>
  <c r="D66" i="6"/>
  <c r="D47" i="6"/>
  <c r="D46" i="6"/>
  <c r="D45" i="6"/>
  <c r="D44" i="6"/>
  <c r="D33" i="6"/>
  <c r="D31" i="6"/>
  <c r="D30" i="6"/>
  <c r="D29" i="6"/>
  <c r="D28" i="6"/>
  <c r="D72" i="6"/>
  <c r="D23" i="6"/>
  <c r="D21" i="6"/>
  <c r="D18" i="6"/>
  <c r="D17" i="6"/>
  <c r="D26" i="6"/>
  <c r="D14" i="6"/>
  <c r="D73" i="6"/>
  <c r="D11" i="6"/>
  <c r="D10" i="6"/>
  <c r="D8" i="6"/>
  <c r="E74" i="6"/>
  <c r="F74" i="6" s="1"/>
  <c r="F14" i="6"/>
  <c r="A81" i="6"/>
  <c r="A14" i="6"/>
  <c r="B8" i="6"/>
  <c r="R81" i="5"/>
  <c r="S81" i="5" s="1"/>
  <c r="N81" i="5" a="1"/>
  <c r="A74" i="6" l="1"/>
  <c r="B74" i="6" s="1"/>
  <c r="B69" i="6"/>
  <c r="B68" i="6"/>
  <c r="B67" i="6"/>
  <c r="B62" i="6"/>
  <c r="B53" i="6"/>
  <c r="B50" i="6"/>
  <c r="B49" i="6"/>
  <c r="B47" i="6"/>
  <c r="B46" i="6"/>
  <c r="B44" i="6"/>
  <c r="B39" i="6"/>
  <c r="B33" i="6"/>
  <c r="B30" i="6"/>
  <c r="B29" i="6"/>
  <c r="B28" i="6"/>
  <c r="B72" i="6"/>
  <c r="B24" i="6"/>
  <c r="B18" i="6"/>
  <c r="B14" i="6"/>
  <c r="B26" i="6"/>
  <c r="B73" i="6"/>
  <c r="B11" i="6"/>
  <c r="B10" i="6"/>
  <c r="N81" i="5"/>
  <c r="L81" i="5" a="1"/>
  <c r="L81" i="5" l="1"/>
  <c r="M81" i="5" s="1"/>
  <c r="O81" i="5"/>
  <c r="P81" i="5"/>
  <c r="Q81" i="5" s="1"/>
  <c r="G81" i="5" a="1"/>
  <c r="G81" i="5" l="1"/>
  <c r="H81" i="5" s="1"/>
  <c r="E81" i="5" a="1"/>
  <c r="E81" i="5" l="1"/>
  <c r="F81" i="5" s="1"/>
  <c r="C81" i="5"/>
  <c r="D81" i="5" s="1"/>
  <c r="A81" i="5" a="1"/>
  <c r="A81" i="5" l="1"/>
  <c r="B81" i="5" s="1"/>
  <c r="R79" i="5" a="1"/>
  <c r="R79" i="5" l="1"/>
  <c r="S79" i="5" s="1"/>
  <c r="N79" i="5" a="1"/>
  <c r="N79" i="5" l="1"/>
  <c r="L79" i="5" a="1"/>
  <c r="L79" i="5" l="1"/>
  <c r="M79" i="5" s="1"/>
  <c r="O79" i="5"/>
  <c r="P79" i="5"/>
  <c r="Q79" i="5" s="1"/>
  <c r="G79" i="5" a="1"/>
  <c r="G79" i="5" l="1"/>
  <c r="H79" i="5" s="1"/>
  <c r="E79" i="5" a="1"/>
  <c r="E79" i="5" l="1"/>
  <c r="F79" i="5" s="1"/>
  <c r="C79" i="5"/>
  <c r="D79" i="5" s="1"/>
  <c r="A79" i="5" a="1"/>
  <c r="A79" i="5" l="1"/>
  <c r="B79" i="5" s="1"/>
  <c r="R78" i="5" a="1"/>
  <c r="R78" i="5" l="1"/>
  <c r="S78" i="5" s="1"/>
  <c r="N78" i="5" a="1"/>
  <c r="N78" i="5" l="1"/>
  <c r="L78" i="5" a="1"/>
  <c r="L78" i="5" l="1"/>
  <c r="M78" i="5" s="1"/>
  <c r="P78" i="5"/>
  <c r="Q78" i="5" s="1"/>
  <c r="O78" i="5"/>
  <c r="G78" i="5" a="1"/>
  <c r="G78" i="5" l="1"/>
  <c r="E78" i="5" a="1"/>
  <c r="E78" i="5" l="1"/>
  <c r="F78" i="5" s="1"/>
  <c r="L85" i="5"/>
  <c r="H78" i="5"/>
  <c r="A78" i="5" a="1"/>
  <c r="A78" i="5" l="1"/>
  <c r="B78" i="5" s="1"/>
  <c r="C78" i="5"/>
  <c r="D78" i="5" s="1"/>
  <c r="R76" i="5" a="1"/>
  <c r="R76" i="5" l="1"/>
  <c r="S76" i="5" s="1"/>
  <c r="N76" i="5" a="1"/>
  <c r="N76" i="5" l="1"/>
  <c r="L76" i="5" a="1"/>
  <c r="L76" i="5" l="1"/>
  <c r="M76" i="5" s="1"/>
  <c r="P76" i="5"/>
  <c r="Q76" i="5" s="1"/>
  <c r="O76" i="5"/>
  <c r="G76" i="5" a="1"/>
  <c r="G76" i="5" l="1"/>
  <c r="H76" i="5" s="1"/>
  <c r="E76" i="5" a="1"/>
  <c r="E76" i="5" l="1"/>
  <c r="F76" i="5" s="1"/>
  <c r="C76" i="5"/>
  <c r="D76" i="5" s="1"/>
  <c r="A76" i="5" a="1"/>
  <c r="A76" i="5" l="1"/>
  <c r="B76" i="5" s="1"/>
  <c r="R75" i="5" a="1"/>
  <c r="R75" i="5" l="1"/>
  <c r="S75" i="5" s="1"/>
  <c r="N75" i="5" a="1"/>
  <c r="N75" i="5" l="1"/>
  <c r="L75" i="5" a="1"/>
  <c r="L75" i="5" l="1"/>
  <c r="M75" i="5" s="1"/>
  <c r="O75" i="5"/>
  <c r="P75" i="5"/>
  <c r="Q75" i="5" s="1"/>
  <c r="G75" i="5" a="1"/>
  <c r="G75" i="5" l="1"/>
  <c r="H75" i="5" s="1"/>
  <c r="E75" i="5" a="1"/>
  <c r="E75" i="5" l="1"/>
  <c r="F75" i="5" s="1"/>
  <c r="C75" i="5"/>
  <c r="D75" i="5" s="1"/>
  <c r="A75" i="5" a="1"/>
  <c r="A75" i="5" l="1"/>
  <c r="B75" i="5" s="1"/>
  <c r="R74" i="5" a="1"/>
  <c r="R74" i="5" l="1"/>
  <c r="S74" i="5" s="1"/>
  <c r="N74" i="5" a="1"/>
  <c r="N74" i="5" l="1"/>
  <c r="L74" i="5" a="1"/>
  <c r="L74" i="5" l="1"/>
  <c r="M74" i="5" s="1"/>
  <c r="P74" i="5"/>
  <c r="Q74" i="5" s="1"/>
  <c r="O74" i="5"/>
  <c r="G74" i="5" a="1"/>
  <c r="G74" i="5" l="1"/>
  <c r="H74" i="5" s="1"/>
  <c r="E74" i="5" a="1"/>
  <c r="E74" i="5" l="1"/>
  <c r="F74" i="5" s="1"/>
  <c r="C74" i="5"/>
  <c r="D74" i="5" s="1"/>
  <c r="A74" i="5" a="1"/>
  <c r="A74" i="5" l="1"/>
  <c r="B74" i="5" s="1"/>
  <c r="R72" i="5" a="1"/>
  <c r="R72" i="5" l="1"/>
  <c r="S72" i="5" s="1"/>
  <c r="N72" i="5" a="1"/>
  <c r="N72" i="5" l="1"/>
  <c r="L72" i="5" a="1"/>
  <c r="L72" i="5" l="1"/>
  <c r="M72" i="5" s="1"/>
  <c r="P72" i="5"/>
  <c r="Q72" i="5" s="1"/>
  <c r="O72" i="5"/>
  <c r="G72" i="5" a="1"/>
  <c r="G72" i="5" l="1"/>
  <c r="H72" i="5" s="1"/>
  <c r="E72" i="5" a="1"/>
  <c r="E72" i="5" l="1"/>
  <c r="F72" i="5" s="1"/>
  <c r="C72" i="5"/>
  <c r="D72" i="5" s="1"/>
  <c r="A72" i="5" a="1"/>
  <c r="A72" i="5" l="1"/>
  <c r="B72" i="5" s="1"/>
  <c r="R71" i="5" a="1"/>
  <c r="R71" i="5" l="1"/>
  <c r="S71" i="5" s="1"/>
  <c r="N71" i="5" a="1"/>
  <c r="N71" i="5" l="1"/>
  <c r="L71" i="5" a="1"/>
  <c r="L71" i="5" l="1"/>
  <c r="M71" i="5" s="1"/>
  <c r="O71" i="5"/>
  <c r="P71" i="5"/>
  <c r="Q71" i="5" s="1"/>
  <c r="G71" i="5" a="1"/>
  <c r="G71" i="5" l="1"/>
  <c r="H71" i="5" s="1"/>
  <c r="E71" i="5" a="1"/>
  <c r="E71" i="5" l="1"/>
  <c r="F71" i="5" s="1"/>
  <c r="A71" i="5" a="1"/>
  <c r="A71" i="5" l="1"/>
  <c r="B71" i="5" s="1"/>
  <c r="C71" i="5"/>
  <c r="D71" i="5" s="1"/>
  <c r="R70" i="5" a="1"/>
  <c r="R70" i="5" l="1"/>
  <c r="S70" i="5" s="1"/>
  <c r="N70" i="5" a="1"/>
  <c r="N70" i="5" l="1"/>
  <c r="L70" i="5" a="1"/>
  <c r="L70" i="5" l="1"/>
  <c r="M70" i="5" s="1"/>
  <c r="P70" i="5"/>
  <c r="Q70" i="5" s="1"/>
  <c r="O70" i="5"/>
  <c r="G70" i="5" a="1"/>
  <c r="G70" i="5" l="1"/>
  <c r="H70" i="5" s="1"/>
  <c r="E70" i="5" a="1"/>
  <c r="E70" i="5" l="1"/>
  <c r="F70" i="5" s="1"/>
  <c r="C70" i="5"/>
  <c r="D70" i="5" s="1"/>
  <c r="A70" i="5" a="1"/>
  <c r="A70" i="5" l="1"/>
  <c r="B70" i="5" s="1"/>
  <c r="R69" i="5" a="1"/>
  <c r="R69" i="5" l="1"/>
  <c r="S69" i="5" s="1"/>
  <c r="N69" i="5" a="1"/>
  <c r="N69" i="5" l="1"/>
  <c r="L69" i="5" a="1"/>
  <c r="L69" i="5" l="1"/>
  <c r="M69" i="5" s="1"/>
  <c r="P69" i="5"/>
  <c r="Q69" i="5" s="1"/>
  <c r="O69" i="5"/>
  <c r="G69" i="5" a="1"/>
  <c r="G69" i="5" l="1"/>
  <c r="H69" i="5" s="1"/>
  <c r="E69" i="5" a="1"/>
  <c r="E69" i="5" l="1"/>
  <c r="F69" i="5" s="1"/>
  <c r="A69" i="5" a="1"/>
  <c r="C69" i="5" l="1"/>
  <c r="D69" i="5" s="1"/>
  <c r="A69" i="5"/>
  <c r="B69" i="5" s="1"/>
  <c r="R68" i="5" a="1"/>
  <c r="R68" i="5" l="1"/>
  <c r="S68" i="5" s="1"/>
  <c r="N68" i="5" a="1"/>
  <c r="N68" i="5" l="1"/>
  <c r="L68" i="5" a="1"/>
  <c r="L68" i="5" l="1"/>
  <c r="M68" i="5" s="1"/>
  <c r="O68" i="5"/>
  <c r="P68" i="5"/>
  <c r="Q68" i="5" s="1"/>
  <c r="G68" i="5" a="1"/>
  <c r="G68" i="5" l="1"/>
  <c r="H68" i="5" s="1"/>
  <c r="E68" i="5" a="1"/>
  <c r="E68" i="5" l="1"/>
  <c r="F68" i="5" s="1"/>
  <c r="C68" i="5"/>
  <c r="D68" i="5" s="1"/>
  <c r="A68" i="5" a="1"/>
  <c r="A68" i="5" l="1"/>
  <c r="B68" i="5" s="1"/>
  <c r="R67" i="5" a="1"/>
  <c r="R67" i="5" l="1"/>
  <c r="S67" i="5" s="1"/>
  <c r="N67" i="5" a="1"/>
  <c r="N67" i="5" l="1"/>
  <c r="L67" i="5" a="1"/>
  <c r="L67" i="5" l="1"/>
  <c r="M67" i="5" s="1"/>
  <c r="O67" i="5"/>
  <c r="G67" i="5" a="1"/>
  <c r="P67" i="5" l="1"/>
  <c r="Q67" i="5" s="1"/>
  <c r="G67" i="5"/>
  <c r="H67" i="5" s="1"/>
  <c r="E67" i="5" a="1"/>
  <c r="E67" i="5" l="1"/>
  <c r="F67" i="5" s="1"/>
  <c r="C67" i="5"/>
  <c r="D67" i="5" s="1"/>
  <c r="A67" i="5" a="1"/>
  <c r="A67" i="5" l="1"/>
  <c r="B67" i="5" s="1"/>
  <c r="R66" i="5" a="1"/>
  <c r="R66" i="5" l="1"/>
  <c r="S66" i="5" s="1"/>
  <c r="N66" i="5" a="1"/>
  <c r="N66" i="5" l="1"/>
  <c r="L66" i="5" a="1"/>
  <c r="L66" i="5" l="1"/>
  <c r="M66" i="5" s="1"/>
  <c r="O66" i="5"/>
  <c r="G66" i="5" a="1"/>
  <c r="G66" i="5" l="1"/>
  <c r="H66" i="5" s="1"/>
  <c r="P66" i="5"/>
  <c r="Q66" i="5" s="1"/>
  <c r="E66" i="5" a="1"/>
  <c r="E66" i="5" l="1"/>
  <c r="F66" i="5" s="1"/>
  <c r="C66" i="5"/>
  <c r="D66" i="5" s="1"/>
  <c r="A66" i="5" a="1"/>
  <c r="A66" i="5" l="1"/>
  <c r="B66" i="5" s="1"/>
  <c r="R65" i="5" a="1"/>
  <c r="R65" i="5" l="1"/>
  <c r="S65" i="5" s="1"/>
  <c r="N65" i="5" a="1"/>
  <c r="N65" i="5" l="1"/>
  <c r="L65" i="5" a="1"/>
  <c r="L65" i="5" l="1"/>
  <c r="M65" i="5" s="1"/>
  <c r="O65" i="5"/>
  <c r="P65" i="5"/>
  <c r="Q65" i="5" s="1"/>
  <c r="G65" i="5" a="1"/>
  <c r="G65" i="5" l="1"/>
  <c r="H65" i="5" s="1"/>
  <c r="E65" i="5" a="1"/>
  <c r="E65" i="5" l="1"/>
  <c r="F65" i="5" s="1"/>
  <c r="A65" i="5" a="1"/>
  <c r="A65" i="5" l="1"/>
  <c r="B65" i="5" s="1"/>
  <c r="C65" i="5"/>
  <c r="D65" i="5" s="1"/>
  <c r="R64" i="5" a="1"/>
  <c r="R64" i="5" l="1"/>
  <c r="S64" i="5" s="1"/>
  <c r="N64" i="5" a="1"/>
  <c r="N64" i="5" l="1"/>
  <c r="L64" i="5" a="1"/>
  <c r="L64" i="5" l="1"/>
  <c r="M64" i="5" s="1"/>
  <c r="P64" i="5"/>
  <c r="Q64" i="5" s="1"/>
  <c r="O64" i="5"/>
  <c r="G64" i="5" a="1"/>
  <c r="G64" i="5" l="1"/>
  <c r="H64" i="5" s="1"/>
  <c r="E64" i="5" a="1"/>
  <c r="E64" i="5" l="1"/>
  <c r="F64" i="5" s="1"/>
  <c r="C64" i="5"/>
  <c r="D64" i="5" s="1"/>
  <c r="A64" i="5" a="1"/>
  <c r="A64" i="5" l="1"/>
  <c r="B64" i="5" s="1"/>
  <c r="R63" i="5" a="1"/>
  <c r="R63" i="5" l="1"/>
  <c r="S63" i="5" s="1"/>
  <c r="N63" i="5" a="1"/>
  <c r="N63" i="5" l="1"/>
  <c r="L63" i="5" a="1"/>
  <c r="L63" i="5" l="1"/>
  <c r="M63" i="5" s="1"/>
  <c r="O63" i="5"/>
  <c r="P63" i="5"/>
  <c r="Q63" i="5" s="1"/>
  <c r="G63" i="5" a="1"/>
  <c r="G63" i="5" l="1"/>
  <c r="H63" i="5" s="1"/>
  <c r="E63" i="5" a="1"/>
  <c r="E63" i="5" l="1"/>
  <c r="F63" i="5" s="1"/>
  <c r="C63" i="5"/>
  <c r="D63" i="5" s="1"/>
  <c r="A63" i="5" a="1"/>
  <c r="A63" i="5" l="1"/>
  <c r="B63" i="5" s="1"/>
  <c r="R61" i="5" a="1"/>
  <c r="R61" i="5" l="1"/>
  <c r="S61" i="5" s="1"/>
  <c r="N61" i="5" a="1"/>
  <c r="N61" i="5" l="1"/>
  <c r="L61" i="5" a="1"/>
  <c r="L61" i="5" l="1"/>
  <c r="M61" i="5" s="1"/>
  <c r="O61" i="5"/>
  <c r="P61" i="5"/>
  <c r="Q61" i="5" s="1"/>
  <c r="G61" i="5" a="1"/>
  <c r="G61" i="5" l="1"/>
  <c r="H61" i="5" s="1"/>
  <c r="E61" i="5" a="1"/>
  <c r="E61" i="5" l="1"/>
  <c r="F61" i="5" s="1"/>
  <c r="A61" i="5" a="1"/>
  <c r="A61" i="5" l="1"/>
  <c r="B61" i="5" s="1"/>
  <c r="C61" i="5"/>
  <c r="D61" i="5" s="1"/>
  <c r="R60" i="5" a="1"/>
  <c r="R60" i="5" l="1"/>
  <c r="S60" i="5" s="1"/>
  <c r="N60" i="5" a="1"/>
  <c r="N60" i="5" l="1"/>
  <c r="L60" i="5" a="1"/>
  <c r="L60" i="5" l="1"/>
  <c r="O60" i="5"/>
  <c r="P60" i="5"/>
  <c r="G60" i="5" a="1"/>
  <c r="G60" i="5" l="1"/>
  <c r="E60" i="5" a="1"/>
  <c r="E60" i="5" l="1"/>
  <c r="F60" i="5" s="1"/>
  <c r="A60" i="5" a="1"/>
  <c r="A60" i="5" l="1"/>
  <c r="B60" i="5" s="1"/>
  <c r="C60" i="5"/>
  <c r="R59" i="5" a="1"/>
  <c r="R59" i="5" l="1"/>
  <c r="S59" i="5" s="1"/>
  <c r="N59" i="5" a="1"/>
  <c r="N59" i="5" l="1"/>
  <c r="L59" i="5" a="1"/>
  <c r="L59" i="5" l="1"/>
  <c r="M59" i="5" s="1"/>
  <c r="P59" i="5"/>
  <c r="Q59" i="5" s="1"/>
  <c r="O59" i="5"/>
  <c r="G59" i="5" a="1"/>
  <c r="G59" i="5" l="1"/>
  <c r="H59" i="5" s="1"/>
  <c r="E59" i="5" a="1"/>
  <c r="E59" i="5" l="1"/>
  <c r="F59" i="5" s="1"/>
  <c r="C59" i="5"/>
  <c r="D59" i="5" s="1"/>
  <c r="A59" i="5" a="1"/>
  <c r="A59" i="5" l="1"/>
  <c r="B59" i="5" s="1"/>
  <c r="R55" i="5"/>
  <c r="P55" i="5"/>
  <c r="N55" i="5"/>
  <c r="O55" i="5" s="1"/>
  <c r="L55" i="5"/>
  <c r="G55" i="5"/>
  <c r="E55" i="5"/>
  <c r="F55" i="5" s="1"/>
  <c r="C55" i="5"/>
  <c r="A55" i="5"/>
  <c r="R54" i="5"/>
  <c r="P54" i="5"/>
  <c r="N54" i="5"/>
  <c r="O54" i="5" s="1"/>
  <c r="L54" i="5"/>
  <c r="G54" i="5"/>
  <c r="E54" i="5"/>
  <c r="F54" i="5" s="1"/>
  <c r="C54" i="5"/>
  <c r="A54" i="5"/>
  <c r="R53" i="5"/>
  <c r="P53" i="5"/>
  <c r="Q53" i="5" s="1"/>
  <c r="N53" i="5"/>
  <c r="O53" i="5" s="1"/>
  <c r="L53" i="5"/>
  <c r="M53" i="5" s="1"/>
  <c r="G53" i="5"/>
  <c r="H53" i="5" s="1"/>
  <c r="E53" i="5"/>
  <c r="F53" i="5" s="1"/>
  <c r="C53" i="5"/>
  <c r="D53" i="5" s="1"/>
  <c r="A53" i="5"/>
  <c r="R52" i="5"/>
  <c r="P52" i="5"/>
  <c r="N52" i="5"/>
  <c r="O52" i="5" s="1"/>
  <c r="L52" i="5"/>
  <c r="L56" i="5" s="1"/>
  <c r="G52" i="5"/>
  <c r="G56" i="5" s="1"/>
  <c r="E52" i="5"/>
  <c r="F52" i="5" s="1"/>
  <c r="C52" i="5"/>
  <c r="A52" i="5"/>
  <c r="A56" i="5" s="1"/>
  <c r="R49" i="5"/>
  <c r="P49" i="5"/>
  <c r="N49" i="5"/>
  <c r="O49" i="5" s="1"/>
  <c r="L49" i="5"/>
  <c r="G49" i="5"/>
  <c r="E49" i="5"/>
  <c r="F49" i="5" s="1"/>
  <c r="C49" i="5"/>
  <c r="A49" i="5"/>
  <c r="R48" i="5"/>
  <c r="P48" i="5"/>
  <c r="N48" i="5"/>
  <c r="O48" i="5" s="1"/>
  <c r="L48" i="5"/>
  <c r="G48" i="5"/>
  <c r="E48" i="5"/>
  <c r="F48" i="5" s="1"/>
  <c r="C48" i="5"/>
  <c r="A48" i="5"/>
  <c r="R47" i="5"/>
  <c r="R50" i="5" s="1"/>
  <c r="P47" i="5"/>
  <c r="N47" i="5"/>
  <c r="O47" i="5" s="1"/>
  <c r="L47" i="5"/>
  <c r="L50" i="5" s="1"/>
  <c r="G47" i="5"/>
  <c r="G50" i="5" s="1"/>
  <c r="G57" i="5" s="1"/>
  <c r="E47" i="5"/>
  <c r="F47" i="5" s="1"/>
  <c r="C47" i="5"/>
  <c r="A47" i="5"/>
  <c r="A50" i="5" s="1"/>
  <c r="R35" i="5"/>
  <c r="S35" i="5" s="1"/>
  <c r="P35" i="5"/>
  <c r="Q35" i="5" s="1"/>
  <c r="N35" i="5"/>
  <c r="O35" i="5" s="1"/>
  <c r="L35" i="5"/>
  <c r="M35" i="5" s="1"/>
  <c r="G35" i="5"/>
  <c r="H35" i="5" s="1"/>
  <c r="E35" i="5"/>
  <c r="F35" i="5" s="1"/>
  <c r="C35" i="5"/>
  <c r="D35" i="5" s="1"/>
  <c r="A35" i="5"/>
  <c r="B35" i="5" s="1"/>
  <c r="R34" i="5"/>
  <c r="S34" i="5" s="1"/>
  <c r="P34" i="5"/>
  <c r="Q34" i="5" s="1"/>
  <c r="N34" i="5"/>
  <c r="O34" i="5" s="1"/>
  <c r="L34" i="5"/>
  <c r="M34" i="5" s="1"/>
  <c r="G34" i="5"/>
  <c r="H34" i="5" s="1"/>
  <c r="E34" i="5"/>
  <c r="F34" i="5" s="1"/>
  <c r="C34" i="5"/>
  <c r="D34" i="5" s="1"/>
  <c r="A34" i="5"/>
  <c r="B34" i="5" s="1"/>
  <c r="R33" i="5"/>
  <c r="P33" i="5"/>
  <c r="N33" i="5"/>
  <c r="O33" i="5" s="1"/>
  <c r="L33" i="5"/>
  <c r="G33" i="5"/>
  <c r="E33" i="5"/>
  <c r="F33" i="5" s="1"/>
  <c r="C33" i="5"/>
  <c r="A33" i="5"/>
  <c r="R32" i="5"/>
  <c r="P32" i="5"/>
  <c r="N32" i="5"/>
  <c r="O32" i="5" s="1"/>
  <c r="L32" i="5"/>
  <c r="G32" i="5"/>
  <c r="G36" i="5" s="1"/>
  <c r="E32" i="5"/>
  <c r="F32" i="5" s="1"/>
  <c r="C32" i="5"/>
  <c r="A32" i="5"/>
  <c r="A36" i="5" s="1"/>
  <c r="R29" i="5"/>
  <c r="S29" i="5" s="1"/>
  <c r="P29" i="5"/>
  <c r="Q29" i="5" s="1"/>
  <c r="N29" i="5"/>
  <c r="O29" i="5" s="1"/>
  <c r="L29" i="5"/>
  <c r="M29" i="5" s="1"/>
  <c r="G29" i="5"/>
  <c r="H29" i="5" s="1"/>
  <c r="E29" i="5"/>
  <c r="F29" i="5" s="1"/>
  <c r="C29" i="5"/>
  <c r="D29" i="5" s="1"/>
  <c r="A29" i="5"/>
  <c r="B29" i="5" s="1"/>
  <c r="R28" i="5"/>
  <c r="S28" i="5" s="1"/>
  <c r="P28" i="5"/>
  <c r="Q28" i="5" s="1"/>
  <c r="N28" i="5"/>
  <c r="O28" i="5" s="1"/>
  <c r="L28" i="5"/>
  <c r="M28" i="5" s="1"/>
  <c r="H28" i="5"/>
  <c r="G28" i="5"/>
  <c r="E28" i="5"/>
  <c r="F28" i="5" s="1"/>
  <c r="C28" i="5"/>
  <c r="D28" i="5" s="1"/>
  <c r="A28" i="5"/>
  <c r="B28" i="5" s="1"/>
  <c r="R27" i="5"/>
  <c r="P27" i="5"/>
  <c r="N27" i="5"/>
  <c r="O27" i="5" s="1"/>
  <c r="L27" i="5"/>
  <c r="G27" i="5"/>
  <c r="E27" i="5"/>
  <c r="F27" i="5" s="1"/>
  <c r="C27" i="5"/>
  <c r="A27" i="5"/>
  <c r="R26" i="5"/>
  <c r="P26" i="5"/>
  <c r="N26" i="5"/>
  <c r="O26" i="5" s="1"/>
  <c r="L26" i="5"/>
  <c r="G26" i="5"/>
  <c r="E26" i="5"/>
  <c r="C26" i="5"/>
  <c r="A26" i="5"/>
  <c r="R23" i="5"/>
  <c r="P23" i="5"/>
  <c r="N23" i="5"/>
  <c r="O23" i="5" s="1"/>
  <c r="L23" i="5"/>
  <c r="G23" i="5"/>
  <c r="E23" i="5"/>
  <c r="F23" i="5" s="1"/>
  <c r="C23" i="5"/>
  <c r="A23" i="5"/>
  <c r="R22" i="5"/>
  <c r="P22" i="5"/>
  <c r="Q22" i="5" s="1"/>
  <c r="N22" i="5"/>
  <c r="O22" i="5" s="1"/>
  <c r="L22" i="5"/>
  <c r="M22" i="5" s="1"/>
  <c r="G22" i="5"/>
  <c r="H22" i="5" s="1"/>
  <c r="E22" i="5"/>
  <c r="F22" i="5" s="1"/>
  <c r="C22" i="5"/>
  <c r="D22" i="5" s="1"/>
  <c r="A22" i="5"/>
  <c r="R21" i="5"/>
  <c r="P21" i="5"/>
  <c r="N21" i="5"/>
  <c r="O21" i="5" s="1"/>
  <c r="L21" i="5"/>
  <c r="L24" i="5" s="1"/>
  <c r="G21" i="5"/>
  <c r="E21" i="5"/>
  <c r="F21" i="5" s="1"/>
  <c r="C21" i="5"/>
  <c r="C24" i="5" s="1"/>
  <c r="A21" i="5"/>
  <c r="R18" i="5"/>
  <c r="P18" i="5"/>
  <c r="N18" i="5"/>
  <c r="L18" i="5"/>
  <c r="G18" i="5"/>
  <c r="E18" i="5"/>
  <c r="C18" i="5"/>
  <c r="A18" i="5"/>
  <c r="R17" i="5"/>
  <c r="P17" i="5"/>
  <c r="N17" i="5"/>
  <c r="O17" i="5" s="1"/>
  <c r="L17" i="5"/>
  <c r="G17" i="5"/>
  <c r="G41" i="5" s="1"/>
  <c r="E17" i="5"/>
  <c r="C17" i="5"/>
  <c r="C41" i="5" s="1"/>
  <c r="A17" i="5"/>
  <c r="R16" i="5"/>
  <c r="P16" i="5"/>
  <c r="N16" i="5"/>
  <c r="O16" i="5" s="1"/>
  <c r="L16" i="5"/>
  <c r="G16" i="5"/>
  <c r="G40" i="5" s="1"/>
  <c r="E16" i="5"/>
  <c r="C16" i="5"/>
  <c r="C40" i="5" s="1"/>
  <c r="A16" i="5"/>
  <c r="R15" i="5"/>
  <c r="P15" i="5"/>
  <c r="N15" i="5"/>
  <c r="O15" i="5" s="1"/>
  <c r="L15" i="5"/>
  <c r="G15" i="5"/>
  <c r="G39" i="5" s="1"/>
  <c r="E15" i="5"/>
  <c r="C15" i="5"/>
  <c r="C39" i="5" s="1"/>
  <c r="A15" i="5"/>
  <c r="R12" i="5"/>
  <c r="P12" i="5"/>
  <c r="N12" i="5"/>
  <c r="L12" i="5"/>
  <c r="G12" i="5"/>
  <c r="E12" i="5"/>
  <c r="A12" i="5"/>
  <c r="R11" i="5"/>
  <c r="P11" i="5"/>
  <c r="N11" i="5"/>
  <c r="L11" i="5"/>
  <c r="G11" i="5"/>
  <c r="E11" i="5"/>
  <c r="A11" i="5"/>
  <c r="R8" i="5"/>
  <c r="R9" i="5" s="1"/>
  <c r="P8" i="5"/>
  <c r="P9" i="5" s="1"/>
  <c r="N8" i="5"/>
  <c r="L8" i="5"/>
  <c r="G8" i="5"/>
  <c r="E8" i="5"/>
  <c r="A8" i="5"/>
  <c r="R7" i="5"/>
  <c r="P7" i="5"/>
  <c r="N7" i="5"/>
  <c r="L7" i="5"/>
  <c r="L9" i="5" s="1"/>
  <c r="G7" i="5"/>
  <c r="E7" i="5"/>
  <c r="A7" i="5"/>
  <c r="A9" i="5" s="1"/>
  <c r="U2" i="5"/>
  <c r="E294" i="4"/>
  <c r="C294" i="4"/>
  <c r="C305" i="4" s="1"/>
  <c r="E293" i="4"/>
  <c r="C293" i="4"/>
  <c r="G9" i="5" l="1"/>
  <c r="N9" i="5"/>
  <c r="R39" i="5"/>
  <c r="R43" i="5" s="1"/>
  <c r="R40" i="5"/>
  <c r="R41" i="5"/>
  <c r="R42" i="5"/>
  <c r="R30" i="5"/>
  <c r="R36" i="5"/>
  <c r="R57" i="5"/>
  <c r="R56" i="5"/>
  <c r="C12" i="5"/>
  <c r="G42" i="5"/>
  <c r="G30" i="5"/>
  <c r="A24" i="5"/>
  <c r="C36" i="5"/>
  <c r="C30" i="5"/>
  <c r="C37" i="5" s="1"/>
  <c r="E9" i="5"/>
  <c r="P39" i="5"/>
  <c r="L40" i="5"/>
  <c r="P19" i="5"/>
  <c r="Q26" i="5" s="1"/>
  <c r="P30" i="5"/>
  <c r="A39" i="5"/>
  <c r="F18" i="5"/>
  <c r="E42" i="5"/>
  <c r="F42" i="5" s="1"/>
  <c r="A19" i="5"/>
  <c r="B19" i="5" s="1"/>
  <c r="A30" i="5"/>
  <c r="B30" i="5" s="1"/>
  <c r="C7" i="5"/>
  <c r="P40" i="5"/>
  <c r="L41" i="5"/>
  <c r="C19" i="5"/>
  <c r="D15" i="5" s="1"/>
  <c r="L57" i="5"/>
  <c r="D54" i="5"/>
  <c r="F15" i="5"/>
  <c r="E39" i="5"/>
  <c r="A40" i="5"/>
  <c r="E19" i="5"/>
  <c r="F19" i="5" s="1"/>
  <c r="R24" i="5"/>
  <c r="H23" i="5"/>
  <c r="E24" i="5"/>
  <c r="F26" i="5"/>
  <c r="E30" i="5"/>
  <c r="F30" i="5" s="1"/>
  <c r="N30" i="5"/>
  <c r="O30" i="5" s="1"/>
  <c r="N40" i="5"/>
  <c r="O40" i="5" s="1"/>
  <c r="G43" i="5"/>
  <c r="G19" i="5"/>
  <c r="H16" i="5" s="1"/>
  <c r="M23" i="5"/>
  <c r="D55" i="5"/>
  <c r="D39" i="5"/>
  <c r="P41" i="5"/>
  <c r="L42" i="5"/>
  <c r="C11" i="5"/>
  <c r="F16" i="5"/>
  <c r="E40" i="5"/>
  <c r="F40" i="5" s="1"/>
  <c r="A41" i="5"/>
  <c r="O18" i="5"/>
  <c r="N42" i="5"/>
  <c r="O42" i="5" s="1"/>
  <c r="A57" i="5"/>
  <c r="B50" i="5"/>
  <c r="L39" i="5"/>
  <c r="D17" i="5"/>
  <c r="P42" i="5"/>
  <c r="L19" i="5"/>
  <c r="M16" i="5" s="1"/>
  <c r="G24" i="5"/>
  <c r="N24" i="5"/>
  <c r="L30" i="5"/>
  <c r="D47" i="5"/>
  <c r="D52" i="5"/>
  <c r="F17" i="5"/>
  <c r="E41" i="5"/>
  <c r="F41" i="5" s="1"/>
  <c r="A42" i="5"/>
  <c r="N19" i="5"/>
  <c r="O19" i="5" s="1"/>
  <c r="H21" i="5"/>
  <c r="P24" i="5"/>
  <c r="N36" i="5"/>
  <c r="O36" i="5" s="1"/>
  <c r="N39" i="5"/>
  <c r="N41" i="5"/>
  <c r="O41" i="5" s="1"/>
  <c r="B48" i="5"/>
  <c r="B53" i="5"/>
  <c r="D18" i="5"/>
  <c r="C42" i="5"/>
  <c r="D42" i="5" s="1"/>
  <c r="M21" i="5"/>
  <c r="D23" i="5"/>
  <c r="D33" i="5"/>
  <c r="D48" i="5"/>
  <c r="R19" i="5"/>
  <c r="S15" i="5" s="1"/>
  <c r="L36" i="5"/>
  <c r="C8" i="5"/>
  <c r="B32" i="5"/>
  <c r="B47" i="5"/>
  <c r="B52" i="5"/>
  <c r="C50" i="5"/>
  <c r="N50" i="5"/>
  <c r="C56" i="5"/>
  <c r="D56" i="5" s="1"/>
  <c r="N56" i="5"/>
  <c r="O56" i="5" s="1"/>
  <c r="E36" i="5"/>
  <c r="F36" i="5" s="1"/>
  <c r="E50" i="5"/>
  <c r="P50" i="5"/>
  <c r="E56" i="5"/>
  <c r="F56" i="5" s="1"/>
  <c r="P56" i="5"/>
  <c r="P36" i="5"/>
  <c r="G293" i="4"/>
  <c r="I293" i="4" s="1"/>
  <c r="G294" i="4"/>
  <c r="E290" i="4"/>
  <c r="C290" i="4"/>
  <c r="Q36" i="5" l="1"/>
  <c r="M49" i="5"/>
  <c r="M47" i="5"/>
  <c r="M26" i="5"/>
  <c r="B23" i="5"/>
  <c r="Q49" i="5"/>
  <c r="Q17" i="5"/>
  <c r="B41" i="5"/>
  <c r="B33" i="5"/>
  <c r="Q41" i="5"/>
  <c r="M57" i="5"/>
  <c r="Q48" i="5"/>
  <c r="Q56" i="5"/>
  <c r="M15" i="5"/>
  <c r="L37" i="5"/>
  <c r="M37" i="5" s="1"/>
  <c r="Q23" i="5"/>
  <c r="B56" i="5"/>
  <c r="B17" i="5"/>
  <c r="D21" i="5"/>
  <c r="B21" i="5"/>
  <c r="Q21" i="5"/>
  <c r="D36" i="5"/>
  <c r="D37" i="5"/>
  <c r="B57" i="5"/>
  <c r="Q52" i="5"/>
  <c r="B40" i="5"/>
  <c r="B42" i="5"/>
  <c r="Q33" i="5"/>
  <c r="Q42" i="5"/>
  <c r="D41" i="5"/>
  <c r="Q32" i="5"/>
  <c r="B16" i="5"/>
  <c r="Q40" i="5"/>
  <c r="B18" i="5"/>
  <c r="D32" i="5"/>
  <c r="Q18" i="5"/>
  <c r="B22" i="5"/>
  <c r="Q47" i="5"/>
  <c r="D27" i="5"/>
  <c r="Q16" i="5"/>
  <c r="H36" i="5"/>
  <c r="M27" i="5"/>
  <c r="H39" i="5"/>
  <c r="M36" i="5"/>
  <c r="H30" i="5"/>
  <c r="M52" i="5"/>
  <c r="H17" i="5"/>
  <c r="M33" i="5"/>
  <c r="B39" i="5"/>
  <c r="A43" i="5"/>
  <c r="C43" i="5"/>
  <c r="H60" i="5"/>
  <c r="H47" i="5"/>
  <c r="H55" i="5"/>
  <c r="H27" i="5"/>
  <c r="H54" i="5"/>
  <c r="H26" i="5"/>
  <c r="H19" i="5"/>
  <c r="H49" i="5"/>
  <c r="H48" i="5"/>
  <c r="H33" i="5"/>
  <c r="H52" i="5"/>
  <c r="H42" i="5"/>
  <c r="H32" i="5"/>
  <c r="M50" i="5"/>
  <c r="M41" i="5"/>
  <c r="B26" i="5"/>
  <c r="Q30" i="5"/>
  <c r="B24" i="5"/>
  <c r="C9" i="5"/>
  <c r="L43" i="5"/>
  <c r="M39" i="5"/>
  <c r="F24" i="5"/>
  <c r="E37" i="5"/>
  <c r="F37" i="5" s="1"/>
  <c r="F39" i="5"/>
  <c r="E43" i="5"/>
  <c r="M32" i="5"/>
  <c r="Q60" i="5"/>
  <c r="Q19" i="5"/>
  <c r="S22" i="5"/>
  <c r="H41" i="5"/>
  <c r="G58" i="5"/>
  <c r="H43" i="5"/>
  <c r="O50" i="5"/>
  <c r="N57" i="5"/>
  <c r="O57" i="5" s="1"/>
  <c r="O39" i="5"/>
  <c r="N43" i="5"/>
  <c r="G37" i="5"/>
  <c r="H37" i="5" s="1"/>
  <c r="H24" i="5"/>
  <c r="M18" i="5"/>
  <c r="B55" i="5"/>
  <c r="Q27" i="5"/>
  <c r="H56" i="5"/>
  <c r="H40" i="5"/>
  <c r="O24" i="5"/>
  <c r="N37" i="5"/>
  <c r="O37" i="5" s="1"/>
  <c r="D50" i="5"/>
  <c r="C57" i="5"/>
  <c r="D57" i="5" s="1"/>
  <c r="S41" i="5"/>
  <c r="S36" i="5"/>
  <c r="S52" i="5"/>
  <c r="S47" i="5"/>
  <c r="S32" i="5"/>
  <c r="S55" i="5"/>
  <c r="S50" i="5"/>
  <c r="S40" i="5"/>
  <c r="S30" i="5"/>
  <c r="S27" i="5"/>
  <c r="S21" i="5"/>
  <c r="S16" i="5"/>
  <c r="S54" i="5"/>
  <c r="S49" i="5"/>
  <c r="S42" i="5"/>
  <c r="S26" i="5"/>
  <c r="S19" i="5"/>
  <c r="S57" i="5"/>
  <c r="S53" i="5"/>
  <c r="S48" i="5"/>
  <c r="S39" i="5"/>
  <c r="S33" i="5"/>
  <c r="S23" i="5"/>
  <c r="S18" i="5"/>
  <c r="M60" i="5"/>
  <c r="M19" i="5"/>
  <c r="M42" i="5"/>
  <c r="M48" i="5"/>
  <c r="H50" i="5"/>
  <c r="S24" i="5"/>
  <c r="Q55" i="5"/>
  <c r="D26" i="5"/>
  <c r="M40" i="5"/>
  <c r="H57" i="5"/>
  <c r="S56" i="5"/>
  <c r="Q50" i="5"/>
  <c r="P57" i="5"/>
  <c r="Q57" i="5" s="1"/>
  <c r="M56" i="5"/>
  <c r="D60" i="5"/>
  <c r="D19" i="5"/>
  <c r="B54" i="5"/>
  <c r="B15" i="5"/>
  <c r="Q15" i="5"/>
  <c r="D30" i="5"/>
  <c r="D24" i="5"/>
  <c r="Q39" i="5"/>
  <c r="P43" i="5"/>
  <c r="R58" i="5"/>
  <c r="S43" i="5"/>
  <c r="Q24" i="5"/>
  <c r="P37" i="5"/>
  <c r="Q37" i="5" s="1"/>
  <c r="F50" i="5"/>
  <c r="E57" i="5"/>
  <c r="F57" i="5" s="1"/>
  <c r="M55" i="5"/>
  <c r="M54" i="5"/>
  <c r="M30" i="5"/>
  <c r="S17" i="5"/>
  <c r="B36" i="5"/>
  <c r="H15" i="5"/>
  <c r="D16" i="5"/>
  <c r="B27" i="5"/>
  <c r="H18" i="5"/>
  <c r="D49" i="5"/>
  <c r="M17" i="5"/>
  <c r="B49" i="5"/>
  <c r="Q54" i="5"/>
  <c r="A37" i="5"/>
  <c r="B37" i="5" s="1"/>
  <c r="M24" i="5"/>
  <c r="D40" i="5"/>
  <c r="G290" i="4"/>
  <c r="I290" i="4" s="1"/>
  <c r="E289" i="4"/>
  <c r="C289" i="4"/>
  <c r="D43" i="5" l="1"/>
  <c r="C58" i="5"/>
  <c r="F43" i="5"/>
  <c r="E58" i="5"/>
  <c r="R62" i="5"/>
  <c r="S58" i="5"/>
  <c r="G62" i="5"/>
  <c r="H58" i="5"/>
  <c r="A58" i="5"/>
  <c r="B43" i="5"/>
  <c r="Q43" i="5"/>
  <c r="P58" i="5"/>
  <c r="O43" i="5"/>
  <c r="N58" i="5"/>
  <c r="L58" i="5"/>
  <c r="M43" i="5"/>
  <c r="R37" i="5"/>
  <c r="S37" i="5" s="1"/>
  <c r="C296" i="4"/>
  <c r="G289" i="4"/>
  <c r="I289" i="4" s="1"/>
  <c r="E296" i="4"/>
  <c r="E284" i="4"/>
  <c r="C284" i="4"/>
  <c r="A62" i="5" l="1"/>
  <c r="B58" i="5"/>
  <c r="L62" i="5"/>
  <c r="M58" i="5"/>
  <c r="G73" i="5"/>
  <c r="H62" i="5"/>
  <c r="N62" i="5"/>
  <c r="O58" i="5"/>
  <c r="R73" i="5"/>
  <c r="S62" i="5"/>
  <c r="P62" i="5"/>
  <c r="Q58" i="5"/>
  <c r="E62" i="5"/>
  <c r="F58" i="5"/>
  <c r="C62" i="5"/>
  <c r="D58" i="5"/>
  <c r="G284" i="4"/>
  <c r="I284" i="4" s="1"/>
  <c r="G296" i="4"/>
  <c r="E283" i="4"/>
  <c r="C283" i="4"/>
  <c r="R77" i="5" l="1"/>
  <c r="S73" i="5"/>
  <c r="A73" i="5"/>
  <c r="B62" i="5"/>
  <c r="C73" i="5"/>
  <c r="D62" i="5"/>
  <c r="G77" i="5"/>
  <c r="H73" i="5"/>
  <c r="N73" i="5"/>
  <c r="O62" i="5"/>
  <c r="E73" i="5"/>
  <c r="F62" i="5"/>
  <c r="P73" i="5"/>
  <c r="Q62" i="5"/>
  <c r="L73" i="5"/>
  <c r="M62" i="5"/>
  <c r="G283" i="4"/>
  <c r="I283" i="4" s="1"/>
  <c r="I296" i="4"/>
  <c r="I294" i="4"/>
  <c r="E282" i="4"/>
  <c r="C282" i="4"/>
  <c r="N77" i="5" l="1"/>
  <c r="O73" i="5"/>
  <c r="R80" i="5"/>
  <c r="S77" i="5"/>
  <c r="L77" i="5"/>
  <c r="M73" i="5"/>
  <c r="E77" i="5"/>
  <c r="F73" i="5"/>
  <c r="G80" i="5"/>
  <c r="H77" i="5"/>
  <c r="P77" i="5"/>
  <c r="Q73" i="5"/>
  <c r="C77" i="5"/>
  <c r="D73" i="5"/>
  <c r="A77" i="5"/>
  <c r="B73" i="5"/>
  <c r="C285" i="4"/>
  <c r="G282" i="4"/>
  <c r="I282" i="4" s="1"/>
  <c r="E285" i="4"/>
  <c r="E277" i="4"/>
  <c r="C277" i="4"/>
  <c r="N80" i="5" l="1"/>
  <c r="O77" i="5"/>
  <c r="G82" i="5"/>
  <c r="H80" i="5"/>
  <c r="A80" i="5"/>
  <c r="B77" i="5"/>
  <c r="E80" i="5"/>
  <c r="F77" i="5"/>
  <c r="C80" i="5"/>
  <c r="D77" i="5"/>
  <c r="L80" i="5"/>
  <c r="M77" i="5"/>
  <c r="P80" i="5"/>
  <c r="Q77" i="5"/>
  <c r="R82" i="5"/>
  <c r="S82" i="5" s="1"/>
  <c r="S80" i="5"/>
  <c r="G277" i="4"/>
  <c r="I277" i="4" s="1"/>
  <c r="G285" i="4"/>
  <c r="I285" i="4" s="1"/>
  <c r="E276" i="4"/>
  <c r="C276" i="4"/>
  <c r="E82" i="5" l="1"/>
  <c r="F82" i="5" s="1"/>
  <c r="F80" i="5"/>
  <c r="P82" i="5"/>
  <c r="Q82" i="5" s="1"/>
  <c r="Q80" i="5"/>
  <c r="A82" i="5"/>
  <c r="B80" i="5"/>
  <c r="L82" i="5"/>
  <c r="M82" i="5" s="1"/>
  <c r="M80" i="5"/>
  <c r="H82" i="5"/>
  <c r="G84" i="5"/>
  <c r="C82" i="5"/>
  <c r="D82" i="5" s="1"/>
  <c r="D80" i="5"/>
  <c r="N82" i="5"/>
  <c r="O82" i="5" s="1"/>
  <c r="O80" i="5"/>
  <c r="G276" i="4"/>
  <c r="I276" i="4" s="1"/>
  <c r="E275" i="4"/>
  <c r="C275" i="4"/>
  <c r="A85" i="5" l="1"/>
  <c r="G85" i="5" s="1"/>
  <c r="B82" i="5"/>
  <c r="G275" i="4"/>
  <c r="I275" i="4" s="1"/>
  <c r="E274" i="4"/>
  <c r="C274" i="4"/>
  <c r="G274" i="4" l="1"/>
  <c r="I274" i="4" s="1"/>
  <c r="E273" i="4"/>
  <c r="C273" i="4"/>
  <c r="G273" i="4" l="1"/>
  <c r="I273" i="4" s="1"/>
  <c r="E272" i="4"/>
  <c r="C272" i="4"/>
  <c r="G272" i="4" l="1"/>
  <c r="I272" i="4" s="1"/>
  <c r="E271" i="4"/>
  <c r="C271" i="4"/>
  <c r="G271" i="4" l="1"/>
  <c r="I271" i="4" s="1"/>
  <c r="E270" i="4"/>
  <c r="C270" i="4"/>
  <c r="G270" i="4" l="1"/>
  <c r="I270" i="4" s="1"/>
  <c r="E269" i="4"/>
  <c r="C269" i="4"/>
  <c r="G269" i="4" l="1"/>
  <c r="I269" i="4" s="1"/>
  <c r="E268" i="4"/>
  <c r="C268" i="4"/>
  <c r="C278" i="4" l="1"/>
  <c r="G268" i="4"/>
  <c r="I268" i="4" s="1"/>
  <c r="E278" i="4"/>
  <c r="E264" i="4"/>
  <c r="C264" i="4"/>
  <c r="G264" i="4" l="1"/>
  <c r="I264" i="4" s="1"/>
  <c r="G278" i="4"/>
  <c r="I278" i="4" s="1"/>
  <c r="E263" i="4"/>
  <c r="C263" i="4"/>
  <c r="G263" i="4" l="1"/>
  <c r="I263" i="4" s="1"/>
  <c r="E262" i="4"/>
  <c r="C262" i="4"/>
  <c r="G262" i="4" l="1"/>
  <c r="E261" i="4"/>
  <c r="C261" i="4"/>
  <c r="G261" i="4" l="1"/>
  <c r="I261" i="4" s="1"/>
  <c r="E260" i="4"/>
  <c r="C260" i="4"/>
  <c r="G260" i="4" l="1"/>
  <c r="E259" i="4"/>
  <c r="C259" i="4"/>
  <c r="G259" i="4" l="1"/>
  <c r="I259" i="4" s="1"/>
  <c r="E258" i="4"/>
  <c r="C258" i="4"/>
  <c r="G258" i="4" l="1"/>
  <c r="I258" i="4" s="1"/>
  <c r="E257" i="4"/>
  <c r="C257" i="4"/>
  <c r="G257" i="4" l="1"/>
  <c r="E256" i="4"/>
  <c r="C256" i="4"/>
  <c r="G256" i="4" l="1"/>
  <c r="I256" i="4" s="1"/>
  <c r="E255" i="4"/>
  <c r="C255" i="4"/>
  <c r="G255" i="4" l="1"/>
  <c r="I255" i="4" s="1"/>
  <c r="E254" i="4"/>
  <c r="C254" i="4"/>
  <c r="G254" i="4" l="1"/>
  <c r="I254" i="4" s="1"/>
  <c r="E253" i="4"/>
  <c r="C253" i="4"/>
  <c r="G253" i="4" l="1"/>
  <c r="E252" i="4"/>
  <c r="C252" i="4"/>
  <c r="G252" i="4" l="1"/>
  <c r="I252" i="4" s="1"/>
  <c r="E251" i="4"/>
  <c r="C251" i="4"/>
  <c r="G251" i="4" l="1"/>
  <c r="I251" i="4" s="1"/>
  <c r="E250" i="4"/>
  <c r="C250" i="4"/>
  <c r="G250" i="4" l="1"/>
  <c r="I250" i="4" s="1"/>
  <c r="E249" i="4"/>
  <c r="C249" i="4"/>
  <c r="G249" i="4" l="1"/>
  <c r="I249" i="4" s="1"/>
  <c r="E248" i="4"/>
  <c r="C248" i="4"/>
  <c r="G248" i="4" l="1"/>
  <c r="I248" i="4" s="1"/>
  <c r="E247" i="4"/>
  <c r="C247" i="4"/>
  <c r="G247" i="4" l="1"/>
  <c r="I247" i="4" s="1"/>
  <c r="E246" i="4"/>
  <c r="C246" i="4"/>
  <c r="G246" i="4" l="1"/>
  <c r="I246" i="4" s="1"/>
  <c r="E245" i="4"/>
  <c r="C245" i="4"/>
  <c r="C265" i="4" l="1"/>
  <c r="G245" i="4"/>
  <c r="I245" i="4" s="1"/>
  <c r="E265" i="4"/>
  <c r="E241" i="4"/>
  <c r="C241" i="4"/>
  <c r="G241" i="4" l="1"/>
  <c r="I241" i="4" s="1"/>
  <c r="G265" i="4"/>
  <c r="E240" i="4"/>
  <c r="C240" i="4"/>
  <c r="G240" i="4" l="1"/>
  <c r="I265" i="4"/>
  <c r="I262" i="4"/>
  <c r="I260" i="4"/>
  <c r="I257" i="4"/>
  <c r="I253" i="4"/>
  <c r="E239" i="4"/>
  <c r="C239" i="4"/>
  <c r="G239" i="4" l="1"/>
  <c r="I239" i="4" s="1"/>
  <c r="E238" i="4"/>
  <c r="C238" i="4"/>
  <c r="G238" i="4" l="1"/>
  <c r="I238" i="4" s="1"/>
  <c r="E237" i="4"/>
  <c r="C237" i="4"/>
  <c r="G237" i="4" l="1"/>
  <c r="I237" i="4" s="1"/>
  <c r="E236" i="4"/>
  <c r="C236" i="4"/>
  <c r="G236" i="4" l="1"/>
  <c r="I236" i="4" s="1"/>
  <c r="E235" i="4"/>
  <c r="C235" i="4"/>
  <c r="G235" i="4" l="1"/>
  <c r="E234" i="4"/>
  <c r="C234" i="4"/>
  <c r="G234" i="4" l="1"/>
  <c r="E233" i="4"/>
  <c r="C233" i="4"/>
  <c r="G233" i="4" l="1"/>
  <c r="I233" i="4" s="1"/>
  <c r="E232" i="4"/>
  <c r="C232" i="4"/>
  <c r="G232" i="4" l="1"/>
  <c r="I232" i="4" s="1"/>
  <c r="E231" i="4"/>
  <c r="C231" i="4"/>
  <c r="G231" i="4" l="1"/>
  <c r="I231" i="4" s="1"/>
  <c r="E230" i="4"/>
  <c r="C230" i="4"/>
  <c r="G230" i="4" l="1"/>
  <c r="E229" i="4"/>
  <c r="C229" i="4"/>
  <c r="C242" i="4" l="1"/>
  <c r="G229" i="4"/>
  <c r="E242" i="4"/>
  <c r="E225" i="4"/>
  <c r="C225" i="4"/>
  <c r="G225" i="4" l="1"/>
  <c r="I225" i="4" s="1"/>
  <c r="G242" i="4"/>
  <c r="E224" i="4"/>
  <c r="C224" i="4"/>
  <c r="G224" i="4" l="1"/>
  <c r="I224" i="4" s="1"/>
  <c r="I242" i="4"/>
  <c r="I240" i="4"/>
  <c r="I235" i="4"/>
  <c r="I234" i="4"/>
  <c r="I230" i="4"/>
  <c r="E223" i="4"/>
  <c r="C223" i="4"/>
  <c r="G223" i="4" l="1"/>
  <c r="I223" i="4" s="1"/>
  <c r="E222" i="4"/>
  <c r="C222" i="4"/>
  <c r="G222" i="4" l="1"/>
  <c r="I222" i="4" s="1"/>
  <c r="E221" i="4"/>
  <c r="C221" i="4"/>
  <c r="G221" i="4" l="1"/>
  <c r="I221" i="4" s="1"/>
  <c r="E220" i="4"/>
  <c r="C220" i="4"/>
  <c r="G220" i="4" l="1"/>
  <c r="I220" i="4" s="1"/>
  <c r="E219" i="4"/>
  <c r="C219" i="4"/>
  <c r="C226" i="4" l="1"/>
  <c r="G219" i="4"/>
  <c r="I219" i="4" s="1"/>
  <c r="E226" i="4"/>
  <c r="E217" i="4"/>
  <c r="C217" i="4"/>
  <c r="G217" i="4" l="1"/>
  <c r="I217" i="4" s="1"/>
  <c r="G226" i="4"/>
  <c r="I226" i="4" s="1"/>
  <c r="E214" i="4"/>
  <c r="C214" i="4"/>
  <c r="G214" i="4" l="1"/>
  <c r="I214" i="4" s="1"/>
  <c r="E213" i="4"/>
  <c r="C213" i="4"/>
  <c r="G213" i="4" l="1"/>
  <c r="I213" i="4" s="1"/>
  <c r="E212" i="4"/>
  <c r="C212" i="4"/>
  <c r="G212" i="4" l="1"/>
  <c r="I212" i="4" s="1"/>
  <c r="E211" i="4"/>
  <c r="C211" i="4"/>
  <c r="C215" i="4" l="1"/>
  <c r="G211" i="4"/>
  <c r="E215" i="4"/>
  <c r="E279" i="4" s="1"/>
  <c r="E299" i="4" s="1"/>
  <c r="E203" i="4"/>
  <c r="C203" i="4"/>
  <c r="G203" i="4" l="1"/>
  <c r="I203" i="4" s="1"/>
  <c r="C279" i="4"/>
  <c r="G215" i="4"/>
  <c r="I211" i="4" s="1"/>
  <c r="E201" i="4"/>
  <c r="C201" i="4"/>
  <c r="G201" i="4" l="1"/>
  <c r="I201" i="4" s="1"/>
  <c r="C299" i="4"/>
  <c r="G279" i="4"/>
  <c r="E200" i="4"/>
  <c r="C200" i="4"/>
  <c r="G200" i="4" l="1"/>
  <c r="I200" i="4" s="1"/>
  <c r="G299" i="4"/>
  <c r="I279" i="4"/>
  <c r="I215" i="4"/>
  <c r="E199" i="4"/>
  <c r="C199" i="4"/>
  <c r="G199" i="4" l="1"/>
  <c r="I199" i="4" s="1"/>
  <c r="E198" i="4"/>
  <c r="C198" i="4"/>
  <c r="G198" i="4" l="1"/>
  <c r="I198" i="4" s="1"/>
  <c r="E197" i="4"/>
  <c r="C197" i="4"/>
  <c r="G197" i="4" l="1"/>
  <c r="I197" i="4" s="1"/>
  <c r="E196" i="4"/>
  <c r="C196" i="4"/>
  <c r="G196" i="4" l="1"/>
  <c r="I196" i="4" s="1"/>
  <c r="E195" i="4"/>
  <c r="C195" i="4"/>
  <c r="G195" i="4" l="1"/>
  <c r="I195" i="4" s="1"/>
  <c r="E194" i="4"/>
  <c r="C194" i="4"/>
  <c r="G194" i="4" l="1"/>
  <c r="I194" i="4" s="1"/>
  <c r="E193" i="4"/>
  <c r="C193" i="4"/>
  <c r="G193" i="4" l="1"/>
  <c r="I193" i="4" s="1"/>
  <c r="E192" i="4"/>
  <c r="C192" i="4"/>
  <c r="G192" i="4" l="1"/>
  <c r="I192" i="4" s="1"/>
  <c r="E191" i="4"/>
  <c r="C191" i="4"/>
  <c r="G191" i="4" l="1"/>
  <c r="I191" i="4" s="1"/>
  <c r="E190" i="4"/>
  <c r="C190" i="4"/>
  <c r="G190" i="4" l="1"/>
  <c r="I190" i="4" s="1"/>
  <c r="E189" i="4"/>
  <c r="C189" i="4"/>
  <c r="G189" i="4" l="1"/>
  <c r="I189" i="4" s="1"/>
  <c r="E188" i="4"/>
  <c r="C188" i="4"/>
  <c r="G188" i="4" l="1"/>
  <c r="I188" i="4" s="1"/>
  <c r="E187" i="4"/>
  <c r="C187" i="4"/>
  <c r="G187" i="4" l="1"/>
  <c r="E186" i="4"/>
  <c r="C186" i="4"/>
  <c r="G186" i="4" l="1"/>
  <c r="I186" i="4" s="1"/>
  <c r="E185" i="4"/>
  <c r="C185" i="4"/>
  <c r="G185" i="4" l="1"/>
  <c r="I185" i="4" s="1"/>
  <c r="E184" i="4"/>
  <c r="C184" i="4"/>
  <c r="G184" i="4" l="1"/>
  <c r="E183" i="4"/>
  <c r="C183" i="4"/>
  <c r="G183" i="4" l="1"/>
  <c r="E182" i="4"/>
  <c r="C182" i="4"/>
  <c r="G182" i="4" l="1"/>
  <c r="E181" i="4"/>
  <c r="C181" i="4"/>
  <c r="G181" i="4" l="1"/>
  <c r="I181" i="4" s="1"/>
  <c r="E180" i="4"/>
  <c r="C180" i="4"/>
  <c r="G180" i="4" l="1"/>
  <c r="I180" i="4" s="1"/>
  <c r="E179" i="4"/>
  <c r="C179" i="4"/>
  <c r="G179" i="4" l="1"/>
  <c r="E178" i="4"/>
  <c r="C178" i="4"/>
  <c r="G178" i="4" l="1"/>
  <c r="I178" i="4" s="1"/>
  <c r="E177" i="4"/>
  <c r="C177" i="4"/>
  <c r="C202" i="4" l="1"/>
  <c r="G177" i="4"/>
  <c r="I177" i="4" s="1"/>
  <c r="E202" i="4"/>
  <c r="E204" i="4" s="1"/>
  <c r="E173" i="4"/>
  <c r="C173" i="4"/>
  <c r="G173" i="4" l="1"/>
  <c r="C204" i="4"/>
  <c r="G204" i="4" s="1"/>
  <c r="I204" i="4" s="1"/>
  <c r="G202" i="4"/>
  <c r="E171" i="4"/>
  <c r="C171" i="4"/>
  <c r="G171" i="4" l="1"/>
  <c r="I202" i="4"/>
  <c r="I187" i="4"/>
  <c r="I184" i="4"/>
  <c r="I183" i="4"/>
  <c r="I182" i="4"/>
  <c r="I179" i="4"/>
  <c r="E170" i="4"/>
  <c r="C170" i="4"/>
  <c r="G170" i="4" l="1"/>
  <c r="E169" i="4"/>
  <c r="C169" i="4"/>
  <c r="G169" i="4" l="1"/>
  <c r="E168" i="4"/>
  <c r="C168" i="4"/>
  <c r="G168" i="4" l="1"/>
  <c r="E167" i="4"/>
  <c r="C167" i="4"/>
  <c r="G167" i="4" l="1"/>
  <c r="E166" i="4"/>
  <c r="C166" i="4"/>
  <c r="G166" i="4" l="1"/>
  <c r="E165" i="4"/>
  <c r="C165" i="4"/>
  <c r="G165" i="4" l="1"/>
  <c r="E164" i="4"/>
  <c r="C164" i="4"/>
  <c r="G164" i="4" l="1"/>
  <c r="E163" i="4"/>
  <c r="C163" i="4"/>
  <c r="G163" i="4" l="1"/>
  <c r="E162" i="4"/>
  <c r="C162" i="4"/>
  <c r="G162" i="4" l="1"/>
  <c r="E161" i="4"/>
  <c r="C161" i="4"/>
  <c r="G161" i="4" l="1"/>
  <c r="E160" i="4"/>
  <c r="C160" i="4"/>
  <c r="G160" i="4" l="1"/>
  <c r="E159" i="4"/>
  <c r="C159" i="4"/>
  <c r="G159" i="4" l="1"/>
  <c r="E158" i="4"/>
  <c r="C158" i="4"/>
  <c r="G158" i="4" l="1"/>
  <c r="E157" i="4"/>
  <c r="C157" i="4"/>
  <c r="G157" i="4" l="1"/>
  <c r="E156" i="4"/>
  <c r="C156" i="4"/>
  <c r="G156" i="4" l="1"/>
  <c r="E155" i="4"/>
  <c r="C155" i="4"/>
  <c r="G155" i="4" l="1"/>
  <c r="E154" i="4"/>
  <c r="C154" i="4"/>
  <c r="G154" i="4" l="1"/>
  <c r="E153" i="4"/>
  <c r="C153" i="4"/>
  <c r="G153" i="4" l="1"/>
  <c r="E152" i="4"/>
  <c r="C152" i="4"/>
  <c r="C172" i="4" l="1"/>
  <c r="G152" i="4"/>
  <c r="E150" i="4"/>
  <c r="C150" i="4"/>
  <c r="G150" i="4" l="1"/>
  <c r="I150" i="4" s="1"/>
  <c r="E149" i="4"/>
  <c r="C149" i="4"/>
  <c r="G149" i="4" l="1"/>
  <c r="I149" i="4" s="1"/>
  <c r="E148" i="4"/>
  <c r="C148" i="4"/>
  <c r="G148" i="4" l="1"/>
  <c r="I148" i="4" s="1"/>
  <c r="E147" i="4"/>
  <c r="C147" i="4"/>
  <c r="G147" i="4" l="1"/>
  <c r="I147" i="4" s="1"/>
  <c r="E146" i="4"/>
  <c r="C146" i="4"/>
  <c r="G146" i="4" l="1"/>
  <c r="I146" i="4" s="1"/>
  <c r="E145" i="4"/>
  <c r="C145" i="4"/>
  <c r="G145" i="4" l="1"/>
  <c r="I145" i="4" s="1"/>
  <c r="E144" i="4"/>
  <c r="C144" i="4"/>
  <c r="G144" i="4" l="1"/>
  <c r="I144" i="4" s="1"/>
  <c r="E143" i="4"/>
  <c r="C143" i="4"/>
  <c r="G143" i="4" l="1"/>
  <c r="I143" i="4" s="1"/>
  <c r="E142" i="4"/>
  <c r="C142" i="4"/>
  <c r="G142" i="4" l="1"/>
  <c r="I142" i="4" s="1"/>
  <c r="E141" i="4"/>
  <c r="C141" i="4"/>
  <c r="G141" i="4" l="1"/>
  <c r="I141" i="4" s="1"/>
  <c r="E140" i="4"/>
  <c r="C140" i="4"/>
  <c r="C151" i="4" l="1"/>
  <c r="G140" i="4"/>
  <c r="E151" i="4"/>
  <c r="E172" i="4" s="1"/>
  <c r="E136" i="4"/>
  <c r="C136" i="4"/>
  <c r="G136" i="4" l="1"/>
  <c r="G151" i="4"/>
  <c r="G172" i="4" s="1"/>
  <c r="I140" i="4"/>
  <c r="I151" i="4" s="1"/>
  <c r="I172" i="4" s="1"/>
  <c r="E135" i="4"/>
  <c r="C135" i="4"/>
  <c r="G135" i="4" l="1"/>
  <c r="E134" i="4"/>
  <c r="C134" i="4"/>
  <c r="G134" i="4" l="1"/>
  <c r="I134" i="4" s="1"/>
  <c r="E133" i="4"/>
  <c r="C133" i="4"/>
  <c r="G133" i="4" l="1"/>
  <c r="I133" i="4" s="1"/>
  <c r="E132" i="4"/>
  <c r="C132" i="4"/>
  <c r="G132" i="4" l="1"/>
  <c r="I132" i="4" s="1"/>
  <c r="E131" i="4"/>
  <c r="C131" i="4"/>
  <c r="G131" i="4" l="1"/>
  <c r="I131" i="4" s="1"/>
  <c r="E130" i="4"/>
  <c r="C130" i="4"/>
  <c r="C137" i="4" l="1"/>
  <c r="G130" i="4"/>
  <c r="I130" i="4" s="1"/>
  <c r="E137" i="4"/>
  <c r="E126" i="4"/>
  <c r="C126" i="4"/>
  <c r="G126" i="4" l="1"/>
  <c r="I126" i="4" s="1"/>
  <c r="G137" i="4"/>
  <c r="E125" i="4"/>
  <c r="C125" i="4"/>
  <c r="G125" i="4" l="1"/>
  <c r="I125" i="4" s="1"/>
  <c r="I137" i="4"/>
  <c r="I136" i="4"/>
  <c r="I135" i="4"/>
  <c r="E124" i="4"/>
  <c r="C124" i="4"/>
  <c r="G124" i="4" l="1"/>
  <c r="I124" i="4" s="1"/>
  <c r="E123" i="4"/>
  <c r="C123" i="4"/>
  <c r="G123" i="4" l="1"/>
  <c r="I123" i="4" s="1"/>
  <c r="E122" i="4"/>
  <c r="C122" i="4"/>
  <c r="G122" i="4" l="1"/>
  <c r="I122" i="4" s="1"/>
  <c r="E121" i="4"/>
  <c r="C121" i="4"/>
  <c r="G121" i="4" l="1"/>
  <c r="I121" i="4" s="1"/>
  <c r="E120" i="4"/>
  <c r="C120" i="4"/>
  <c r="G120" i="4" l="1"/>
  <c r="I120" i="4" s="1"/>
  <c r="E119" i="4"/>
  <c r="C119" i="4"/>
  <c r="G119" i="4" l="1"/>
  <c r="I119" i="4" s="1"/>
  <c r="E118" i="4"/>
  <c r="C118" i="4"/>
  <c r="G118" i="4" l="1"/>
  <c r="I118" i="4" s="1"/>
  <c r="E117" i="4" a="1"/>
  <c r="C117" i="4"/>
  <c r="E117" i="4" l="1"/>
  <c r="G117" i="4" s="1"/>
  <c r="I117" i="4" s="1"/>
  <c r="E116" i="4" a="1"/>
  <c r="C116" i="4"/>
  <c r="C127" i="4" l="1"/>
  <c r="G116" i="4"/>
  <c r="E116" i="4"/>
  <c r="E127" i="4" s="1"/>
  <c r="E174" i="4" s="1"/>
  <c r="E111" i="4"/>
  <c r="C111" i="4"/>
  <c r="G111" i="4" l="1"/>
  <c r="I111" i="4" s="1"/>
  <c r="C174" i="4"/>
  <c r="G174" i="4" s="1"/>
  <c r="I174" i="4" s="1"/>
  <c r="G127" i="4"/>
  <c r="I127" i="4" s="1"/>
  <c r="E110" i="4"/>
  <c r="C110" i="4"/>
  <c r="G110" i="4" l="1"/>
  <c r="I110" i="4" s="1"/>
  <c r="I116" i="4"/>
  <c r="E109" i="4"/>
  <c r="C109" i="4"/>
  <c r="G109" i="4" l="1"/>
  <c r="I109" i="4" s="1"/>
  <c r="E108" i="4"/>
  <c r="C108" i="4"/>
  <c r="G108" i="4" l="1"/>
  <c r="I108" i="4" s="1"/>
  <c r="E107" i="4"/>
  <c r="C107" i="4"/>
  <c r="G107" i="4" l="1"/>
  <c r="I107" i="4" s="1"/>
  <c r="E106" i="4"/>
  <c r="C106" i="4"/>
  <c r="G106" i="4" l="1"/>
  <c r="E105" i="4"/>
  <c r="C105" i="4"/>
  <c r="G105" i="4" l="1"/>
  <c r="E104" i="4"/>
  <c r="C104" i="4"/>
  <c r="G104" i="4" l="1"/>
  <c r="I104" i="4" s="1"/>
  <c r="E103" i="4"/>
  <c r="C103" i="4"/>
  <c r="G103" i="4" l="1"/>
  <c r="I103" i="4" s="1"/>
  <c r="E102" i="4"/>
  <c r="C102" i="4"/>
  <c r="G102" i="4" l="1"/>
  <c r="I102" i="4" s="1"/>
  <c r="E101" i="4"/>
  <c r="C101" i="4"/>
  <c r="G101" i="4" l="1"/>
  <c r="I101" i="4" s="1"/>
  <c r="E100" i="4"/>
  <c r="C100" i="4"/>
  <c r="G100" i="4" l="1"/>
  <c r="I100" i="4" s="1"/>
  <c r="E99" i="4"/>
  <c r="C99" i="4"/>
  <c r="C112" i="4" l="1"/>
  <c r="G99" i="4"/>
  <c r="I99" i="4" s="1"/>
  <c r="E112" i="4"/>
  <c r="E95" i="4"/>
  <c r="C95" i="4"/>
  <c r="G95" i="4" l="1"/>
  <c r="I95" i="4" s="1"/>
  <c r="G112" i="4"/>
  <c r="E94" i="4"/>
  <c r="C94" i="4"/>
  <c r="G94" i="4" l="1"/>
  <c r="I94" i="4" s="1"/>
  <c r="I112" i="4"/>
  <c r="I106" i="4"/>
  <c r="I105" i="4"/>
  <c r="E93" i="4"/>
  <c r="C93" i="4"/>
  <c r="G93" i="4" l="1"/>
  <c r="I93" i="4" s="1"/>
  <c r="E92" i="4"/>
  <c r="C92" i="4"/>
  <c r="G92" i="4" l="1"/>
  <c r="I92" i="4" s="1"/>
  <c r="E91" i="4"/>
  <c r="C91" i="4"/>
  <c r="G91" i="4" l="1"/>
  <c r="I91" i="4" s="1"/>
  <c r="E90" i="4"/>
  <c r="C90" i="4"/>
  <c r="C96" i="4" l="1"/>
  <c r="G90" i="4"/>
  <c r="I90" i="4" s="1"/>
  <c r="E96" i="4"/>
  <c r="E89" i="4"/>
  <c r="C89" i="4"/>
  <c r="G89" i="4" l="1"/>
  <c r="I89" i="4" s="1"/>
  <c r="G96" i="4"/>
  <c r="I96" i="4" s="1"/>
  <c r="E88" i="4"/>
  <c r="C88" i="4"/>
  <c r="G88" i="4" l="1"/>
  <c r="I88" i="4" s="1"/>
  <c r="E87" i="4"/>
  <c r="C87" i="4"/>
  <c r="G87" i="4" l="1"/>
  <c r="I87" i="4" s="1"/>
  <c r="E82" i="4"/>
  <c r="C82" i="4"/>
  <c r="G82" i="4" l="1"/>
  <c r="I82" i="4" s="1"/>
  <c r="E81" i="4"/>
  <c r="C81" i="4"/>
  <c r="G81" i="4" l="1"/>
  <c r="I81" i="4" s="1"/>
  <c r="E80" i="4"/>
  <c r="C80" i="4"/>
  <c r="C83" i="4" l="1"/>
  <c r="G80" i="4"/>
  <c r="I80" i="4" s="1"/>
  <c r="E83" i="4"/>
  <c r="E77" i="4"/>
  <c r="C77" i="4"/>
  <c r="G83" i="4" l="1"/>
  <c r="I83" i="4" s="1"/>
  <c r="G77" i="4"/>
  <c r="I77" i="4" s="1"/>
  <c r="E76" i="4"/>
  <c r="C76" i="4"/>
  <c r="G76" i="4" l="1"/>
  <c r="I76" i="4" s="1"/>
  <c r="E75" i="4"/>
  <c r="C75" i="4"/>
  <c r="G75" i="4" l="1"/>
  <c r="I75" i="4" s="1"/>
  <c r="E74" i="4"/>
  <c r="C74" i="4"/>
  <c r="G74" i="4" l="1"/>
  <c r="I74" i="4" s="1"/>
  <c r="E73" i="4"/>
  <c r="C73" i="4"/>
  <c r="C78" i="4" l="1"/>
  <c r="G73" i="4"/>
  <c r="I73" i="4" s="1"/>
  <c r="E78" i="4"/>
  <c r="E70" i="4"/>
  <c r="C70" i="4"/>
  <c r="G70" i="4" l="1"/>
  <c r="I70" i="4" s="1"/>
  <c r="G78" i="4"/>
  <c r="I78" i="4" s="1"/>
  <c r="E69" i="4"/>
  <c r="C69" i="4"/>
  <c r="G69" i="4" l="1"/>
  <c r="I69" i="4" s="1"/>
  <c r="E68" i="4"/>
  <c r="C68" i="4"/>
  <c r="G68" i="4" l="1"/>
  <c r="I68" i="4" s="1"/>
  <c r="E67" i="4"/>
  <c r="C67" i="4"/>
  <c r="G67" i="4" l="1"/>
  <c r="I67" i="4" s="1"/>
  <c r="E66" i="4"/>
  <c r="C66" i="4"/>
  <c r="C71" i="4" l="1"/>
  <c r="G66" i="4"/>
  <c r="I66" i="4" s="1"/>
  <c r="E71" i="4"/>
  <c r="E84" i="4" s="1"/>
  <c r="E61" i="4"/>
  <c r="C61" i="4"/>
  <c r="G61" i="4" l="1"/>
  <c r="I61" i="4" s="1"/>
  <c r="C84" i="4"/>
  <c r="G71" i="4"/>
  <c r="I71" i="4" s="1"/>
  <c r="E60" i="4"/>
  <c r="C60" i="4"/>
  <c r="G60" i="4" l="1"/>
  <c r="I60" i="4" s="1"/>
  <c r="G84" i="4"/>
  <c r="I84" i="4" s="1"/>
  <c r="E59" i="4"/>
  <c r="C59" i="4"/>
  <c r="G59" i="4" l="1"/>
  <c r="E58" i="4"/>
  <c r="C58" i="4"/>
  <c r="G58" i="4" l="1"/>
  <c r="I58" i="4" s="1"/>
  <c r="E57" i="4"/>
  <c r="C57" i="4"/>
  <c r="G57" i="4" l="1"/>
  <c r="E56" i="4"/>
  <c r="C56" i="4"/>
  <c r="G56" i="4" l="1"/>
  <c r="I56" i="4" s="1"/>
  <c r="E55" i="4"/>
  <c r="C55" i="4"/>
  <c r="G55" i="4" l="1"/>
  <c r="I55" i="4" s="1"/>
  <c r="E54" i="4"/>
  <c r="C54" i="4"/>
  <c r="G54" i="4" l="1"/>
  <c r="I54" i="4" s="1"/>
  <c r="E53" i="4"/>
  <c r="C53" i="4"/>
  <c r="G53" i="4" l="1"/>
  <c r="I53" i="4" s="1"/>
  <c r="E52" i="4"/>
  <c r="C52" i="4"/>
  <c r="G52" i="4" l="1"/>
  <c r="I52" i="4" s="1"/>
  <c r="E51" i="4"/>
  <c r="C51" i="4"/>
  <c r="G51" i="4" l="1"/>
  <c r="I51" i="4" s="1"/>
  <c r="E50" i="4"/>
  <c r="C50" i="4"/>
  <c r="G50" i="4" l="1"/>
  <c r="E49" i="4"/>
  <c r="C49" i="4"/>
  <c r="G49" i="4" l="1"/>
  <c r="I49" i="4" s="1"/>
  <c r="E48" i="4"/>
  <c r="C48" i="4"/>
  <c r="E47" i="4"/>
  <c r="C62" i="4" l="1"/>
  <c r="G48" i="4"/>
  <c r="I48" i="4" s="1"/>
  <c r="E62" i="4"/>
  <c r="E43" i="4"/>
  <c r="C43" i="4"/>
  <c r="G43" i="4" l="1"/>
  <c r="I43" i="4" s="1"/>
  <c r="G62" i="4"/>
  <c r="E42" i="4"/>
  <c r="C42" i="4"/>
  <c r="G42" i="4" l="1"/>
  <c r="I42" i="4" s="1"/>
  <c r="I229" i="4"/>
  <c r="I62" i="4"/>
  <c r="I59" i="4"/>
  <c r="I57" i="4"/>
  <c r="I50" i="4"/>
  <c r="E39" i="4"/>
  <c r="C39" i="4"/>
  <c r="G39" i="4" l="1"/>
  <c r="I39" i="4" s="1"/>
  <c r="E38" i="4"/>
  <c r="C38" i="4"/>
  <c r="G38" i="4" l="1"/>
  <c r="I38" i="4" s="1"/>
  <c r="E37" i="4"/>
  <c r="C37" i="4"/>
  <c r="G37" i="4" l="1"/>
  <c r="I37" i="4" s="1"/>
  <c r="E36" i="4"/>
  <c r="C36" i="4"/>
  <c r="G36" i="4" l="1"/>
  <c r="I36" i="4" s="1"/>
  <c r="E35" i="4"/>
  <c r="C35" i="4"/>
  <c r="G35" i="4" l="1"/>
  <c r="I35" i="4" s="1"/>
  <c r="E34" i="4"/>
  <c r="C34" i="4"/>
  <c r="C40" i="4" l="1"/>
  <c r="G34" i="4"/>
  <c r="E40" i="4"/>
  <c r="E44" i="4" s="1"/>
  <c r="E29" i="4"/>
  <c r="C29" i="4"/>
  <c r="G29" i="4" l="1"/>
  <c r="I29" i="4" s="1"/>
  <c r="C44" i="4"/>
  <c r="G40" i="4"/>
  <c r="E28" i="4"/>
  <c r="C28" i="4"/>
  <c r="G28" i="4" l="1"/>
  <c r="I28" i="4" s="1"/>
  <c r="G44" i="4"/>
  <c r="I40" i="4" s="1"/>
  <c r="E27" i="4"/>
  <c r="C27" i="4"/>
  <c r="G27" i="4" l="1"/>
  <c r="I27" i="4" s="1"/>
  <c r="I44" i="4"/>
  <c r="I34" i="4"/>
  <c r="E26" i="4"/>
  <c r="C26" i="4"/>
  <c r="G26" i="4" l="1"/>
  <c r="I26" i="4" s="1"/>
  <c r="E25" i="4"/>
  <c r="C25" i="4"/>
  <c r="G25" i="4" l="1"/>
  <c r="E24" i="4"/>
  <c r="C24" i="4"/>
  <c r="G24" i="4" l="1"/>
  <c r="E23" i="4"/>
  <c r="C23" i="4"/>
  <c r="G23" i="4" l="1"/>
  <c r="E22" i="4"/>
  <c r="C22" i="4"/>
  <c r="G22" i="4" l="1"/>
  <c r="E21" i="4"/>
  <c r="C21" i="4"/>
  <c r="C30" i="4" l="1"/>
  <c r="G21" i="4"/>
  <c r="I21" i="4" s="1"/>
  <c r="E30" i="4"/>
  <c r="E17" i="4"/>
  <c r="C17" i="4"/>
  <c r="G17" i="4" l="1"/>
  <c r="I17" i="4" s="1"/>
  <c r="G30" i="4"/>
  <c r="E16" i="4"/>
  <c r="C16" i="4"/>
  <c r="G16" i="4" l="1"/>
  <c r="I16" i="4" s="1"/>
  <c r="I30" i="4"/>
  <c r="I25" i="4"/>
  <c r="I24" i="4"/>
  <c r="I23" i="4"/>
  <c r="I22" i="4"/>
  <c r="E15" i="4"/>
  <c r="C15" i="4"/>
  <c r="G15" i="4" l="1"/>
  <c r="I15" i="4" s="1"/>
  <c r="E14" i="4"/>
  <c r="C14" i="4"/>
  <c r="G14" i="4" l="1"/>
  <c r="I14" i="4" s="1"/>
  <c r="E13" i="4"/>
  <c r="C13" i="4"/>
  <c r="G13" i="4" l="1"/>
  <c r="I13" i="4" s="1"/>
  <c r="E12" i="4"/>
  <c r="C12" i="4"/>
  <c r="G12" i="4" l="1"/>
  <c r="I12" i="4" s="1"/>
  <c r="E11" i="4"/>
  <c r="C11" i="4"/>
  <c r="C18" i="4" l="1"/>
  <c r="C11" i="3" s="1"/>
  <c r="G11" i="4"/>
  <c r="I11" i="4" s="1"/>
  <c r="E18" i="4"/>
  <c r="E31" i="4" s="1"/>
  <c r="E206" i="4" s="1"/>
  <c r="E300" i="4" s="1"/>
  <c r="E302" i="4" s="1"/>
  <c r="K2" i="4"/>
  <c r="E60" i="3" a="1"/>
  <c r="E60" i="3" s="1"/>
  <c r="C60" i="3"/>
  <c r="C61" i="3" s="1"/>
  <c r="E59" i="3"/>
  <c r="C59" i="3"/>
  <c r="E57" i="3"/>
  <c r="C57" i="3"/>
  <c r="E56" i="3"/>
  <c r="G56" i="3" s="1"/>
  <c r="I56" i="3" s="1"/>
  <c r="C56" i="3"/>
  <c r="E52" i="3"/>
  <c r="C52" i="3"/>
  <c r="G52" i="3" s="1"/>
  <c r="I52" i="3" s="1"/>
  <c r="E51" i="3"/>
  <c r="C51" i="3"/>
  <c r="E50" i="3"/>
  <c r="C50" i="3"/>
  <c r="E47" i="3"/>
  <c r="C47" i="3"/>
  <c r="E46" i="3"/>
  <c r="C46" i="3"/>
  <c r="E45" i="3"/>
  <c r="C45" i="3"/>
  <c r="E44" i="3"/>
  <c r="C44" i="3"/>
  <c r="E43" i="3"/>
  <c r="C43" i="3"/>
  <c r="E42" i="3"/>
  <c r="C42" i="3"/>
  <c r="E34" i="3"/>
  <c r="C34" i="3"/>
  <c r="E33" i="3"/>
  <c r="C33" i="3"/>
  <c r="E28" i="3"/>
  <c r="C28" i="3"/>
  <c r="G28" i="3" s="1"/>
  <c r="E27" i="3"/>
  <c r="C27" i="3"/>
  <c r="C29" i="3" s="1"/>
  <c r="E24" i="3"/>
  <c r="C24" i="3"/>
  <c r="J112" i="4" s="1"/>
  <c r="E23" i="3"/>
  <c r="C23" i="3"/>
  <c r="E22" i="3"/>
  <c r="C22" i="3"/>
  <c r="E19" i="3"/>
  <c r="L62" i="4" s="1"/>
  <c r="C19" i="3"/>
  <c r="E18" i="3"/>
  <c r="C18" i="3"/>
  <c r="E16" i="3"/>
  <c r="C16" i="3"/>
  <c r="E15" i="3"/>
  <c r="C15" i="3"/>
  <c r="G15" i="3" s="1"/>
  <c r="E12" i="3"/>
  <c r="C12" i="3"/>
  <c r="G12" i="3" s="1"/>
  <c r="E11" i="3"/>
  <c r="E13" i="3" s="1"/>
  <c r="K2" i="3"/>
  <c r="N22" i="2"/>
  <c r="N21" i="2"/>
  <c r="N20" i="2"/>
  <c r="N19" i="2"/>
  <c r="B15" i="2"/>
  <c r="G33" i="3" l="1"/>
  <c r="G44" i="3"/>
  <c r="I44" i="3" s="1"/>
  <c r="G11" i="3"/>
  <c r="I11" i="3" s="1"/>
  <c r="G18" i="3"/>
  <c r="I18" i="3" s="1"/>
  <c r="G34" i="3"/>
  <c r="I34" i="3" s="1"/>
  <c r="G45" i="3"/>
  <c r="G43" i="3"/>
  <c r="I43" i="3" s="1"/>
  <c r="E61" i="3"/>
  <c r="C48" i="3"/>
  <c r="G24" i="3"/>
  <c r="G51" i="3"/>
  <c r="I51" i="3" s="1"/>
  <c r="G19" i="3"/>
  <c r="J62" i="4"/>
  <c r="G27" i="3"/>
  <c r="G42" i="3"/>
  <c r="G46" i="3"/>
  <c r="G22" i="3"/>
  <c r="I22" i="3" s="1"/>
  <c r="J84" i="4"/>
  <c r="G47" i="3"/>
  <c r="I47" i="3" s="1"/>
  <c r="E17" i="3"/>
  <c r="E25" i="3"/>
  <c r="G16" i="3"/>
  <c r="I16" i="3" s="1"/>
  <c r="G23" i="3"/>
  <c r="I23" i="3" s="1"/>
  <c r="J96" i="4"/>
  <c r="C35" i="3"/>
  <c r="J202" i="4" s="1"/>
  <c r="C53" i="3"/>
  <c r="C54" i="3" s="1"/>
  <c r="G57" i="3"/>
  <c r="I57" i="3" s="1"/>
  <c r="G18" i="4"/>
  <c r="I18" i="4" s="1"/>
  <c r="C31" i="4"/>
  <c r="G61" i="3"/>
  <c r="C13" i="3"/>
  <c r="C25" i="3"/>
  <c r="C62" i="3"/>
  <c r="G50" i="3"/>
  <c r="I50" i="3" s="1"/>
  <c r="E62" i="3"/>
  <c r="G60" i="3"/>
  <c r="C17" i="3"/>
  <c r="J44" i="4" s="1"/>
  <c r="E29" i="3"/>
  <c r="G29" i="3" s="1"/>
  <c r="E35" i="3"/>
  <c r="E48" i="3"/>
  <c r="E53" i="3"/>
  <c r="G59" i="3"/>
  <c r="I59" i="3" s="1"/>
  <c r="G48" i="3" l="1"/>
  <c r="G25" i="3"/>
  <c r="I25" i="3" s="1"/>
  <c r="E20" i="3"/>
  <c r="E31" i="3" s="1"/>
  <c r="E37" i="3" s="1"/>
  <c r="L44" i="4"/>
  <c r="G35" i="3"/>
  <c r="I35" i="3" s="1"/>
  <c r="C206" i="4"/>
  <c r="C300" i="4" s="1"/>
  <c r="C302" i="4" s="1"/>
  <c r="G31" i="4"/>
  <c r="I48" i="3"/>
  <c r="I45" i="3"/>
  <c r="I42" i="3"/>
  <c r="I46" i="3"/>
  <c r="I29" i="3"/>
  <c r="I33" i="3"/>
  <c r="I28" i="3"/>
  <c r="I27" i="3"/>
  <c r="G13" i="3"/>
  <c r="G17" i="3"/>
  <c r="C20" i="3"/>
  <c r="G20" i="3" s="1"/>
  <c r="C63" i="3"/>
  <c r="E54" i="3"/>
  <c r="E63" i="3" s="1"/>
  <c r="G62" i="3"/>
  <c r="I62" i="3" s="1"/>
  <c r="G53" i="3"/>
  <c r="I53" i="3" s="1"/>
  <c r="I24" i="3" l="1"/>
  <c r="E65" i="3"/>
  <c r="E66" i="3" s="1"/>
  <c r="C31" i="3"/>
  <c r="G31" i="3" s="1"/>
  <c r="I31" i="3" s="1"/>
  <c r="G206" i="4"/>
  <c r="G300" i="4" s="1"/>
  <c r="G302" i="4" s="1"/>
  <c r="I31" i="4"/>
  <c r="G54" i="3"/>
  <c r="I54" i="3" s="1"/>
  <c r="I13" i="3"/>
  <c r="I12" i="3"/>
  <c r="G63" i="3"/>
  <c r="I63" i="3" s="1"/>
  <c r="I61" i="3"/>
  <c r="I60" i="3"/>
  <c r="I20" i="3"/>
  <c r="I19" i="3"/>
  <c r="I15" i="3"/>
  <c r="I17" i="3"/>
  <c r="C37" i="3" l="1"/>
  <c r="G37" i="3"/>
  <c r="I37" i="3" s="1"/>
  <c r="C65" i="3"/>
  <c r="G65" i="3" l="1"/>
  <c r="G66" i="3" s="1"/>
  <c r="C66" i="3"/>
</calcChain>
</file>

<file path=xl/sharedStrings.xml><?xml version="1.0" encoding="utf-8"?>
<sst xmlns="http://schemas.openxmlformats.org/spreadsheetml/2006/main" count="4626" uniqueCount="1363">
  <si>
    <t>WebService :</t>
  </si>
  <si>
    <t>http://localhost/carmenservice/FinanceService.svc</t>
  </si>
  <si>
    <t xml:space="preserve"> </t>
  </si>
  <si>
    <t>CONFIDENTAL</t>
  </si>
  <si>
    <t>Distribution</t>
  </si>
  <si>
    <t>[    ]</t>
  </si>
  <si>
    <t xml:space="preserve">Example </t>
  </si>
  <si>
    <t>Profit &amp; ( Loss ) Statement</t>
  </si>
  <si>
    <t>Day</t>
  </si>
  <si>
    <t>Period</t>
  </si>
  <si>
    <t>Year</t>
  </si>
  <si>
    <t>Database</t>
  </si>
  <si>
    <t>homm</t>
  </si>
  <si>
    <t>Budget</t>
  </si>
  <si>
    <t>Conductions</t>
  </si>
  <si>
    <t>Balance Sheet</t>
  </si>
  <si>
    <t>Balance Sheet - Supporting</t>
  </si>
  <si>
    <t xml:space="preserve">Profit &amp; ( Loss ) Statement </t>
  </si>
  <si>
    <t>Profit &amp; Loss Summary</t>
  </si>
  <si>
    <t xml:space="preserve">Room Department </t>
  </si>
  <si>
    <t xml:space="preserve">Food &amp; Beverage Summary </t>
  </si>
  <si>
    <t>Other Operated Department</t>
  </si>
  <si>
    <t>Administrative &amp; General</t>
  </si>
  <si>
    <t xml:space="preserve">Sales &amp; Marketing </t>
  </si>
  <si>
    <t>Summary  Of Payroll And Employee Relations</t>
  </si>
  <si>
    <t>Property Operation, Main, Energy Cost</t>
  </si>
  <si>
    <t>HOMM SUKHUMVIT34 BANGKOK</t>
  </si>
  <si>
    <t xml:space="preserve">                   BALANCE SHEET</t>
  </si>
  <si>
    <t>EXHIBIT - A</t>
  </si>
  <si>
    <t>Mapping Area</t>
  </si>
  <si>
    <t>*Department Code</t>
  </si>
  <si>
    <t>*Account Code</t>
  </si>
  <si>
    <t>Dimension</t>
  </si>
  <si>
    <t>REPORT  DESCRIPTION</t>
  </si>
  <si>
    <t>AT THE END OF</t>
  </si>
  <si>
    <t>AT THE BEGINNING</t>
  </si>
  <si>
    <t>INCREASE</t>
  </si>
  <si>
    <t>%</t>
  </si>
  <si>
    <t>Dept 1</t>
  </si>
  <si>
    <t>Dept 2</t>
  </si>
  <si>
    <t>Dept 3</t>
  </si>
  <si>
    <t>Dept 4</t>
  </si>
  <si>
    <t>Dept 5</t>
  </si>
  <si>
    <t>1st Range</t>
  </si>
  <si>
    <t>2nd Range</t>
  </si>
  <si>
    <t>3rd Range</t>
  </si>
  <si>
    <t>4rd Range</t>
  </si>
  <si>
    <t>5rd Range</t>
  </si>
  <si>
    <t>6rd Range</t>
  </si>
  <si>
    <t>7rd Range</t>
  </si>
  <si>
    <t>8rd Range</t>
  </si>
  <si>
    <t>9rd Range</t>
  </si>
  <si>
    <t>10th Range</t>
  </si>
  <si>
    <t>THIS MONTH</t>
  </si>
  <si>
    <t>OF FISCAL PERIOD</t>
  </si>
  <si>
    <t>(DECREASE)</t>
  </si>
  <si>
    <t>From</t>
  </si>
  <si>
    <t>To</t>
  </si>
  <si>
    <t>A/O</t>
  </si>
  <si>
    <t>Field Name</t>
  </si>
  <si>
    <t>Operator</t>
  </si>
  <si>
    <t>Value</t>
  </si>
  <si>
    <t>ASSETS</t>
  </si>
  <si>
    <t>CURRENT ASSETS</t>
  </si>
  <si>
    <t>CASH ON HAND-HOUSE FUND</t>
  </si>
  <si>
    <r>
      <rPr>
        <sz val="8"/>
        <color rgb="FF000000"/>
        <rFont val="Arial"/>
        <family val="2"/>
      </rPr>
      <t xml:space="preserve">Cash House Fund </t>
    </r>
    <r>
      <rPr>
        <b/>
        <sz val="8"/>
        <color rgb="FF000000"/>
        <rFont val="Arial"/>
        <family val="2"/>
      </rPr>
      <t>( SCHEDULE A-1A )</t>
    </r>
  </si>
  <si>
    <r>
      <rPr>
        <sz val="8"/>
        <color rgb="FF000000"/>
        <rFont val="Arial"/>
        <family val="2"/>
      </rPr>
      <t xml:space="preserve">Cash At Bank </t>
    </r>
    <r>
      <rPr>
        <b/>
        <sz val="8"/>
        <color rgb="FF000000"/>
        <rFont val="Arial"/>
        <family val="2"/>
      </rPr>
      <t>( SCHEDULE A-1B )</t>
    </r>
  </si>
  <si>
    <t xml:space="preserve">     TOTAL CASH</t>
  </si>
  <si>
    <t>RECEIVABLES</t>
  </si>
  <si>
    <r>
      <rPr>
        <sz val="8"/>
        <color rgb="FF000000"/>
        <rFont val="Arial"/>
        <family val="2"/>
      </rPr>
      <t xml:space="preserve">Acct. Receivable - Trade </t>
    </r>
    <r>
      <rPr>
        <b/>
        <sz val="8"/>
        <color rgb="FF000000"/>
        <rFont val="Arial"/>
        <family val="2"/>
      </rPr>
      <t>( SCHEDULE A-2A )</t>
    </r>
  </si>
  <si>
    <t>Less:Allowance for Doubtful Accounts</t>
  </si>
  <si>
    <t>Net Acct. Receivable - Trade</t>
  </si>
  <si>
    <t>Loans To Subsidiaries And Associated</t>
  </si>
  <si>
    <r>
      <rPr>
        <sz val="8"/>
        <color rgb="FF000000"/>
        <rFont val="Arial"/>
        <family val="2"/>
      </rPr>
      <t xml:space="preserve">Other Receivable </t>
    </r>
    <r>
      <rPr>
        <b/>
        <sz val="8"/>
        <color rgb="FF000000"/>
        <rFont val="Arial"/>
        <family val="2"/>
      </rPr>
      <t>( SCHEDULE A-2B )</t>
    </r>
  </si>
  <si>
    <t xml:space="preserve">     TOTAL RECEIVABLES</t>
  </si>
  <si>
    <t>INVENTORIES</t>
  </si>
  <si>
    <r>
      <rPr>
        <sz val="8"/>
        <color rgb="FF000000"/>
        <rFont val="Arial"/>
        <family val="2"/>
      </rPr>
      <t xml:space="preserve">Saleable Merchandise </t>
    </r>
    <r>
      <rPr>
        <b/>
        <sz val="8"/>
        <color rgb="FF000000"/>
        <rFont val="Arial"/>
        <family val="2"/>
      </rPr>
      <t>( SCHEDULE A-3A )</t>
    </r>
  </si>
  <si>
    <r>
      <rPr>
        <sz val="8"/>
        <color rgb="FF000000"/>
        <rFont val="Arial"/>
        <family val="2"/>
      </rPr>
      <t>Operating Supplies</t>
    </r>
    <r>
      <rPr>
        <b/>
        <sz val="8"/>
        <color rgb="FF000000"/>
        <rFont val="Arial"/>
        <family val="2"/>
      </rPr>
      <t xml:space="preserve"> ( SCHEDULE A-3B )</t>
    </r>
  </si>
  <si>
    <r>
      <rPr>
        <sz val="8"/>
        <color rgb="FF000000"/>
        <rFont val="Arial"/>
        <family val="2"/>
      </rPr>
      <t>Operating Equipment Operation</t>
    </r>
    <r>
      <rPr>
        <b/>
        <sz val="8"/>
        <color rgb="FF000000"/>
        <rFont val="Arial"/>
        <family val="2"/>
      </rPr>
      <t xml:space="preserve"> ( SCHEDULE A-3C )</t>
    </r>
  </si>
  <si>
    <t xml:space="preserve">     TOTAL INVENTORIES</t>
  </si>
  <si>
    <t>OTHER CURRENT ASSETS</t>
  </si>
  <si>
    <r>
      <rPr>
        <sz val="8"/>
        <color rgb="FF000000"/>
        <rFont val="Arial"/>
        <family val="2"/>
      </rPr>
      <t>Other Prepaid Expenses</t>
    </r>
    <r>
      <rPr>
        <b/>
        <sz val="8"/>
        <color rgb="FF000000"/>
        <rFont val="Arial"/>
        <family val="2"/>
      </rPr>
      <t xml:space="preserve"> (SCHEDULE A-4A )</t>
    </r>
  </si>
  <si>
    <r>
      <rPr>
        <sz val="8"/>
        <color rgb="FF000000"/>
        <rFont val="Arial"/>
        <family val="2"/>
      </rPr>
      <t>Other current Assets</t>
    </r>
    <r>
      <rPr>
        <b/>
        <sz val="8"/>
        <color rgb="FF000000"/>
        <rFont val="Arial"/>
        <family val="2"/>
      </rPr>
      <t xml:space="preserve"> (SCHEDULE A-4B )</t>
    </r>
  </si>
  <si>
    <t xml:space="preserve">     TOTAL OTHER CURRENT ASSETS</t>
  </si>
  <si>
    <t>TOTAL CURRENT ASSETS</t>
  </si>
  <si>
    <t>FIXED ASSETS</t>
  </si>
  <si>
    <r>
      <rPr>
        <sz val="8"/>
        <color rgb="FF000000"/>
        <rFont val="Arial"/>
        <family val="2"/>
      </rPr>
      <t>PROPERTY, PLANT AND EQUIPMENT</t>
    </r>
    <r>
      <rPr>
        <b/>
        <sz val="8"/>
        <color rgb="FF000000"/>
        <rFont val="Arial"/>
        <family val="2"/>
      </rPr>
      <t xml:space="preserve"> (SCHEDULE A-5A)</t>
    </r>
  </si>
  <si>
    <r>
      <rPr>
        <b/>
        <sz val="8"/>
        <color rgb="FFDD0806"/>
        <rFont val="Arial"/>
        <family val="2"/>
      </rPr>
      <t>Less :</t>
    </r>
    <r>
      <rPr>
        <sz val="8"/>
        <color rgb="FF000000"/>
        <rFont val="Arial"/>
        <family val="2"/>
      </rPr>
      <t xml:space="preserve"> Accumulated Depreciation </t>
    </r>
  </si>
  <si>
    <t xml:space="preserve">     TOTAL PROPERTY, PLANT AND EQUIPMENT</t>
  </si>
  <si>
    <t xml:space="preserve">     TOTAL ASSETS</t>
  </si>
  <si>
    <t>LIABILITIES &amp; SHAREHOLDERS' EQUPTY</t>
  </si>
  <si>
    <t>CURRENT LIABILITIES</t>
  </si>
  <si>
    <r>
      <rPr>
        <sz val="8"/>
        <color rgb="FF000000"/>
        <rFont val="Arial"/>
        <family val="2"/>
      </rPr>
      <t>Accounts Payable</t>
    </r>
    <r>
      <rPr>
        <b/>
        <sz val="8"/>
        <color rgb="FF000000"/>
        <rFont val="Arial"/>
        <family val="2"/>
      </rPr>
      <t xml:space="preserve"> ( SCHEDULE A-7A )</t>
    </r>
  </si>
  <si>
    <t>Guest Deposit</t>
  </si>
  <si>
    <r>
      <rPr>
        <sz val="8"/>
        <color rgb="FF000000"/>
        <rFont val="Arial"/>
        <family val="2"/>
      </rPr>
      <t>Other Current Liab.</t>
    </r>
    <r>
      <rPr>
        <b/>
        <sz val="8"/>
        <color rgb="FF000000"/>
        <rFont val="Arial"/>
        <family val="2"/>
      </rPr>
      <t xml:space="preserve"> ( SCHEDULE A-7B )</t>
    </r>
  </si>
  <si>
    <r>
      <rPr>
        <sz val="8"/>
        <color rgb="FF000000"/>
        <rFont val="Arial"/>
        <family val="2"/>
      </rPr>
      <t>Accrued Taxes</t>
    </r>
    <r>
      <rPr>
        <b/>
        <sz val="8"/>
        <color rgb="FF000000"/>
        <rFont val="Arial"/>
        <family val="2"/>
      </rPr>
      <t xml:space="preserve"> ( SCHEDULE A-7C )</t>
    </r>
  </si>
  <si>
    <r>
      <rPr>
        <sz val="8"/>
        <color rgb="FF000000"/>
        <rFont val="Arial"/>
        <family val="2"/>
      </rPr>
      <t>Accrued Expenses</t>
    </r>
    <r>
      <rPr>
        <b/>
        <sz val="8"/>
        <color rgb="FF000000"/>
        <rFont val="Arial"/>
        <family val="2"/>
      </rPr>
      <t xml:space="preserve"> ( SCHEDULE A-7D )</t>
    </r>
  </si>
  <si>
    <r>
      <rPr>
        <sz val="8"/>
        <color rgb="FF000000"/>
        <rFont val="Arial"/>
        <family val="2"/>
      </rPr>
      <t>Reserve For Replacement</t>
    </r>
    <r>
      <rPr>
        <b/>
        <sz val="8"/>
        <color rgb="FF000000"/>
        <rFont val="Arial"/>
        <family val="2"/>
      </rPr>
      <t xml:space="preserve"> ( SCHEDULE A-7E )</t>
    </r>
  </si>
  <si>
    <t xml:space="preserve">     TOTAL CURRENT LIABILITIES</t>
  </si>
  <si>
    <t>LONG TERM LIABILITIES</t>
  </si>
  <si>
    <t>Loans from Director</t>
  </si>
  <si>
    <t>Loans from Subsidiaries And Associated</t>
  </si>
  <si>
    <t xml:space="preserve">Long Term Debt </t>
  </si>
  <si>
    <t xml:space="preserve">     TOTAL LONG TERM LIABILITIES</t>
  </si>
  <si>
    <t>TOTAL LIABILITIES</t>
  </si>
  <si>
    <t>SHAREHOLDERS' EQUITY</t>
  </si>
  <si>
    <t>Owning Co. Current Account</t>
  </si>
  <si>
    <t>Ordinary Share</t>
  </si>
  <si>
    <t>Retained Earnings</t>
  </si>
  <si>
    <t>Brought Forward</t>
  </si>
  <si>
    <t>90045</t>
  </si>
  <si>
    <t>Current Year</t>
  </si>
  <si>
    <t>Total Retained Earning</t>
  </si>
  <si>
    <t xml:space="preserve">     TOTAL SHAREHOLDERS' EQUITY</t>
  </si>
  <si>
    <t xml:space="preserve">     TOTAL LIAB. &amp; SHAREHOLDERS' EQUITY</t>
  </si>
  <si>
    <t>BALANCE SHEET SUPPORTING</t>
  </si>
  <si>
    <t>EXHIBIT - B1 - B4</t>
  </si>
  <si>
    <t>to</t>
  </si>
  <si>
    <t>ASSET</t>
  </si>
  <si>
    <t>CURRENT ASSET</t>
  </si>
  <si>
    <t>CASH ON HAND-HOUSE FUND ( Schedule A-1A )</t>
  </si>
  <si>
    <t xml:space="preserve"> - CASH ON HAND</t>
  </si>
  <si>
    <t>71110</t>
  </si>
  <si>
    <t xml:space="preserve"> - PETTY CASH - FRONT OFFICE</t>
  </si>
  <si>
    <t xml:space="preserve"> - PETTY CASH - GENERAL CASHIER</t>
  </si>
  <si>
    <t>71120</t>
  </si>
  <si>
    <t xml:space="preserve"> - CASH FLOATS -FRONT CASHIER</t>
  </si>
  <si>
    <t>71130</t>
  </si>
  <si>
    <t xml:space="preserve"> - CASH FLOATS - FOOD &amp; BEVERAGE</t>
  </si>
  <si>
    <t xml:space="preserve"> - HOUSE FUNDS - GENERAL CASHIER</t>
  </si>
  <si>
    <t>71125</t>
  </si>
  <si>
    <t xml:space="preserve"> - HOUSE FUNDS - FRONT OFFICE</t>
  </si>
  <si>
    <t>TOTAL CASH ON HAND-HOUSE FUND</t>
  </si>
  <si>
    <t>CASH IN BANK ( Schedule A-1B )</t>
  </si>
  <si>
    <t xml:space="preserve"> - BANK - BBL SA # 175-4-23258-3 </t>
  </si>
  <si>
    <t>71140</t>
  </si>
  <si>
    <t xml:space="preserve"> - BANK - SCB SA # 096-2-47077-3</t>
  </si>
  <si>
    <t>71155</t>
  </si>
  <si>
    <t xml:space="preserve"> - BANK - SCB CA # 096-3-02678-9</t>
  </si>
  <si>
    <t>71160</t>
  </si>
  <si>
    <t>71165</t>
  </si>
  <si>
    <t xml:space="preserve"> - BANK - TTB CA # 917-1-00149-9</t>
  </si>
  <si>
    <t>71145</t>
  </si>
  <si>
    <t xml:space="preserve"> - BANK - KTB SA # 660-0-44804-4 </t>
  </si>
  <si>
    <t>71175</t>
  </si>
  <si>
    <t xml:space="preserve"> - BANK - UOB SA # </t>
  </si>
  <si>
    <t xml:space="preserve"> - BANK - KBAND SA # </t>
  </si>
  <si>
    <t xml:space="preserve"> - BANK - FIXED  # </t>
  </si>
  <si>
    <t>TOTAL CASH IN BANK</t>
  </si>
  <si>
    <t>TOTAL CURRENT ASSET</t>
  </si>
  <si>
    <t>ACCOUNT RECEIVABLE - TRADE ( SCHEDULE A - 2A )</t>
  </si>
  <si>
    <t xml:space="preserve"> - A/R TRADE - GUEST LEDGER</t>
  </si>
  <si>
    <t>71185</t>
  </si>
  <si>
    <t xml:space="preserve"> - A/R TRADE - CITY LEDGER</t>
  </si>
  <si>
    <t>71190</t>
  </si>
  <si>
    <t xml:space="preserve"> - A/R  CREDIT CARD </t>
  </si>
  <si>
    <t>71195</t>
  </si>
  <si>
    <t>71200</t>
  </si>
  <si>
    <t>71205</t>
  </si>
  <si>
    <t>71210</t>
  </si>
  <si>
    <t>71215</t>
  </si>
  <si>
    <t xml:space="preserve"> - ADVANCE CHEQUES</t>
  </si>
  <si>
    <t xml:space="preserve"> - A/R TRADE BARTER AGREEMENT</t>
  </si>
  <si>
    <t xml:space="preserve"> - A/R OTHER </t>
  </si>
  <si>
    <t>71220</t>
  </si>
  <si>
    <t>71225</t>
  </si>
  <si>
    <t>71230</t>
  </si>
  <si>
    <t>71235</t>
  </si>
  <si>
    <t xml:space="preserve"> TOTAL ACCOUNT RECEIVABLE - TRADE</t>
  </si>
  <si>
    <r>
      <rPr>
        <b/>
        <sz val="8"/>
        <color rgb="FFDD0806"/>
        <rFont val="Arial"/>
        <family val="2"/>
      </rPr>
      <t xml:space="preserve"> LESS</t>
    </r>
    <r>
      <rPr>
        <sz val="8"/>
        <color rgb="FFDD0806"/>
        <rFont val="Arial"/>
        <family val="2"/>
      </rPr>
      <t xml:space="preserve"> : Allowance For Doubtful Account</t>
    </r>
  </si>
  <si>
    <t>NET - ACCOUNT RECEIVABLE - TRADE</t>
  </si>
  <si>
    <t>OTHER RECEIVABLE ( SCHEDULE  A - 2B )</t>
  </si>
  <si>
    <t xml:space="preserve"> - ADVANCE TO SUPPLIER</t>
  </si>
  <si>
    <t xml:space="preserve"> - ADVANCE TO EMPLOYEES</t>
  </si>
  <si>
    <t>71260</t>
  </si>
  <si>
    <t xml:space="preserve"> - LOANS TO EMPLOYEES</t>
  </si>
  <si>
    <t>71270</t>
  </si>
  <si>
    <t xml:space="preserve"> - CLAIMS - PROPERTIES</t>
  </si>
  <si>
    <t>71280</t>
  </si>
  <si>
    <t xml:space="preserve"> - UNDUE VAT - PURCHASE</t>
  </si>
  <si>
    <t xml:space="preserve"> - WITHHOLDNG TAX RECEIVABLE</t>
  </si>
  <si>
    <t xml:space="preserve"> - RECEIVABLE - REVENUE DEPARTMENY</t>
  </si>
  <si>
    <t xml:space="preserve"> - ADVANCE COPERATION TAX</t>
  </si>
  <si>
    <t xml:space="preserve"> - RECEIVABLE OTHER</t>
  </si>
  <si>
    <t>71295</t>
  </si>
  <si>
    <t xml:space="preserve"> - CLEARING ACCOUNT - CASH SALES</t>
  </si>
  <si>
    <t>71410</t>
  </si>
  <si>
    <t xml:space="preserve"> - CLEARING ACCOUNT - ALLOWANCES</t>
  </si>
  <si>
    <t>71405</t>
  </si>
  <si>
    <t xml:space="preserve"> - CLEARING ACCOUNT - CL PAYMENT</t>
  </si>
  <si>
    <t>71415</t>
  </si>
  <si>
    <t xml:space="preserve"> - CLEARING ACCOUNT - PAID OUT</t>
  </si>
  <si>
    <t>71430</t>
  </si>
  <si>
    <t xml:space="preserve"> - CLEARING ACCOUNT - CASH REFUND</t>
  </si>
  <si>
    <t>71450</t>
  </si>
  <si>
    <t xml:space="preserve"> TOTAL OTHER RECEIVABLE</t>
  </si>
  <si>
    <t>SALEABLE MERCANDISE ( SCHEDULE A - 3A )</t>
  </si>
  <si>
    <t xml:space="preserve">INV. FOOD </t>
  </si>
  <si>
    <t xml:space="preserve"> - INV. FOOD - KITCHEN</t>
  </si>
  <si>
    <t>71505</t>
  </si>
  <si>
    <t xml:space="preserve"> - INV. FOOD - DRY STORE</t>
  </si>
  <si>
    <t xml:space="preserve"> - INV. FOOD  - FREEZER STORE</t>
  </si>
  <si>
    <t xml:space="preserve"> - INV. FOOD - MINI BAR</t>
  </si>
  <si>
    <t xml:space="preserve"> - INV. FOOD - OTHER</t>
  </si>
  <si>
    <t>INV.BEVERAGE</t>
  </si>
  <si>
    <t xml:space="preserve"> - INV.BEVERAGE - BAR</t>
  </si>
  <si>
    <t>71510</t>
  </si>
  <si>
    <t xml:space="preserve"> - INV.BEVERAGE - STORE</t>
  </si>
  <si>
    <t xml:space="preserve"> - INV.BEVERAGE - LONG TERM CREDIT (CONSIGNMEN</t>
  </si>
  <si>
    <t>71615</t>
  </si>
  <si>
    <t xml:space="preserve"> - INV.BEVERAGE - MINI BAR</t>
  </si>
  <si>
    <t xml:space="preserve"> - INV.BEVERAGE - OTHER</t>
  </si>
  <si>
    <t>OTHERS SALEABLE MERCHANDISE</t>
  </si>
  <si>
    <t xml:space="preserve"> - TOBACCO - STORE</t>
  </si>
  <si>
    <t>71520</t>
  </si>
  <si>
    <t xml:space="preserve"> - TOBACCO - OUTLET</t>
  </si>
  <si>
    <t xml:space="preserve"> - GIFT &amp; SOUVENIR</t>
  </si>
  <si>
    <t xml:space="preserve"> TOTAL SALESBLE MERCHANDISE INVENTORY</t>
  </si>
  <si>
    <t>INVENTORY - SUPPLY  ( SCHEDULE A - 3B )</t>
  </si>
  <si>
    <t xml:space="preserve"> - INV.  CLEANING SUPPLY</t>
  </si>
  <si>
    <t>71525</t>
  </si>
  <si>
    <t xml:space="preserve"> - INV.  PRINTING &amp; STATIONERY</t>
  </si>
  <si>
    <t>71585</t>
  </si>
  <si>
    <t xml:space="preserve"> - INV.  BAR &amp; RESTURANT SUPPLIES</t>
  </si>
  <si>
    <t xml:space="preserve"> - INV.  GUEST SUPPLY</t>
  </si>
  <si>
    <t>71560</t>
  </si>
  <si>
    <t xml:space="preserve"> - INV.  LAUNDY  SUPPLY</t>
  </si>
  <si>
    <t>71570</t>
  </si>
  <si>
    <t xml:space="preserve"> - INV.  S&amp;M SUPPLY</t>
  </si>
  <si>
    <t>71595</t>
  </si>
  <si>
    <t xml:space="preserve"> - INV.  SPA SUPPLY</t>
  </si>
  <si>
    <t>71600</t>
  </si>
  <si>
    <t xml:space="preserve"> - INV.  ENGINEERING SUPPLY</t>
  </si>
  <si>
    <t xml:space="preserve"> - INV.  GENERAL SUPPLY</t>
  </si>
  <si>
    <t>TOTAL INVENTORY - SUPPLY</t>
  </si>
  <si>
    <t>OPERATING EQUIPMENT OPERATION ( SCHEDULE A - 3C )</t>
  </si>
  <si>
    <t xml:space="preserve"> - CHINAWARE</t>
  </si>
  <si>
    <t>71655</t>
  </si>
  <si>
    <t xml:space="preserve"> - GLASSWARE</t>
  </si>
  <si>
    <t>71660</t>
  </si>
  <si>
    <t xml:space="preserve"> - SILVERWARE/STANLESS</t>
  </si>
  <si>
    <t>71665</t>
  </si>
  <si>
    <t xml:space="preserve"> - MELAMINE WARE / PLASTICWARE</t>
  </si>
  <si>
    <t xml:space="preserve"> - WOODENWARE</t>
  </si>
  <si>
    <t xml:space="preserve"> - CUTLERY</t>
  </si>
  <si>
    <t xml:space="preserve"> - KITCHEN UTENSIL</t>
  </si>
  <si>
    <t>71670</t>
  </si>
  <si>
    <t xml:space="preserve"> - LINEN</t>
  </si>
  <si>
    <t>71675</t>
  </si>
  <si>
    <t xml:space="preserve"> - UNIFORMS</t>
  </si>
  <si>
    <t>71680</t>
  </si>
  <si>
    <t xml:space="preserve"> - O/E STAFF CANTEEN</t>
  </si>
  <si>
    <t xml:space="preserve"> - TOOL ENG</t>
  </si>
  <si>
    <t xml:space="preserve"> - ROOM</t>
  </si>
  <si>
    <t xml:space="preserve"> - OTHER - GUEST ROOM</t>
  </si>
  <si>
    <t xml:space="preserve">TOTAL OPERATING EQUIPMENT OPERATION </t>
  </si>
  <si>
    <t>OTHER PREPAID EXPENSES ( SCHEDULE A - 4A )</t>
  </si>
  <si>
    <t xml:space="preserve"> - PREPAID - INSURANCE GENERAL</t>
  </si>
  <si>
    <t>71705</t>
  </si>
  <si>
    <t xml:space="preserve"> - PREPAID - DUES &amp; SUBSCRIPTIONS</t>
  </si>
  <si>
    <t>71709</t>
  </si>
  <si>
    <t xml:space="preserve"> - PREPAID - MAINTENANCE &amp; SERVICE CONTRAC</t>
  </si>
  <si>
    <t xml:space="preserve"> - PREPAID - ELEVATORS</t>
  </si>
  <si>
    <t>71711</t>
  </si>
  <si>
    <t xml:space="preserve"> - PREPAID - RENTAL</t>
  </si>
  <si>
    <t xml:space="preserve"> - PREPAID - OTHER</t>
  </si>
  <si>
    <t>71750</t>
  </si>
  <si>
    <t xml:space="preserve"> - PREPAID - PROPERTY TAXES</t>
  </si>
  <si>
    <t xml:space="preserve"> - PREPAID - SIGN BOARD TAXES</t>
  </si>
  <si>
    <t xml:space="preserve"> - PREPAID - PERMIT &amp; LICENSES</t>
  </si>
  <si>
    <t xml:space="preserve"> - PREPAID - SUBSCRIPTION &amp; MEMBER FEE</t>
  </si>
  <si>
    <t xml:space="preserve"> - PREPAID - ADVERTISING</t>
  </si>
  <si>
    <t>TOTAL OTHER PREPAID EXPENSES</t>
  </si>
  <si>
    <t>DEPOSIT (OTHER CURRENT ASSET) ( SCHEDULE A - 4B )</t>
  </si>
  <si>
    <t xml:space="preserve"> - DEPOSIT - APARTMENT RENTAL</t>
  </si>
  <si>
    <t>71805</t>
  </si>
  <si>
    <t xml:space="preserve"> - DEPOSIT - LETTERS OF CREDIT</t>
  </si>
  <si>
    <t>71810</t>
  </si>
  <si>
    <t xml:space="preserve"> - DEPOSIT - GOVERNMENT SUPPLIERS</t>
  </si>
  <si>
    <t>71815</t>
  </si>
  <si>
    <t xml:space="preserve"> - DEPOSIT - UTILITIES</t>
  </si>
  <si>
    <t>71825</t>
  </si>
  <si>
    <t xml:space="preserve"> - DEPOSIT - BOTTLE &amp; CONTAINER</t>
  </si>
  <si>
    <t>71835</t>
  </si>
  <si>
    <t xml:space="preserve"> - DEPOSIT - SUPPLIER</t>
  </si>
  <si>
    <t>71820</t>
  </si>
  <si>
    <t xml:space="preserve"> - DEPOSIT - OTHER</t>
  </si>
  <si>
    <t>71830</t>
  </si>
  <si>
    <t>TOTAL DEPOSIT (OTHER CURRENT ASSET)</t>
  </si>
  <si>
    <t>OPERATING EQUIPMENT</t>
  </si>
  <si>
    <t xml:space="preserve"> - OE (Assets) - Chinaware</t>
  </si>
  <si>
    <t xml:space="preserve"> - OE (Assets) - Glassware</t>
  </si>
  <si>
    <t xml:space="preserve"> - OE (Assets) - SILVERWARE/STANLESS</t>
  </si>
  <si>
    <t xml:space="preserve"> - OE (Assets) - MELAMINE WARE / PLASTICWARE</t>
  </si>
  <si>
    <t xml:space="preserve"> - OE (Assets) - WOODENWARE</t>
  </si>
  <si>
    <t xml:space="preserve"> - OE (Assets) - CUTLERY</t>
  </si>
  <si>
    <t xml:space="preserve"> - OE (Assets) -  KITCHEN UTENSIL</t>
  </si>
  <si>
    <t xml:space="preserve"> - OE (Assets) -  LINEN</t>
  </si>
  <si>
    <t xml:space="preserve"> - OE (Assets) - UNIFORMS</t>
  </si>
  <si>
    <t xml:space="preserve"> - OE (Assets) -  STAFF CANTEEN</t>
  </si>
  <si>
    <t xml:space="preserve"> - OE (Assets) - Other</t>
  </si>
  <si>
    <t>TOTAL OPERATING EQUIPMENT (OTHER CURRENT ASSET)</t>
  </si>
  <si>
    <r>
      <rPr>
        <sz val="8"/>
        <color rgb="FFDD0806"/>
        <rFont val="Arial"/>
        <family val="2"/>
      </rPr>
      <t>LESS</t>
    </r>
    <r>
      <rPr>
        <sz val="8"/>
        <color theme="1"/>
        <rFont val="Arial"/>
        <family val="2"/>
      </rPr>
      <t xml:space="preserve"> : ACC.DEPRECIATION EQUIPMENT</t>
    </r>
  </si>
  <si>
    <t xml:space="preserve"> - ACCUM DEP AIRCONDITION SYSTEM</t>
  </si>
  <si>
    <t>75520</t>
  </si>
  <si>
    <t xml:space="preserve"> - ACCUM DEP COMPUTERS HARDWARE</t>
  </si>
  <si>
    <t>75525</t>
  </si>
  <si>
    <t xml:space="preserve"> - ACCUM DEP COMPUTERS SOFTWARE</t>
  </si>
  <si>
    <t>75526</t>
  </si>
  <si>
    <t xml:space="preserve"> - ACCUM DEP CURTAINS &amp; DRAPES</t>
  </si>
  <si>
    <t>75530</t>
  </si>
  <si>
    <t xml:space="preserve"> - ACCUM DEP CARPETS &amp; RUGS</t>
  </si>
  <si>
    <t>75535</t>
  </si>
  <si>
    <t xml:space="preserve"> - ACCUM DEP ELECT &amp; MECHNICAL</t>
  </si>
  <si>
    <t>75540</t>
  </si>
  <si>
    <t xml:space="preserve"> - ACCUM DEP WNGIN. EQUIPMENT</t>
  </si>
  <si>
    <t>75545</t>
  </si>
  <si>
    <t xml:space="preserve"> - ACCUM DEP FOOD &amp; BEVERAGE EQP.</t>
  </si>
  <si>
    <t>75550</t>
  </si>
  <si>
    <t xml:space="preserve"> - ACCUM DEP FUNITURE &amp; FIXTURES</t>
  </si>
  <si>
    <t>75565</t>
  </si>
  <si>
    <t xml:space="preserve"> - ACCUM DEP OFFICE EQUIPMENT</t>
  </si>
  <si>
    <t>75585</t>
  </si>
  <si>
    <t xml:space="preserve"> - ACCUM DEP VEHICLES</t>
  </si>
  <si>
    <t>75595</t>
  </si>
  <si>
    <t xml:space="preserve"> - ACCUM DEP TV &amp; RADIO SETS</t>
  </si>
  <si>
    <t>75600</t>
  </si>
  <si>
    <t xml:space="preserve"> - ACCUM DEP SIGNAGE</t>
  </si>
  <si>
    <t>75605</t>
  </si>
  <si>
    <t xml:space="preserve"> - ACCUM DEP ELECTRICITY &amp; SYSTEM</t>
  </si>
  <si>
    <t>75630</t>
  </si>
  <si>
    <t xml:space="preserve"> - ACCUM DEP PLUMBING SYSTEM &amp; EQUIPMENT</t>
  </si>
  <si>
    <t>75640</t>
  </si>
  <si>
    <t xml:space="preserve"> - ACCUM DEP TELEVISION SYSTEM</t>
  </si>
  <si>
    <t>75645</t>
  </si>
  <si>
    <t xml:space="preserve"> - ACCUM DEP REFRIGERATOR</t>
  </si>
  <si>
    <t>75655</t>
  </si>
  <si>
    <t xml:space="preserve"> - ACCUM DEP GUEST ROOM EQUIPMENT</t>
  </si>
  <si>
    <t>75660</t>
  </si>
  <si>
    <t xml:space="preserve"> - ACCUM DEP HOTEL OPERATION EQUIPMENT</t>
  </si>
  <si>
    <t>75675</t>
  </si>
  <si>
    <t>TOTAL OPERATING EQUIPMENT NET (OTHER CURRENT ASSET)</t>
  </si>
  <si>
    <t>DEFERRED INTEREST EXPENSES</t>
  </si>
  <si>
    <t>TOTAL OTHER CURRENT ASSETS</t>
  </si>
  <si>
    <t>PROPERTY, PLANT &amp; EQUIPMENT ( SCHEDULE A - 6A )</t>
  </si>
  <si>
    <t xml:space="preserve"> - Air Condition System</t>
  </si>
  <si>
    <t>75020</t>
  </si>
  <si>
    <t xml:space="preserve"> - Computers Hardware</t>
  </si>
  <si>
    <t>75025</t>
  </si>
  <si>
    <t xml:space="preserve"> - Computers Software</t>
  </si>
  <si>
    <t>75026</t>
  </si>
  <si>
    <t xml:space="preserve"> - Electrical &amp; Mechanical</t>
  </si>
  <si>
    <t>75040</t>
  </si>
  <si>
    <t xml:space="preserve"> - Engineering Equipment</t>
  </si>
  <si>
    <t>75045</t>
  </si>
  <si>
    <t xml:space="preserve"> - Food &amp; Beverage Equipment</t>
  </si>
  <si>
    <t>75050</t>
  </si>
  <si>
    <t xml:space="preserve"> - Kitchen Equipment</t>
  </si>
  <si>
    <t>75055</t>
  </si>
  <si>
    <t xml:space="preserve"> - Furniture &amp; Fixture Equipment</t>
  </si>
  <si>
    <t>75065</t>
  </si>
  <si>
    <t xml:space="preserve"> - Housekeeping Equipment</t>
  </si>
  <si>
    <t>75070</t>
  </si>
  <si>
    <t xml:space="preserve"> - Health Club Equipment</t>
  </si>
  <si>
    <t>75080</t>
  </si>
  <si>
    <t xml:space="preserve"> - Office Equipment</t>
  </si>
  <si>
    <t>75085</t>
  </si>
  <si>
    <t xml:space="preserve"> - Electricity System</t>
  </si>
  <si>
    <t>75130</t>
  </si>
  <si>
    <t xml:space="preserve"> - Refrigerator</t>
  </si>
  <si>
    <t>75155</t>
  </si>
  <si>
    <t xml:space="preserve"> - Guest Room Equiment</t>
  </si>
  <si>
    <t>75160</t>
  </si>
  <si>
    <t xml:space="preserve"> - Furniture Room</t>
  </si>
  <si>
    <t>75180</t>
  </si>
  <si>
    <t xml:space="preserve"> - Telephone System</t>
  </si>
  <si>
    <t>75090</t>
  </si>
  <si>
    <t xml:space="preserve"> - Vehicles</t>
  </si>
  <si>
    <t>75095</t>
  </si>
  <si>
    <t xml:space="preserve"> - TV &amp; Radio Sets</t>
  </si>
  <si>
    <t>75100</t>
  </si>
  <si>
    <t xml:space="preserve"> - Signage</t>
  </si>
  <si>
    <t>75105</t>
  </si>
  <si>
    <t xml:space="preserve"> - Staff House FF&amp;E</t>
  </si>
  <si>
    <t>75110</t>
  </si>
  <si>
    <t xml:space="preserve"> - Construction in Progress</t>
  </si>
  <si>
    <t>75115</t>
  </si>
  <si>
    <t xml:space="preserve"> - Intangible Assets</t>
  </si>
  <si>
    <t>75120</t>
  </si>
  <si>
    <t xml:space="preserve"> - Sanitary System</t>
  </si>
  <si>
    <t>75125</t>
  </si>
  <si>
    <t xml:space="preserve"> - Other Assets</t>
  </si>
  <si>
    <t>75190</t>
  </si>
  <si>
    <t xml:space="preserve"> - Camear</t>
  </si>
  <si>
    <t>75185</t>
  </si>
  <si>
    <t xml:space="preserve">TOTAL PROPERTY, PLANT &amp; EQUIPMENT </t>
  </si>
  <si>
    <r>
      <rPr>
        <b/>
        <sz val="8"/>
        <color rgb="FFDD0806"/>
        <rFont val="Arial"/>
        <family val="2"/>
      </rPr>
      <t>LESS</t>
    </r>
    <r>
      <rPr>
        <b/>
        <sz val="8"/>
        <color rgb="FFDD0806"/>
        <rFont val="Arial"/>
        <family val="2"/>
      </rPr>
      <t xml:space="preserve"> : </t>
    </r>
    <r>
      <rPr>
        <sz val="8"/>
        <color rgb="FFDD0806"/>
        <rFont val="Arial"/>
        <family val="2"/>
      </rPr>
      <t xml:space="preserve">ACC. DEPRECIATION </t>
    </r>
  </si>
  <si>
    <t>TOTAL PROPERTY , PLANT &amp; EQUIPMENT ( NET )</t>
  </si>
  <si>
    <t>LIABILITIES</t>
  </si>
  <si>
    <t>ACCOUNT PAYABLE ( SCHEDULE A - 7A )</t>
  </si>
  <si>
    <t xml:space="preserve"> - A/P - TRADE</t>
  </si>
  <si>
    <t>81100</t>
  </si>
  <si>
    <t xml:space="preserve"> - BANK OVERDAFTS</t>
  </si>
  <si>
    <t xml:space="preserve"> - A/P AFFILIATED COMPANY</t>
  </si>
  <si>
    <t xml:space="preserve"> - CLEARING  CHEQUE</t>
  </si>
  <si>
    <t>TOTAL ACCOUNT PAYABLE</t>
  </si>
  <si>
    <t>OTHER CURRENT LIABILITIES ( SCHEDULE A - 7B)</t>
  </si>
  <si>
    <t xml:space="preserve"> -  Account Payable Revenue</t>
  </si>
  <si>
    <t>81105</t>
  </si>
  <si>
    <t xml:space="preserve"> -  Account Payable - Retention</t>
  </si>
  <si>
    <t xml:space="preserve"> -  Account Payable Other</t>
  </si>
  <si>
    <t xml:space="preserve"> -  Refundable Retention</t>
  </si>
  <si>
    <t xml:space="preserve"> -  Guarantee For  Epmloyee Working</t>
  </si>
  <si>
    <t xml:space="preserve"> -  Promissory  Note</t>
  </si>
  <si>
    <t xml:space="preserve"> - DEPOSIT RECEIVED IN ADVANCE OTHER</t>
  </si>
  <si>
    <t>TOTAL OTHER CURRENT LIABILITIES</t>
  </si>
  <si>
    <t>ACCRUED TAX  ( SCHEDULE A - 7C )</t>
  </si>
  <si>
    <t xml:space="preserve"> - VALUE ADDED TAX - PURCHASE</t>
  </si>
  <si>
    <t>81110</t>
  </si>
  <si>
    <t xml:space="preserve"> - OUTPUT VAT</t>
  </si>
  <si>
    <t>81115</t>
  </si>
  <si>
    <t xml:space="preserve"> - OUTPUT VAT - NOT DUE</t>
  </si>
  <si>
    <t xml:space="preserve"> - ACC PAYABLE CORP INCOME TAX</t>
  </si>
  <si>
    <t>81120</t>
  </si>
  <si>
    <t xml:space="preserve"> - ACCOUNTS PAYABLE INCOME TAX</t>
  </si>
  <si>
    <t>81125</t>
  </si>
  <si>
    <t xml:space="preserve"> - TAX PAYABLE - WITHHOLDING TAX 1</t>
  </si>
  <si>
    <t>81130</t>
  </si>
  <si>
    <t xml:space="preserve"> - TAX PAYABLE - WITHHOLDING TAX 3,53</t>
  </si>
  <si>
    <t>81135</t>
  </si>
  <si>
    <t>81140</t>
  </si>
  <si>
    <t xml:space="preserve"> - TAX PAYABLE - WITHHOLDING TAX 54</t>
  </si>
  <si>
    <t>81145</t>
  </si>
  <si>
    <t xml:space="preserve"> - TAX PAYABLE - PROPERTY TAX</t>
  </si>
  <si>
    <t xml:space="preserve"> - TAX PAYABLE - SPECIFIC BUSINESS TAX</t>
  </si>
  <si>
    <t xml:space="preserve"> - TAX PAYABLE - CORP. INCOME TAX</t>
  </si>
  <si>
    <t xml:space="preserve"> - TAX PAYABLE - OTHER</t>
  </si>
  <si>
    <t>81150</t>
  </si>
  <si>
    <t>TOTAL ACCRUED TAX</t>
  </si>
  <si>
    <t>ACCRUED EXPENSES ( SCHEDULE A - 7D )</t>
  </si>
  <si>
    <t xml:space="preserve"> - ACCRUED - ELECTRICITY</t>
  </si>
  <si>
    <t>81665</t>
  </si>
  <si>
    <t xml:space="preserve"> - ACCRUED - WATER</t>
  </si>
  <si>
    <t xml:space="preserve"> - ACCRUED - TELEPHONE</t>
  </si>
  <si>
    <t>81825</t>
  </si>
  <si>
    <t xml:space="preserve"> - ACCRUED - CREDIT CARD COMM.</t>
  </si>
  <si>
    <t>81655</t>
  </si>
  <si>
    <t xml:space="preserve"> - ACCRUED - GRATUITY</t>
  </si>
  <si>
    <t>81680</t>
  </si>
  <si>
    <t xml:space="preserve"> - ACCRUED - OTHERS ROOMS</t>
  </si>
  <si>
    <t>81760</t>
  </si>
  <si>
    <t xml:space="preserve"> - ACCRUED - MANAGEMENT &amp; INCE.FEES</t>
  </si>
  <si>
    <t>81730</t>
  </si>
  <si>
    <t xml:space="preserve"> - ACCRUED OTHERS MINOR OPERATING</t>
  </si>
  <si>
    <t>81770</t>
  </si>
  <si>
    <t xml:space="preserve"> - ACCRUED - OTHER A&amp;G</t>
  </si>
  <si>
    <t>81775</t>
  </si>
  <si>
    <t xml:space="preserve"> - ACCRUED - OTHER HR</t>
  </si>
  <si>
    <t>81780</t>
  </si>
  <si>
    <t xml:space="preserve"> - ACCRUED - OTHER EMPLOYEE BENEFIT</t>
  </si>
  <si>
    <t xml:space="preserve"> - ACCRUED - INTEREST</t>
  </si>
  <si>
    <t xml:space="preserve"> - ACCRUED - SERVICE CHARGE</t>
  </si>
  <si>
    <t>81205</t>
  </si>
  <si>
    <t xml:space="preserve"> - ACCRUED - SALARIES &amp; WAGES</t>
  </si>
  <si>
    <t>81305</t>
  </si>
  <si>
    <t xml:space="preserve"> - UNCLAIMED SUPPLIER'S CHEQUES</t>
  </si>
  <si>
    <t>81165</t>
  </si>
  <si>
    <t xml:space="preserve"> - ACCRUED -  SOCIAL INS.EXP.</t>
  </si>
  <si>
    <t>81155</t>
  </si>
  <si>
    <t xml:space="preserve"> - DEFERRED INCOME TAX CURRENT</t>
  </si>
  <si>
    <t>81410</t>
  </si>
  <si>
    <t xml:space="preserve"> - CUSTOMERS DEPOSIT</t>
  </si>
  <si>
    <t>81505</t>
  </si>
  <si>
    <t xml:space="preserve"> - ACCRUED - OTHERS</t>
  </si>
  <si>
    <t>81415</t>
  </si>
  <si>
    <t xml:space="preserve"> - ACCRUED SALARIES &amp; WAGES</t>
  </si>
  <si>
    <t>81810</t>
  </si>
  <si>
    <t>TOTAL ACCRUED EXPENSES</t>
  </si>
  <si>
    <t>RESERVE FOR REPLACEMENT ( SCHEDULE A - 9 )</t>
  </si>
  <si>
    <t xml:space="preserve"> - RESERVE FOR - BONUS</t>
  </si>
  <si>
    <t xml:space="preserve"> - RESERVE FOR - LOSS &amp; DAMAGE</t>
  </si>
  <si>
    <t xml:space="preserve"> - RESERVE FOR - REPLACEMENT FF&amp;E</t>
  </si>
  <si>
    <t xml:space="preserve"> - RESERVE FOR - CHINAWARE</t>
  </si>
  <si>
    <t xml:space="preserve"> - RESERVE FOR - GLASS WARE</t>
  </si>
  <si>
    <t xml:space="preserve"> - RESERVE FOR - SILVERWARE</t>
  </si>
  <si>
    <t xml:space="preserve"> - RESERVE FOR - STAINLRSS STEEL</t>
  </si>
  <si>
    <t xml:space="preserve"> - RESERVE FOR - LINEN</t>
  </si>
  <si>
    <t xml:space="preserve"> - RESERVE FOR - UNIFORM</t>
  </si>
  <si>
    <t xml:space="preserve"> - RESERVE  - STAFF HOUSE</t>
  </si>
  <si>
    <t>TOTAL RESERV FOR REPLACEMENT</t>
  </si>
  <si>
    <t>TOTAL CURRENT LIABILITIES</t>
  </si>
  <si>
    <t>SHORT &amp; LONG TERM LOAN</t>
  </si>
  <si>
    <t xml:space="preserve"> - BANK LOANS</t>
  </si>
  <si>
    <t>82005</t>
  </si>
  <si>
    <t xml:space="preserve"> - SHORT TERM LOAN</t>
  </si>
  <si>
    <t xml:space="preserve"> - LONG TERM LOAN</t>
  </si>
  <si>
    <t>TOTAL LONG TERM LOAN</t>
  </si>
  <si>
    <t>SHARESHOLDER &amp; EQUITY</t>
  </si>
  <si>
    <t>SHARES CAPITAL ( SCHEDULE A - 11 )</t>
  </si>
  <si>
    <t xml:space="preserve"> - OWNING CO. CURRENT ACCOUNT</t>
  </si>
  <si>
    <t>90020</t>
  </si>
  <si>
    <t xml:space="preserve"> - SHARES CAPITAL</t>
  </si>
  <si>
    <t>RETAINED EARNING</t>
  </si>
  <si>
    <t xml:space="preserve"> - RETAINED EARNING - LAST YEAR</t>
  </si>
  <si>
    <t xml:space="preserve"> - RETAINED EARNING - CURRENT YEAR</t>
  </si>
  <si>
    <t>TOTAL SHARES</t>
  </si>
  <si>
    <t xml:space="preserve">Period </t>
  </si>
  <si>
    <t xml:space="preserve">  </t>
  </si>
  <si>
    <t>SCHEDULE  -  A</t>
  </si>
  <si>
    <t>CURRENT MONTH</t>
  </si>
  <si>
    <t>YEAR TO DATE</t>
  </si>
  <si>
    <t>LAST YEAR</t>
  </si>
  <si>
    <t>VARIANCE</t>
  </si>
  <si>
    <t>BUDGET</t>
  </si>
  <si>
    <t>ACTUAL</t>
  </si>
  <si>
    <t>DESCRIPTION</t>
  </si>
  <si>
    <t>10rd Range</t>
  </si>
  <si>
    <t>11rd Range</t>
  </si>
  <si>
    <t>12rd Range</t>
  </si>
  <si>
    <t>13rd Range</t>
  </si>
  <si>
    <t>14rd Range</t>
  </si>
  <si>
    <t>15rd Range</t>
  </si>
  <si>
    <t>16rd Range</t>
  </si>
  <si>
    <t>17rd Range</t>
  </si>
  <si>
    <t>18th Range</t>
  </si>
  <si>
    <t>19th Range</t>
  </si>
  <si>
    <t>BHT</t>
  </si>
  <si>
    <t>Total Roon In Hotel</t>
  </si>
  <si>
    <t>Room Occupied</t>
  </si>
  <si>
    <t>% Of Occupancy</t>
  </si>
  <si>
    <t>Double Occupancy</t>
  </si>
  <si>
    <t>Average Room Rate</t>
  </si>
  <si>
    <t>Number Of Guest</t>
  </si>
  <si>
    <t>R E V E N U E</t>
  </si>
  <si>
    <t xml:space="preserve">Rooms  </t>
  </si>
  <si>
    <t>Food &amp; Beverage</t>
  </si>
  <si>
    <t>Spa &amp; Fitness Center</t>
  </si>
  <si>
    <t>Other Operated Departments</t>
  </si>
  <si>
    <t>TOTAL REVENUE</t>
  </si>
  <si>
    <t>C O S T  O F  S A L E</t>
  </si>
  <si>
    <t>Other  Operated  Departments</t>
  </si>
  <si>
    <t>TOTAL COST OF SALES</t>
  </si>
  <si>
    <t>PAYROLL &amp; EMPLOYEE RELATION</t>
  </si>
  <si>
    <t>TOTAL PAYROLL &amp; EMP. REL.</t>
  </si>
  <si>
    <t>O T H E R   E X P E N S E S</t>
  </si>
  <si>
    <t xml:space="preserve">TOTALOTHER EXPENSES   </t>
  </si>
  <si>
    <t xml:space="preserve">TOTAL DEPARTMENT EXPENSES   </t>
  </si>
  <si>
    <t>DEPARTMENT PROFIT (LOSS)</t>
  </si>
  <si>
    <t>TOTAL  DEPT. PROFIT (LOSS)</t>
  </si>
  <si>
    <t>OVERHEAD DEPARTMENTS</t>
  </si>
  <si>
    <t>Administrative And General</t>
  </si>
  <si>
    <t>Sales &amp; Marketing</t>
  </si>
  <si>
    <t>Property Operation, Maintenance</t>
  </si>
  <si>
    <t>Energy Cost</t>
  </si>
  <si>
    <t>TOTAL OTHER EXPENSES</t>
  </si>
  <si>
    <t>TOTAL OVERHEAD DEPT.</t>
  </si>
  <si>
    <t>HOUSE PROFIT</t>
  </si>
  <si>
    <t>Basic Management Fee</t>
  </si>
  <si>
    <t>600</t>
  </si>
  <si>
    <t>60000</t>
  </si>
  <si>
    <t>Basic Fee / Royalty</t>
  </si>
  <si>
    <t>800</t>
  </si>
  <si>
    <t>60005</t>
  </si>
  <si>
    <t>Incentive Fee</t>
  </si>
  <si>
    <t>60010</t>
  </si>
  <si>
    <t>GROSS OPERATING PROFIT</t>
  </si>
  <si>
    <t>Other Non Operating Exp.</t>
  </si>
  <si>
    <t>Property Taxes</t>
  </si>
  <si>
    <t>61110</t>
  </si>
  <si>
    <t>Land Taxes &amp; Sign Taxes</t>
  </si>
  <si>
    <t>61115</t>
  </si>
  <si>
    <t>Special Business Tax</t>
  </si>
  <si>
    <t>Other Taxs</t>
  </si>
  <si>
    <t>61130</t>
  </si>
  <si>
    <t>Insurance Building Liabilty</t>
  </si>
  <si>
    <t>Insurance Vehicle</t>
  </si>
  <si>
    <t>Owner Expenses</t>
  </si>
  <si>
    <t>61230</t>
  </si>
  <si>
    <t>50032</t>
  </si>
  <si>
    <t>46070</t>
  </si>
  <si>
    <t>50015</t>
  </si>
  <si>
    <t>Gain (Loss) on Sales of Fixed Assets</t>
  </si>
  <si>
    <t>61225</t>
  </si>
  <si>
    <t>Gain (Loss) on Foreign Exchange</t>
  </si>
  <si>
    <t>PROFIT BEFORE INTEREST</t>
  </si>
  <si>
    <t>Interest Income</t>
  </si>
  <si>
    <t>Interest Expenses</t>
  </si>
  <si>
    <t>Loan Interest</t>
  </si>
  <si>
    <t>PROFIT BEFORE DPRE. &amp; AMRT.</t>
  </si>
  <si>
    <t>Depreciation</t>
  </si>
  <si>
    <t>63020</t>
  </si>
  <si>
    <t>63025</t>
  </si>
  <si>
    <t>63026</t>
  </si>
  <si>
    <t>63030</t>
  </si>
  <si>
    <t>63035</t>
  </si>
  <si>
    <t>63040</t>
  </si>
  <si>
    <t>63045</t>
  </si>
  <si>
    <t>63050</t>
  </si>
  <si>
    <t>63065</t>
  </si>
  <si>
    <t>63085</t>
  </si>
  <si>
    <t>63090</t>
  </si>
  <si>
    <t>63095</t>
  </si>
  <si>
    <t>63105</t>
  </si>
  <si>
    <t>63130</t>
  </si>
  <si>
    <t>63140</t>
  </si>
  <si>
    <t>63145</t>
  </si>
  <si>
    <t>63155</t>
  </si>
  <si>
    <t>63160</t>
  </si>
  <si>
    <t>63175</t>
  </si>
  <si>
    <t>Amortization</t>
  </si>
  <si>
    <t>PROFIT BEFORE CORPORATE INCOME TAXES</t>
  </si>
  <si>
    <t>Corporate Income Taxes</t>
  </si>
  <si>
    <t>NET  PROFIT ( LOSS )</t>
  </si>
  <si>
    <t xml:space="preserve">           Room Department</t>
  </si>
  <si>
    <t>SCHEDULE  -  B</t>
  </si>
  <si>
    <t>REVENUE</t>
  </si>
  <si>
    <t>A</t>
  </si>
  <si>
    <t>Matket1</t>
  </si>
  <si>
    <t>in</t>
  </si>
  <si>
    <t>OTA,FIT</t>
  </si>
  <si>
    <t>Matket2</t>
  </si>
  <si>
    <t>OTA1,FIT1</t>
  </si>
  <si>
    <t>ROOM REVENUE</t>
  </si>
  <si>
    <t>101</t>
  </si>
  <si>
    <t>11100</t>
  </si>
  <si>
    <t xml:space="preserve">SERVICECHARGE - ROOM REVENUE </t>
  </si>
  <si>
    <t>ROOM REVENUE - OTHER</t>
  </si>
  <si>
    <t>11101</t>
  </si>
  <si>
    <t>ALLOWANCES</t>
  </si>
  <si>
    <t>20005</t>
  </si>
  <si>
    <t>EXTRA  ROOM  REVENUE</t>
  </si>
  <si>
    <t>NET REVENUE</t>
  </si>
  <si>
    <t>PAYROLL &amp; EMP. RELATION</t>
  </si>
  <si>
    <t>SALARIES &amp; WAGES - FRONT OFFICE</t>
  </si>
  <si>
    <t>103</t>
  </si>
  <si>
    <t>42104</t>
  </si>
  <si>
    <t>SALARIES &amp; WAGES - MANAGEMENT</t>
  </si>
  <si>
    <t>104</t>
  </si>
  <si>
    <t>42006</t>
  </si>
  <si>
    <t>SALARIES &amp;  WAGES_NON MANAGEMENT</t>
  </si>
  <si>
    <t>107</t>
  </si>
  <si>
    <t>42005</t>
  </si>
  <si>
    <t>SALARIES &amp; WAGES - RESERVATION</t>
  </si>
  <si>
    <t>42105</t>
  </si>
  <si>
    <t>SALARIES &amp; WAGES - HOUSEKEEPING</t>
  </si>
  <si>
    <t>42101</t>
  </si>
  <si>
    <t>PAYROLL TAXES ON SOCIAL SECURITY CONTRIBUTION</t>
  </si>
  <si>
    <t>45005</t>
  </si>
  <si>
    <t>CASUAL &amp; DAILY HIRE</t>
  </si>
  <si>
    <t>42015</t>
  </si>
  <si>
    <t>EXTRA &amp; OVERTIME</t>
  </si>
  <si>
    <t>42011</t>
  </si>
  <si>
    <t>OTHER EMPLOYEE BENEFITS</t>
  </si>
  <si>
    <t>OTHER EXPENSES</t>
  </si>
  <si>
    <t>TRAVEL AGENCY COMMISSION</t>
  </si>
  <si>
    <t>50005</t>
  </si>
  <si>
    <t>INCENTIVES INCENTIVES</t>
  </si>
  <si>
    <t>42025</t>
  </si>
  <si>
    <t>RESERVATIONS</t>
  </si>
  <si>
    <t>51025</t>
  </si>
  <si>
    <t>CONTRACT SERVICE</t>
  </si>
  <si>
    <t>LOYALTY PROGRAMMES</t>
  </si>
  <si>
    <t>55135</t>
  </si>
  <si>
    <t>LAUNDRY &amp; DRY CLEANING</t>
  </si>
  <si>
    <t>50040</t>
  </si>
  <si>
    <t>SUPPLIES - LAUNDRY</t>
  </si>
  <si>
    <t>50550</t>
  </si>
  <si>
    <t>EQUIPMENT RENTALS</t>
  </si>
  <si>
    <t>50035</t>
  </si>
  <si>
    <t>OE EXPENSES</t>
  </si>
  <si>
    <t xml:space="preserve">    - OE EXPENSES - UNIFORMS</t>
  </si>
  <si>
    <t xml:space="preserve">    - OE EXPENSES - CHINAWARE</t>
  </si>
  <si>
    <t xml:space="preserve">    - OE EXPENSES - GLASSWARE</t>
  </si>
  <si>
    <t>48010</t>
  </si>
  <si>
    <t xml:space="preserve">    - OE EXPENSES - SILVERWARE</t>
  </si>
  <si>
    <t xml:space="preserve">    - OE EXPENSES - LINEN</t>
  </si>
  <si>
    <t xml:space="preserve">    - OE EXPENSES - OE OTHER</t>
  </si>
  <si>
    <t>OPERATING SUPPLIES</t>
  </si>
  <si>
    <t xml:space="preserve">    - GUEST SUPPLIES</t>
  </si>
  <si>
    <t>50540</t>
  </si>
  <si>
    <t xml:space="preserve">    - OPERATION SUPPLIES</t>
  </si>
  <si>
    <t>50555</t>
  </si>
  <si>
    <t xml:space="preserve">    - CLEANING SUPPLIES</t>
  </si>
  <si>
    <t>50505</t>
  </si>
  <si>
    <t xml:space="preserve">    - PRINTING &amp; STATIONERY</t>
  </si>
  <si>
    <t>50065</t>
  </si>
  <si>
    <t>OTHER OPERATING EXPENSES</t>
  </si>
  <si>
    <t xml:space="preserve">    - FLOWER &amp; DECORATION</t>
  </si>
  <si>
    <t>50025</t>
  </si>
  <si>
    <t xml:space="preserve">    - GUEST TRANSPORTATION</t>
  </si>
  <si>
    <t>51030</t>
  </si>
  <si>
    <t xml:space="preserve">    - LICENCE &amp; TAXES</t>
  </si>
  <si>
    <t>50045</t>
  </si>
  <si>
    <t xml:space="preserve">    - GUEST RELOCATION</t>
  </si>
  <si>
    <t>51015</t>
  </si>
  <si>
    <t xml:space="preserve">    - CABLE / SATELLITE TELEVISION</t>
  </si>
  <si>
    <t>51005</t>
  </si>
  <si>
    <t xml:space="preserve">    - INTERNET / SERVIEC FOR GUEST</t>
  </si>
  <si>
    <t>50072</t>
  </si>
  <si>
    <t xml:space="preserve">    - ONLINE RESERVATION SERVICE</t>
  </si>
  <si>
    <t>MEETING EXPENSES</t>
  </si>
  <si>
    <t>DUES &amp; SUBSCRIPTIONS</t>
  </si>
  <si>
    <t>50030</t>
  </si>
  <si>
    <t>GUEST ENTERTAINMENT</t>
  </si>
  <si>
    <t>TELEPHONE ,FAX ,INTERNET &amp; POSTAGE</t>
  </si>
  <si>
    <t>POSTAGE &amp; COURIER / STAMP</t>
  </si>
  <si>
    <t>50060</t>
  </si>
  <si>
    <t>MUSICIAN &amp; ENTERTAINMENT</t>
  </si>
  <si>
    <t>52025</t>
  </si>
  <si>
    <t>GUEST COMPLIMENTARY</t>
  </si>
  <si>
    <t>50010</t>
  </si>
  <si>
    <t>TRAVELLING EXPENSES</t>
  </si>
  <si>
    <t>50085</t>
  </si>
  <si>
    <t>GUEST NEWSPAPER</t>
  </si>
  <si>
    <t>TRAINING EXPENSES</t>
  </si>
  <si>
    <t>50080</t>
  </si>
  <si>
    <t>50081</t>
  </si>
  <si>
    <t>TRANSPORTATION</t>
  </si>
  <si>
    <t>54110</t>
  </si>
  <si>
    <t>UNIFORM</t>
  </si>
  <si>
    <t>48030</t>
  </si>
  <si>
    <t>MISCELLANEOUS</t>
  </si>
  <si>
    <t>50055</t>
  </si>
  <si>
    <t>WATER &amp;  REMOVALS</t>
  </si>
  <si>
    <t>56075</t>
  </si>
  <si>
    <t>COS-Misc. OTHER REVENUE</t>
  </si>
  <si>
    <t>31025</t>
  </si>
  <si>
    <t>TOTAL  OTHER  EXPENSES</t>
  </si>
  <si>
    <t>TOTAL  DEPT.  EXPENSES</t>
  </si>
  <si>
    <t>ROOMS DEPT. P&amp;L</t>
  </si>
  <si>
    <t>STATISTICS</t>
  </si>
  <si>
    <t>TOTAL ROOM IN HOTEL</t>
  </si>
  <si>
    <t>% OF OCCUPANCY</t>
  </si>
  <si>
    <t>ROOM OCCUPIED</t>
  </si>
  <si>
    <t>AVERAGE  ROOM  RATE</t>
  </si>
  <si>
    <t>NUMBER  OF  GUEST</t>
  </si>
  <si>
    <t xml:space="preserve">           Front Department</t>
  </si>
  <si>
    <t xml:space="preserve">           Housekeeping Department</t>
  </si>
  <si>
    <t xml:space="preserve">           Reservation Department</t>
  </si>
  <si>
    <t>Food &amp; Beverage Admin.</t>
  </si>
  <si>
    <t>SCHEDULE  -  C</t>
  </si>
  <si>
    <t>Dept 6</t>
  </si>
  <si>
    <t>FOOD  REVENUE</t>
  </si>
  <si>
    <t>201</t>
  </si>
  <si>
    <t>202</t>
  </si>
  <si>
    <t>221</t>
  </si>
  <si>
    <t>223</t>
  </si>
  <si>
    <t>203</t>
  </si>
  <si>
    <t>12100</t>
  </si>
  <si>
    <t>BEVERAGE  REVENUE</t>
  </si>
  <si>
    <t>12200</t>
  </si>
  <si>
    <t>WINE REVENUE</t>
  </si>
  <si>
    <t>12500</t>
  </si>
  <si>
    <t>TOBACO REVENUE</t>
  </si>
  <si>
    <t>12300</t>
  </si>
  <si>
    <t>OTHER  INCOME</t>
  </si>
  <si>
    <t>200</t>
  </si>
  <si>
    <t>12400</t>
  </si>
  <si>
    <t>14030</t>
  </si>
  <si>
    <t>16005</t>
  </si>
  <si>
    <t>COST OF SALES</t>
  </si>
  <si>
    <t>NET COST OF FOOD SALES</t>
  </si>
  <si>
    <t>299</t>
  </si>
  <si>
    <t>31005</t>
  </si>
  <si>
    <t>NET COST OF BEVERAGE SALES</t>
  </si>
  <si>
    <t>31010</t>
  </si>
  <si>
    <t>31011</t>
  </si>
  <si>
    <t>NET COST OF WINE</t>
  </si>
  <si>
    <t>NET COST OF TOBACO</t>
  </si>
  <si>
    <t>31015</t>
  </si>
  <si>
    <t>NET COST OF OTHERS</t>
  </si>
  <si>
    <t>NET COST OF FOOD STAFF CANTEEN</t>
  </si>
  <si>
    <t>PAYROLL &amp; EMP . REL .</t>
  </si>
  <si>
    <t>281</t>
  </si>
  <si>
    <t>SALARIES &amp;  WAGES_ MANAGEMENT</t>
  </si>
  <si>
    <t>SALARIES &amp;  WAGES_NON MANAGEMENT FB</t>
  </si>
  <si>
    <t>42102</t>
  </si>
  <si>
    <t>EXTRA  &amp; OVERTIME</t>
  </si>
  <si>
    <t>MEALS</t>
  </si>
  <si>
    <t>46060</t>
  </si>
  <si>
    <t xml:space="preserve">  TOTAL  PAYROLL  &amp;  EMP . REL .</t>
  </si>
  <si>
    <t>KITCHEN FUEL &amp; GAS ,OTHER</t>
  </si>
  <si>
    <t>52015</t>
  </si>
  <si>
    <t xml:space="preserve"> CONTRACT SERVICE</t>
  </si>
  <si>
    <t>COMMISSION</t>
  </si>
  <si>
    <t xml:space="preserve">KITCHEN EQUIPMENT </t>
  </si>
  <si>
    <t>56040</t>
  </si>
  <si>
    <t xml:space="preserve">OE EXPENSES </t>
  </si>
  <si>
    <t xml:space="preserve"> - OE EXPENSES - CHINAWARE</t>
  </si>
  <si>
    <t>48005</t>
  </si>
  <si>
    <t xml:space="preserve"> - OE EXPENSES - LINEN</t>
  </si>
  <si>
    <t xml:space="preserve"> - OE EXPENSES - GLASSWARE</t>
  </si>
  <si>
    <t xml:space="preserve"> - OE EXPENSES - SILVERWARE / STANLESS</t>
  </si>
  <si>
    <t>48015</t>
  </si>
  <si>
    <t xml:space="preserve"> - OE EXPENSES - PLASTICWARE</t>
  </si>
  <si>
    <t xml:space="preserve"> - OE EXPENSES - WOODENWARE</t>
  </si>
  <si>
    <t xml:space="preserve"> - OE EXPENSES - CUTLERY</t>
  </si>
  <si>
    <t xml:space="preserve"> - OE EXPENSES - KITCHEN UTENSIL</t>
  </si>
  <si>
    <t>48020</t>
  </si>
  <si>
    <t xml:space="preserve"> - OE EXPENSES - STAFF CANTEEN</t>
  </si>
  <si>
    <t xml:space="preserve"> - OE EXPENSES - OE OTHER</t>
  </si>
  <si>
    <t xml:space="preserve"> - BAR &amp; RESTURANT SUPPLIES</t>
  </si>
  <si>
    <t>50516</t>
  </si>
  <si>
    <t xml:space="preserve"> - ICE</t>
  </si>
  <si>
    <t>52010</t>
  </si>
  <si>
    <t xml:space="preserve"> - GUEST SUPPLIES</t>
  </si>
  <si>
    <t>50541</t>
  </si>
  <si>
    <t xml:space="preserve">    - OPERATING SUPPLIES</t>
  </si>
  <si>
    <t>50556</t>
  </si>
  <si>
    <t xml:space="preserve"> - CLEANING SUPPLIES</t>
  </si>
  <si>
    <t xml:space="preserve"> - PRINTING AND STATIONERY</t>
  </si>
  <si>
    <t xml:space="preserve"> - BANQUET EXPENSES</t>
  </si>
  <si>
    <t>52005</t>
  </si>
  <si>
    <t xml:space="preserve"> - PAINTING &amp; DECORATIONS</t>
  </si>
  <si>
    <t>56060</t>
  </si>
  <si>
    <t xml:space="preserve"> - DECORATION</t>
  </si>
  <si>
    <t xml:space="preserve"> - LICENSES AND TAXES</t>
  </si>
  <si>
    <t xml:space="preserve"> - MENU / DRINK LIST</t>
  </si>
  <si>
    <t>52020</t>
  </si>
  <si>
    <t xml:space="preserve"> - BREAKAGE &amp; SPOILAGE</t>
  </si>
  <si>
    <t xml:space="preserve"> - EQUIPMENT RENTAL</t>
  </si>
  <si>
    <t>COMPLIMENTARY FOOD AND BEVERAGE</t>
  </si>
  <si>
    <t>51007</t>
  </si>
  <si>
    <t>TRANSPORTATION/ TRAVELLING</t>
  </si>
  <si>
    <t>53200</t>
  </si>
  <si>
    <t>MUSIC AND ENTERTAINMENT</t>
  </si>
  <si>
    <t>ENTERTAINMENT</t>
  </si>
  <si>
    <t>MEDICAL EXPENSES</t>
  </si>
  <si>
    <t>46065</t>
  </si>
  <si>
    <t>UNIFORMS</t>
  </si>
  <si>
    <t>TRAINING EXPENSE</t>
  </si>
  <si>
    <t>TOTAL   DEPT.   EXPENSES</t>
  </si>
  <si>
    <t>DEPARTMENT  PROFIT  (LOSS)</t>
  </si>
  <si>
    <t>Specialty Packages</t>
  </si>
  <si>
    <t>SCHEDULE  -  D</t>
  </si>
  <si>
    <t>BODY TREATMENT</t>
  </si>
  <si>
    <t>301</t>
  </si>
  <si>
    <t>13105</t>
  </si>
  <si>
    <t>HEALTH / WELLNESS SERVICESS</t>
  </si>
  <si>
    <t>13130</t>
  </si>
  <si>
    <t>MASSAGE TREATMENT</t>
  </si>
  <si>
    <t>13110</t>
  </si>
  <si>
    <t>SALON TREATMENT</t>
  </si>
  <si>
    <t>13115</t>
  </si>
  <si>
    <t>FACIAL TREATMENT</t>
  </si>
  <si>
    <t>13120</t>
  </si>
  <si>
    <t>SPECIALTY PACKAGES</t>
  </si>
  <si>
    <t>13125</t>
  </si>
  <si>
    <t>OTHER INCOME</t>
  </si>
  <si>
    <t>13135</t>
  </si>
  <si>
    <t>TOTAL   REVENUE</t>
  </si>
  <si>
    <t xml:space="preserve">COST OF SALES </t>
  </si>
  <si>
    <t>COST OF SALES - MASSAGE</t>
  </si>
  <si>
    <t>COST OF SALES - BODY TREATMENT</t>
  </si>
  <si>
    <t>COST OF SALES - FACIAL TREATMENT</t>
  </si>
  <si>
    <t>COST OF SALES - BUATY TREAMENT</t>
  </si>
  <si>
    <t>COST OF SALES - SPA PACKAGE</t>
  </si>
  <si>
    <t>COST OF SALES - PRODUCT</t>
  </si>
  <si>
    <t>31030</t>
  </si>
  <si>
    <t>COST OF SALES - OTHER</t>
  </si>
  <si>
    <t>31035</t>
  </si>
  <si>
    <t>SALARIES &amp; WAGES</t>
  </si>
  <si>
    <t>TOTAL  PAYROLL &amp; EMP. REL.</t>
  </si>
  <si>
    <t>DECORATION</t>
  </si>
  <si>
    <t>GUEST SUPPLIES</t>
  </si>
  <si>
    <t>GENERAL SUPPLIES</t>
  </si>
  <si>
    <t>CLEANING SUPPLIES</t>
  </si>
  <si>
    <t>PRINTING &amp; STATIONERY</t>
  </si>
  <si>
    <t>PROMOTION / SPA BROCHURE</t>
  </si>
  <si>
    <t>PRODUCT TESTING</t>
  </si>
  <si>
    <t>TRAINING &amp; CONSULTING</t>
  </si>
  <si>
    <t>LOSS - DAMAGE CHAINAWARE</t>
  </si>
  <si>
    <t>LOSS - DAMAGE GLASSWARE</t>
  </si>
  <si>
    <t>LOSS - DAMAGE SILVERWARE</t>
  </si>
  <si>
    <t>LOSS - DAMAGE LINEN</t>
  </si>
  <si>
    <t>LOSS - DAMAGE UNIFORM</t>
  </si>
  <si>
    <t>BREAKAGE &amp; SPOILAGE</t>
  </si>
  <si>
    <t>LICENESE &amp; TAXES</t>
  </si>
  <si>
    <t>COMMUNICATION</t>
  </si>
  <si>
    <t>ENTERTAIN</t>
  </si>
  <si>
    <t>TOTAL  DEPT.  PROFIT (LOSS)</t>
  </si>
  <si>
    <t>Other Operated Dept.</t>
  </si>
  <si>
    <t>SCHEDULE  -  E</t>
  </si>
  <si>
    <t xml:space="preserve">TRANSPORTATION  </t>
  </si>
  <si>
    <t>306</t>
  </si>
  <si>
    <t>13600</t>
  </si>
  <si>
    <t>LOCAL CALLS</t>
  </si>
  <si>
    <t>304</t>
  </si>
  <si>
    <t>13405</t>
  </si>
  <si>
    <t>LONG DISTANCE</t>
  </si>
  <si>
    <t>13410</t>
  </si>
  <si>
    <t>ROI - MINIBAR</t>
  </si>
  <si>
    <t>ROI -  SPACE SERVICE REVENUE</t>
  </si>
  <si>
    <t>BOUTIQUE SHOP</t>
  </si>
  <si>
    <t>LAUNDRY</t>
  </si>
  <si>
    <t>303</t>
  </si>
  <si>
    <t>13305</t>
  </si>
  <si>
    <t>ALTERATION &amp; REPAIRS</t>
  </si>
  <si>
    <t>13315</t>
  </si>
  <si>
    <t>MEETING ROOM RENTAL</t>
  </si>
  <si>
    <t>307</t>
  </si>
  <si>
    <t>13720</t>
  </si>
  <si>
    <t>13710</t>
  </si>
  <si>
    <t>OTHERS INCOME</t>
  </si>
  <si>
    <t>401</t>
  </si>
  <si>
    <t>341</t>
  </si>
  <si>
    <t>14010</t>
  </si>
  <si>
    <t xml:space="preserve">COST OF SALE - TRANSPORTATION  </t>
  </si>
  <si>
    <t>31080</t>
  </si>
  <si>
    <t>COST OF SALE - LOCAL CALLS</t>
  </si>
  <si>
    <t>31055</t>
  </si>
  <si>
    <t>COST OF SALE - LONG DISTANCE</t>
  </si>
  <si>
    <t>31060</t>
  </si>
  <si>
    <t>COST OF SALE - MINIBAR</t>
  </si>
  <si>
    <t>COST OF SALE - BOUTIQUE SHOP</t>
  </si>
  <si>
    <t>COST OF SALE - LAUNDRY</t>
  </si>
  <si>
    <t>31050</t>
  </si>
  <si>
    <t>COST OF SALE - RENTAL</t>
  </si>
  <si>
    <t>COST OF SALE - OTHER BUSINESS CENTER REV</t>
  </si>
  <si>
    <t>31110</t>
  </si>
  <si>
    <t>COST OF SALE - OTHERS INCOME</t>
  </si>
  <si>
    <t xml:space="preserve">PAYROLL &amp; EMPLOYEE REL. </t>
  </si>
  <si>
    <t>OTHER EMPLOYEE BENEFIT</t>
  </si>
  <si>
    <t>OTHER  EXPENSES</t>
  </si>
  <si>
    <t>GUEST TRANSPORTATION</t>
  </si>
  <si>
    <t xml:space="preserve"> - LAUNDRY SUPPLY</t>
  </si>
  <si>
    <t>RENTAL CHARGE</t>
  </si>
  <si>
    <t xml:space="preserve"> - GENERAL SUPPLIES</t>
  </si>
  <si>
    <t>LICENSES &amp; TAXES</t>
  </si>
  <si>
    <t xml:space="preserve"> Administrative And General </t>
  </si>
  <si>
    <t>SCHEDULE  -  F</t>
  </si>
  <si>
    <t>SALARIES AND WAGES - ADM</t>
  </si>
  <si>
    <t>280</t>
  </si>
  <si>
    <t>512</t>
  </si>
  <si>
    <t>42108</t>
  </si>
  <si>
    <t>SALARIES AND WAGES - MANAGEMENT</t>
  </si>
  <si>
    <t>531</t>
  </si>
  <si>
    <t xml:space="preserve">SALARIES &amp; WAGES_NON MANAGEMENT </t>
  </si>
  <si>
    <t>515</t>
  </si>
  <si>
    <t>SALARIES &amp; WAGES_NON MANAGEMENT - SECURITY</t>
  </si>
  <si>
    <t>42106</t>
  </si>
  <si>
    <t>SALARIES AND WAGES - HR</t>
  </si>
  <si>
    <t>CASUAL AND DAILY HIRE</t>
  </si>
  <si>
    <t>BONUS</t>
  </si>
  <si>
    <t>42020</t>
  </si>
  <si>
    <t>SERVICE CHARGE DISTRIBUTION</t>
  </si>
  <si>
    <t>42035</t>
  </si>
  <si>
    <t xml:space="preserve">OTHER EMPLOYEE BENEFIT </t>
  </si>
  <si>
    <t>TOTAL PAYROLL &amp; EMP.  REL.</t>
  </si>
  <si>
    <t>CONTRACT SERVICES</t>
  </si>
  <si>
    <t>CLEANING SUPPLY</t>
  </si>
  <si>
    <t>SECURITY CONTRACT SERVICE</t>
  </si>
  <si>
    <t>54325</t>
  </si>
  <si>
    <t>54100</t>
  </si>
  <si>
    <t>ACCOUNTING FEE</t>
  </si>
  <si>
    <t>AUDIT FEE</t>
  </si>
  <si>
    <t>54005</t>
  </si>
  <si>
    <t>PROFESSIONAL FEES</t>
  </si>
  <si>
    <t>BANK CHARGE AND EXCHANGE</t>
  </si>
  <si>
    <t>54015</t>
  </si>
  <si>
    <t>CASH OVERAGES AND SHORTAGES</t>
  </si>
  <si>
    <t>54020</t>
  </si>
  <si>
    <t>COMMISSION ON CREDIT CARDS</t>
  </si>
  <si>
    <t>511</t>
  </si>
  <si>
    <t>54030</t>
  </si>
  <si>
    <t>54035</t>
  </si>
  <si>
    <t>54040</t>
  </si>
  <si>
    <t>54045</t>
  </si>
  <si>
    <t>54050</t>
  </si>
  <si>
    <t>54055</t>
  </si>
  <si>
    <t>54060</t>
  </si>
  <si>
    <t>54065</t>
  </si>
  <si>
    <t>CONTRACT SECURITY</t>
  </si>
  <si>
    <t>DONATIONS</t>
  </si>
  <si>
    <t>RENTAL OF EQUIPMENT</t>
  </si>
  <si>
    <t>LICENSES AND TAXES</t>
  </si>
  <si>
    <t>PRINTING AND STATIONERY</t>
  </si>
  <si>
    <t>DUES &amp; SUBSCRIPTION</t>
  </si>
  <si>
    <t>514</t>
  </si>
  <si>
    <t>TELECOMMUNICATIONS</t>
  </si>
  <si>
    <t>LEGAL FEE &amp; OTHER FEE</t>
  </si>
  <si>
    <t>54080</t>
  </si>
  <si>
    <t>LAND &amp; BUILDINGS RENTAL</t>
  </si>
  <si>
    <t>61005</t>
  </si>
  <si>
    <t>WITHHOLDING TAXES</t>
  </si>
  <si>
    <t>61125</t>
  </si>
  <si>
    <t>INTERNET SERVIEC FOR EMPOLYEE</t>
  </si>
  <si>
    <t>SOFTWARE MAINTENANCE</t>
  </si>
  <si>
    <t>HARDWARE MAINTENANCE</t>
  </si>
  <si>
    <t>SPARE PARTS AND UPGRADE COMPUTER</t>
  </si>
  <si>
    <t>UNIFORMS - LAUNDRY</t>
  </si>
  <si>
    <t>50095</t>
  </si>
  <si>
    <t>MEDICAL SUPPLIES</t>
  </si>
  <si>
    <t>54430</t>
  </si>
  <si>
    <t>EMPLOYEE RELATIONS AND MORALE</t>
  </si>
  <si>
    <t>COS-LOCAL CALLS</t>
  </si>
  <si>
    <t>COS-OTHER TELEPHONE</t>
  </si>
  <si>
    <t>31070</t>
  </si>
  <si>
    <t>COS-CONTRACT SERVICE</t>
  </si>
  <si>
    <t>COS-COST OF CELL PHONES</t>
  </si>
  <si>
    <t>50071</t>
  </si>
  <si>
    <t>COS-SOFTWARE MAINTENANCE</t>
  </si>
  <si>
    <t>54220</t>
  </si>
  <si>
    <t>54215</t>
  </si>
  <si>
    <t>SYSTEM EXP_ROOMS</t>
  </si>
  <si>
    <t>54231</t>
  </si>
  <si>
    <t>TOTAL A&amp;G EXPENSES</t>
  </si>
  <si>
    <t xml:space="preserve">Sales and Marketing </t>
  </si>
  <si>
    <t>SCHEDULE  -  G</t>
  </si>
  <si>
    <t>SALARIES AND WAGES</t>
  </si>
  <si>
    <t>560</t>
  </si>
  <si>
    <t>561</t>
  </si>
  <si>
    <t>42109</t>
  </si>
  <si>
    <t>SALARIES &amp; WAGES_MANAGEMENT</t>
  </si>
  <si>
    <t xml:space="preserve">TOTAL PAYROLL &amp; EMP. REL. </t>
  </si>
  <si>
    <t>ADVERTISING EXP.</t>
  </si>
  <si>
    <t>ONLINE CONSUMER ADVERTISING</t>
  </si>
  <si>
    <t>55070</t>
  </si>
  <si>
    <t>COMPLIMENTARY GUESTS</t>
  </si>
  <si>
    <t>PUBLIC RELATIONSHIP</t>
  </si>
  <si>
    <t>WEB SITE</t>
  </si>
  <si>
    <t>55150</t>
  </si>
  <si>
    <t>PR &amp; RELATED EXPENSES</t>
  </si>
  <si>
    <t>55120</t>
  </si>
  <si>
    <t>BARTER</t>
  </si>
  <si>
    <t>55200</t>
  </si>
  <si>
    <t>DIRECTORY / GUIDE</t>
  </si>
  <si>
    <t>55055</t>
  </si>
  <si>
    <t>POSTAGE &amp; COURIER EXP.</t>
  </si>
  <si>
    <t>SALES TRIP EXP.</t>
  </si>
  <si>
    <t>569</t>
  </si>
  <si>
    <t>55005</t>
  </si>
  <si>
    <t>INCENTIVES</t>
  </si>
  <si>
    <t>PHOTOGRAPHY</t>
  </si>
  <si>
    <t>55030</t>
  </si>
  <si>
    <t>TRADE SHOWS</t>
  </si>
  <si>
    <t>55010</t>
  </si>
  <si>
    <t>55020</t>
  </si>
  <si>
    <t>TRADE ADVERTISING</t>
  </si>
  <si>
    <t>55085</t>
  </si>
  <si>
    <t>MARKETING PROGRAMME</t>
  </si>
  <si>
    <t>55065</t>
  </si>
  <si>
    <t>COMPLIMENTARY SERVICES &amp; GIFT</t>
  </si>
  <si>
    <t>PAINTING &amp; DECORATIONS</t>
  </si>
  <si>
    <t>TOTAL DEPT. EXPENSES</t>
  </si>
  <si>
    <t xml:space="preserve">   ROOM OCCUPANCY</t>
  </si>
  <si>
    <t xml:space="preserve">  % OF OCCUPANCY</t>
  </si>
  <si>
    <t>Employee Benefits &amp; Meals</t>
  </si>
  <si>
    <t>SCHEDULE  -  H</t>
  </si>
  <si>
    <t>BDUGET</t>
  </si>
  <si>
    <t>ROOMS</t>
  </si>
  <si>
    <t>FOOD AND BEVERAGE</t>
  </si>
  <si>
    <t>SPA</t>
  </si>
  <si>
    <t>GUEST ACTIVEITES</t>
  </si>
  <si>
    <t>ADMINISTRATIVE &amp; GENERAL</t>
  </si>
  <si>
    <t>SALES &amp; MARKETING</t>
  </si>
  <si>
    <t>PROP. OPERATION ,MAINT &amp; ENERGY COST</t>
  </si>
  <si>
    <t>571</t>
  </si>
  <si>
    <t>572</t>
  </si>
  <si>
    <t>42107</t>
  </si>
  <si>
    <t>HUMAN RESOURCES</t>
  </si>
  <si>
    <t>TOTAL SALARIES AND WAGES</t>
  </si>
  <si>
    <t>EXTRA WAGES</t>
  </si>
  <si>
    <t>TOTAL PAYROLL AND WAGES</t>
  </si>
  <si>
    <t>EMPLOYEE RELATIONS</t>
  </si>
  <si>
    <t>STAFF SERVICE CHARGE</t>
  </si>
  <si>
    <t>EMPLOYEE TAX</t>
  </si>
  <si>
    <t>ANNUAL CHECK UP</t>
  </si>
  <si>
    <t>STAFF HOUSE</t>
  </si>
  <si>
    <t>MOBILE PHONE ALLOWANCE</t>
  </si>
  <si>
    <t>TRAINING &amp; CONSULTANT</t>
  </si>
  <si>
    <t>LEGAL SERVANCE PAY</t>
  </si>
  <si>
    <t>SOCIAL  SECURITY FUND</t>
  </si>
  <si>
    <t>PROVIDENT FUND</t>
  </si>
  <si>
    <t>NEW UNIFORMS</t>
  </si>
  <si>
    <t>SUB TOTAL</t>
  </si>
  <si>
    <t>EMPLOYEE MEALS</t>
  </si>
  <si>
    <t>TOTAL EMPLOYEE RELATION</t>
  </si>
  <si>
    <t>TOTAL PAYROLL &amp; EMPLOYEE RELATION</t>
  </si>
  <si>
    <t xml:space="preserve">                   Property , Operation, Maintenance &amp; Energy Cost</t>
  </si>
  <si>
    <t>SCHEDULE  -  I</t>
  </si>
  <si>
    <t>SALARIES &amp;  WAGES_MANAGEMENT</t>
  </si>
  <si>
    <t>SALARIES &amp;  WAGES_NON MANAGEMENT ENGINEERING</t>
  </si>
  <si>
    <t>TOTAL PAYROLL &amp; EMP. REL .</t>
  </si>
  <si>
    <t>CLEANING  SUPPLY</t>
  </si>
  <si>
    <t>EQUIPMENT MAINTENANCE</t>
  </si>
  <si>
    <t>54205</t>
  </si>
  <si>
    <t>MINOR &amp; PERIPHERAL EQUIPMENT</t>
  </si>
  <si>
    <t>54210</t>
  </si>
  <si>
    <t>SOFTWARE-COMMERCIAL APPLICATIONS</t>
  </si>
  <si>
    <t>SYSTEM EXP_A&amp;G</t>
  </si>
  <si>
    <t>54221</t>
  </si>
  <si>
    <t>SYSTEM EXP_CENTRAL INFOR SYSTEM</t>
  </si>
  <si>
    <t>54222</t>
  </si>
  <si>
    <t>SYSTEM EXP_ENG</t>
  </si>
  <si>
    <t>54223</t>
  </si>
  <si>
    <t>SYSTEM EXP_F&amp;B</t>
  </si>
  <si>
    <t>54224</t>
  </si>
  <si>
    <t>SYSTEM EXP_GOLF</t>
  </si>
  <si>
    <t>54225</t>
  </si>
  <si>
    <t>SYSTEM EXP_HC</t>
  </si>
  <si>
    <t>54226</t>
  </si>
  <si>
    <t>SYSTEM EXP_HR</t>
  </si>
  <si>
    <t>54227</t>
  </si>
  <si>
    <t>SYSTEM EXP_INFOR SECURITY</t>
  </si>
  <si>
    <t>54228</t>
  </si>
  <si>
    <t>SYSTEM EXP_INFOR SYSTEMS</t>
  </si>
  <si>
    <t>54229</t>
  </si>
  <si>
    <t>SYSTEM EXP_POM</t>
  </si>
  <si>
    <t>54230</t>
  </si>
  <si>
    <t>SYSTEM EXP_S&amp;M</t>
  </si>
  <si>
    <t>54232</t>
  </si>
  <si>
    <t>SUPPLIES - ENGINEERING</t>
  </si>
  <si>
    <t>50515</t>
  </si>
  <si>
    <t>VEHICLE PARTS - REPAIRS &amp; MAINT</t>
  </si>
  <si>
    <t>53215</t>
  </si>
  <si>
    <t>BUILDING</t>
  </si>
  <si>
    <t>56005</t>
  </si>
  <si>
    <t>ELECTRICAL&amp;MECHANICAL EQUIP.</t>
  </si>
  <si>
    <t>56010</t>
  </si>
  <si>
    <t>SWIMMING POOL</t>
  </si>
  <si>
    <t>56070</t>
  </si>
  <si>
    <t>PLUMBING</t>
  </si>
  <si>
    <t>56065</t>
  </si>
  <si>
    <t>KITCHEN EQUIPMENT</t>
  </si>
  <si>
    <t>LIGHT BULBS</t>
  </si>
  <si>
    <t>56055</t>
  </si>
  <si>
    <t>TRAINING - EXTERNAL</t>
  </si>
  <si>
    <t>FLOOR COVERING</t>
  </si>
  <si>
    <t>56020</t>
  </si>
  <si>
    <t>FURNITURE AND EQUIPMENT</t>
  </si>
  <si>
    <t>56025</t>
  </si>
  <si>
    <t>HEATING,VENTILATION &amp; AC EQUIP</t>
  </si>
  <si>
    <t>56035</t>
  </si>
  <si>
    <t>GROUNDS MAINT &amp; LANDSCAPING</t>
  </si>
  <si>
    <t>56030</t>
  </si>
  <si>
    <t>PRINTING &amp; SATATIONERY</t>
  </si>
  <si>
    <t>TOTAL PROP. OPERATION &amp; MAINT.</t>
  </si>
  <si>
    <t>ENERGY COST</t>
  </si>
  <si>
    <t>ELECTRICITY</t>
  </si>
  <si>
    <t>57005</t>
  </si>
  <si>
    <t>FUEL OIL</t>
  </si>
  <si>
    <t>57035</t>
  </si>
  <si>
    <t>GAS</t>
  </si>
  <si>
    <t>57025</t>
  </si>
  <si>
    <t>WATER</t>
  </si>
  <si>
    <t>57010</t>
  </si>
  <si>
    <t>TOTAL ENERGY COST</t>
  </si>
  <si>
    <t>TOTAL PROP. OPER. &amp; MAINT.&amp; ENERGY COST</t>
  </si>
  <si>
    <t>DAILY  REVENUE REPORT</t>
  </si>
  <si>
    <t>TODAY</t>
  </si>
  <si>
    <t>M-T-D</t>
  </si>
  <si>
    <t>LAST</t>
  </si>
  <si>
    <t>(mtd-budget)</t>
  </si>
  <si>
    <t>YEAR</t>
  </si>
  <si>
    <t>Superior City View</t>
  </si>
  <si>
    <t>Deluxe Sea View</t>
  </si>
  <si>
    <t>Deluxe Sea View pool Access</t>
  </si>
  <si>
    <t>Corner Deluxe Sea View</t>
  </si>
  <si>
    <t>The Senses Suite</t>
  </si>
  <si>
    <t>The Rejuvenation Suite</t>
  </si>
  <si>
    <t>Less: Allowance</t>
  </si>
  <si>
    <t>TOTAL ROOM REVENUE</t>
  </si>
  <si>
    <t>FOOD &amp; BEVERAGE  REVENUE</t>
  </si>
  <si>
    <t>Eat More Restaurant</t>
  </si>
  <si>
    <t>Splach Mountain Bar</t>
  </si>
  <si>
    <t>The Love Lounge</t>
  </si>
  <si>
    <t>In-Room dining</t>
  </si>
  <si>
    <t>Banquet</t>
  </si>
  <si>
    <t>Mini Bar</t>
  </si>
  <si>
    <t>F&amp;B Other</t>
  </si>
  <si>
    <t>TOTAL FOOD &amp; BEVERAGE  REVENUE</t>
  </si>
  <si>
    <t>TELEPHONE REVENUE</t>
  </si>
  <si>
    <t>Local Call</t>
  </si>
  <si>
    <t>Long Distance call</t>
  </si>
  <si>
    <t>Oversea Call</t>
  </si>
  <si>
    <t>TOTAL TELEPHONE REVENUE</t>
  </si>
  <si>
    <t>REVENUE OTHERS</t>
  </si>
  <si>
    <t>Laundry</t>
  </si>
  <si>
    <t>Transfer Service / Limousine</t>
  </si>
  <si>
    <t>Tour</t>
  </si>
  <si>
    <t>Shop and Boutique</t>
  </si>
  <si>
    <t>Spa</t>
  </si>
  <si>
    <t>Other Income</t>
  </si>
  <si>
    <t>Tobaccos</t>
  </si>
  <si>
    <t>TOTAL REVENUES OTHERS</t>
  </si>
  <si>
    <t>GROSS  REVENUES</t>
  </si>
  <si>
    <t>Service Charge</t>
  </si>
  <si>
    <t xml:space="preserve">Vat </t>
  </si>
  <si>
    <t>TIP</t>
  </si>
  <si>
    <t>Provincial Tax.</t>
  </si>
  <si>
    <t>GRAND TOTAL  REVENUE</t>
  </si>
  <si>
    <t>HOTEL PAYMENT</t>
  </si>
  <si>
    <t>Cash Sale Clearance</t>
  </si>
  <si>
    <t>Visa Card</t>
  </si>
  <si>
    <t>Master Card</t>
  </si>
  <si>
    <t>Diner Card</t>
  </si>
  <si>
    <t>Amex Card</t>
  </si>
  <si>
    <t>JCB Card</t>
  </si>
  <si>
    <t>Other Card</t>
  </si>
  <si>
    <t>City Ledger Pos</t>
  </si>
  <si>
    <t>Cash Pos</t>
  </si>
  <si>
    <t>Visa Pos</t>
  </si>
  <si>
    <t>Master Pos</t>
  </si>
  <si>
    <t>Visa Deposit</t>
  </si>
  <si>
    <t>Master Deposit</t>
  </si>
  <si>
    <t>City Ledger</t>
  </si>
  <si>
    <t xml:space="preserve">Cash Deposit </t>
  </si>
  <si>
    <t>Bank Transfer Deposit</t>
  </si>
  <si>
    <t xml:space="preserve">Cash Refund </t>
  </si>
  <si>
    <t>TOTAL HOTEL PAYMENT</t>
  </si>
  <si>
    <t>Guest Ledger Today</t>
  </si>
  <si>
    <t>GUEST LEDGER B/F ==========&gt;</t>
  </si>
  <si>
    <t>GUEST LEDGER BALANCE ====&gt;</t>
  </si>
  <si>
    <t>TOTAL ROOM AVAILABLE</t>
  </si>
  <si>
    <t>ROOM SOLD</t>
  </si>
  <si>
    <t>GROSS OCCUPANCY</t>
  </si>
  <si>
    <t>ROOM STATISTICS</t>
  </si>
  <si>
    <t>House Use</t>
  </si>
  <si>
    <t>TOTAL ROOM STATICS</t>
  </si>
  <si>
    <t>AVERAGE ROOM RATE</t>
  </si>
  <si>
    <t>AVERAGE ROOM RATE (Excl. H/U)</t>
  </si>
  <si>
    <t>TOTAL ROOM OCCUPIED</t>
  </si>
  <si>
    <t>TOTAL ROOM COMPLIMENTARY</t>
  </si>
  <si>
    <t>TOTAL ROOM HOUSE USED</t>
  </si>
  <si>
    <t>TOTAL ROOM VACANT</t>
  </si>
  <si>
    <t>TOTAL ROOM OUT OF ORDER</t>
  </si>
  <si>
    <t>No. Of Guest</t>
  </si>
  <si>
    <t>Adoul</t>
  </si>
  <si>
    <t>Child 1</t>
  </si>
  <si>
    <t>Child 2</t>
  </si>
  <si>
    <t>Com</t>
  </si>
  <si>
    <t>Total Guest</t>
  </si>
  <si>
    <t>House Use Detail</t>
  </si>
  <si>
    <t>-</t>
  </si>
  <si>
    <t>Carmen New FS Formula</t>
  </si>
  <si>
    <t>Description</t>
  </si>
  <si>
    <t>Sample formula</t>
  </si>
  <si>
    <t>Formula Name</t>
  </si>
  <si>
    <t>Parameter</t>
  </si>
  <si>
    <t>Database code</t>
  </si>
  <si>
    <t>Department code</t>
  </si>
  <si>
    <t>Range of account code</t>
  </si>
  <si>
    <t>Date</t>
  </si>
  <si>
    <t>Revision time</t>
  </si>
  <si>
    <t>select multiple department code</t>
  </si>
  <si>
    <t>DPT(ACC,FO,FB)</t>
  </si>
  <si>
    <t>DPT</t>
  </si>
  <si>
    <t>select multiple account code range</t>
  </si>
  <si>
    <t>COA(1001,1003,1007,1009)</t>
  </si>
  <si>
    <t>COA</t>
  </si>
  <si>
    <t>Current Mount RE</t>
  </si>
  <si>
    <t>RE(DB,YR,PRD)</t>
  </si>
  <si>
    <t>RE</t>
  </si>
  <si>
    <t>DB</t>
  </si>
  <si>
    <t>YR</t>
  </si>
  <si>
    <t>PRD</t>
  </si>
  <si>
    <t>Accumulated RE</t>
  </si>
  <si>
    <t>RE(DB,YR,1,PRD)</t>
  </si>
  <si>
    <t>1,PRD</t>
  </si>
  <si>
    <t>Period Range RE</t>
  </si>
  <si>
    <t>REP(DB,YR,1,PRD)</t>
  </si>
  <si>
    <t>show account code description</t>
  </si>
  <si>
    <t>AN(DB,$AM11)</t>
  </si>
  <si>
    <t>AN</t>
  </si>
  <si>
    <t>COA($AM11)</t>
  </si>
  <si>
    <t>Monthly Amount</t>
  </si>
  <si>
    <t>AC(DB,ArrayDPT($AA15:$AE15),ArrayCOA($AG15:$AZ15),YR,PRD,ArrayDIM($BB15:$BE15))</t>
  </si>
  <si>
    <t>AC</t>
  </si>
  <si>
    <t>dpt($AM11,$AN11)</t>
  </si>
  <si>
    <t>COA($AA11,$AB11,$AC11,$AD11)</t>
  </si>
  <si>
    <t>DD</t>
  </si>
  <si>
    <t>YTD Amount</t>
  </si>
  <si>
    <t>ACC(DB,ArrayDPT($AA15:$AE15),ArrayCOA($AG15:$AZ15),YR,PRD,ArrayDIM($BB15:$BE15))</t>
  </si>
  <si>
    <t>ACC</t>
  </si>
  <si>
    <t>Current month budget</t>
  </si>
  <si>
    <t>BC(DB,ArrayDPT($AA15:$AE15),ArrayCOA($AG15:$AZ15),YR,PRD,RV,ArrayDIM($BB15:$BE15))</t>
  </si>
  <si>
    <t>BC</t>
  </si>
  <si>
    <t>YTD budget</t>
  </si>
  <si>
    <t>BCC(DB,ArrayDPT($AA15:$AE15),ArrayCOA($AG15:$AZ15),YR,PRD,RV,ArrayDIM($BB15:$BE15))</t>
  </si>
  <si>
    <t>BCC</t>
  </si>
  <si>
    <t>Current month budget(Rivision)</t>
  </si>
  <si>
    <t>RV</t>
  </si>
  <si>
    <t>YTD budget(Rivision)</t>
  </si>
  <si>
    <t>Monthly Dr.</t>
  </si>
  <si>
    <t>CD(DB,dpt($AM11,$AN11),COA($AA11,$AB11,$AC11,$AD11),YR,PRD)</t>
  </si>
  <si>
    <t>CD</t>
  </si>
  <si>
    <t>Monthly Cr.</t>
  </si>
  <si>
    <t>CC(DB,dpt($AM11,$AN11),COA($AA11,$AB11,$AC11,$AD11),YR,PRD)</t>
  </si>
  <si>
    <t>CC</t>
  </si>
  <si>
    <t>Daily Amount</t>
  </si>
  <si>
    <t>DAC(DB,ArrayDPT($AA19:$AE19),ArrayCOA($AG19:$AZ19),YR,PRD,DD,ArrayDIM($BB19:$BE19))</t>
  </si>
  <si>
    <t>DAC</t>
  </si>
  <si>
    <t>Daily Amount Last year</t>
  </si>
  <si>
    <t>DACLY(DB,ArrayDPT($AA19:$AE19),ArrayCOA($AG19:$AZ19),YR,PRD,DD,ArrayDIM($BB19:$BE19))</t>
  </si>
  <si>
    <t>DACLY</t>
  </si>
  <si>
    <t>MTD Amount</t>
  </si>
  <si>
    <t>PTDBG(DB,ArrayDPT($AA20:$AE20),ArrayCOA($AG20:$AZ20),YR,PRD,DD,RV,ArrayDIM($BB20:$BE20))</t>
  </si>
  <si>
    <t>PTD</t>
  </si>
  <si>
    <t>MTD Amount Last year</t>
  </si>
  <si>
    <t>PTDBGLY(DB,ArrayDPT($AA20:$AE20),ArrayCOA($AG20:$AZ20),YR,PRD,DD,RV,ArrayDIM($BB20:$BE20))</t>
  </si>
  <si>
    <t>PTDLY</t>
  </si>
  <si>
    <t>Daily budget</t>
  </si>
  <si>
    <t>DACBG(DB,ArrayDPT($AA20:$AE20),ArrayCOA($AG20:$AZ20),YR,PRD,DD,RV,ArrayDIM($BB20:$BE20))</t>
  </si>
  <si>
    <t>DACBG</t>
  </si>
  <si>
    <t>MTD budget</t>
  </si>
  <si>
    <t>PTDBG</t>
  </si>
  <si>
    <t>Current mount budget</t>
  </si>
  <si>
    <t>PERIODBG(DB,ArrayDPT($AA20:$AE20),ArrayCOA($AG20:$AZ20),YR,PRD,DD,RV,ArrayDIM($BB20:$BE20))</t>
  </si>
  <si>
    <t>PERIODBG</t>
  </si>
  <si>
    <t>AC(DB,dpt($AM11,$AN11),COA($AA11,$AB11,$AC11,$AD11),YR,PRD)</t>
  </si>
  <si>
    <t>MAC</t>
  </si>
  <si>
    <t>ACC(DB,dpt($AM11,$AN11),COA($AA11,$AB11,$AC11,$AD11),YR,PRD)</t>
  </si>
  <si>
    <t>MACC</t>
  </si>
  <si>
    <t>BC(DB,dpt($AM11,$AN11),COA($AA11,$AB11,$AC11,$AD11),YR,PRD)</t>
  </si>
  <si>
    <t>BCC(DB,dpt($AM11,$AN11),COA($AA11,$AB11,$AC11,$AD11),YR,PRD)</t>
  </si>
  <si>
    <t>BC(DB,dpt($AM11,$AN11),COA($AA11,$AB11,$AC11,$AD11),YR,PRD,RV)</t>
  </si>
  <si>
    <t>BCC(DB,dpt($AM11,$AN11),COA($AA11,$AB11,$AC11,$AD11),YR,PRD,RV)</t>
  </si>
  <si>
    <t>Department</t>
  </si>
  <si>
    <t xml:space="preserve">Account Code </t>
  </si>
  <si>
    <t>Account Name</t>
  </si>
  <si>
    <t>Dimension Name</t>
  </si>
  <si>
    <t>BU Name</t>
  </si>
  <si>
    <t xml:space="preserve">Month </t>
  </si>
  <si>
    <t>Days</t>
  </si>
  <si>
    <t>Monht of Period</t>
  </si>
  <si>
    <t>#No Data</t>
  </si>
  <si>
    <t>Rooms revenue</t>
  </si>
  <si>
    <t>=</t>
  </si>
  <si>
    <t>สามารถทำ Dimension ได่ โดย Add Dimension เลือก module budget</t>
  </si>
  <si>
    <t>F&amp;B revenue</t>
  </si>
  <si>
    <t>&lt;&gt;</t>
  </si>
  <si>
    <t>2</t>
  </si>
  <si>
    <t>Transport revenue</t>
  </si>
  <si>
    <t>&lt;</t>
  </si>
  <si>
    <t>3</t>
  </si>
  <si>
    <t>Diving center revenue</t>
  </si>
  <si>
    <t>&gt;</t>
  </si>
  <si>
    <t>4</t>
  </si>
  <si>
    <t>Spa revenue</t>
  </si>
  <si>
    <t>&gt;=</t>
  </si>
  <si>
    <t>5</t>
  </si>
  <si>
    <t>Boutique shop revenue</t>
  </si>
  <si>
    <t>&lt;=</t>
  </si>
  <si>
    <t>6</t>
  </si>
  <si>
    <t>like</t>
  </si>
  <si>
    <t>7</t>
  </si>
  <si>
    <t>8</t>
  </si>
  <si>
    <t>between</t>
  </si>
  <si>
    <t>9</t>
  </si>
  <si>
    <t>A = And</t>
  </si>
  <si>
    <t>10</t>
  </si>
  <si>
    <t>O = or</t>
  </si>
  <si>
    <t>11</t>
  </si>
  <si>
    <t>12</t>
  </si>
  <si>
    <t>MultiDimension</t>
  </si>
  <si>
    <t>03</t>
  </si>
  <si>
    <t>Z91115</t>
  </si>
  <si>
    <t>Z91125</t>
  </si>
  <si>
    <t>Z91425</t>
  </si>
  <si>
    <t xml:space="preserve">	Z91425</t>
  </si>
  <si>
    <t>14040</t>
  </si>
  <si>
    <t>53205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</si>
</sst>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87" formatCode="_(* #,##0.00_);_(* \(#,##0.00\);_(* &quot;-&quot;??_);_(@_)"/>
    <numFmt numFmtId="188" formatCode="&quot;Run Date : &quot;\ dd/mm/yyyy\ \ &quot;Time : &quot;\ hh:mm\ AM/PM"/>
    <numFmt numFmtId="189" formatCode="dd\-mmm\-yy_)"/>
    <numFmt numFmtId="190" formatCode="###0.00_);[Red]\(###0.00\)"/>
    <numFmt numFmtId="191" formatCode="#,##0.00_ ;\-#,##0.00\ "/>
    <numFmt numFmtId="192" formatCode="0.00_);[Red]\(0.00\)"/>
    <numFmt numFmtId="193" formatCode="#,##0;[Red]#,##0"/>
    <numFmt numFmtId="194" formatCode="#,##0.00;[Red]#,##0.00"/>
    <numFmt numFmtId="195" formatCode="#,##0.00_ ;[Red]\-#,##0.00\ "/>
    <numFmt numFmtId="196" formatCode="0.00;[Red]0.00"/>
    <numFmt numFmtId="197" formatCode="#,##0.0"/>
    <numFmt numFmtId="198" formatCode="0.0%"/>
    <numFmt numFmtId="199" formatCode="[$-1010409]d\ mmmm\ yyyy"/>
    <numFmt numFmtId="200" formatCode="[$-409]dd\-mmm\-yy"/>
    <numFmt numFmtId="201" formatCode="&quot;As On &quot;\ [$-409]d\ mmmm\ yyyy"/>
    <numFmt numFmtId="202" formatCode="m/d/yy"/>
    <numFmt numFmtId="203" formatCode="_-* #,##0.00_-;\-* #,##0.00_-;_-* &quot;-&quot;??_-;_-@"/>
    <numFmt numFmtId="204" formatCode="#,##0.00;[Red]\(#,##0.00\)"/>
    <numFmt numFmtId="205" formatCode="_-* #,##0_-;\-* #,##0_-;_-* &quot;-&quot;??_-;_-@"/>
    <numFmt numFmtId="206" formatCode="mmm"/>
  </numFmts>
  <fonts count="95">
    <font>
      <sz val="11"/>
      <color theme="1"/>
      <name val="Calibri"/>
      <scheme val="minor"/>
    </font>
    <font>
      <sz val="11"/>
      <color theme="1"/>
      <name val="Calibri"/>
      <family val="2"/>
    </font>
    <font>
      <sz val="10"/>
      <color theme="1"/>
      <name val="Tahoma"/>
      <family val="2"/>
    </font>
    <font>
      <b/>
      <sz val="10"/>
      <color rgb="FF0070C0"/>
      <name val="Tahoma"/>
      <family val="2"/>
    </font>
    <font>
      <b/>
      <u/>
      <sz val="28"/>
      <color rgb="FFC00000"/>
      <name val="Tahoma"/>
      <family val="2"/>
    </font>
    <font>
      <sz val="11"/>
      <name val="Calibri"/>
      <family val="2"/>
    </font>
    <font>
      <sz val="16"/>
      <color theme="1"/>
      <name val="Tahoma"/>
      <family val="2"/>
    </font>
    <font>
      <b/>
      <u/>
      <sz val="16"/>
      <color rgb="FF0070C0"/>
      <name val="Tahoma"/>
      <family val="2"/>
    </font>
    <font>
      <b/>
      <sz val="12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sz val="12"/>
      <color theme="1"/>
      <name val="Tahoma"/>
      <family val="2"/>
    </font>
    <font>
      <sz val="20"/>
      <color theme="1"/>
      <name val="Tahoma"/>
      <family val="2"/>
    </font>
    <font>
      <b/>
      <sz val="18"/>
      <color theme="1"/>
      <name val="Tahoma"/>
      <family val="2"/>
    </font>
    <font>
      <b/>
      <sz val="18"/>
      <color rgb="FF0070C0"/>
      <name val="Tahoma"/>
      <family val="2"/>
    </font>
    <font>
      <b/>
      <i/>
      <sz val="18"/>
      <color rgb="FFFF6600"/>
      <name val="Tahoma"/>
      <family val="2"/>
    </font>
    <font>
      <b/>
      <sz val="14"/>
      <color theme="1"/>
      <name val="Tahoma"/>
      <family val="2"/>
    </font>
    <font>
      <b/>
      <sz val="12"/>
      <color rgb="FF244061"/>
      <name val="Tahoma"/>
      <family val="2"/>
    </font>
    <font>
      <sz val="16"/>
      <color rgb="FFFF6600"/>
      <name val="Tahoma"/>
      <family val="2"/>
    </font>
    <font>
      <b/>
      <u/>
      <sz val="14"/>
      <color rgb="FF0070C0"/>
      <name val="Tahoma"/>
      <family val="2"/>
    </font>
    <font>
      <b/>
      <u/>
      <sz val="16"/>
      <color rgb="FFFF6600"/>
      <name val="Tahoma"/>
      <family val="2"/>
    </font>
    <font>
      <b/>
      <u/>
      <sz val="14"/>
      <color rgb="FF0070C0"/>
      <name val="Tahoma"/>
      <family val="2"/>
    </font>
    <font>
      <sz val="12"/>
      <color rgb="FFFF6600"/>
      <name val="Tahoma"/>
      <family val="2"/>
    </font>
    <font>
      <sz val="14"/>
      <color theme="1"/>
      <name val="Tahoma"/>
      <family val="2"/>
    </font>
    <font>
      <b/>
      <sz val="12"/>
      <color rgb="FFFF6600"/>
      <name val="Tahoma"/>
      <family val="2"/>
    </font>
    <font>
      <b/>
      <sz val="16"/>
      <color theme="1"/>
      <name val="Tahoma"/>
      <family val="2"/>
    </font>
    <font>
      <b/>
      <u/>
      <sz val="16"/>
      <color theme="1"/>
      <name val="Tahoma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rgb="FF000000"/>
      <name val="Courier New"/>
      <family val="3"/>
    </font>
    <font>
      <b/>
      <i/>
      <sz val="8"/>
      <color rgb="FF3366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Courier New"/>
      <family val="3"/>
    </font>
    <font>
      <b/>
      <sz val="8"/>
      <color rgb="FFF20884"/>
      <name val="Arial"/>
      <family val="2"/>
    </font>
    <font>
      <b/>
      <sz val="8"/>
      <color rgb="FFDD0806"/>
      <name val="Arial"/>
      <family val="2"/>
    </font>
    <font>
      <b/>
      <sz val="8"/>
      <color rgb="FF0000D4"/>
      <name val="Arial"/>
      <family val="2"/>
    </font>
    <font>
      <sz val="10"/>
      <color theme="1"/>
      <name val="Helvetica Neue"/>
    </font>
    <font>
      <b/>
      <sz val="10"/>
      <color rgb="FFDD0806"/>
      <name val="Arial"/>
      <family val="2"/>
    </font>
    <font>
      <b/>
      <i/>
      <sz val="8"/>
      <color rgb="FF0000D4"/>
      <name val="Arial"/>
      <family val="2"/>
    </font>
    <font>
      <sz val="8"/>
      <color rgb="FFDD0806"/>
      <name val="Arial"/>
      <family val="2"/>
    </font>
    <font>
      <sz val="8"/>
      <color rgb="FFF20884"/>
      <name val="Arial"/>
      <family val="2"/>
    </font>
    <font>
      <b/>
      <i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u/>
      <sz val="9"/>
      <color rgb="FF0000D4"/>
      <name val="Arial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i/>
      <sz val="8"/>
      <color theme="1"/>
      <name val="Arial Narrow"/>
      <family val="2"/>
    </font>
    <font>
      <sz val="8"/>
      <color rgb="FF000000"/>
      <name val="Arial Narrow"/>
      <family val="2"/>
    </font>
    <font>
      <b/>
      <u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b/>
      <sz val="8"/>
      <color rgb="FF000000"/>
      <name val="Arial Narrow"/>
      <family val="2"/>
    </font>
    <font>
      <sz val="8"/>
      <color rgb="FFDD0806"/>
      <name val="Arial Narrow"/>
      <family val="2"/>
    </font>
    <font>
      <sz val="20"/>
      <color rgb="FFDD0806"/>
      <name val="Silom"/>
    </font>
    <font>
      <b/>
      <i/>
      <sz val="14"/>
      <color theme="1"/>
      <name val="Arial"/>
      <family val="2"/>
    </font>
    <font>
      <sz val="12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b/>
      <sz val="8"/>
      <color rgb="FFDD0806"/>
      <name val="Arial Narrow"/>
      <family val="2"/>
    </font>
    <font>
      <b/>
      <u/>
      <sz val="8"/>
      <color theme="1"/>
      <name val="Arial Narrow"/>
      <family val="2"/>
    </font>
    <font>
      <sz val="10"/>
      <color theme="1"/>
      <name val="Cordia New"/>
      <family val="2"/>
    </font>
    <font>
      <sz val="12"/>
      <color theme="1"/>
      <name val="BrowalliaUPC"/>
      <family val="2"/>
    </font>
    <font>
      <b/>
      <sz val="10"/>
      <color theme="1"/>
      <name val="Times New Roman"/>
      <family val="1"/>
    </font>
    <font>
      <b/>
      <u/>
      <sz val="9"/>
      <color rgb="FF0000D4"/>
      <name val="Arial"/>
      <family val="2"/>
    </font>
    <font>
      <b/>
      <u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11"/>
      <color theme="1"/>
      <name val="Calibri"/>
      <family val="2"/>
      <scheme val="minor"/>
    </font>
    <font>
      <sz val="8"/>
      <color theme="1"/>
      <name val="BrowalliaUPC"/>
      <family val="2"/>
    </font>
    <font>
      <b/>
      <u/>
      <sz val="8"/>
      <color theme="1"/>
      <name val="Arial Narrow"/>
      <family val="2"/>
    </font>
    <font>
      <b/>
      <sz val="12"/>
      <color theme="1"/>
      <name val="BrowalliaUPC"/>
      <family val="2"/>
    </font>
    <font>
      <b/>
      <i/>
      <sz val="8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i/>
      <sz val="9"/>
      <color theme="1"/>
      <name val="Arial"/>
      <family val="2"/>
    </font>
    <font>
      <b/>
      <u/>
      <sz val="8"/>
      <color rgb="FF0000D4"/>
      <name val="Arial"/>
      <family val="2"/>
    </font>
    <font>
      <b/>
      <sz val="16"/>
      <color rgb="FF993300"/>
      <name val="Arial Narrow"/>
      <family val="2"/>
    </font>
    <font>
      <sz val="8"/>
      <color rgb="FF993300"/>
      <name val="Arial Narrow"/>
      <family val="2"/>
    </font>
    <font>
      <sz val="10"/>
      <color rgb="FF993300"/>
      <name val="Arial Narrow"/>
      <family val="2"/>
    </font>
    <font>
      <b/>
      <sz val="10"/>
      <color rgb="FF993300"/>
      <name val="Arial Narrow"/>
      <family val="2"/>
    </font>
    <font>
      <sz val="8"/>
      <color rgb="FF006411"/>
      <name val="Arial Narrow"/>
      <family val="2"/>
    </font>
    <font>
      <sz val="8"/>
      <color rgb="FF0000D4"/>
      <name val="Arial Narrow"/>
      <family val="2"/>
    </font>
    <font>
      <sz val="9"/>
      <color theme="1"/>
      <name val="Arial Narrow"/>
      <family val="2"/>
    </font>
    <font>
      <sz val="9"/>
      <color rgb="FF006411"/>
      <name val="Arial Narrow"/>
      <family val="2"/>
    </font>
    <font>
      <b/>
      <sz val="9"/>
      <color theme="1"/>
      <name val="Arial Narrow"/>
      <family val="2"/>
    </font>
    <font>
      <sz val="11"/>
      <color theme="1"/>
      <name val="Tahoma"/>
      <family val="2"/>
    </font>
    <font>
      <b/>
      <sz val="8"/>
      <color theme="1"/>
      <name val="Courier New"/>
      <family val="3"/>
    </font>
    <font>
      <b/>
      <sz val="9"/>
      <color theme="1"/>
      <name val="Courier New"/>
      <family val="3"/>
    </font>
    <font>
      <b/>
      <sz val="8"/>
      <color theme="1"/>
      <name val="Arial Narrow"/>
      <family val="2"/>
    </font>
    <font>
      <b/>
      <i/>
      <sz val="8"/>
      <color theme="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FFCC00"/>
        <bgColor rgb="FFFFCC00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6E3BC"/>
        <bgColor rgb="FFD6E3BC"/>
      </patternFill>
    </fill>
    <fill>
      <patternFill patternType="solid">
        <fgColor rgb="FFFF9900"/>
        <bgColor rgb="FFFF9900"/>
      </patternFill>
    </fill>
  </fills>
  <borders count="10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theme="1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theme="1"/>
      </left>
      <right style="medium">
        <color rgb="FF000000"/>
      </right>
      <top style="medium">
        <color rgb="FFCCCCCC"/>
      </top>
      <bottom/>
      <diagonal/>
    </border>
    <border>
      <left style="medium">
        <color theme="1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9" fontId="73" fillId="0" borderId="0" applyFont="0" applyFill="0" applyBorder="0" applyAlignment="0" applyProtection="0"/>
  </cellStyleXfs>
  <cellXfs count="70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vertical="center"/>
    </xf>
    <xf numFmtId="0" fontId="8" fillId="0" borderId="0" xfId="0" quotePrefix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1" fillId="0" borderId="0" xfId="0" applyFont="1" applyAlignment="1">
      <alignment vertical="center"/>
    </xf>
    <xf numFmtId="40" fontId="2" fillId="0" borderId="8" xfId="0" applyNumberFormat="1" applyFont="1" applyBorder="1"/>
    <xf numFmtId="40" fontId="2" fillId="0" borderId="0" xfId="0" applyNumberFormat="1" applyFont="1"/>
    <xf numFmtId="0" fontId="12" fillId="0" borderId="0" xfId="0" applyFont="1" applyAlignment="1">
      <alignment vertical="center"/>
    </xf>
    <xf numFmtId="0" fontId="6" fillId="0" borderId="8" xfId="0" applyFont="1" applyBorder="1"/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6" xfId="0" applyFont="1" applyBorder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6" fillId="0" borderId="3" xfId="0" applyFont="1" applyBorder="1"/>
    <xf numFmtId="0" fontId="13" fillId="0" borderId="0" xfId="0" applyFont="1" applyAlignment="1">
      <alignment vertical="center"/>
    </xf>
    <xf numFmtId="0" fontId="16" fillId="0" borderId="7" xfId="0" applyFont="1" applyBorder="1" applyAlignment="1">
      <alignment horizontal="center" vertical="center"/>
    </xf>
    <xf numFmtId="0" fontId="8" fillId="0" borderId="0" xfId="0" quotePrefix="1" applyFont="1" applyAlignment="1">
      <alignment horizontal="right" vertical="center"/>
    </xf>
    <xf numFmtId="0" fontId="1" fillId="0" borderId="8" xfId="0" applyFont="1" applyBorder="1"/>
    <xf numFmtId="0" fontId="1" fillId="0" borderId="0" xfId="0" quotePrefix="1" applyFont="1"/>
    <xf numFmtId="0" fontId="8" fillId="0" borderId="7" xfId="0" applyFont="1" applyBorder="1" applyAlignment="1">
      <alignment vertical="center"/>
    </xf>
    <xf numFmtId="0" fontId="17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0" xfId="0" applyFont="1"/>
    <xf numFmtId="0" fontId="18" fillId="0" borderId="0" xfId="0" applyFont="1" applyAlignment="1">
      <alignment vertical="center"/>
    </xf>
    <xf numFmtId="0" fontId="19" fillId="0" borderId="7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1" fillId="0" borderId="8" xfId="0" applyFont="1" applyBorder="1" applyAlignment="1">
      <alignment horizontal="center" vertical="center"/>
    </xf>
    <xf numFmtId="0" fontId="22" fillId="0" borderId="8" xfId="0" applyFont="1" applyBorder="1"/>
    <xf numFmtId="0" fontId="23" fillId="0" borderId="0" xfId="0" applyFont="1" applyAlignment="1">
      <alignment vertical="center"/>
    </xf>
    <xf numFmtId="0" fontId="24" fillId="0" borderId="8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quotePrefix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" fillId="0" borderId="7" xfId="0" applyFont="1" applyBorder="1"/>
    <xf numFmtId="0" fontId="2" fillId="0" borderId="8" xfId="0" applyFont="1" applyBorder="1"/>
    <xf numFmtId="0" fontId="6" fillId="0" borderId="4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5" xfId="0" applyFont="1" applyBorder="1"/>
    <xf numFmtId="0" fontId="24" fillId="0" borderId="6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5" fillId="0" borderId="0" xfId="0" applyFont="1"/>
    <xf numFmtId="0" fontId="27" fillId="0" borderId="0" xfId="0" applyFont="1" applyAlignment="1">
      <alignment horizontal="center"/>
    </xf>
    <xf numFmtId="0" fontId="28" fillId="0" borderId="0" xfId="0" applyFont="1"/>
    <xf numFmtId="40" fontId="27" fillId="0" borderId="0" xfId="0" applyNumberFormat="1" applyFont="1" applyAlignment="1">
      <alignment horizontal="right"/>
    </xf>
    <xf numFmtId="187" fontId="27" fillId="0" borderId="0" xfId="0" applyNumberFormat="1" applyFont="1"/>
    <xf numFmtId="40" fontId="27" fillId="0" borderId="0" xfId="0" applyNumberFormat="1" applyFont="1"/>
    <xf numFmtId="0" fontId="27" fillId="0" borderId="0" xfId="0" applyFont="1"/>
    <xf numFmtId="49" fontId="29" fillId="0" borderId="0" xfId="0" applyNumberFormat="1" applyFont="1"/>
    <xf numFmtId="0" fontId="29" fillId="0" borderId="0" xfId="0" applyFont="1"/>
    <xf numFmtId="40" fontId="30" fillId="0" borderId="0" xfId="0" applyNumberFormat="1" applyFont="1" applyAlignment="1">
      <alignment horizontal="center" vertical="center"/>
    </xf>
    <xf numFmtId="49" fontId="31" fillId="0" borderId="9" xfId="0" applyNumberFormat="1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40" fontId="32" fillId="0" borderId="0" xfId="0" applyNumberFormat="1" applyFont="1" applyAlignment="1">
      <alignment vertical="center"/>
    </xf>
    <xf numFmtId="40" fontId="29" fillId="0" borderId="0" xfId="0" applyNumberFormat="1" applyFont="1"/>
    <xf numFmtId="40" fontId="29" fillId="0" borderId="0" xfId="0" applyNumberFormat="1" applyFont="1" applyAlignment="1">
      <alignment horizontal="right"/>
    </xf>
    <xf numFmtId="40" fontId="33" fillId="0" borderId="0" xfId="0" applyNumberFormat="1" applyFont="1" applyAlignment="1">
      <alignment horizontal="left" vertical="center"/>
    </xf>
    <xf numFmtId="40" fontId="34" fillId="0" borderId="0" xfId="0" applyNumberFormat="1" applyFont="1" applyAlignment="1">
      <alignment horizontal="left" vertical="center"/>
    </xf>
    <xf numFmtId="0" fontId="35" fillId="0" borderId="5" xfId="0" applyFont="1" applyBorder="1" applyAlignment="1">
      <alignment horizontal="center" vertical="center"/>
    </xf>
    <xf numFmtId="40" fontId="35" fillId="0" borderId="5" xfId="0" applyNumberFormat="1" applyFont="1" applyBorder="1" applyAlignment="1">
      <alignment horizontal="right" vertical="center"/>
    </xf>
    <xf numFmtId="49" fontId="31" fillId="0" borderId="14" xfId="0" applyNumberFormat="1" applyFont="1" applyBorder="1" applyAlignment="1">
      <alignment horizontal="left" vertical="center"/>
    </xf>
    <xf numFmtId="49" fontId="31" fillId="0" borderId="16" xfId="0" applyNumberFormat="1" applyFont="1" applyBorder="1" applyAlignment="1">
      <alignment horizontal="left" vertical="center"/>
    </xf>
    <xf numFmtId="40" fontId="36" fillId="0" borderId="2" xfId="0" applyNumberFormat="1" applyFont="1" applyBorder="1" applyAlignment="1">
      <alignment horizontal="center" vertical="center"/>
    </xf>
    <xf numFmtId="187" fontId="36" fillId="0" borderId="2" xfId="0" applyNumberFormat="1" applyFont="1" applyBorder="1" applyAlignment="1">
      <alignment horizontal="center" vertical="center"/>
    </xf>
    <xf numFmtId="187" fontId="36" fillId="0" borderId="0" xfId="0" applyNumberFormat="1" applyFont="1" applyAlignment="1">
      <alignment horizontal="center" vertical="center"/>
    </xf>
    <xf numFmtId="40" fontId="3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1" fillId="0" borderId="21" xfId="0" applyNumberFormat="1" applyFont="1" applyBorder="1" applyAlignment="1">
      <alignment horizontal="left" vertical="center"/>
    </xf>
    <xf numFmtId="49" fontId="31" fillId="0" borderId="22" xfId="0" applyNumberFormat="1" applyFont="1" applyBorder="1" applyAlignment="1">
      <alignment horizontal="left" vertical="center"/>
    </xf>
    <xf numFmtId="40" fontId="36" fillId="0" borderId="5" xfId="0" applyNumberFormat="1" applyFont="1" applyBorder="1" applyAlignment="1">
      <alignment horizontal="center" vertical="center"/>
    </xf>
    <xf numFmtId="187" fontId="36" fillId="0" borderId="5" xfId="0" applyNumberFormat="1" applyFont="1" applyBorder="1" applyAlignment="1">
      <alignment horizontal="center" vertical="center"/>
    </xf>
    <xf numFmtId="49" fontId="31" fillId="0" borderId="27" xfId="0" applyNumberFormat="1" applyFont="1" applyBorder="1" applyAlignment="1">
      <alignment horizontal="left" vertical="center"/>
    </xf>
    <xf numFmtId="49" fontId="31" fillId="0" borderId="28" xfId="0" applyNumberFormat="1" applyFont="1" applyBorder="1" applyAlignment="1">
      <alignment horizontal="center" vertical="center"/>
    </xf>
    <xf numFmtId="49" fontId="31" fillId="0" borderId="29" xfId="0" applyNumberFormat="1" applyFont="1" applyBorder="1" applyAlignment="1">
      <alignment horizontal="center" vertical="center"/>
    </xf>
    <xf numFmtId="49" fontId="31" fillId="0" borderId="12" xfId="0" applyNumberFormat="1" applyFont="1" applyBorder="1" applyAlignment="1">
      <alignment horizontal="center" vertical="center"/>
    </xf>
    <xf numFmtId="49" fontId="31" fillId="0" borderId="30" xfId="0" applyNumberFormat="1" applyFont="1" applyBorder="1" applyAlignment="1">
      <alignment horizontal="center" vertical="center"/>
    </xf>
    <xf numFmtId="49" fontId="31" fillId="0" borderId="31" xfId="0" applyNumberFormat="1" applyFont="1" applyBorder="1" applyAlignment="1">
      <alignment horizontal="center" vertical="center"/>
    </xf>
    <xf numFmtId="49" fontId="31" fillId="0" borderId="32" xfId="0" applyNumberFormat="1" applyFont="1" applyBorder="1" applyAlignment="1">
      <alignment horizontal="left" vertical="center"/>
    </xf>
    <xf numFmtId="49" fontId="38" fillId="0" borderId="9" xfId="0" applyNumberFormat="1" applyFont="1" applyBorder="1" applyAlignment="1">
      <alignment horizontal="left" vertical="center"/>
    </xf>
    <xf numFmtId="40" fontId="36" fillId="0" borderId="0" xfId="0" applyNumberFormat="1" applyFont="1" applyAlignment="1">
      <alignment horizontal="right" vertical="center"/>
    </xf>
    <xf numFmtId="187" fontId="36" fillId="0" borderId="0" xfId="0" applyNumberFormat="1" applyFont="1" applyAlignment="1">
      <alignment vertical="center"/>
    </xf>
    <xf numFmtId="40" fontId="36" fillId="0" borderId="0" xfId="0" applyNumberFormat="1" applyFont="1" applyAlignment="1">
      <alignment vertical="center"/>
    </xf>
    <xf numFmtId="49" fontId="38" fillId="0" borderId="13" xfId="0" applyNumberFormat="1" applyFont="1" applyBorder="1" applyAlignment="1">
      <alignment horizontal="center" vertical="center"/>
    </xf>
    <xf numFmtId="49" fontId="38" fillId="0" borderId="0" xfId="0" applyNumberFormat="1" applyFont="1" applyAlignment="1">
      <alignment horizontal="center" vertical="center"/>
    </xf>
    <xf numFmtId="49" fontId="38" fillId="0" borderId="33" xfId="0" applyNumberFormat="1" applyFont="1" applyBorder="1" applyAlignment="1">
      <alignment horizontal="left" vertical="center"/>
    </xf>
    <xf numFmtId="49" fontId="38" fillId="0" borderId="15" xfId="0" applyNumberFormat="1" applyFont="1" applyBorder="1" applyAlignment="1">
      <alignment horizontal="center" vertical="center"/>
    </xf>
    <xf numFmtId="49" fontId="38" fillId="0" borderId="0" xfId="0" applyNumberFormat="1" applyFont="1" applyAlignment="1">
      <alignment horizontal="left" vertical="center"/>
    </xf>
    <xf numFmtId="49" fontId="38" fillId="0" borderId="18" xfId="0" applyNumberFormat="1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40" fontId="27" fillId="0" borderId="0" xfId="0" applyNumberFormat="1" applyFont="1" applyAlignment="1">
      <alignment horizontal="right" vertical="center"/>
    </xf>
    <xf numFmtId="187" fontId="27" fillId="0" borderId="0" xfId="0" applyNumberFormat="1" applyFont="1" applyAlignment="1">
      <alignment vertical="center"/>
    </xf>
    <xf numFmtId="40" fontId="27" fillId="0" borderId="0" xfId="0" applyNumberFormat="1" applyFont="1" applyAlignment="1">
      <alignment vertical="center"/>
    </xf>
    <xf numFmtId="2" fontId="27" fillId="0" borderId="0" xfId="0" applyNumberFormat="1" applyFont="1" applyAlignment="1">
      <alignment horizontal="right" vertical="center"/>
    </xf>
    <xf numFmtId="0" fontId="28" fillId="0" borderId="0" xfId="0" applyFont="1" applyAlignment="1">
      <alignment horizontal="left" vertical="center"/>
    </xf>
    <xf numFmtId="39" fontId="27" fillId="0" borderId="0" xfId="0" applyNumberFormat="1" applyFont="1" applyAlignment="1">
      <alignment vertical="center"/>
    </xf>
    <xf numFmtId="39" fontId="27" fillId="0" borderId="0" xfId="0" applyNumberFormat="1" applyFont="1" applyAlignment="1">
      <alignment horizontal="right" vertical="center"/>
    </xf>
    <xf numFmtId="2" fontId="27" fillId="0" borderId="0" xfId="0" applyNumberFormat="1" applyFont="1"/>
    <xf numFmtId="0" fontId="27" fillId="0" borderId="0" xfId="0" applyFont="1" applyAlignment="1">
      <alignment horizontal="center" vertical="center"/>
    </xf>
    <xf numFmtId="40" fontId="36" fillId="0" borderId="34" xfId="0" applyNumberFormat="1" applyFont="1" applyBorder="1" applyAlignment="1">
      <alignment horizontal="right" vertical="center"/>
    </xf>
    <xf numFmtId="39" fontId="36" fillId="0" borderId="0" xfId="0" applyNumberFormat="1" applyFont="1" applyAlignment="1">
      <alignment vertical="center"/>
    </xf>
    <xf numFmtId="39" fontId="36" fillId="0" borderId="34" xfId="0" applyNumberFormat="1" applyFont="1" applyBorder="1" applyAlignment="1">
      <alignment horizontal="right" vertical="center"/>
    </xf>
    <xf numFmtId="0" fontId="36" fillId="0" borderId="0" xfId="0" applyFont="1"/>
    <xf numFmtId="0" fontId="36" fillId="0" borderId="0" xfId="0" applyFont="1" applyAlignment="1">
      <alignment vertical="center"/>
    </xf>
    <xf numFmtId="39" fontId="36" fillId="0" borderId="0" xfId="0" applyNumberFormat="1" applyFont="1" applyAlignment="1">
      <alignment horizontal="right" vertical="center"/>
    </xf>
    <xf numFmtId="190" fontId="27" fillId="0" borderId="0" xfId="0" applyNumberFormat="1" applyFont="1" applyAlignment="1">
      <alignment vertical="center"/>
    </xf>
    <xf numFmtId="191" fontId="27" fillId="0" borderId="0" xfId="0" applyNumberFormat="1" applyFont="1" applyAlignment="1">
      <alignment vertical="center"/>
    </xf>
    <xf numFmtId="190" fontId="27" fillId="0" borderId="0" xfId="0" applyNumberFormat="1" applyFont="1" applyAlignment="1">
      <alignment horizontal="right" vertical="center"/>
    </xf>
    <xf numFmtId="187" fontId="39" fillId="0" borderId="0" xfId="0" applyNumberFormat="1" applyFont="1" applyAlignment="1">
      <alignment vertical="center"/>
    </xf>
    <xf numFmtId="0" fontId="40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190" fontId="36" fillId="0" borderId="34" xfId="0" applyNumberFormat="1" applyFont="1" applyBorder="1" applyAlignment="1">
      <alignment horizontal="right" vertical="center"/>
    </xf>
    <xf numFmtId="189" fontId="37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190" fontId="36" fillId="0" borderId="0" xfId="0" applyNumberFormat="1" applyFont="1" applyAlignment="1">
      <alignment horizontal="right" vertical="center"/>
    </xf>
    <xf numFmtId="190" fontId="36" fillId="0" borderId="0" xfId="0" applyNumberFormat="1" applyFont="1" applyAlignment="1">
      <alignment vertical="center"/>
    </xf>
    <xf numFmtId="187" fontId="36" fillId="0" borderId="0" xfId="0" applyNumberFormat="1" applyFont="1"/>
    <xf numFmtId="187" fontId="27" fillId="0" borderId="0" xfId="0" applyNumberFormat="1" applyFont="1" applyAlignment="1">
      <alignment horizontal="right" vertical="center"/>
    </xf>
    <xf numFmtId="40" fontId="36" fillId="0" borderId="35" xfId="0" applyNumberFormat="1" applyFont="1" applyBorder="1" applyAlignment="1">
      <alignment horizontal="right" vertical="center"/>
    </xf>
    <xf numFmtId="39" fontId="36" fillId="0" borderId="35" xfId="0" applyNumberFormat="1" applyFont="1" applyBorder="1" applyAlignment="1">
      <alignment horizontal="right" vertical="center"/>
    </xf>
    <xf numFmtId="40" fontId="41" fillId="0" borderId="0" xfId="0" applyNumberFormat="1" applyFont="1" applyAlignment="1">
      <alignment horizontal="right" vertical="center"/>
    </xf>
    <xf numFmtId="187" fontId="41" fillId="0" borderId="0" xfId="0" applyNumberFormat="1" applyFont="1" applyAlignment="1">
      <alignment vertical="center"/>
    </xf>
    <xf numFmtId="39" fontId="27" fillId="0" borderId="0" xfId="0" applyNumberFormat="1" applyFont="1"/>
    <xf numFmtId="0" fontId="28" fillId="0" borderId="0" xfId="0" applyFont="1" applyAlignment="1">
      <alignment horizontal="right"/>
    </xf>
    <xf numFmtId="49" fontId="42" fillId="0" borderId="0" xfId="0" applyNumberFormat="1" applyFont="1"/>
    <xf numFmtId="0" fontId="42" fillId="0" borderId="0" xfId="0" applyFont="1"/>
    <xf numFmtId="0" fontId="28" fillId="0" borderId="0" xfId="0" applyFont="1" applyAlignment="1">
      <alignment horizontal="right" vertical="center"/>
    </xf>
    <xf numFmtId="187" fontId="27" fillId="0" borderId="0" xfId="0" applyNumberFormat="1" applyFont="1" applyAlignment="1">
      <alignment horizontal="right"/>
    </xf>
    <xf numFmtId="192" fontId="27" fillId="0" borderId="0" xfId="0" applyNumberFormat="1" applyFont="1"/>
    <xf numFmtId="0" fontId="43" fillId="0" borderId="0" xfId="0" applyFont="1"/>
    <xf numFmtId="40" fontId="44" fillId="0" borderId="0" xfId="0" applyNumberFormat="1" applyFont="1" applyAlignment="1">
      <alignment vertical="center"/>
    </xf>
    <xf numFmtId="0" fontId="35" fillId="0" borderId="5" xfId="0" applyFont="1" applyBorder="1" applyAlignment="1">
      <alignment horizontal="right" vertical="center"/>
    </xf>
    <xf numFmtId="192" fontId="36" fillId="0" borderId="0" xfId="0" applyNumberFormat="1" applyFont="1" applyAlignment="1">
      <alignment horizontal="center" vertical="center"/>
    </xf>
    <xf numFmtId="49" fontId="31" fillId="0" borderId="9" xfId="0" applyNumberFormat="1" applyFont="1" applyBorder="1" applyAlignment="1">
      <alignment vertical="center" wrapText="1"/>
    </xf>
    <xf numFmtId="49" fontId="31" fillId="0" borderId="9" xfId="0" applyNumberFormat="1" applyFont="1" applyBorder="1" applyAlignment="1">
      <alignment horizontal="center" vertical="center" wrapText="1"/>
    </xf>
    <xf numFmtId="49" fontId="31" fillId="0" borderId="9" xfId="0" applyNumberFormat="1" applyFont="1" applyBorder="1" applyAlignment="1">
      <alignment horizontal="left" vertical="center"/>
    </xf>
    <xf numFmtId="193" fontId="37" fillId="0" borderId="0" xfId="0" applyNumberFormat="1" applyFont="1" applyAlignment="1">
      <alignment vertical="center"/>
    </xf>
    <xf numFmtId="187" fontId="36" fillId="0" borderId="0" xfId="0" applyNumberFormat="1" applyFont="1" applyAlignment="1">
      <alignment horizontal="right" vertical="center"/>
    </xf>
    <xf numFmtId="193" fontId="36" fillId="0" borderId="0" xfId="0" applyNumberFormat="1" applyFont="1" applyAlignment="1">
      <alignment horizontal="right" vertical="center"/>
    </xf>
    <xf numFmtId="193" fontId="27" fillId="0" borderId="0" xfId="0" applyNumberFormat="1" applyFont="1"/>
    <xf numFmtId="193" fontId="27" fillId="0" borderId="0" xfId="0" applyNumberFormat="1" applyFont="1" applyAlignment="1">
      <alignment horizontal="right" vertical="center"/>
    </xf>
    <xf numFmtId="192" fontId="27" fillId="0" borderId="0" xfId="0" applyNumberFormat="1" applyFont="1" applyAlignment="1">
      <alignment horizontal="right" vertical="center"/>
    </xf>
    <xf numFmtId="193" fontId="27" fillId="0" borderId="0" xfId="0" applyNumberFormat="1" applyFont="1" applyAlignment="1">
      <alignment horizontal="center" vertical="center"/>
    </xf>
    <xf numFmtId="0" fontId="28" fillId="0" borderId="0" xfId="0" quotePrefix="1" applyFont="1" applyAlignment="1">
      <alignment horizontal="left" vertical="center"/>
    </xf>
    <xf numFmtId="194" fontId="27" fillId="0" borderId="0" xfId="0" applyNumberFormat="1" applyFont="1" applyAlignment="1">
      <alignment horizontal="right" vertical="center"/>
    </xf>
    <xf numFmtId="193" fontId="36" fillId="0" borderId="0" xfId="0" applyNumberFormat="1" applyFont="1" applyAlignment="1">
      <alignment horizontal="left" vertical="center"/>
    </xf>
    <xf numFmtId="194" fontId="36" fillId="0" borderId="35" xfId="0" applyNumberFormat="1" applyFont="1" applyBorder="1" applyAlignment="1">
      <alignment horizontal="right" vertical="center"/>
    </xf>
    <xf numFmtId="194" fontId="36" fillId="0" borderId="34" xfId="0" applyNumberFormat="1" applyFont="1" applyBorder="1" applyAlignment="1">
      <alignment horizontal="right" vertical="center"/>
    </xf>
    <xf numFmtId="194" fontId="36" fillId="0" borderId="0" xfId="0" applyNumberFormat="1" applyFont="1" applyAlignment="1">
      <alignment horizontal="right" vertical="center"/>
    </xf>
    <xf numFmtId="193" fontId="36" fillId="0" borderId="0" xfId="0" applyNumberFormat="1" applyFont="1"/>
    <xf numFmtId="193" fontId="40" fillId="0" borderId="0" xfId="0" applyNumberFormat="1" applyFont="1" applyAlignment="1">
      <alignment horizontal="left" vertical="center"/>
    </xf>
    <xf numFmtId="40" fontId="45" fillId="0" borderId="0" xfId="0" applyNumberFormat="1" applyFont="1" applyAlignment="1">
      <alignment horizontal="right" vertical="center"/>
    </xf>
    <xf numFmtId="40" fontId="45" fillId="0" borderId="0" xfId="0" applyNumberFormat="1" applyFont="1" applyAlignment="1">
      <alignment vertical="center"/>
    </xf>
    <xf numFmtId="39" fontId="45" fillId="0" borderId="0" xfId="0" applyNumberFormat="1" applyFont="1" applyAlignment="1">
      <alignment vertical="center"/>
    </xf>
    <xf numFmtId="194" fontId="45" fillId="0" borderId="0" xfId="0" applyNumberFormat="1" applyFont="1" applyAlignment="1">
      <alignment horizontal="right" vertical="center"/>
    </xf>
    <xf numFmtId="187" fontId="36" fillId="0" borderId="34" xfId="0" applyNumberFormat="1" applyFont="1" applyBorder="1" applyAlignment="1">
      <alignment horizontal="right" vertical="center"/>
    </xf>
    <xf numFmtId="193" fontId="36" fillId="0" borderId="0" xfId="0" applyNumberFormat="1" applyFont="1" applyAlignment="1">
      <alignment horizontal="center" vertical="center"/>
    </xf>
    <xf numFmtId="193" fontId="39" fillId="0" borderId="0" xfId="0" applyNumberFormat="1" applyFont="1" applyAlignment="1">
      <alignment vertical="center"/>
    </xf>
    <xf numFmtId="193" fontId="27" fillId="0" borderId="0" xfId="0" applyNumberFormat="1" applyFont="1" applyAlignment="1">
      <alignment horizontal="left" vertical="center"/>
    </xf>
    <xf numFmtId="40" fontId="46" fillId="0" borderId="0" xfId="0" applyNumberFormat="1" applyFont="1" applyAlignment="1">
      <alignment vertical="center"/>
    </xf>
    <xf numFmtId="193" fontId="46" fillId="0" borderId="0" xfId="0" applyNumberFormat="1" applyFont="1" applyAlignment="1">
      <alignment vertical="center"/>
    </xf>
    <xf numFmtId="40" fontId="41" fillId="0" borderId="0" xfId="0" applyNumberFormat="1" applyFont="1" applyAlignment="1">
      <alignment vertical="center"/>
    </xf>
    <xf numFmtId="192" fontId="36" fillId="0" borderId="0" xfId="0" applyNumberFormat="1" applyFont="1" applyAlignment="1">
      <alignment horizontal="right" vertical="center"/>
    </xf>
    <xf numFmtId="40" fontId="28" fillId="0" borderId="0" xfId="0" applyNumberFormat="1" applyFont="1" applyAlignment="1">
      <alignment vertical="center"/>
    </xf>
    <xf numFmtId="193" fontId="27" fillId="2" borderId="36" xfId="0" applyNumberFormat="1" applyFont="1" applyFill="1" applyBorder="1"/>
    <xf numFmtId="0" fontId="27" fillId="2" borderId="36" xfId="0" applyFont="1" applyFill="1" applyBorder="1"/>
    <xf numFmtId="0" fontId="36" fillId="0" borderId="0" xfId="0" applyFont="1" applyAlignment="1">
      <alignment horizontal="left" vertical="center"/>
    </xf>
    <xf numFmtId="195" fontId="27" fillId="0" borderId="0" xfId="0" applyNumberFormat="1" applyFont="1"/>
    <xf numFmtId="189" fontId="36" fillId="0" borderId="0" xfId="0" applyNumberFormat="1" applyFont="1" applyAlignment="1">
      <alignment vertical="center"/>
    </xf>
    <xf numFmtId="0" fontId="27" fillId="0" borderId="0" xfId="0" applyFont="1" applyAlignment="1">
      <alignment horizontal="left" vertical="center"/>
    </xf>
    <xf numFmtId="0" fontId="36" fillId="3" borderId="36" xfId="0" applyFont="1" applyFill="1" applyBorder="1" applyAlignment="1">
      <alignment horizontal="left" vertical="center"/>
    </xf>
    <xf numFmtId="40" fontId="36" fillId="3" borderId="36" xfId="0" applyNumberFormat="1" applyFont="1" applyFill="1" applyBorder="1" applyAlignment="1">
      <alignment horizontal="right" vertical="center"/>
    </xf>
    <xf numFmtId="40" fontId="36" fillId="3" borderId="36" xfId="0" applyNumberFormat="1" applyFont="1" applyFill="1" applyBorder="1" applyAlignment="1">
      <alignment vertical="center"/>
    </xf>
    <xf numFmtId="187" fontId="36" fillId="3" borderId="36" xfId="0" applyNumberFormat="1" applyFont="1" applyFill="1" applyBorder="1" applyAlignment="1">
      <alignment vertical="center"/>
    </xf>
    <xf numFmtId="194" fontId="36" fillId="3" borderId="36" xfId="0" applyNumberFormat="1" applyFont="1" applyFill="1" applyBorder="1" applyAlignment="1">
      <alignment horizontal="right" vertical="center"/>
    </xf>
    <xf numFmtId="0" fontId="27" fillId="3" borderId="36" xfId="0" applyFont="1" applyFill="1" applyBorder="1"/>
    <xf numFmtId="0" fontId="36" fillId="3" borderId="36" xfId="0" applyFont="1" applyFill="1" applyBorder="1"/>
    <xf numFmtId="49" fontId="38" fillId="3" borderId="37" xfId="0" applyNumberFormat="1" applyFont="1" applyFill="1" applyBorder="1" applyAlignment="1">
      <alignment horizontal="center" vertical="center"/>
    </xf>
    <xf numFmtId="49" fontId="38" fillId="3" borderId="36" xfId="0" applyNumberFormat="1" applyFont="1" applyFill="1" applyBorder="1" applyAlignment="1">
      <alignment horizontal="center" vertical="center"/>
    </xf>
    <xf numFmtId="49" fontId="38" fillId="3" borderId="38" xfId="0" applyNumberFormat="1" applyFont="1" applyFill="1" applyBorder="1" applyAlignment="1">
      <alignment horizontal="left" vertical="center"/>
    </xf>
    <xf numFmtId="49" fontId="38" fillId="3" borderId="39" xfId="0" applyNumberFormat="1" applyFont="1" applyFill="1" applyBorder="1" applyAlignment="1">
      <alignment horizontal="center" vertical="center"/>
    </xf>
    <xf numFmtId="49" fontId="38" fillId="3" borderId="36" xfId="0" applyNumberFormat="1" applyFont="1" applyFill="1" applyBorder="1" applyAlignment="1">
      <alignment horizontal="left" vertical="center"/>
    </xf>
    <xf numFmtId="0" fontId="27" fillId="3" borderId="36" xfId="0" applyFont="1" applyFill="1" applyBorder="1" applyAlignment="1">
      <alignment horizontal="left" vertical="center"/>
    </xf>
    <xf numFmtId="40" fontId="27" fillId="3" borderId="36" xfId="0" applyNumberFormat="1" applyFont="1" applyFill="1" applyBorder="1" applyAlignment="1">
      <alignment horizontal="right" vertical="center"/>
    </xf>
    <xf numFmtId="195" fontId="36" fillId="3" borderId="36" xfId="0" applyNumberFormat="1" applyFont="1" applyFill="1" applyBorder="1" applyAlignment="1">
      <alignment horizontal="right" vertical="center"/>
    </xf>
    <xf numFmtId="0" fontId="28" fillId="3" borderId="36" xfId="0" applyFont="1" applyFill="1" applyBorder="1" applyAlignment="1">
      <alignment horizontal="left" vertical="center"/>
    </xf>
    <xf numFmtId="0" fontId="28" fillId="3" borderId="36" xfId="0" quotePrefix="1" applyFont="1" applyFill="1" applyBorder="1" applyAlignment="1">
      <alignment horizontal="left" vertical="center"/>
    </xf>
    <xf numFmtId="40" fontId="36" fillId="3" borderId="40" xfId="0" applyNumberFormat="1" applyFont="1" applyFill="1" applyBorder="1" applyAlignment="1">
      <alignment horizontal="right" vertical="center"/>
    </xf>
    <xf numFmtId="40" fontId="36" fillId="3" borderId="40" xfId="0" applyNumberFormat="1" applyFont="1" applyFill="1" applyBorder="1" applyAlignment="1">
      <alignment vertical="center"/>
    </xf>
    <xf numFmtId="40" fontId="36" fillId="0" borderId="34" xfId="0" applyNumberFormat="1" applyFont="1" applyBorder="1" applyAlignment="1">
      <alignment vertical="center"/>
    </xf>
    <xf numFmtId="40" fontId="36" fillId="0" borderId="41" xfId="0" applyNumberFormat="1" applyFont="1" applyBorder="1" applyAlignment="1">
      <alignment horizontal="right" vertical="center"/>
    </xf>
    <xf numFmtId="194" fontId="36" fillId="0" borderId="41" xfId="0" applyNumberFormat="1" applyFont="1" applyBorder="1" applyAlignment="1">
      <alignment horizontal="right" vertical="center"/>
    </xf>
    <xf numFmtId="40" fontId="36" fillId="0" borderId="42" xfId="0" applyNumberFormat="1" applyFont="1" applyBorder="1" applyAlignment="1">
      <alignment horizontal="right" vertical="center"/>
    </xf>
    <xf numFmtId="194" fontId="36" fillId="0" borderId="42" xfId="0" applyNumberFormat="1" applyFont="1" applyBorder="1" applyAlignment="1">
      <alignment horizontal="right" vertical="center"/>
    </xf>
    <xf numFmtId="0" fontId="28" fillId="0" borderId="0" xfId="0" applyFont="1" applyAlignment="1">
      <alignment vertical="center"/>
    </xf>
    <xf numFmtId="40" fontId="36" fillId="0" borderId="0" xfId="0" applyNumberFormat="1" applyFont="1" applyAlignment="1">
      <alignment horizontal="right"/>
    </xf>
    <xf numFmtId="192" fontId="36" fillId="0" borderId="0" xfId="0" applyNumberFormat="1" applyFont="1"/>
    <xf numFmtId="192" fontId="27" fillId="0" borderId="0" xfId="0" applyNumberFormat="1" applyFont="1" applyAlignment="1">
      <alignment vertical="center"/>
    </xf>
    <xf numFmtId="0" fontId="37" fillId="0" borderId="0" xfId="0" applyFont="1" applyAlignment="1">
      <alignment vertical="center"/>
    </xf>
    <xf numFmtId="0" fontId="36" fillId="0" borderId="0" xfId="0" applyFont="1" applyAlignment="1">
      <alignment horizontal="left"/>
    </xf>
    <xf numFmtId="40" fontId="36" fillId="0" borderId="0" xfId="0" applyNumberFormat="1" applyFont="1"/>
    <xf numFmtId="40" fontId="36" fillId="0" borderId="34" xfId="0" applyNumberFormat="1" applyFont="1" applyBorder="1" applyAlignment="1">
      <alignment horizontal="right"/>
    </xf>
    <xf numFmtId="0" fontId="47" fillId="0" borderId="0" xfId="0" applyFont="1" applyAlignment="1">
      <alignment horizontal="left" vertical="center"/>
    </xf>
    <xf numFmtId="196" fontId="47" fillId="0" borderId="0" xfId="0" applyNumberFormat="1" applyFont="1" applyAlignment="1">
      <alignment horizontal="center" vertical="center"/>
    </xf>
    <xf numFmtId="38" fontId="47" fillId="0" borderId="0" xfId="0" applyNumberFormat="1" applyFont="1" applyAlignment="1">
      <alignment horizontal="center" vertical="center"/>
    </xf>
    <xf numFmtId="0" fontId="48" fillId="0" borderId="0" xfId="0" applyFont="1"/>
    <xf numFmtId="0" fontId="44" fillId="0" borderId="0" xfId="0" applyFont="1" applyAlignment="1">
      <alignment horizontal="left" vertical="center"/>
    </xf>
    <xf numFmtId="196" fontId="48" fillId="0" borderId="0" xfId="0" applyNumberFormat="1" applyFont="1" applyAlignment="1">
      <alignment vertical="center"/>
    </xf>
    <xf numFmtId="38" fontId="48" fillId="0" borderId="0" xfId="0" applyNumberFormat="1" applyFont="1" applyAlignment="1">
      <alignment vertical="center"/>
    </xf>
    <xf numFmtId="196" fontId="49" fillId="0" borderId="0" xfId="0" applyNumberFormat="1" applyFont="1" applyAlignment="1">
      <alignment vertical="center"/>
    </xf>
    <xf numFmtId="40" fontId="50" fillId="0" borderId="0" xfId="0" applyNumberFormat="1" applyFont="1"/>
    <xf numFmtId="0" fontId="51" fillId="0" borderId="46" xfId="0" applyFont="1" applyBorder="1" applyAlignment="1">
      <alignment horizontal="center" vertical="center"/>
    </xf>
    <xf numFmtId="0" fontId="51" fillId="0" borderId="18" xfId="0" applyFont="1" applyBorder="1" applyAlignment="1">
      <alignment horizontal="center" vertical="center"/>
    </xf>
    <xf numFmtId="0" fontId="51" fillId="0" borderId="47" xfId="0" applyFont="1" applyBorder="1" applyAlignment="1">
      <alignment horizontal="center" vertical="center"/>
    </xf>
    <xf numFmtId="0" fontId="52" fillId="0" borderId="0" xfId="0" applyFont="1"/>
    <xf numFmtId="0" fontId="51" fillId="0" borderId="7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1" fillId="0" borderId="8" xfId="0" applyFont="1" applyBorder="1" applyAlignment="1">
      <alignment horizontal="center" vertical="center"/>
    </xf>
    <xf numFmtId="38" fontId="51" fillId="0" borderId="54" xfId="0" applyNumberFormat="1" applyFont="1" applyBorder="1" applyAlignment="1">
      <alignment horizontal="center" vertical="center"/>
    </xf>
    <xf numFmtId="196" fontId="51" fillId="0" borderId="55" xfId="0" applyNumberFormat="1" applyFont="1" applyBorder="1" applyAlignment="1">
      <alignment horizontal="center" vertical="center"/>
    </xf>
    <xf numFmtId="38" fontId="51" fillId="0" borderId="55" xfId="0" applyNumberFormat="1" applyFont="1" applyBorder="1" applyAlignment="1">
      <alignment horizontal="center" vertical="center"/>
    </xf>
    <xf numFmtId="196" fontId="51" fillId="0" borderId="56" xfId="0" applyNumberFormat="1" applyFont="1" applyBorder="1" applyAlignment="1">
      <alignment horizontal="center" vertical="center"/>
    </xf>
    <xf numFmtId="0" fontId="51" fillId="0" borderId="24" xfId="0" applyFont="1" applyBorder="1" applyAlignment="1">
      <alignment horizontal="center" vertical="center"/>
    </xf>
    <xf numFmtId="0" fontId="51" fillId="0" borderId="57" xfId="0" applyFont="1" applyBorder="1" applyAlignment="1">
      <alignment horizontal="center" vertical="center"/>
    </xf>
    <xf numFmtId="196" fontId="51" fillId="0" borderId="58" xfId="0" applyNumberFormat="1" applyFont="1" applyBorder="1" applyAlignment="1">
      <alignment horizontal="center" vertical="center"/>
    </xf>
    <xf numFmtId="40" fontId="52" fillId="0" borderId="0" xfId="0" applyNumberFormat="1" applyFont="1" applyAlignment="1">
      <alignment vertical="center"/>
    </xf>
    <xf numFmtId="196" fontId="51" fillId="0" borderId="18" xfId="0" applyNumberFormat="1" applyFont="1" applyBorder="1" applyAlignment="1">
      <alignment vertical="center"/>
    </xf>
    <xf numFmtId="197" fontId="52" fillId="0" borderId="0" xfId="0" applyNumberFormat="1" applyFont="1" applyAlignment="1">
      <alignment vertical="center"/>
    </xf>
    <xf numFmtId="0" fontId="51" fillId="0" borderId="0" xfId="0" applyFont="1" applyAlignment="1">
      <alignment vertical="center"/>
    </xf>
    <xf numFmtId="49" fontId="38" fillId="0" borderId="17" xfId="0" applyNumberFormat="1" applyFont="1" applyBorder="1" applyAlignment="1">
      <alignment horizontal="center" vertical="center"/>
    </xf>
    <xf numFmtId="49" fontId="38" fillId="0" borderId="19" xfId="0" applyNumberFormat="1" applyFont="1" applyBorder="1" applyAlignment="1">
      <alignment horizontal="center" vertical="center"/>
    </xf>
    <xf numFmtId="196" fontId="52" fillId="0" borderId="0" xfId="0" applyNumberFormat="1" applyFont="1" applyAlignment="1">
      <alignment vertical="center"/>
    </xf>
    <xf numFmtId="4" fontId="52" fillId="0" borderId="0" xfId="0" applyNumberFormat="1" applyFont="1" applyAlignment="1">
      <alignment vertical="center"/>
    </xf>
    <xf numFmtId="0" fontId="52" fillId="0" borderId="0" xfId="0" applyFont="1" applyAlignment="1">
      <alignment vertical="center"/>
    </xf>
    <xf numFmtId="196" fontId="52" fillId="0" borderId="59" xfId="0" applyNumberFormat="1" applyFont="1" applyBorder="1" applyAlignment="1">
      <alignment vertical="center"/>
    </xf>
    <xf numFmtId="38" fontId="54" fillId="4" borderId="60" xfId="0" applyNumberFormat="1" applyFont="1" applyFill="1" applyBorder="1" applyAlignment="1">
      <alignment vertical="center"/>
    </xf>
    <xf numFmtId="196" fontId="52" fillId="4" borderId="60" xfId="0" applyNumberFormat="1" applyFont="1" applyFill="1" applyBorder="1" applyAlignment="1">
      <alignment vertical="center"/>
    </xf>
    <xf numFmtId="38" fontId="52" fillId="4" borderId="60" xfId="0" applyNumberFormat="1" applyFont="1" applyFill="1" applyBorder="1" applyAlignment="1">
      <alignment vertical="center"/>
    </xf>
    <xf numFmtId="0" fontId="53" fillId="4" borderId="60" xfId="0" applyFont="1" applyFill="1" applyBorder="1" applyAlignment="1">
      <alignment vertical="center"/>
    </xf>
    <xf numFmtId="38" fontId="52" fillId="0" borderId="0" xfId="0" applyNumberFormat="1" applyFont="1" applyAlignment="1">
      <alignment vertical="center"/>
    </xf>
    <xf numFmtId="0" fontId="55" fillId="0" borderId="0" xfId="0" applyFont="1" applyAlignment="1">
      <alignment vertical="center"/>
    </xf>
    <xf numFmtId="40" fontId="52" fillId="0" borderId="0" xfId="0" quotePrefix="1" applyNumberFormat="1" applyFont="1" applyAlignment="1">
      <alignment vertical="center"/>
    </xf>
    <xf numFmtId="40" fontId="52" fillId="0" borderId="0" xfId="0" applyNumberFormat="1" applyFont="1" applyAlignment="1">
      <alignment horizontal="right" vertical="center"/>
    </xf>
    <xf numFmtId="40" fontId="51" fillId="0" borderId="61" xfId="0" applyNumberFormat="1" applyFont="1" applyBorder="1" applyAlignment="1">
      <alignment vertical="center"/>
    </xf>
    <xf numFmtId="40" fontId="51" fillId="0" borderId="62" xfId="0" applyNumberFormat="1" applyFont="1" applyBorder="1" applyAlignment="1">
      <alignment vertical="center"/>
    </xf>
    <xf numFmtId="40" fontId="51" fillId="0" borderId="63" xfId="0" applyNumberFormat="1" applyFont="1" applyBorder="1" applyAlignment="1">
      <alignment vertical="center"/>
    </xf>
    <xf numFmtId="40" fontId="51" fillId="0" borderId="11" xfId="0" applyNumberFormat="1" applyFont="1" applyBorder="1" applyAlignment="1">
      <alignment vertical="center"/>
    </xf>
    <xf numFmtId="40" fontId="51" fillId="0" borderId="64" xfId="0" applyNumberFormat="1" applyFont="1" applyBorder="1" applyAlignment="1">
      <alignment vertical="center"/>
    </xf>
    <xf numFmtId="40" fontId="51" fillId="0" borderId="62" xfId="0" applyNumberFormat="1" applyFont="1" applyBorder="1" applyAlignment="1">
      <alignment horizontal="right" vertical="center"/>
    </xf>
    <xf numFmtId="40" fontId="51" fillId="0" borderId="65" xfId="0" applyNumberFormat="1" applyFont="1" applyBorder="1" applyAlignment="1">
      <alignment vertical="center"/>
    </xf>
    <xf numFmtId="40" fontId="51" fillId="0" borderId="0" xfId="0" applyNumberFormat="1" applyFont="1" applyAlignment="1">
      <alignment vertical="center"/>
    </xf>
    <xf numFmtId="40" fontId="56" fillId="0" borderId="0" xfId="0" applyNumberFormat="1" applyFont="1" applyAlignment="1">
      <alignment vertical="center"/>
    </xf>
    <xf numFmtId="40" fontId="51" fillId="0" borderId="11" xfId="0" quotePrefix="1" applyNumberFormat="1" applyFont="1" applyBorder="1" applyAlignment="1">
      <alignment vertical="center"/>
    </xf>
    <xf numFmtId="40" fontId="51" fillId="0" borderId="66" xfId="0" applyNumberFormat="1" applyFont="1" applyBorder="1" applyAlignment="1">
      <alignment vertical="center"/>
    </xf>
    <xf numFmtId="40" fontId="51" fillId="0" borderId="67" xfId="0" applyNumberFormat="1" applyFont="1" applyBorder="1" applyAlignment="1">
      <alignment vertical="center"/>
    </xf>
    <xf numFmtId="40" fontId="51" fillId="0" borderId="48" xfId="0" applyNumberFormat="1" applyFont="1" applyBorder="1" applyAlignment="1">
      <alignment vertical="center"/>
    </xf>
    <xf numFmtId="40" fontId="51" fillId="0" borderId="44" xfId="0" applyNumberFormat="1" applyFont="1" applyBorder="1" applyAlignment="1">
      <alignment vertical="center"/>
    </xf>
    <xf numFmtId="40" fontId="51" fillId="0" borderId="45" xfId="0" applyNumberFormat="1" applyFont="1" applyBorder="1" applyAlignment="1">
      <alignment vertical="center"/>
    </xf>
    <xf numFmtId="40" fontId="51" fillId="0" borderId="67" xfId="0" applyNumberFormat="1" applyFont="1" applyBorder="1" applyAlignment="1">
      <alignment horizontal="right" vertical="center"/>
    </xf>
    <xf numFmtId="40" fontId="51" fillId="0" borderId="68" xfId="0" applyNumberFormat="1" applyFont="1" applyBorder="1" applyAlignment="1">
      <alignment vertical="center"/>
    </xf>
    <xf numFmtId="40" fontId="51" fillId="0" borderId="54" xfId="0" applyNumberFormat="1" applyFont="1" applyBorder="1" applyAlignment="1">
      <alignment vertical="center"/>
    </xf>
    <xf numFmtId="40" fontId="51" fillId="0" borderId="55" xfId="0" applyNumberFormat="1" applyFont="1" applyBorder="1" applyAlignment="1">
      <alignment vertical="center"/>
    </xf>
    <xf numFmtId="40" fontId="51" fillId="0" borderId="69" xfId="0" applyNumberFormat="1" applyFont="1" applyBorder="1" applyAlignment="1">
      <alignment vertical="center"/>
    </xf>
    <xf numFmtId="40" fontId="51" fillId="0" borderId="70" xfId="0" applyNumberFormat="1" applyFont="1" applyBorder="1" applyAlignment="1">
      <alignment vertical="center"/>
    </xf>
    <xf numFmtId="40" fontId="51" fillId="0" borderId="71" xfId="0" applyNumberFormat="1" applyFont="1" applyBorder="1" applyAlignment="1">
      <alignment vertical="center"/>
    </xf>
    <xf numFmtId="40" fontId="51" fillId="0" borderId="55" xfId="0" applyNumberFormat="1" applyFont="1" applyBorder="1" applyAlignment="1">
      <alignment horizontal="right" vertical="center"/>
    </xf>
    <xf numFmtId="40" fontId="51" fillId="0" borderId="58" xfId="0" applyNumberFormat="1" applyFont="1" applyBorder="1" applyAlignment="1">
      <alignment vertical="center"/>
    </xf>
    <xf numFmtId="40" fontId="51" fillId="0" borderId="0" xfId="0" applyNumberFormat="1" applyFont="1" applyAlignment="1">
      <alignment horizontal="right" vertical="center"/>
    </xf>
    <xf numFmtId="40" fontId="52" fillId="0" borderId="63" xfId="0" applyNumberFormat="1" applyFont="1" applyBorder="1" applyAlignment="1">
      <alignment vertical="center"/>
    </xf>
    <xf numFmtId="40" fontId="54" fillId="0" borderId="0" xfId="0" applyNumberFormat="1" applyFont="1" applyAlignment="1">
      <alignment vertical="center"/>
    </xf>
    <xf numFmtId="40" fontId="57" fillId="0" borderId="67" xfId="0" applyNumberFormat="1" applyFont="1" applyBorder="1" applyAlignment="1">
      <alignment vertical="center"/>
    </xf>
    <xf numFmtId="40" fontId="57" fillId="0" borderId="44" xfId="0" applyNumberFormat="1" applyFont="1" applyBorder="1" applyAlignment="1">
      <alignment vertical="center"/>
    </xf>
    <xf numFmtId="40" fontId="51" fillId="0" borderId="72" xfId="0" applyNumberFormat="1" applyFont="1" applyBorder="1" applyAlignment="1">
      <alignment vertical="center"/>
    </xf>
    <xf numFmtId="40" fontId="51" fillId="0" borderId="73" xfId="0" applyNumberFormat="1" applyFont="1" applyBorder="1" applyAlignment="1">
      <alignment vertical="center"/>
    </xf>
    <xf numFmtId="40" fontId="51" fillId="0" borderId="35" xfId="0" applyNumberFormat="1" applyFont="1" applyBorder="1" applyAlignment="1">
      <alignment vertical="center"/>
    </xf>
    <xf numFmtId="40" fontId="51" fillId="0" borderId="51" xfId="0" applyNumberFormat="1" applyFont="1" applyBorder="1" applyAlignment="1">
      <alignment vertical="center"/>
    </xf>
    <xf numFmtId="40" fontId="51" fillId="0" borderId="73" xfId="0" applyNumberFormat="1" applyFont="1" applyBorder="1" applyAlignment="1">
      <alignment horizontal="right" vertical="center"/>
    </xf>
    <xf numFmtId="40" fontId="51" fillId="0" borderId="74" xfId="0" applyNumberFormat="1" applyFont="1" applyBorder="1" applyAlignment="1">
      <alignment vertical="center"/>
    </xf>
    <xf numFmtId="40" fontId="52" fillId="2" borderId="36" xfId="0" applyNumberFormat="1" applyFont="1" applyFill="1" applyBorder="1" applyAlignment="1">
      <alignment vertical="center"/>
    </xf>
    <xf numFmtId="40" fontId="52" fillId="2" borderId="75" xfId="0" applyNumberFormat="1" applyFont="1" applyFill="1" applyBorder="1" applyAlignment="1">
      <alignment vertical="center"/>
    </xf>
    <xf numFmtId="40" fontId="52" fillId="2" borderId="36" xfId="0" applyNumberFormat="1" applyFont="1" applyFill="1" applyBorder="1" applyAlignment="1">
      <alignment horizontal="right" vertical="center"/>
    </xf>
    <xf numFmtId="40" fontId="52" fillId="2" borderId="76" xfId="0" applyNumberFormat="1" applyFont="1" applyFill="1" applyBorder="1" applyAlignment="1">
      <alignment vertical="center"/>
    </xf>
    <xf numFmtId="40" fontId="52" fillId="2" borderId="36" xfId="0" quotePrefix="1" applyNumberFormat="1" applyFont="1" applyFill="1" applyBorder="1" applyAlignment="1">
      <alignment vertical="center"/>
    </xf>
    <xf numFmtId="40" fontId="52" fillId="0" borderId="0" xfId="0" applyNumberFormat="1" applyFont="1"/>
    <xf numFmtId="0" fontId="1" fillId="0" borderId="13" xfId="0" applyFont="1" applyBorder="1"/>
    <xf numFmtId="0" fontId="1" fillId="0" borderId="15" xfId="0" applyFont="1" applyBorder="1"/>
    <xf numFmtId="192" fontId="52" fillId="0" borderId="0" xfId="0" applyNumberFormat="1" applyFont="1" applyAlignment="1">
      <alignment horizontal="right" vertical="center"/>
    </xf>
    <xf numFmtId="192" fontId="52" fillId="0" borderId="0" xfId="0" applyNumberFormat="1" applyFont="1" applyAlignment="1">
      <alignment vertical="center"/>
    </xf>
    <xf numFmtId="194" fontId="52" fillId="0" borderId="0" xfId="0" applyNumberFormat="1" applyFont="1" applyAlignment="1">
      <alignment vertical="center"/>
    </xf>
    <xf numFmtId="4" fontId="52" fillId="0" borderId="0" xfId="0" applyNumberFormat="1" applyFont="1"/>
    <xf numFmtId="4" fontId="58" fillId="0" borderId="0" xfId="0" applyNumberFormat="1" applyFont="1" applyAlignment="1">
      <alignment vertical="center"/>
    </xf>
    <xf numFmtId="187" fontId="52" fillId="0" borderId="0" xfId="0" applyNumberFormat="1" applyFont="1" applyAlignment="1">
      <alignment vertical="center"/>
    </xf>
    <xf numFmtId="38" fontId="52" fillId="0" borderId="0" xfId="0" applyNumberFormat="1" applyFont="1"/>
    <xf numFmtId="196" fontId="52" fillId="0" borderId="0" xfId="0" applyNumberFormat="1" applyFont="1"/>
    <xf numFmtId="192" fontId="52" fillId="0" borderId="0" xfId="0" applyNumberFormat="1" applyFont="1"/>
    <xf numFmtId="194" fontId="52" fillId="0" borderId="0" xfId="0" applyNumberFormat="1" applyFont="1"/>
    <xf numFmtId="40" fontId="59" fillId="0" borderId="0" xfId="0" applyNumberFormat="1" applyFont="1" applyAlignment="1">
      <alignment vertical="center"/>
    </xf>
    <xf numFmtId="196" fontId="60" fillId="0" borderId="0" xfId="0" applyNumberFormat="1" applyFont="1" applyAlignment="1">
      <alignment horizontal="center" vertical="center"/>
    </xf>
    <xf numFmtId="38" fontId="60" fillId="0" borderId="0" xfId="0" applyNumberFormat="1" applyFont="1" applyAlignment="1">
      <alignment horizontal="center" vertical="center"/>
    </xf>
    <xf numFmtId="3" fontId="61" fillId="0" borderId="0" xfId="0" applyNumberFormat="1" applyFont="1" applyAlignment="1">
      <alignment horizontal="right" vertical="center"/>
    </xf>
    <xf numFmtId="196" fontId="30" fillId="0" borderId="0" xfId="0" applyNumberFormat="1" applyFont="1" applyAlignment="1">
      <alignment horizontal="right" vertical="center"/>
    </xf>
    <xf numFmtId="196" fontId="61" fillId="0" borderId="0" xfId="0" applyNumberFormat="1" applyFont="1" applyAlignment="1">
      <alignment horizontal="right" vertical="center"/>
    </xf>
    <xf numFmtId="0" fontId="62" fillId="0" borderId="0" xfId="0" applyFont="1" applyAlignment="1">
      <alignment horizontal="left" vertical="center"/>
    </xf>
    <xf numFmtId="38" fontId="61" fillId="0" borderId="0" xfId="0" applyNumberFormat="1" applyFont="1" applyAlignment="1">
      <alignment vertical="center"/>
    </xf>
    <xf numFmtId="196" fontId="61" fillId="0" borderId="0" xfId="0" applyNumberFormat="1" applyFont="1" applyAlignment="1">
      <alignment vertical="center"/>
    </xf>
    <xf numFmtId="3" fontId="51" fillId="0" borderId="46" xfId="0" applyNumberFormat="1" applyFont="1" applyBorder="1" applyAlignment="1">
      <alignment horizontal="center" vertical="center"/>
    </xf>
    <xf numFmtId="3" fontId="51" fillId="0" borderId="7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/>
    </xf>
    <xf numFmtId="0" fontId="30" fillId="0" borderId="57" xfId="0" applyFont="1" applyBorder="1" applyAlignment="1">
      <alignment horizontal="center" vertical="center"/>
    </xf>
    <xf numFmtId="3" fontId="51" fillId="0" borderId="0" xfId="0" applyNumberFormat="1" applyFont="1" applyAlignment="1">
      <alignment horizontal="right" vertical="center"/>
    </xf>
    <xf numFmtId="196" fontId="51" fillId="0" borderId="0" xfId="0" applyNumberFormat="1" applyFont="1" applyAlignment="1">
      <alignment horizontal="right" vertical="center"/>
    </xf>
    <xf numFmtId="0" fontId="63" fillId="0" borderId="0" xfId="0" applyFont="1" applyAlignment="1">
      <alignment horizontal="left" vertical="center"/>
    </xf>
    <xf numFmtId="1" fontId="51" fillId="0" borderId="0" xfId="0" applyNumberFormat="1" applyFont="1" applyAlignment="1">
      <alignment vertical="center"/>
    </xf>
    <xf numFmtId="196" fontId="51" fillId="0" borderId="0" xfId="0" applyNumberFormat="1" applyFont="1" applyAlignment="1">
      <alignment vertical="center"/>
    </xf>
    <xf numFmtId="0" fontId="51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/>
    </xf>
    <xf numFmtId="40" fontId="52" fillId="0" borderId="0" xfId="0" applyNumberFormat="1" applyFont="1" applyAlignment="1">
      <alignment horizontal="left" vertical="center"/>
    </xf>
    <xf numFmtId="40" fontId="52" fillId="0" borderId="20" xfId="0" applyNumberFormat="1" applyFont="1" applyBorder="1" applyAlignment="1">
      <alignment horizontal="right" vertical="center"/>
    </xf>
    <xf numFmtId="40" fontId="52" fillId="0" borderId="17" xfId="0" applyNumberFormat="1" applyFont="1" applyBorder="1" applyAlignment="1">
      <alignment horizontal="right" vertical="center"/>
    </xf>
    <xf numFmtId="40" fontId="52" fillId="0" borderId="18" xfId="0" applyNumberFormat="1" applyFont="1" applyBorder="1" applyAlignment="1">
      <alignment horizontal="left" vertical="center"/>
    </xf>
    <xf numFmtId="40" fontId="52" fillId="0" borderId="19" xfId="0" applyNumberFormat="1" applyFont="1" applyBorder="1" applyAlignment="1">
      <alignment horizontal="right" vertical="center"/>
    </xf>
    <xf numFmtId="40" fontId="52" fillId="0" borderId="20" xfId="0" applyNumberFormat="1" applyFont="1" applyBorder="1" applyAlignment="1">
      <alignment vertical="center"/>
    </xf>
    <xf numFmtId="40" fontId="51" fillId="0" borderId="26" xfId="0" applyNumberFormat="1" applyFont="1" applyBorder="1" applyAlignment="1">
      <alignment horizontal="right" vertical="center"/>
    </xf>
    <xf numFmtId="40" fontId="51" fillId="0" borderId="23" xfId="0" applyNumberFormat="1" applyFont="1" applyBorder="1" applyAlignment="1">
      <alignment horizontal="right" vertical="center"/>
    </xf>
    <xf numFmtId="40" fontId="51" fillId="0" borderId="24" xfId="0" applyNumberFormat="1" applyFont="1" applyBorder="1" applyAlignment="1">
      <alignment horizontal="left" vertical="center"/>
    </xf>
    <xf numFmtId="40" fontId="51" fillId="0" borderId="25" xfId="0" applyNumberFormat="1" applyFont="1" applyBorder="1" applyAlignment="1">
      <alignment horizontal="right" vertical="center"/>
    </xf>
    <xf numFmtId="40" fontId="51" fillId="0" borderId="26" xfId="0" applyNumberFormat="1" applyFont="1" applyBorder="1" applyAlignment="1">
      <alignment vertical="center"/>
    </xf>
    <xf numFmtId="40" fontId="51" fillId="0" borderId="0" xfId="0" applyNumberFormat="1" applyFont="1" applyAlignment="1">
      <alignment horizontal="left" vertical="center"/>
    </xf>
    <xf numFmtId="40" fontId="64" fillId="0" borderId="0" xfId="0" applyNumberFormat="1" applyFont="1" applyAlignment="1">
      <alignment horizontal="left" vertical="center"/>
    </xf>
    <xf numFmtId="40" fontId="52" fillId="0" borderId="20" xfId="0" applyNumberFormat="1" applyFont="1" applyBorder="1" applyAlignment="1">
      <alignment horizontal="left" vertical="center"/>
    </xf>
    <xf numFmtId="40" fontId="51" fillId="0" borderId="26" xfId="0" applyNumberFormat="1" applyFont="1" applyBorder="1" applyAlignment="1">
      <alignment horizontal="left" vertical="center"/>
    </xf>
    <xf numFmtId="40" fontId="65" fillId="0" borderId="77" xfId="0" applyNumberFormat="1" applyFont="1" applyBorder="1" applyAlignment="1">
      <alignment horizontal="right" vertical="center"/>
    </xf>
    <xf numFmtId="40" fontId="65" fillId="0" borderId="78" xfId="0" applyNumberFormat="1" applyFont="1" applyBorder="1" applyAlignment="1">
      <alignment horizontal="right" vertical="center"/>
    </xf>
    <xf numFmtId="40" fontId="65" fillId="0" borderId="5" xfId="0" applyNumberFormat="1" applyFont="1" applyBorder="1" applyAlignment="1">
      <alignment horizontal="right" vertical="center"/>
    </xf>
    <xf numFmtId="40" fontId="65" fillId="0" borderId="6" xfId="0" applyNumberFormat="1" applyFont="1" applyBorder="1" applyAlignment="1">
      <alignment horizontal="left" vertical="center"/>
    </xf>
    <xf numFmtId="40" fontId="65" fillId="0" borderId="78" xfId="0" applyNumberFormat="1" applyFont="1" applyBorder="1" applyAlignment="1">
      <alignment vertical="center"/>
    </xf>
    <xf numFmtId="40" fontId="65" fillId="0" borderId="79" xfId="0" applyNumberFormat="1" applyFont="1" applyBorder="1" applyAlignment="1">
      <alignment vertical="center"/>
    </xf>
    <xf numFmtId="40" fontId="65" fillId="0" borderId="0" xfId="0" applyNumberFormat="1" applyFont="1" applyAlignment="1">
      <alignment horizontal="left" vertical="center"/>
    </xf>
    <xf numFmtId="40" fontId="65" fillId="0" borderId="55" xfId="0" applyNumberFormat="1" applyFont="1" applyBorder="1" applyAlignment="1">
      <alignment horizontal="right" vertical="center"/>
    </xf>
    <xf numFmtId="40" fontId="65" fillId="0" borderId="54" xfId="0" applyNumberFormat="1" applyFont="1" applyBorder="1" applyAlignment="1">
      <alignment horizontal="right" vertical="center"/>
    </xf>
    <xf numFmtId="40" fontId="65" fillId="0" borderId="70" xfId="0" applyNumberFormat="1" applyFont="1" applyBorder="1" applyAlignment="1">
      <alignment horizontal="right" vertical="center"/>
    </xf>
    <xf numFmtId="40" fontId="65" fillId="0" borderId="71" xfId="0" applyNumberFormat="1" applyFont="1" applyBorder="1" applyAlignment="1">
      <alignment horizontal="left" vertical="center"/>
    </xf>
    <xf numFmtId="40" fontId="65" fillId="0" borderId="55" xfId="0" applyNumberFormat="1" applyFont="1" applyBorder="1" applyAlignment="1">
      <alignment vertical="center"/>
    </xf>
    <xf numFmtId="40" fontId="65" fillId="0" borderId="58" xfId="0" applyNumberFormat="1" applyFont="1" applyBorder="1" applyAlignment="1">
      <alignment vertical="center"/>
    </xf>
    <xf numFmtId="4" fontId="1" fillId="0" borderId="0" xfId="0" applyNumberFormat="1" applyFont="1"/>
    <xf numFmtId="38" fontId="52" fillId="0" borderId="0" xfId="0" applyNumberFormat="1" applyFont="1" applyAlignment="1">
      <alignment horizontal="right" vertical="center"/>
    </xf>
    <xf numFmtId="38" fontId="66" fillId="0" borderId="0" xfId="0" applyNumberFormat="1" applyFont="1" applyAlignment="1">
      <alignment horizontal="center" vertical="center"/>
    </xf>
    <xf numFmtId="38" fontId="52" fillId="0" borderId="0" xfId="0" applyNumberFormat="1" applyFont="1" applyAlignment="1">
      <alignment horizontal="left" vertical="center"/>
    </xf>
    <xf numFmtId="40" fontId="52" fillId="0" borderId="73" xfId="0" applyNumberFormat="1" applyFont="1" applyBorder="1" applyAlignment="1">
      <alignment horizontal="right" vertical="center"/>
    </xf>
    <xf numFmtId="4" fontId="51" fillId="0" borderId="73" xfId="0" applyNumberFormat="1" applyFont="1" applyBorder="1" applyAlignment="1">
      <alignment horizontal="right" vertical="center"/>
    </xf>
    <xf numFmtId="4" fontId="53" fillId="0" borderId="73" xfId="0" applyNumberFormat="1" applyFont="1" applyBorder="1" applyAlignment="1">
      <alignment horizontal="left" vertical="center"/>
    </xf>
    <xf numFmtId="4" fontId="51" fillId="0" borderId="73" xfId="0" applyNumberFormat="1" applyFont="1" applyBorder="1" applyAlignment="1">
      <alignment vertical="center"/>
    </xf>
    <xf numFmtId="197" fontId="52" fillId="0" borderId="0" xfId="0" applyNumberFormat="1" applyFont="1" applyAlignment="1">
      <alignment horizontal="left" vertical="center"/>
    </xf>
    <xf numFmtId="4" fontId="52" fillId="0" borderId="0" xfId="0" applyNumberFormat="1" applyFont="1" applyAlignment="1">
      <alignment horizontal="left" vertical="center"/>
    </xf>
    <xf numFmtId="197" fontId="52" fillId="0" borderId="0" xfId="0" applyNumberFormat="1" applyFont="1" applyAlignment="1">
      <alignment horizontal="right" vertical="center"/>
    </xf>
    <xf numFmtId="4" fontId="52" fillId="0" borderId="0" xfId="0" applyNumberFormat="1" applyFont="1" applyAlignment="1">
      <alignment horizontal="right" vertical="center"/>
    </xf>
    <xf numFmtId="38" fontId="27" fillId="0" borderId="0" xfId="0" applyNumberFormat="1" applyFont="1" applyAlignment="1">
      <alignment horizontal="right" vertical="center"/>
    </xf>
    <xf numFmtId="38" fontId="27" fillId="0" borderId="0" xfId="0" applyNumberFormat="1" applyFont="1" applyAlignment="1">
      <alignment vertical="center"/>
    </xf>
    <xf numFmtId="38" fontId="27" fillId="0" borderId="0" xfId="0" applyNumberFormat="1" applyFont="1"/>
    <xf numFmtId="38" fontId="42" fillId="0" borderId="0" xfId="0" applyNumberFormat="1" applyFont="1"/>
    <xf numFmtId="3" fontId="27" fillId="0" borderId="0" xfId="0" applyNumberFormat="1" applyFont="1" applyAlignment="1">
      <alignment horizontal="right" vertical="center"/>
    </xf>
    <xf numFmtId="196" fontId="27" fillId="0" borderId="0" xfId="0" applyNumberFormat="1" applyFont="1" applyAlignment="1">
      <alignment horizontal="right" vertical="center"/>
    </xf>
    <xf numFmtId="196" fontId="42" fillId="0" borderId="0" xfId="0" applyNumberFormat="1" applyFont="1" applyAlignment="1">
      <alignment horizontal="right"/>
    </xf>
    <xf numFmtId="196" fontId="27" fillId="0" borderId="0" xfId="0" applyNumberFormat="1" applyFont="1" applyAlignment="1">
      <alignment vertical="center"/>
    </xf>
    <xf numFmtId="3" fontId="42" fillId="0" borderId="0" xfId="0" applyNumberFormat="1" applyFont="1" applyAlignment="1">
      <alignment horizontal="right"/>
    </xf>
    <xf numFmtId="192" fontId="42" fillId="0" borderId="0" xfId="0" applyNumberFormat="1" applyFont="1" applyAlignment="1">
      <alignment horizontal="right"/>
    </xf>
    <xf numFmtId="40" fontId="42" fillId="0" borderId="0" xfId="0" applyNumberFormat="1" applyFont="1" applyAlignment="1">
      <alignment horizontal="right"/>
    </xf>
    <xf numFmtId="196" fontId="42" fillId="0" borderId="0" xfId="0" applyNumberFormat="1" applyFont="1"/>
    <xf numFmtId="192" fontId="42" fillId="0" borderId="0" xfId="0" applyNumberFormat="1" applyFont="1"/>
    <xf numFmtId="40" fontId="29" fillId="0" borderId="0" xfId="0" applyNumberFormat="1" applyFont="1" applyAlignment="1">
      <alignment vertical="center"/>
    </xf>
    <xf numFmtId="0" fontId="67" fillId="0" borderId="0" xfId="0" applyFont="1"/>
    <xf numFmtId="40" fontId="1" fillId="0" borderId="0" xfId="0" applyNumberFormat="1" applyFont="1"/>
    <xf numFmtId="38" fontId="68" fillId="0" borderId="0" xfId="0" applyNumberFormat="1" applyFont="1" applyAlignment="1">
      <alignment vertical="center"/>
    </xf>
    <xf numFmtId="196" fontId="69" fillId="0" borderId="0" xfId="0" applyNumberFormat="1" applyFont="1" applyAlignment="1">
      <alignment vertical="center"/>
    </xf>
    <xf numFmtId="196" fontId="68" fillId="0" borderId="0" xfId="0" applyNumberFormat="1" applyFont="1" applyAlignment="1">
      <alignment vertical="center"/>
    </xf>
    <xf numFmtId="40" fontId="62" fillId="0" borderId="0" xfId="0" applyNumberFormat="1" applyFont="1" applyAlignment="1">
      <alignment horizontal="center" vertical="center"/>
    </xf>
    <xf numFmtId="40" fontId="70" fillId="0" borderId="0" xfId="0" applyNumberFormat="1" applyFont="1" applyAlignment="1">
      <alignment vertical="center"/>
    </xf>
    <xf numFmtId="40" fontId="51" fillId="0" borderId="18" xfId="0" applyNumberFormat="1" applyFont="1" applyBorder="1" applyAlignment="1">
      <alignment vertical="center"/>
    </xf>
    <xf numFmtId="40" fontId="71" fillId="0" borderId="18" xfId="0" applyNumberFormat="1" applyFont="1" applyBorder="1" applyAlignment="1">
      <alignment horizontal="left" vertical="center"/>
    </xf>
    <xf numFmtId="0" fontId="51" fillId="0" borderId="0" xfId="0" applyFont="1"/>
    <xf numFmtId="40" fontId="52" fillId="0" borderId="18" xfId="0" applyNumberFormat="1" applyFont="1" applyBorder="1" applyAlignment="1">
      <alignment horizontal="right" vertical="center"/>
    </xf>
    <xf numFmtId="40" fontId="52" fillId="0" borderId="18" xfId="0" applyNumberFormat="1" applyFont="1" applyBorder="1" applyAlignment="1">
      <alignment vertical="center"/>
    </xf>
    <xf numFmtId="40" fontId="51" fillId="0" borderId="23" xfId="0" applyNumberFormat="1" applyFont="1" applyBorder="1" applyAlignment="1">
      <alignment vertical="center"/>
    </xf>
    <xf numFmtId="40" fontId="51" fillId="0" borderId="24" xfId="0" applyNumberFormat="1" applyFont="1" applyBorder="1" applyAlignment="1">
      <alignment vertical="center"/>
    </xf>
    <xf numFmtId="40" fontId="51" fillId="0" borderId="24" xfId="0" applyNumberFormat="1" applyFont="1" applyBorder="1" applyAlignment="1">
      <alignment horizontal="center" vertical="center"/>
    </xf>
    <xf numFmtId="40" fontId="51" fillId="0" borderId="0" xfId="0" applyNumberFormat="1" applyFont="1"/>
    <xf numFmtId="40" fontId="52" fillId="0" borderId="17" xfId="0" applyNumberFormat="1" applyFont="1" applyBorder="1" applyAlignment="1">
      <alignment horizontal="left" vertical="center"/>
    </xf>
    <xf numFmtId="40" fontId="52" fillId="0" borderId="19" xfId="0" applyNumberFormat="1" applyFont="1" applyBorder="1" applyAlignment="1">
      <alignment vertical="center"/>
    </xf>
    <xf numFmtId="40" fontId="51" fillId="0" borderId="25" xfId="0" applyNumberFormat="1" applyFont="1" applyBorder="1" applyAlignment="1">
      <alignment vertical="center"/>
    </xf>
    <xf numFmtId="49" fontId="38" fillId="0" borderId="13" xfId="0" applyNumberFormat="1" applyFont="1" applyBorder="1" applyAlignment="1">
      <alignment horizontal="left" vertical="center"/>
    </xf>
    <xf numFmtId="49" fontId="38" fillId="0" borderId="33" xfId="0" applyNumberFormat="1" applyFont="1" applyBorder="1" applyAlignment="1">
      <alignment horizontal="center" vertical="center"/>
    </xf>
    <xf numFmtId="40" fontId="52" fillId="0" borderId="19" xfId="0" applyNumberFormat="1" applyFont="1" applyBorder="1" applyAlignment="1">
      <alignment horizontal="left" vertical="center"/>
    </xf>
    <xf numFmtId="40" fontId="52" fillId="0" borderId="23" xfId="0" applyNumberFormat="1" applyFont="1" applyBorder="1" applyAlignment="1">
      <alignment vertical="center"/>
    </xf>
    <xf numFmtId="40" fontId="52" fillId="0" borderId="25" xfId="0" applyNumberFormat="1" applyFont="1" applyBorder="1" applyAlignment="1">
      <alignment vertical="center"/>
    </xf>
    <xf numFmtId="40" fontId="51" fillId="0" borderId="13" xfId="0" applyNumberFormat="1" applyFont="1" applyBorder="1" applyAlignment="1">
      <alignment vertical="center"/>
    </xf>
    <xf numFmtId="40" fontId="51" fillId="0" borderId="33" xfId="0" applyNumberFormat="1" applyFont="1" applyBorder="1" applyAlignment="1">
      <alignment vertical="center"/>
    </xf>
    <xf numFmtId="40" fontId="51" fillId="0" borderId="15" xfId="0" applyNumberFormat="1" applyFont="1" applyBorder="1" applyAlignment="1">
      <alignment vertical="center"/>
    </xf>
    <xf numFmtId="40" fontId="52" fillId="0" borderId="13" xfId="0" applyNumberFormat="1" applyFont="1" applyBorder="1" applyAlignment="1">
      <alignment horizontal="right" vertical="center"/>
    </xf>
    <xf numFmtId="40" fontId="52" fillId="0" borderId="33" xfId="0" applyNumberFormat="1" applyFont="1" applyBorder="1" applyAlignment="1">
      <alignment horizontal="right" vertical="center"/>
    </xf>
    <xf numFmtId="40" fontId="52" fillId="0" borderId="33" xfId="0" applyNumberFormat="1" applyFont="1" applyBorder="1" applyAlignment="1">
      <alignment vertical="center"/>
    </xf>
    <xf numFmtId="40" fontId="52" fillId="0" borderId="15" xfId="0" applyNumberFormat="1" applyFont="1" applyBorder="1" applyAlignment="1">
      <alignment horizontal="left" vertical="center"/>
    </xf>
    <xf numFmtId="193" fontId="51" fillId="0" borderId="0" xfId="0" applyNumberFormat="1" applyFont="1" applyAlignment="1">
      <alignment vertical="center"/>
    </xf>
    <xf numFmtId="194" fontId="51" fillId="0" borderId="0" xfId="0" applyNumberFormat="1" applyFont="1" applyAlignment="1">
      <alignment vertical="center"/>
    </xf>
    <xf numFmtId="40" fontId="72" fillId="0" borderId="0" xfId="0" applyNumberFormat="1" applyFont="1" applyAlignment="1">
      <alignment horizontal="center" vertical="center"/>
    </xf>
    <xf numFmtId="0" fontId="73" fillId="0" borderId="0" xfId="0" applyFont="1"/>
    <xf numFmtId="0" fontId="44" fillId="0" borderId="24" xfId="0" applyFont="1" applyBorder="1" applyAlignment="1">
      <alignment horizontal="left" vertical="center"/>
    </xf>
    <xf numFmtId="196" fontId="74" fillId="0" borderId="24" xfId="0" applyNumberFormat="1" applyFont="1" applyBorder="1" applyAlignment="1">
      <alignment vertical="center"/>
    </xf>
    <xf numFmtId="38" fontId="68" fillId="0" borderId="24" xfId="0" applyNumberFormat="1" applyFont="1" applyBorder="1" applyAlignment="1">
      <alignment vertical="center"/>
    </xf>
    <xf numFmtId="196" fontId="69" fillId="0" borderId="24" xfId="0" applyNumberFormat="1" applyFont="1" applyBorder="1" applyAlignment="1">
      <alignment vertical="center"/>
    </xf>
    <xf numFmtId="196" fontId="68" fillId="0" borderId="24" xfId="0" applyNumberFormat="1" applyFont="1" applyBorder="1" applyAlignment="1">
      <alignment vertical="center"/>
    </xf>
    <xf numFmtId="1" fontId="51" fillId="0" borderId="18" xfId="0" applyNumberFormat="1" applyFont="1" applyBorder="1" applyAlignment="1">
      <alignment vertical="center"/>
    </xf>
    <xf numFmtId="0" fontId="75" fillId="0" borderId="18" xfId="0" applyFont="1" applyBorder="1" applyAlignment="1">
      <alignment horizontal="left" vertical="center"/>
    </xf>
    <xf numFmtId="40" fontId="51" fillId="0" borderId="0" xfId="0" applyNumberFormat="1" applyFont="1" applyAlignment="1">
      <alignment horizontal="center" vertical="center"/>
    </xf>
    <xf numFmtId="40" fontId="52" fillId="0" borderId="13" xfId="0" applyNumberFormat="1" applyFont="1" applyBorder="1" applyAlignment="1">
      <alignment horizontal="left" vertical="center"/>
    </xf>
    <xf numFmtId="40" fontId="52" fillId="0" borderId="15" xfId="0" applyNumberFormat="1" applyFont="1" applyBorder="1" applyAlignment="1">
      <alignment vertical="center"/>
    </xf>
    <xf numFmtId="40" fontId="52" fillId="0" borderId="33" xfId="0" applyNumberFormat="1" applyFont="1" applyBorder="1" applyAlignment="1">
      <alignment horizontal="left" vertical="center"/>
    </xf>
    <xf numFmtId="0" fontId="68" fillId="0" borderId="0" xfId="0" applyFont="1" applyAlignment="1">
      <alignment vertical="center"/>
    </xf>
    <xf numFmtId="40" fontId="62" fillId="0" borderId="0" xfId="0" applyNumberFormat="1" applyFont="1" applyAlignment="1">
      <alignment horizontal="center"/>
    </xf>
    <xf numFmtId="193" fontId="51" fillId="0" borderId="18" xfId="0" applyNumberFormat="1" applyFont="1" applyBorder="1" applyAlignment="1">
      <alignment vertical="center"/>
    </xf>
    <xf numFmtId="4" fontId="76" fillId="0" borderId="0" xfId="0" applyNumberFormat="1" applyFont="1" applyAlignment="1">
      <alignment vertical="center"/>
    </xf>
    <xf numFmtId="0" fontId="33" fillId="0" borderId="0" xfId="0" applyFont="1" applyAlignment="1">
      <alignment horizontal="center" vertical="center"/>
    </xf>
    <xf numFmtId="196" fontId="77" fillId="0" borderId="0" xfId="0" applyNumberFormat="1" applyFont="1" applyAlignment="1">
      <alignment horizontal="center" vertical="center"/>
    </xf>
    <xf numFmtId="38" fontId="78" fillId="0" borderId="0" xfId="0" applyNumberFormat="1" applyFont="1" applyAlignment="1">
      <alignment horizontal="center" vertical="center"/>
    </xf>
    <xf numFmtId="196" fontId="78" fillId="0" borderId="0" xfId="0" applyNumberFormat="1" applyFont="1" applyAlignment="1">
      <alignment horizontal="center" vertical="center"/>
    </xf>
    <xf numFmtId="196" fontId="62" fillId="0" borderId="0" xfId="0" applyNumberFormat="1" applyFont="1" applyAlignment="1">
      <alignment horizontal="left" vertical="center"/>
    </xf>
    <xf numFmtId="38" fontId="44" fillId="0" borderId="0" xfId="0" applyNumberFormat="1" applyFont="1" applyAlignment="1">
      <alignment vertical="center"/>
    </xf>
    <xf numFmtId="196" fontId="74" fillId="0" borderId="0" xfId="0" applyNumberFormat="1" applyFont="1" applyAlignment="1">
      <alignment vertical="center"/>
    </xf>
    <xf numFmtId="0" fontId="79" fillId="0" borderId="0" xfId="0" applyFont="1" applyAlignment="1">
      <alignment horizontal="center" vertical="center"/>
    </xf>
    <xf numFmtId="40" fontId="80" fillId="0" borderId="0" xfId="0" applyNumberFormat="1" applyFont="1"/>
    <xf numFmtId="0" fontId="43" fillId="0" borderId="0" xfId="0" applyFont="1" applyAlignment="1">
      <alignment horizontal="center"/>
    </xf>
    <xf numFmtId="194" fontId="51" fillId="0" borderId="18" xfId="0" applyNumberFormat="1" applyFont="1" applyBorder="1" applyAlignment="1">
      <alignment vertical="center"/>
    </xf>
    <xf numFmtId="194" fontId="27" fillId="0" borderId="0" xfId="0" applyNumberFormat="1" applyFont="1" applyAlignment="1">
      <alignment vertical="center"/>
    </xf>
    <xf numFmtId="38" fontId="44" fillId="0" borderId="24" xfId="0" applyNumberFormat="1" applyFont="1" applyBorder="1" applyAlignment="1">
      <alignment vertical="center"/>
    </xf>
    <xf numFmtId="193" fontId="52" fillId="0" borderId="0" xfId="0" applyNumberFormat="1" applyFont="1" applyAlignment="1">
      <alignment vertical="center"/>
    </xf>
    <xf numFmtId="197" fontId="52" fillId="0" borderId="0" xfId="0" applyNumberFormat="1" applyFont="1"/>
    <xf numFmtId="196" fontId="76" fillId="0" borderId="0" xfId="0" applyNumberFormat="1" applyFont="1" applyAlignment="1">
      <alignment horizontal="right" vertical="center"/>
    </xf>
    <xf numFmtId="40" fontId="30" fillId="0" borderId="0" xfId="0" applyNumberFormat="1" applyFont="1"/>
    <xf numFmtId="40" fontId="33" fillId="0" borderId="0" xfId="0" applyNumberFormat="1" applyFont="1"/>
    <xf numFmtId="40" fontId="62" fillId="0" borderId="0" xfId="0" applyNumberFormat="1" applyFont="1"/>
    <xf numFmtId="49" fontId="31" fillId="0" borderId="80" xfId="0" applyNumberFormat="1" applyFont="1" applyBorder="1" applyAlignment="1">
      <alignment horizontal="left" vertical="center"/>
    </xf>
    <xf numFmtId="49" fontId="31" fillId="0" borderId="81" xfId="0" applyNumberFormat="1" applyFont="1" applyBorder="1" applyAlignment="1">
      <alignment horizontal="left" vertical="center"/>
    </xf>
    <xf numFmtId="38" fontId="51" fillId="0" borderId="18" xfId="0" applyNumberFormat="1" applyFont="1" applyBorder="1" applyAlignment="1">
      <alignment vertical="center"/>
    </xf>
    <xf numFmtId="49" fontId="38" fillId="0" borderId="82" xfId="0" applyNumberFormat="1" applyFont="1" applyBorder="1" applyAlignment="1">
      <alignment horizontal="left" vertical="center"/>
    </xf>
    <xf numFmtId="40" fontId="52" fillId="0" borderId="24" xfId="0" applyNumberFormat="1" applyFont="1" applyBorder="1" applyAlignment="1">
      <alignment vertical="center"/>
    </xf>
    <xf numFmtId="40" fontId="52" fillId="0" borderId="26" xfId="0" applyNumberFormat="1" applyFont="1" applyBorder="1" applyAlignment="1">
      <alignment vertical="center"/>
    </xf>
    <xf numFmtId="0" fontId="81" fillId="0" borderId="0" xfId="0" applyFont="1" applyAlignment="1">
      <alignment vertical="center"/>
    </xf>
    <xf numFmtId="0" fontId="82" fillId="0" borderId="0" xfId="0" applyFont="1" applyAlignment="1">
      <alignment vertical="center"/>
    </xf>
    <xf numFmtId="198" fontId="82" fillId="0" borderId="0" xfId="0" applyNumberFormat="1" applyFont="1" applyAlignment="1">
      <alignment vertical="center"/>
    </xf>
    <xf numFmtId="0" fontId="83" fillId="0" borderId="0" xfId="0" applyFont="1" applyAlignment="1">
      <alignment vertical="center"/>
    </xf>
    <xf numFmtId="199" fontId="82" fillId="0" borderId="0" xfId="0" applyNumberFormat="1" applyFont="1" applyAlignment="1">
      <alignment vertical="center"/>
    </xf>
    <xf numFmtId="200" fontId="82" fillId="0" borderId="0" xfId="0" applyNumberFormat="1" applyFont="1" applyAlignment="1">
      <alignment horizontal="center" vertical="center"/>
    </xf>
    <xf numFmtId="0" fontId="84" fillId="0" borderId="0" xfId="0" applyFont="1" applyAlignment="1">
      <alignment vertical="center"/>
    </xf>
    <xf numFmtId="0" fontId="84" fillId="0" borderId="0" xfId="0" applyFont="1" applyAlignment="1">
      <alignment horizontal="right" vertical="center"/>
    </xf>
    <xf numFmtId="0" fontId="52" fillId="0" borderId="83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198" fontId="85" fillId="0" borderId="83" xfId="0" quotePrefix="1" applyNumberFormat="1" applyFont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0" fontId="52" fillId="0" borderId="78" xfId="0" applyFont="1" applyBorder="1" applyAlignment="1">
      <alignment vertical="center"/>
    </xf>
    <xf numFmtId="202" fontId="86" fillId="0" borderId="4" xfId="0" applyNumberFormat="1" applyFont="1" applyBorder="1" applyAlignment="1">
      <alignment horizontal="center" vertical="center"/>
    </xf>
    <xf numFmtId="198" fontId="85" fillId="0" borderId="78" xfId="0" applyNumberFormat="1" applyFont="1" applyBorder="1" applyAlignment="1">
      <alignment vertical="center"/>
    </xf>
    <xf numFmtId="202" fontId="52" fillId="0" borderId="5" xfId="0" applyNumberFormat="1" applyFont="1" applyBorder="1" applyAlignment="1">
      <alignment horizontal="center" vertical="center"/>
    </xf>
    <xf numFmtId="0" fontId="52" fillId="0" borderId="4" xfId="0" applyFont="1" applyBorder="1" applyAlignment="1">
      <alignment horizontal="center" vertical="center"/>
    </xf>
    <xf numFmtId="0" fontId="51" fillId="0" borderId="1" xfId="0" applyFont="1" applyBorder="1" applyAlignment="1">
      <alignment vertical="center"/>
    </xf>
    <xf numFmtId="203" fontId="52" fillId="0" borderId="1" xfId="0" applyNumberFormat="1" applyFont="1" applyBorder="1" applyAlignment="1">
      <alignment vertical="center"/>
    </xf>
    <xf numFmtId="198" fontId="85" fillId="0" borderId="83" xfId="0" applyNumberFormat="1" applyFont="1" applyBorder="1" applyAlignment="1">
      <alignment vertical="center"/>
    </xf>
    <xf numFmtId="203" fontId="52" fillId="0" borderId="2" xfId="0" applyNumberFormat="1" applyFont="1" applyBorder="1" applyAlignment="1">
      <alignment vertical="center"/>
    </xf>
    <xf numFmtId="0" fontId="52" fillId="0" borderId="84" xfId="0" applyFont="1" applyBorder="1" applyAlignment="1">
      <alignment vertical="center"/>
    </xf>
    <xf numFmtId="203" fontId="86" fillId="0" borderId="84" xfId="0" applyNumberFormat="1" applyFont="1" applyBorder="1" applyAlignment="1">
      <alignment vertical="center"/>
    </xf>
    <xf numFmtId="198" fontId="85" fillId="0" borderId="85" xfId="0" applyNumberFormat="1" applyFont="1" applyBorder="1" applyAlignment="1">
      <alignment vertical="center"/>
    </xf>
    <xf numFmtId="203" fontId="52" fillId="0" borderId="86" xfId="0" applyNumberFormat="1" applyFont="1" applyBorder="1" applyAlignment="1">
      <alignment vertical="center"/>
    </xf>
    <xf numFmtId="203" fontId="52" fillId="0" borderId="84" xfId="0" applyNumberFormat="1" applyFont="1" applyBorder="1" applyAlignment="1">
      <alignment vertical="center"/>
    </xf>
    <xf numFmtId="0" fontId="58" fillId="0" borderId="7" xfId="0" applyFont="1" applyBorder="1" applyAlignment="1">
      <alignment vertical="center"/>
    </xf>
    <xf numFmtId="198" fontId="85" fillId="0" borderId="87" xfId="0" applyNumberFormat="1" applyFont="1" applyBorder="1" applyAlignment="1">
      <alignment vertical="center"/>
    </xf>
    <xf numFmtId="203" fontId="58" fillId="0" borderId="86" xfId="0" applyNumberFormat="1" applyFont="1" applyBorder="1" applyAlignment="1">
      <alignment vertical="center"/>
    </xf>
    <xf numFmtId="198" fontId="58" fillId="0" borderId="88" xfId="0" applyNumberFormat="1" applyFont="1" applyBorder="1" applyAlignment="1">
      <alignment vertical="center"/>
    </xf>
    <xf numFmtId="203" fontId="58" fillId="0" borderId="78" xfId="0" applyNumberFormat="1" applyFont="1" applyBorder="1" applyAlignment="1">
      <alignment vertical="center"/>
    </xf>
    <xf numFmtId="203" fontId="58" fillId="0" borderId="7" xfId="0" applyNumberFormat="1" applyFont="1" applyBorder="1" applyAlignment="1">
      <alignment vertical="center"/>
    </xf>
    <xf numFmtId="0" fontId="58" fillId="0" borderId="0" xfId="0" applyFont="1" applyAlignment="1">
      <alignment vertical="center"/>
    </xf>
    <xf numFmtId="0" fontId="52" fillId="0" borderId="52" xfId="0" applyFont="1" applyBorder="1" applyAlignment="1">
      <alignment vertical="center"/>
    </xf>
    <xf numFmtId="203" fontId="52" fillId="0" borderId="52" xfId="0" applyNumberFormat="1" applyFont="1" applyBorder="1" applyAlignment="1">
      <alignment vertical="center"/>
    </xf>
    <xf numFmtId="198" fontId="85" fillId="0" borderId="73" xfId="0" applyNumberFormat="1" applyFont="1" applyBorder="1" applyAlignment="1">
      <alignment vertical="center"/>
    </xf>
    <xf numFmtId="203" fontId="52" fillId="0" borderId="35" xfId="0" applyNumberFormat="1" applyFont="1" applyBorder="1" applyAlignment="1">
      <alignment vertical="center"/>
    </xf>
    <xf numFmtId="203" fontId="52" fillId="0" borderId="73" xfId="0" applyNumberFormat="1" applyFont="1" applyBorder="1" applyAlignment="1">
      <alignment vertical="center"/>
    </xf>
    <xf numFmtId="198" fontId="85" fillId="0" borderId="35" xfId="0" applyNumberFormat="1" applyFont="1" applyBorder="1" applyAlignment="1">
      <alignment vertical="center"/>
    </xf>
    <xf numFmtId="0" fontId="52" fillId="0" borderId="35" xfId="0" applyFont="1" applyBorder="1" applyAlignment="1">
      <alignment vertical="center"/>
    </xf>
    <xf numFmtId="2" fontId="52" fillId="0" borderId="35" xfId="0" applyNumberFormat="1" applyFont="1" applyBorder="1" applyAlignment="1">
      <alignment vertical="center"/>
    </xf>
    <xf numFmtId="198" fontId="85" fillId="0" borderId="51" xfId="0" applyNumberFormat="1" applyFont="1" applyBorder="1" applyAlignment="1">
      <alignment vertical="center"/>
    </xf>
    <xf numFmtId="203" fontId="52" fillId="0" borderId="7" xfId="0" applyNumberFormat="1" applyFont="1" applyBorder="1" applyAlignment="1">
      <alignment vertical="center"/>
    </xf>
    <xf numFmtId="198" fontId="85" fillId="0" borderId="88" xfId="0" applyNumberFormat="1" applyFont="1" applyBorder="1" applyAlignment="1">
      <alignment vertical="center"/>
    </xf>
    <xf numFmtId="203" fontId="52" fillId="0" borderId="0" xfId="0" applyNumberFormat="1" applyFont="1" applyAlignment="1">
      <alignment vertical="center"/>
    </xf>
    <xf numFmtId="203" fontId="58" fillId="0" borderId="59" xfId="0" applyNumberFormat="1" applyFont="1" applyBorder="1" applyAlignment="1">
      <alignment vertical="center"/>
    </xf>
    <xf numFmtId="203" fontId="54" fillId="0" borderId="73" xfId="0" applyNumberFormat="1" applyFont="1" applyBorder="1" applyAlignment="1">
      <alignment vertical="center"/>
    </xf>
    <xf numFmtId="198" fontId="85" fillId="0" borderId="0" xfId="0" applyNumberFormat="1" applyFont="1" applyAlignment="1">
      <alignment vertical="center"/>
    </xf>
    <xf numFmtId="2" fontId="52" fillId="0" borderId="0" xfId="0" applyNumberFormat="1" applyFont="1" applyAlignment="1">
      <alignment vertical="center"/>
    </xf>
    <xf numFmtId="203" fontId="52" fillId="0" borderId="83" xfId="0" applyNumberFormat="1" applyFont="1" applyBorder="1" applyAlignment="1">
      <alignment vertical="center"/>
    </xf>
    <xf numFmtId="203" fontId="86" fillId="0" borderId="85" xfId="0" applyNumberFormat="1" applyFont="1" applyBorder="1" applyAlignment="1">
      <alignment vertical="center"/>
    </xf>
    <xf numFmtId="204" fontId="58" fillId="0" borderId="78" xfId="0" applyNumberFormat="1" applyFont="1" applyBorder="1" applyAlignment="1">
      <alignment vertical="center"/>
    </xf>
    <xf numFmtId="0" fontId="52" fillId="0" borderId="89" xfId="0" applyFont="1" applyBorder="1" applyAlignment="1">
      <alignment vertical="center"/>
    </xf>
    <xf numFmtId="203" fontId="86" fillId="0" borderId="89" xfId="0" applyNumberFormat="1" applyFont="1" applyBorder="1" applyAlignment="1">
      <alignment vertical="center"/>
    </xf>
    <xf numFmtId="203" fontId="52" fillId="0" borderId="90" xfId="0" applyNumberFormat="1" applyFont="1" applyBorder="1" applyAlignment="1">
      <alignment vertical="center"/>
    </xf>
    <xf numFmtId="203" fontId="52" fillId="0" borderId="91" xfId="0" applyNumberFormat="1" applyFont="1" applyBorder="1" applyAlignment="1">
      <alignment vertical="center"/>
    </xf>
    <xf numFmtId="0" fontId="52" fillId="0" borderId="5" xfId="0" applyFont="1" applyBorder="1" applyAlignment="1">
      <alignment vertical="center"/>
    </xf>
    <xf numFmtId="0" fontId="51" fillId="0" borderId="52" xfId="0" applyFont="1" applyBorder="1" applyAlignment="1">
      <alignment vertical="center"/>
    </xf>
    <xf numFmtId="203" fontId="86" fillId="0" borderId="73" xfId="0" applyNumberFormat="1" applyFont="1" applyBorder="1" applyAlignment="1">
      <alignment vertical="center"/>
    </xf>
    <xf numFmtId="198" fontId="86" fillId="0" borderId="73" xfId="0" applyNumberFormat="1" applyFont="1" applyBorder="1" applyAlignment="1">
      <alignment vertical="center"/>
    </xf>
    <xf numFmtId="198" fontId="54" fillId="0" borderId="73" xfId="0" applyNumberFormat="1" applyFont="1" applyBorder="1" applyAlignment="1">
      <alignment vertical="center"/>
    </xf>
    <xf numFmtId="198" fontId="52" fillId="0" borderId="73" xfId="0" applyNumberFormat="1" applyFont="1" applyBorder="1" applyAlignment="1">
      <alignment vertical="center"/>
    </xf>
    <xf numFmtId="0" fontId="52" fillId="0" borderId="92" xfId="0" applyFont="1" applyBorder="1" applyAlignment="1">
      <alignment vertical="center"/>
    </xf>
    <xf numFmtId="203" fontId="86" fillId="0" borderId="92" xfId="0" applyNumberFormat="1" applyFont="1" applyBorder="1" applyAlignment="1">
      <alignment vertical="center"/>
    </xf>
    <xf numFmtId="198" fontId="85" fillId="0" borderId="93" xfId="0" applyNumberFormat="1" applyFont="1" applyBorder="1" applyAlignment="1">
      <alignment vertical="center"/>
    </xf>
    <xf numFmtId="203" fontId="52" fillId="0" borderId="59" xfId="0" applyNumberFormat="1" applyFont="1" applyBorder="1" applyAlignment="1">
      <alignment vertical="center"/>
    </xf>
    <xf numFmtId="204" fontId="58" fillId="0" borderId="88" xfId="0" applyNumberFormat="1" applyFont="1" applyBorder="1" applyAlignment="1">
      <alignment vertical="center"/>
    </xf>
    <xf numFmtId="203" fontId="58" fillId="0" borderId="0" xfId="0" applyNumberFormat="1" applyFont="1" applyAlignment="1">
      <alignment vertical="center"/>
    </xf>
    <xf numFmtId="0" fontId="57" fillId="0" borderId="94" xfId="0" applyFont="1" applyBorder="1" applyAlignment="1">
      <alignment vertical="center"/>
    </xf>
    <xf numFmtId="203" fontId="57" fillId="0" borderId="94" xfId="0" applyNumberFormat="1" applyFont="1" applyBorder="1" applyAlignment="1">
      <alignment vertical="center"/>
    </xf>
    <xf numFmtId="198" fontId="54" fillId="0" borderId="95" xfId="0" applyNumberFormat="1" applyFont="1" applyBorder="1" applyAlignment="1">
      <alignment vertical="center"/>
    </xf>
    <xf numFmtId="0" fontId="87" fillId="0" borderId="0" xfId="0" applyFont="1"/>
    <xf numFmtId="198" fontId="87" fillId="0" borderId="0" xfId="0" applyNumberFormat="1" applyFont="1"/>
    <xf numFmtId="198" fontId="88" fillId="0" borderId="0" xfId="0" applyNumberFormat="1" applyFont="1"/>
    <xf numFmtId="198" fontId="87" fillId="0" borderId="0" xfId="0" applyNumberFormat="1" applyFont="1" applyAlignment="1">
      <alignment horizontal="right"/>
    </xf>
    <xf numFmtId="0" fontId="57" fillId="0" borderId="83" xfId="0" applyFont="1" applyBorder="1" applyAlignment="1">
      <alignment vertical="center"/>
    </xf>
    <xf numFmtId="203" fontId="54" fillId="0" borderId="83" xfId="0" applyNumberFormat="1" applyFont="1" applyBorder="1" applyAlignment="1">
      <alignment vertical="center"/>
    </xf>
    <xf numFmtId="198" fontId="54" fillId="0" borderId="83" xfId="0" applyNumberFormat="1" applyFont="1" applyBorder="1" applyAlignment="1">
      <alignment vertical="center"/>
    </xf>
    <xf numFmtId="0" fontId="54" fillId="0" borderId="0" xfId="0" applyFont="1" applyAlignment="1">
      <alignment vertical="center"/>
    </xf>
    <xf numFmtId="0" fontId="54" fillId="0" borderId="88" xfId="0" applyFont="1" applyBorder="1" applyAlignment="1">
      <alignment vertical="center"/>
    </xf>
    <xf numFmtId="203" fontId="54" fillId="0" borderId="88" xfId="0" applyNumberFormat="1" applyFont="1" applyBorder="1" applyAlignment="1">
      <alignment vertical="center"/>
    </xf>
    <xf numFmtId="198" fontId="54" fillId="0" borderId="88" xfId="0" applyNumberFormat="1" applyFont="1" applyBorder="1" applyAlignment="1">
      <alignment vertical="center"/>
    </xf>
    <xf numFmtId="203" fontId="54" fillId="0" borderId="78" xfId="0" applyNumberFormat="1" applyFont="1" applyBorder="1" applyAlignment="1">
      <alignment vertical="center"/>
    </xf>
    <xf numFmtId="0" fontId="54" fillId="0" borderId="95" xfId="0" applyFont="1" applyBorder="1" applyAlignment="1">
      <alignment vertical="center"/>
    </xf>
    <xf numFmtId="203" fontId="54" fillId="0" borderId="95" xfId="0" applyNumberFormat="1" applyFont="1" applyBorder="1" applyAlignment="1">
      <alignment vertical="center"/>
    </xf>
    <xf numFmtId="198" fontId="85" fillId="0" borderId="95" xfId="0" applyNumberFormat="1" applyFont="1" applyBorder="1" applyAlignment="1">
      <alignment vertical="center"/>
    </xf>
    <xf numFmtId="203" fontId="54" fillId="0" borderId="0" xfId="0" applyNumberFormat="1" applyFont="1" applyAlignment="1">
      <alignment vertical="center"/>
    </xf>
    <xf numFmtId="198" fontId="54" fillId="0" borderId="0" xfId="0" applyNumberFormat="1" applyFont="1" applyAlignment="1">
      <alignment vertical="center"/>
    </xf>
    <xf numFmtId="203" fontId="54" fillId="5" borderId="36" xfId="0" applyNumberFormat="1" applyFont="1" applyFill="1" applyBorder="1" applyAlignment="1">
      <alignment vertical="center"/>
    </xf>
    <xf numFmtId="203" fontId="54" fillId="0" borderId="9" xfId="0" applyNumberFormat="1" applyFont="1" applyBorder="1" applyAlignment="1">
      <alignment vertical="center"/>
    </xf>
    <xf numFmtId="205" fontId="52" fillId="6" borderId="96" xfId="0" applyNumberFormat="1" applyFont="1" applyFill="1" applyBorder="1" applyAlignment="1">
      <alignment horizontal="center" vertical="center"/>
    </xf>
    <xf numFmtId="198" fontId="85" fillId="0" borderId="97" xfId="0" applyNumberFormat="1" applyFont="1" applyBorder="1" applyAlignment="1">
      <alignment vertical="center"/>
    </xf>
    <xf numFmtId="205" fontId="52" fillId="0" borderId="2" xfId="0" applyNumberFormat="1" applyFont="1" applyBorder="1" applyAlignment="1">
      <alignment vertical="center"/>
    </xf>
    <xf numFmtId="205" fontId="52" fillId="0" borderId="97" xfId="0" applyNumberFormat="1" applyFont="1" applyBorder="1" applyAlignment="1">
      <alignment vertical="center"/>
    </xf>
    <xf numFmtId="0" fontId="51" fillId="0" borderId="84" xfId="0" applyFont="1" applyBorder="1" applyAlignment="1">
      <alignment vertical="center"/>
    </xf>
    <xf numFmtId="0" fontId="86" fillId="0" borderId="84" xfId="0" applyFont="1" applyBorder="1" applyAlignment="1">
      <alignment vertical="center"/>
    </xf>
    <xf numFmtId="205" fontId="52" fillId="0" borderId="86" xfId="0" applyNumberFormat="1" applyFont="1" applyBorder="1" applyAlignment="1">
      <alignment vertical="center"/>
    </xf>
    <xf numFmtId="205" fontId="52" fillId="0" borderId="85" xfId="0" applyNumberFormat="1" applyFont="1" applyBorder="1" applyAlignment="1">
      <alignment vertical="center"/>
    </xf>
    <xf numFmtId="0" fontId="52" fillId="0" borderId="84" xfId="0" applyFont="1" applyBorder="1" applyAlignment="1">
      <alignment horizontal="center" vertical="center"/>
    </xf>
    <xf numFmtId="0" fontId="51" fillId="0" borderId="4" xfId="0" applyFont="1" applyBorder="1" applyAlignment="1">
      <alignment vertical="center"/>
    </xf>
    <xf numFmtId="10" fontId="52" fillId="0" borderId="4" xfId="0" applyNumberFormat="1" applyFont="1" applyBorder="1" applyAlignment="1">
      <alignment vertical="center"/>
    </xf>
    <xf numFmtId="10" fontId="52" fillId="0" borderId="78" xfId="0" applyNumberFormat="1" applyFont="1" applyBorder="1" applyAlignment="1">
      <alignment vertical="center"/>
    </xf>
    <xf numFmtId="0" fontId="52" fillId="0" borderId="0" xfId="0" applyFont="1" applyAlignment="1">
      <alignment horizontal="center" vertical="center"/>
    </xf>
    <xf numFmtId="198" fontId="85" fillId="0" borderId="8" xfId="0" applyNumberFormat="1" applyFont="1" applyBorder="1" applyAlignment="1">
      <alignment vertical="center"/>
    </xf>
    <xf numFmtId="205" fontId="52" fillId="0" borderId="1" xfId="0" applyNumberFormat="1" applyFont="1" applyBorder="1" applyAlignment="1">
      <alignment vertical="center"/>
    </xf>
    <xf numFmtId="0" fontId="52" fillId="0" borderId="2" xfId="0" applyFont="1" applyBorder="1" applyAlignment="1">
      <alignment vertical="center"/>
    </xf>
    <xf numFmtId="0" fontId="52" fillId="0" borderId="1" xfId="0" applyFont="1" applyBorder="1" applyAlignment="1">
      <alignment vertical="center"/>
    </xf>
    <xf numFmtId="205" fontId="86" fillId="0" borderId="84" xfId="0" applyNumberFormat="1" applyFont="1" applyBorder="1" applyAlignment="1">
      <alignment vertical="center"/>
    </xf>
    <xf numFmtId="205" fontId="86" fillId="0" borderId="89" xfId="0" applyNumberFormat="1" applyFont="1" applyBorder="1" applyAlignment="1">
      <alignment vertical="center"/>
    </xf>
    <xf numFmtId="205" fontId="52" fillId="0" borderId="52" xfId="0" applyNumberFormat="1" applyFont="1" applyBorder="1" applyAlignment="1">
      <alignment vertical="center"/>
    </xf>
    <xf numFmtId="205" fontId="52" fillId="0" borderId="35" xfId="0" applyNumberFormat="1" applyFont="1" applyBorder="1" applyAlignment="1">
      <alignment vertical="center"/>
    </xf>
    <xf numFmtId="205" fontId="52" fillId="0" borderId="73" xfId="0" applyNumberFormat="1" applyFont="1" applyBorder="1" applyAlignment="1">
      <alignment vertical="center"/>
    </xf>
    <xf numFmtId="198" fontId="85" fillId="0" borderId="3" xfId="0" applyNumberFormat="1" applyFont="1" applyBorder="1" applyAlignment="1">
      <alignment vertical="center"/>
    </xf>
    <xf numFmtId="0" fontId="52" fillId="0" borderId="83" xfId="0" applyFont="1" applyBorder="1" applyAlignment="1">
      <alignment vertical="center"/>
    </xf>
    <xf numFmtId="198" fontId="85" fillId="7" borderId="98" xfId="0" applyNumberFormat="1" applyFont="1" applyFill="1" applyBorder="1" applyAlignment="1">
      <alignment vertical="center"/>
    </xf>
    <xf numFmtId="191" fontId="58" fillId="0" borderId="85" xfId="0" applyNumberFormat="1" applyFont="1" applyBorder="1" applyAlignment="1">
      <alignment vertical="center"/>
    </xf>
    <xf numFmtId="198" fontId="58" fillId="7" borderId="85" xfId="0" applyNumberFormat="1" applyFont="1" applyFill="1" applyBorder="1" applyAlignment="1">
      <alignment vertical="center"/>
    </xf>
    <xf numFmtId="191" fontId="58" fillId="0" borderId="84" xfId="0" applyNumberFormat="1" applyFont="1" applyBorder="1" applyAlignment="1">
      <alignment vertical="center"/>
    </xf>
    <xf numFmtId="198" fontId="58" fillId="0" borderId="85" xfId="0" applyNumberFormat="1" applyFont="1" applyBorder="1" applyAlignment="1">
      <alignment vertical="center"/>
    </xf>
    <xf numFmtId="198" fontId="58" fillId="7" borderId="99" xfId="0" applyNumberFormat="1" applyFont="1" applyFill="1" applyBorder="1" applyAlignment="1">
      <alignment vertical="center"/>
    </xf>
    <xf numFmtId="191" fontId="58" fillId="0" borderId="73" xfId="0" applyNumberFormat="1" applyFont="1" applyBorder="1" applyAlignment="1">
      <alignment vertical="center"/>
    </xf>
    <xf numFmtId="198" fontId="58" fillId="7" borderId="73" xfId="0" applyNumberFormat="1" applyFont="1" applyFill="1" applyBorder="1" applyAlignment="1">
      <alignment vertical="center"/>
    </xf>
    <xf numFmtId="198" fontId="58" fillId="0" borderId="73" xfId="0" applyNumberFormat="1" applyFont="1" applyBorder="1" applyAlignment="1">
      <alignment vertical="center"/>
    </xf>
    <xf numFmtId="198" fontId="86" fillId="0" borderId="35" xfId="0" applyNumberFormat="1" applyFont="1" applyBorder="1" applyAlignment="1">
      <alignment vertical="center"/>
    </xf>
    <xf numFmtId="198" fontId="54" fillId="0" borderId="35" xfId="0" applyNumberFormat="1" applyFont="1" applyBorder="1" applyAlignment="1">
      <alignment vertical="center"/>
    </xf>
    <xf numFmtId="1" fontId="52" fillId="0" borderId="35" xfId="0" applyNumberFormat="1" applyFont="1" applyBorder="1" applyAlignment="1">
      <alignment vertical="center"/>
    </xf>
    <xf numFmtId="0" fontId="86" fillId="0" borderId="92" xfId="0" applyFont="1" applyBorder="1" applyAlignment="1">
      <alignment vertical="center"/>
    </xf>
    <xf numFmtId="198" fontId="86" fillId="0" borderId="97" xfId="0" applyNumberFormat="1" applyFont="1" applyBorder="1" applyAlignment="1">
      <alignment vertical="center"/>
    </xf>
    <xf numFmtId="0" fontId="52" fillId="0" borderId="59" xfId="0" applyFont="1" applyBorder="1" applyAlignment="1">
      <alignment vertical="center"/>
    </xf>
    <xf numFmtId="198" fontId="54" fillId="0" borderId="97" xfId="0" applyNumberFormat="1" applyFont="1" applyBorder="1" applyAlignment="1">
      <alignment vertical="center"/>
    </xf>
    <xf numFmtId="0" fontId="52" fillId="0" borderId="93" xfId="0" applyFont="1" applyBorder="1" applyAlignment="1">
      <alignment vertical="center"/>
    </xf>
    <xf numFmtId="198" fontId="86" fillId="0" borderId="93" xfId="0" applyNumberFormat="1" applyFont="1" applyBorder="1" applyAlignment="1">
      <alignment vertical="center"/>
    </xf>
    <xf numFmtId="198" fontId="52" fillId="0" borderId="93" xfId="0" applyNumberFormat="1" applyFont="1" applyBorder="1" applyAlignment="1">
      <alignment vertical="center"/>
    </xf>
    <xf numFmtId="198" fontId="86" fillId="0" borderId="85" xfId="0" applyNumberFormat="1" applyFont="1" applyBorder="1" applyAlignment="1">
      <alignment vertical="center"/>
    </xf>
    <xf numFmtId="0" fontId="52" fillId="0" borderId="86" xfId="0" applyFont="1" applyBorder="1" applyAlignment="1">
      <alignment vertical="center"/>
    </xf>
    <xf numFmtId="198" fontId="52" fillId="0" borderId="85" xfId="0" applyNumberFormat="1" applyFont="1" applyBorder="1" applyAlignment="1">
      <alignment vertical="center"/>
    </xf>
    <xf numFmtId="0" fontId="52" fillId="0" borderId="85" xfId="0" applyFont="1" applyBorder="1" applyAlignment="1">
      <alignment vertical="center"/>
    </xf>
    <xf numFmtId="0" fontId="52" fillId="0" borderId="100" xfId="0" applyFont="1" applyBorder="1" applyAlignment="1">
      <alignment vertical="center"/>
    </xf>
    <xf numFmtId="0" fontId="86" fillId="0" borderId="100" xfId="0" applyFont="1" applyBorder="1" applyAlignment="1">
      <alignment vertical="center"/>
    </xf>
    <xf numFmtId="198" fontId="86" fillId="0" borderId="91" xfId="0" applyNumberFormat="1" applyFont="1" applyBorder="1" applyAlignment="1">
      <alignment vertical="center"/>
    </xf>
    <xf numFmtId="0" fontId="52" fillId="0" borderId="91" xfId="0" applyFont="1" applyBorder="1" applyAlignment="1">
      <alignment vertical="center"/>
    </xf>
    <xf numFmtId="198" fontId="52" fillId="0" borderId="91" xfId="0" applyNumberFormat="1" applyFont="1" applyBorder="1" applyAlignment="1">
      <alignment vertical="center"/>
    </xf>
    <xf numFmtId="0" fontId="52" fillId="0" borderId="101" xfId="0" applyFont="1" applyBorder="1" applyAlignment="1">
      <alignment vertical="center"/>
    </xf>
    <xf numFmtId="198" fontId="85" fillId="0" borderId="91" xfId="0" applyNumberFormat="1" applyFont="1" applyBorder="1" applyAlignment="1">
      <alignment vertical="center"/>
    </xf>
    <xf numFmtId="198" fontId="86" fillId="0" borderId="0" xfId="0" applyNumberFormat="1" applyFont="1" applyAlignment="1">
      <alignment vertical="center"/>
    </xf>
    <xf numFmtId="198" fontId="52" fillId="0" borderId="0" xfId="0" applyNumberFormat="1" applyFont="1" applyAlignment="1">
      <alignment vertical="center"/>
    </xf>
    <xf numFmtId="205" fontId="52" fillId="0" borderId="0" xfId="0" applyNumberFormat="1" applyFont="1" applyAlignment="1">
      <alignment vertical="center"/>
    </xf>
    <xf numFmtId="0" fontId="51" fillId="0" borderId="97" xfId="0" applyFont="1" applyBorder="1" applyAlignment="1">
      <alignment vertical="center"/>
    </xf>
    <xf numFmtId="0" fontId="52" fillId="0" borderId="97" xfId="0" applyFont="1" applyBorder="1" applyAlignment="1">
      <alignment vertical="center"/>
    </xf>
    <xf numFmtId="0" fontId="58" fillId="0" borderId="85" xfId="0" applyFont="1" applyBorder="1" applyAlignment="1">
      <alignment vertical="center"/>
    </xf>
    <xf numFmtId="0" fontId="52" fillId="0" borderId="87" xfId="0" applyFont="1" applyBorder="1" applyAlignment="1">
      <alignment vertical="center"/>
    </xf>
    <xf numFmtId="0" fontId="52" fillId="0" borderId="73" xfId="0" applyFont="1" applyBorder="1" applyAlignment="1">
      <alignment vertical="center"/>
    </xf>
    <xf numFmtId="0" fontId="89" fillId="0" borderId="73" xfId="0" applyFont="1" applyBorder="1" applyAlignment="1">
      <alignment vertical="center"/>
    </xf>
    <xf numFmtId="0" fontId="90" fillId="9" borderId="73" xfId="0" applyFont="1" applyFill="1" applyBorder="1" applyAlignment="1">
      <alignment horizontal="center" wrapText="1"/>
    </xf>
    <xf numFmtId="0" fontId="90" fillId="0" borderId="0" xfId="0" applyFont="1" applyAlignment="1">
      <alignment wrapText="1"/>
    </xf>
    <xf numFmtId="0" fontId="90" fillId="0" borderId="73" xfId="0" applyFont="1" applyBorder="1" applyAlignment="1">
      <alignment wrapText="1"/>
    </xf>
    <xf numFmtId="0" fontId="90" fillId="0" borderId="73" xfId="0" applyFont="1" applyBorder="1"/>
    <xf numFmtId="0" fontId="90" fillId="0" borderId="73" xfId="0" applyFont="1" applyBorder="1" applyAlignment="1">
      <alignment horizontal="right"/>
    </xf>
    <xf numFmtId="0" fontId="90" fillId="9" borderId="73" xfId="0" applyFont="1" applyFill="1" applyBorder="1" applyAlignment="1">
      <alignment horizontal="center"/>
    </xf>
    <xf numFmtId="0" fontId="90" fillId="10" borderId="73" xfId="0" applyFont="1" applyFill="1" applyBorder="1"/>
    <xf numFmtId="0" fontId="90" fillId="10" borderId="73" xfId="0" applyFont="1" applyFill="1" applyBorder="1" applyAlignment="1">
      <alignment horizontal="right"/>
    </xf>
    <xf numFmtId="0" fontId="90" fillId="10" borderId="73" xfId="0" applyFont="1" applyFill="1" applyBorder="1" applyAlignment="1">
      <alignment horizontal="center"/>
    </xf>
    <xf numFmtId="0" fontId="91" fillId="0" borderId="0" xfId="0" applyFont="1"/>
    <xf numFmtId="0" fontId="92" fillId="0" borderId="0" xfId="0" applyFont="1"/>
    <xf numFmtId="0" fontId="91" fillId="0" borderId="0" xfId="0" applyFont="1" applyAlignment="1">
      <alignment horizontal="center" vertical="center"/>
    </xf>
    <xf numFmtId="0" fontId="91" fillId="0" borderId="0" xfId="0" applyFont="1" applyAlignment="1">
      <alignment horizontal="center"/>
    </xf>
    <xf numFmtId="49" fontId="31" fillId="0" borderId="0" xfId="0" applyNumberFormat="1" applyFont="1" applyAlignment="1">
      <alignment vertical="center"/>
    </xf>
    <xf numFmtId="0" fontId="91" fillId="0" borderId="0" xfId="0" quotePrefix="1" applyFont="1"/>
    <xf numFmtId="206" fontId="91" fillId="0" borderId="0" xfId="0" applyNumberFormat="1" applyFont="1" applyAlignment="1">
      <alignment horizontal="center"/>
    </xf>
    <xf numFmtId="49" fontId="91" fillId="0" borderId="0" xfId="0" applyNumberFormat="1" applyFont="1" applyAlignment="1">
      <alignment horizontal="center"/>
    </xf>
    <xf numFmtId="49" fontId="31" fillId="0" borderId="0" xfId="0" applyNumberFormat="1" applyFont="1" applyAlignment="1">
      <alignment horizontal="left" vertical="center" wrapText="1"/>
    </xf>
    <xf numFmtId="10" fontId="51" fillId="0" borderId="73" xfId="1" applyNumberFormat="1" applyFont="1" applyBorder="1" applyAlignment="1">
      <alignment horizontal="right" vertical="center"/>
    </xf>
    <xf numFmtId="10" fontId="52" fillId="0" borderId="0" xfId="1" applyNumberFormat="1" applyFont="1" applyAlignment="1">
      <alignment vertical="center"/>
    </xf>
    <xf numFmtId="3" fontId="93" fillId="0" borderId="0" xfId="0" applyNumberFormat="1" applyFont="1" applyAlignment="1">
      <alignment horizontal="center" vertical="center"/>
    </xf>
    <xf numFmtId="3" fontId="93" fillId="0" borderId="18" xfId="0" applyNumberFormat="1" applyFont="1" applyBorder="1" applyAlignment="1">
      <alignment horizontal="center" vertical="center"/>
    </xf>
    <xf numFmtId="3" fontId="94" fillId="0" borderId="18" xfId="0" applyNumberFormat="1" applyFont="1" applyBorder="1" applyAlignment="1">
      <alignment horizontal="center" vertical="center"/>
    </xf>
    <xf numFmtId="3" fontId="94" fillId="0" borderId="0" xfId="0" applyNumberFormat="1" applyFont="1" applyAlignment="1">
      <alignment horizontal="center" vertical="center"/>
    </xf>
    <xf numFmtId="3" fontId="94" fillId="0" borderId="0" xfId="0" quotePrefix="1" applyNumberFormat="1" applyFont="1" applyAlignment="1">
      <alignment horizontal="center" vertical="center"/>
    </xf>
    <xf numFmtId="3" fontId="93" fillId="0" borderId="59" xfId="0" applyNumberFormat="1" applyFont="1" applyBorder="1" applyAlignment="1">
      <alignment horizontal="center" vertical="center"/>
    </xf>
    <xf numFmtId="3" fontId="94" fillId="0" borderId="59" xfId="0" quotePrefix="1" applyNumberFormat="1" applyFont="1" applyBorder="1" applyAlignment="1">
      <alignment horizontal="center" vertical="center"/>
    </xf>
    <xf numFmtId="10" fontId="93" fillId="0" borderId="0" xfId="1" applyNumberFormat="1" applyFont="1" applyAlignment="1">
      <alignment horizontal="center" vertical="center"/>
    </xf>
    <xf numFmtId="10" fontId="94" fillId="0" borderId="0" xfId="1" applyNumberFormat="1" applyFont="1" applyAlignment="1">
      <alignment horizontal="center" vertical="center"/>
    </xf>
    <xf numFmtId="10" fontId="38" fillId="0" borderId="13" xfId="1" applyNumberFormat="1" applyFont="1" applyBorder="1" applyAlignment="1">
      <alignment horizontal="center" vertical="center"/>
    </xf>
    <xf numFmtId="10" fontId="38" fillId="0" borderId="0" xfId="1" applyNumberFormat="1" applyFont="1" applyAlignment="1">
      <alignment horizontal="center" vertical="center"/>
    </xf>
    <xf numFmtId="10" fontId="38" fillId="0" borderId="33" xfId="1" applyNumberFormat="1" applyFont="1" applyBorder="1" applyAlignment="1">
      <alignment horizontal="left" vertical="center"/>
    </xf>
    <xf numFmtId="10" fontId="38" fillId="0" borderId="15" xfId="1" applyNumberFormat="1" applyFont="1" applyBorder="1" applyAlignment="1">
      <alignment horizontal="center" vertical="center"/>
    </xf>
    <xf numFmtId="10" fontId="38" fillId="0" borderId="0" xfId="1" applyNumberFormat="1" applyFont="1" applyAlignment="1">
      <alignment horizontal="left" vertical="center"/>
    </xf>
    <xf numFmtId="10" fontId="0" fillId="0" borderId="0" xfId="1" applyNumberFormat="1" applyFont="1"/>
    <xf numFmtId="10" fontId="94" fillId="0" borderId="0" xfId="1" quotePrefix="1" applyNumberFormat="1" applyFont="1" applyAlignment="1">
      <alignment horizontal="center" vertical="center"/>
    </xf>
    <xf numFmtId="10" fontId="52" fillId="0" borderId="0" xfId="1" applyNumberFormat="1" applyFont="1" applyAlignment="1">
      <alignment horizontal="center" vertical="center"/>
    </xf>
    <xf numFmtId="4" fontId="93" fillId="0" borderId="0" xfId="0" applyNumberFormat="1" applyFont="1" applyAlignment="1">
      <alignment horizontal="center" vertical="center"/>
    </xf>
    <xf numFmtId="4" fontId="94" fillId="0" borderId="0" xfId="0" quotePrefix="1" applyNumberFormat="1" applyFont="1" applyAlignment="1">
      <alignment horizontal="center" vertical="center"/>
    </xf>
    <xf numFmtId="4" fontId="94" fillId="0" borderId="0" xfId="0" applyNumberFormat="1" applyFont="1" applyAlignment="1">
      <alignment horizontal="center" vertical="center"/>
    </xf>
    <xf numFmtId="4" fontId="38" fillId="0" borderId="13" xfId="0" applyNumberFormat="1" applyFont="1" applyBorder="1" applyAlignment="1">
      <alignment horizontal="center" vertical="center"/>
    </xf>
    <xf numFmtId="4" fontId="38" fillId="0" borderId="0" xfId="0" applyNumberFormat="1" applyFont="1" applyAlignment="1">
      <alignment horizontal="center" vertical="center"/>
    </xf>
    <xf numFmtId="4" fontId="38" fillId="0" borderId="33" xfId="0" applyNumberFormat="1" applyFont="1" applyBorder="1" applyAlignment="1">
      <alignment horizontal="left" vertical="center"/>
    </xf>
    <xf numFmtId="4" fontId="38" fillId="0" borderId="15" xfId="0" applyNumberFormat="1" applyFont="1" applyBorder="1" applyAlignment="1">
      <alignment horizontal="center" vertical="center"/>
    </xf>
    <xf numFmtId="4" fontId="38" fillId="0" borderId="0" xfId="0" applyNumberFormat="1" applyFont="1" applyAlignment="1">
      <alignment horizontal="left" vertical="center"/>
    </xf>
    <xf numFmtId="4" fontId="0" fillId="0" borderId="0" xfId="0" applyNumberFormat="1"/>
    <xf numFmtId="49" fontId="31" fillId="0" borderId="10" xfId="0" applyNumberFormat="1" applyFont="1" applyBorder="1" applyAlignment="1">
      <alignment horizontal="center" vertical="center"/>
    </xf>
    <xf numFmtId="0" fontId="5" fillId="0" borderId="12" xfId="0" applyFont="1" applyBorder="1"/>
    <xf numFmtId="49" fontId="31" fillId="0" borderId="20" xfId="0" applyNumberFormat="1" applyFont="1" applyBorder="1" applyAlignment="1">
      <alignment horizontal="center" vertical="center"/>
    </xf>
    <xf numFmtId="0" fontId="5" fillId="0" borderId="26" xfId="0" applyFont="1" applyBorder="1"/>
    <xf numFmtId="0" fontId="5" fillId="0" borderId="11" xfId="0" applyFont="1" applyBorder="1"/>
    <xf numFmtId="0" fontId="51" fillId="0" borderId="52" xfId="0" applyFont="1" applyBorder="1" applyAlignment="1">
      <alignment horizontal="center" vertical="center"/>
    </xf>
    <xf numFmtId="0" fontId="5" fillId="0" borderId="51" xfId="0" applyFont="1" applyBorder="1"/>
    <xf numFmtId="0" fontId="5" fillId="0" borderId="53" xfId="0" applyFont="1" applyBorder="1"/>
    <xf numFmtId="40" fontId="30" fillId="0" borderId="0" xfId="0" applyNumberFormat="1" applyFont="1" applyAlignment="1">
      <alignment horizontal="center" vertical="center"/>
    </xf>
    <xf numFmtId="0" fontId="0" fillId="0" borderId="0" xfId="0"/>
    <xf numFmtId="0" fontId="51" fillId="0" borderId="43" xfId="0" applyFont="1" applyBorder="1" applyAlignment="1">
      <alignment horizontal="center" vertical="center"/>
    </xf>
    <xf numFmtId="0" fontId="5" fillId="0" borderId="44" xfId="0" applyFont="1" applyBorder="1"/>
    <xf numFmtId="0" fontId="5" fillId="0" borderId="45" xfId="0" applyFont="1" applyBorder="1"/>
    <xf numFmtId="0" fontId="51" fillId="0" borderId="48" xfId="0" applyFont="1" applyBorder="1" applyAlignment="1">
      <alignment horizontal="center" vertical="center"/>
    </xf>
    <xf numFmtId="0" fontId="5" fillId="0" borderId="49" xfId="0" applyFont="1" applyBorder="1"/>
    <xf numFmtId="49" fontId="31" fillId="0" borderId="13" xfId="0" applyNumberFormat="1" applyFont="1" applyBorder="1" applyAlignment="1">
      <alignment horizontal="center" vertical="center"/>
    </xf>
    <xf numFmtId="0" fontId="5" fillId="0" borderId="15" xfId="0" applyFont="1" applyBorder="1"/>
    <xf numFmtId="49" fontId="31" fillId="0" borderId="17" xfId="0" applyNumberFormat="1" applyFont="1" applyBorder="1" applyAlignment="1">
      <alignment horizontal="center" vertical="center"/>
    </xf>
    <xf numFmtId="0" fontId="5" fillId="0" borderId="18" xfId="0" applyFont="1" applyBorder="1"/>
    <xf numFmtId="0" fontId="5" fillId="0" borderId="19" xfId="0" applyFont="1" applyBorder="1"/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0" fontId="51" fillId="0" borderId="50" xfId="0" applyFont="1" applyBorder="1" applyAlignment="1">
      <alignment horizontal="center" vertical="center"/>
    </xf>
    <xf numFmtId="49" fontId="31" fillId="0" borderId="1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7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5" fillId="0" borderId="8" xfId="0" applyFont="1" applyBorder="1"/>
    <xf numFmtId="0" fontId="15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88" fontId="36" fillId="0" borderId="5" xfId="0" applyNumberFormat="1" applyFont="1" applyBorder="1" applyAlignment="1">
      <alignment horizontal="right"/>
    </xf>
    <xf numFmtId="0" fontId="36" fillId="0" borderId="0" xfId="0" applyFont="1" applyAlignment="1">
      <alignment horizontal="center" vertical="center"/>
    </xf>
    <xf numFmtId="189" fontId="37" fillId="0" borderId="0" xfId="0" applyNumberFormat="1" applyFont="1" applyAlignment="1">
      <alignment horizontal="center" vertical="center"/>
    </xf>
    <xf numFmtId="189" fontId="37" fillId="0" borderId="2" xfId="0" applyNumberFormat="1" applyFont="1" applyBorder="1" applyAlignment="1">
      <alignment horizontal="center" vertical="center"/>
    </xf>
    <xf numFmtId="49" fontId="31" fillId="0" borderId="10" xfId="0" applyNumberFormat="1" applyFont="1" applyBorder="1" applyAlignment="1">
      <alignment horizontal="center" vertical="center" wrapText="1"/>
    </xf>
    <xf numFmtId="188" fontId="27" fillId="0" borderId="5" xfId="0" applyNumberFormat="1" applyFont="1" applyBorder="1" applyAlignment="1">
      <alignment horizontal="right"/>
    </xf>
    <xf numFmtId="192" fontId="36" fillId="0" borderId="0" xfId="0" applyNumberFormat="1" applyFont="1" applyAlignment="1">
      <alignment horizontal="center" vertical="center"/>
    </xf>
    <xf numFmtId="196" fontId="76" fillId="0" borderId="0" xfId="0" applyNumberFormat="1" applyFont="1" applyAlignment="1">
      <alignment horizontal="center" vertical="center"/>
    </xf>
    <xf numFmtId="201" fontId="83" fillId="0" borderId="5" xfId="0" applyNumberFormat="1" applyFont="1" applyBorder="1" applyAlignment="1">
      <alignment horizontal="left" vertical="center"/>
    </xf>
    <xf numFmtId="0" fontId="16" fillId="0" borderId="0" xfId="0" applyFont="1" applyAlignment="1">
      <alignment horizontal="center"/>
    </xf>
    <xf numFmtId="0" fontId="90" fillId="8" borderId="83" xfId="0" applyFont="1" applyFill="1" applyBorder="1" applyAlignment="1">
      <alignment horizontal="center" vertical="center"/>
    </xf>
    <xf numFmtId="0" fontId="5" fillId="0" borderId="102" xfId="0" applyFont="1" applyBorder="1"/>
    <xf numFmtId="0" fontId="90" fillId="8" borderId="83" xfId="0" applyFont="1" applyFill="1" applyBorder="1" applyAlignment="1">
      <alignment horizontal="center" vertical="center" wrapText="1"/>
    </xf>
    <xf numFmtId="0" fontId="90" fillId="9" borderId="52" xfId="0" applyFont="1" applyFill="1" applyBorder="1" applyAlignment="1">
      <alignment horizontal="center"/>
    </xf>
    <xf numFmtId="0" fontId="5" fillId="0" borderId="35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285750</xdr:colOff>
      <xdr:row>29</xdr:row>
      <xdr:rowOff>38100</xdr:rowOff>
    </xdr:from>
    <xdr:ext cx="161925" cy="1333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269800" y="3718088"/>
          <a:ext cx="152400" cy="123825"/>
        </a:xfrm>
        <a:prstGeom prst="sun">
          <a:avLst>
            <a:gd name="adj" fmla="val 2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285750</xdr:colOff>
      <xdr:row>33</xdr:row>
      <xdr:rowOff>38100</xdr:rowOff>
    </xdr:from>
    <xdr:ext cx="161925" cy="1333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5269800" y="3718088"/>
          <a:ext cx="152400" cy="123825"/>
        </a:xfrm>
        <a:prstGeom prst="sun">
          <a:avLst>
            <a:gd name="adj" fmla="val 2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285750</xdr:colOff>
      <xdr:row>34</xdr:row>
      <xdr:rowOff>38100</xdr:rowOff>
    </xdr:from>
    <xdr:ext cx="161925" cy="1333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269800" y="3718088"/>
          <a:ext cx="152400" cy="123825"/>
        </a:xfrm>
        <a:prstGeom prst="sun">
          <a:avLst>
            <a:gd name="adj" fmla="val 2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285750</xdr:colOff>
      <xdr:row>35</xdr:row>
      <xdr:rowOff>38100</xdr:rowOff>
    </xdr:from>
    <xdr:ext cx="161925" cy="1333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269800" y="3718088"/>
          <a:ext cx="152400" cy="123825"/>
        </a:xfrm>
        <a:prstGeom prst="sun">
          <a:avLst>
            <a:gd name="adj" fmla="val 2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285750</xdr:colOff>
      <xdr:row>30</xdr:row>
      <xdr:rowOff>38100</xdr:rowOff>
    </xdr:from>
    <xdr:ext cx="161925" cy="13335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269800" y="3718088"/>
          <a:ext cx="152400" cy="123825"/>
        </a:xfrm>
        <a:prstGeom prst="sun">
          <a:avLst>
            <a:gd name="adj" fmla="val 2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285750</xdr:colOff>
      <xdr:row>29</xdr:row>
      <xdr:rowOff>38100</xdr:rowOff>
    </xdr:from>
    <xdr:ext cx="161925" cy="13335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5269800" y="3718088"/>
          <a:ext cx="152400" cy="123825"/>
        </a:xfrm>
        <a:prstGeom prst="sun">
          <a:avLst>
            <a:gd name="adj" fmla="val 2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285750</xdr:colOff>
      <xdr:row>30</xdr:row>
      <xdr:rowOff>38100</xdr:rowOff>
    </xdr:from>
    <xdr:ext cx="161925" cy="13335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5269800" y="3718088"/>
          <a:ext cx="152400" cy="123825"/>
        </a:xfrm>
        <a:prstGeom prst="sun">
          <a:avLst>
            <a:gd name="adj" fmla="val 2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285750</xdr:colOff>
      <xdr:row>33</xdr:row>
      <xdr:rowOff>38100</xdr:rowOff>
    </xdr:from>
    <xdr:ext cx="161925" cy="1333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269800" y="3718088"/>
          <a:ext cx="152400" cy="123825"/>
        </a:xfrm>
        <a:prstGeom prst="sun">
          <a:avLst>
            <a:gd name="adj" fmla="val 2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285750</xdr:colOff>
      <xdr:row>34</xdr:row>
      <xdr:rowOff>38100</xdr:rowOff>
    </xdr:from>
    <xdr:ext cx="161925" cy="1333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269800" y="3718088"/>
          <a:ext cx="152400" cy="123825"/>
        </a:xfrm>
        <a:prstGeom prst="sun">
          <a:avLst>
            <a:gd name="adj" fmla="val 2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285750</xdr:colOff>
      <xdr:row>35</xdr:row>
      <xdr:rowOff>38100</xdr:rowOff>
    </xdr:from>
    <xdr:ext cx="161925" cy="1333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5269800" y="3718088"/>
          <a:ext cx="152400" cy="123825"/>
        </a:xfrm>
        <a:prstGeom prst="sun">
          <a:avLst>
            <a:gd name="adj" fmla="val 2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285750</xdr:colOff>
      <xdr:row>32</xdr:row>
      <xdr:rowOff>38100</xdr:rowOff>
    </xdr:from>
    <xdr:ext cx="161925" cy="13335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5269800" y="3718088"/>
          <a:ext cx="152400" cy="123825"/>
        </a:xfrm>
        <a:prstGeom prst="sun">
          <a:avLst>
            <a:gd name="adj" fmla="val 2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180975</xdr:colOff>
      <xdr:row>25</xdr:row>
      <xdr:rowOff>19050</xdr:rowOff>
    </xdr:from>
    <xdr:ext cx="161925" cy="13335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5269800" y="3718088"/>
          <a:ext cx="152400" cy="123825"/>
        </a:xfrm>
        <a:prstGeom prst="sun">
          <a:avLst>
            <a:gd name="adj" fmla="val 2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180975</xdr:colOff>
      <xdr:row>26</xdr:row>
      <xdr:rowOff>19050</xdr:rowOff>
    </xdr:from>
    <xdr:ext cx="161925" cy="13335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5269800" y="3718088"/>
          <a:ext cx="152400" cy="123825"/>
        </a:xfrm>
        <a:prstGeom prst="sun">
          <a:avLst>
            <a:gd name="adj" fmla="val 2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180975</xdr:colOff>
      <xdr:row>27</xdr:row>
      <xdr:rowOff>19050</xdr:rowOff>
    </xdr:from>
    <xdr:ext cx="161925" cy="13335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5269800" y="3718088"/>
          <a:ext cx="152400" cy="123825"/>
        </a:xfrm>
        <a:prstGeom prst="sun">
          <a:avLst>
            <a:gd name="adj" fmla="val 2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285750</xdr:colOff>
      <xdr:row>28</xdr:row>
      <xdr:rowOff>38100</xdr:rowOff>
    </xdr:from>
    <xdr:ext cx="161925" cy="1333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5269800" y="3718088"/>
          <a:ext cx="152400" cy="123825"/>
        </a:xfrm>
        <a:prstGeom prst="sun">
          <a:avLst>
            <a:gd name="adj" fmla="val 2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285750</xdr:colOff>
      <xdr:row>28</xdr:row>
      <xdr:rowOff>38100</xdr:rowOff>
    </xdr:from>
    <xdr:ext cx="161925" cy="133350"/>
    <xdr:sp macro="" textlink="">
      <xdr:nvSpPr>
        <xdr:cNvPr id="17" name="Shape 4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269800" y="3718088"/>
          <a:ext cx="152400" cy="123825"/>
        </a:xfrm>
        <a:prstGeom prst="sun">
          <a:avLst>
            <a:gd name="adj" fmla="val 2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285750</xdr:colOff>
      <xdr:row>31</xdr:row>
      <xdr:rowOff>38100</xdr:rowOff>
    </xdr:from>
    <xdr:ext cx="161925" cy="133350"/>
    <xdr:sp macro="" textlink="">
      <xdr:nvSpPr>
        <xdr:cNvPr id="18" name="Shape 4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5269800" y="3718088"/>
          <a:ext cx="152400" cy="123825"/>
        </a:xfrm>
        <a:prstGeom prst="sun">
          <a:avLst>
            <a:gd name="adj" fmla="val 2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285750</xdr:colOff>
      <xdr:row>31</xdr:row>
      <xdr:rowOff>38100</xdr:rowOff>
    </xdr:from>
    <xdr:ext cx="161925" cy="133350"/>
    <xdr:sp macro="" textlink="">
      <xdr:nvSpPr>
        <xdr:cNvPr id="19" name="Shape 4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5269800" y="3718088"/>
          <a:ext cx="152400" cy="123825"/>
        </a:xfrm>
        <a:prstGeom prst="sun">
          <a:avLst>
            <a:gd name="adj" fmla="val 2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3495675" cy="1152525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vsyd\MFM\JFG-Common\James%20Fielding%20Direct\JF%20Direct%20Files\James%20Fielding%20Development%20Fund\Project%20Seascapes\Model%20and%20Analysis\ManV5\Mandurah%20Land%20Acquisi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_Carmen_Finance\Master_format\La%20Vie%20Reporting%20Pack%20-%20Finance_edit%20up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Land (2)"/>
      <sheetName val="Mandurah Land Acquisition"/>
      <sheetName val="Securitisation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Parameter"/>
      <sheetName val="1. P&amp;L Summary AUD"/>
      <sheetName val="2. P&amp;L Summary FX"/>
      <sheetName val="3. P&amp;L Mth to Mth AUD"/>
      <sheetName val="4. P&amp;L Mth to Mth FX"/>
      <sheetName val="Profit and Loss (3)"/>
      <sheetName val="Carmen Parame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E32" sqref="E32"/>
    </sheetView>
  </sheetViews>
  <sheetFormatPr defaultColWidth="14.42578125" defaultRowHeight="15" customHeight="1"/>
  <cols>
    <col min="1" max="6" width="9.85546875" customWidth="1"/>
  </cols>
  <sheetData>
    <row r="1" spans="1:2" ht="13.5" customHeight="1"/>
    <row r="2" spans="1:2" ht="13.5" customHeight="1"/>
    <row r="3" spans="1:2" ht="13.5" customHeight="1"/>
    <row r="4" spans="1:2" ht="13.5" customHeight="1"/>
    <row r="5" spans="1:2" ht="13.5" customHeight="1"/>
    <row r="6" spans="1:2" ht="13.5" customHeight="1"/>
    <row r="7" spans="1:2" ht="13.5" customHeight="1"/>
    <row r="8" spans="1:2" ht="13.5" customHeight="1">
      <c r="A8" s="1" t="s">
        <v>0</v>
      </c>
      <c r="B8" s="1" t="s">
        <v>1</v>
      </c>
    </row>
    <row r="9" spans="1:2" ht="13.5" customHeight="1"/>
    <row r="10" spans="1:2" ht="13.5" customHeight="1"/>
    <row r="11" spans="1:2" ht="13.5" customHeight="1"/>
    <row r="12" spans="1:2" ht="13.5" customHeight="1"/>
    <row r="13" spans="1:2" ht="13.5" customHeight="1"/>
    <row r="14" spans="1:2" ht="13.5" customHeight="1"/>
    <row r="15" spans="1:2" ht="13.5" customHeight="1"/>
    <row r="16" spans="1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0"/>
  <sheetViews>
    <sheetView workbookViewId="0">
      <selection activeCell="H20" sqref="H20"/>
    </sheetView>
  </sheetViews>
  <sheetFormatPr defaultColWidth="14.42578125" defaultRowHeight="15" customHeight="1" outlineLevelRow="1"/>
  <cols>
    <col min="1" max="1" width="1.28515625" customWidth="1"/>
    <col min="2" max="2" width="8.28515625" customWidth="1"/>
    <col min="3" max="3" width="12.28515625" customWidth="1"/>
    <col min="4" max="4" width="9.42578125" customWidth="1"/>
    <col min="5" max="5" width="10.42578125" customWidth="1"/>
    <col min="6" max="6" width="10.7109375" customWidth="1"/>
    <col min="7" max="7" width="12.28515625" customWidth="1"/>
    <col min="8" max="8" width="32.85546875" customWidth="1"/>
    <col min="9" max="9" width="9.140625" customWidth="1"/>
    <col min="10" max="10" width="9.28515625" customWidth="1"/>
    <col min="11" max="11" width="10" customWidth="1"/>
    <col min="12" max="12" width="18.5703125" customWidth="1"/>
    <col min="13" max="13" width="9.85546875" customWidth="1"/>
    <col min="14" max="30" width="14.42578125" customWidth="1"/>
  </cols>
  <sheetData>
    <row r="1" spans="1:30">
      <c r="A1" s="2"/>
      <c r="B1" s="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2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>
      <c r="A6" s="2"/>
      <c r="B6" s="2"/>
      <c r="C6" s="2"/>
      <c r="D6" s="2"/>
      <c r="E6" s="2" t="s">
        <v>2</v>
      </c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>
      <c r="A7" s="2"/>
      <c r="B7" s="683" t="s">
        <v>3</v>
      </c>
      <c r="C7" s="684"/>
      <c r="D7" s="684"/>
      <c r="E7" s="684"/>
      <c r="F7" s="684"/>
      <c r="G7" s="684"/>
      <c r="H7" s="684"/>
      <c r="I7" s="684"/>
      <c r="J7" s="684"/>
      <c r="K7" s="684"/>
      <c r="L7" s="685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9.5">
      <c r="A8" s="4"/>
      <c r="B8" s="686"/>
      <c r="C8" s="687"/>
      <c r="D8" s="687"/>
      <c r="E8" s="687"/>
      <c r="F8" s="687"/>
      <c r="G8" s="687"/>
      <c r="H8" s="687"/>
      <c r="I8" s="687"/>
      <c r="J8" s="687"/>
      <c r="K8" s="687"/>
      <c r="L8" s="688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9.5">
      <c r="A9" s="4"/>
      <c r="B9" s="689" t="s">
        <v>4</v>
      </c>
      <c r="C9" s="665"/>
      <c r="D9" s="5" t="s">
        <v>5</v>
      </c>
      <c r="E9" s="6"/>
      <c r="F9" s="6"/>
      <c r="G9" s="7"/>
      <c r="H9" s="6"/>
      <c r="I9" s="8"/>
      <c r="J9" s="5" t="s">
        <v>5</v>
      </c>
      <c r="K9" s="6"/>
      <c r="L9" s="9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9.5">
      <c r="A10" s="4"/>
      <c r="B10" s="10"/>
      <c r="C10" s="6" t="s">
        <v>2</v>
      </c>
      <c r="D10" s="5" t="s">
        <v>5</v>
      </c>
      <c r="E10" s="6"/>
      <c r="F10" s="6"/>
      <c r="G10" s="11"/>
      <c r="H10" s="6"/>
      <c r="I10" s="8"/>
      <c r="J10" s="5" t="s">
        <v>5</v>
      </c>
      <c r="K10" s="6"/>
      <c r="L10" s="12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25.5">
      <c r="A11" s="14"/>
      <c r="B11" s="10"/>
      <c r="C11" s="6" t="s">
        <v>2</v>
      </c>
      <c r="D11" s="5" t="s">
        <v>5</v>
      </c>
      <c r="E11" s="6"/>
      <c r="F11" s="6"/>
      <c r="G11" s="11"/>
      <c r="H11" s="6"/>
      <c r="I11" s="8"/>
      <c r="J11" s="5" t="s">
        <v>5</v>
      </c>
      <c r="K11" s="6"/>
      <c r="L11" s="9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25.5">
      <c r="A12" s="14"/>
      <c r="B12" s="10"/>
      <c r="C12" s="6" t="s">
        <v>2</v>
      </c>
      <c r="D12" s="5" t="s">
        <v>5</v>
      </c>
      <c r="E12" s="6"/>
      <c r="F12" s="6"/>
      <c r="G12" s="11"/>
      <c r="H12" s="6"/>
      <c r="I12" s="11"/>
      <c r="J12" s="5" t="s">
        <v>5</v>
      </c>
      <c r="K12" s="6"/>
      <c r="L12" s="15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25.5">
      <c r="A13" s="14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8"/>
      <c r="M13" s="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25.5">
      <c r="A14" s="14"/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1"/>
      <c r="M14" s="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22.5">
      <c r="A15" s="22"/>
      <c r="B15" s="690" t="str">
        <f>DB</f>
        <v>homm</v>
      </c>
      <c r="C15" s="665"/>
      <c r="D15" s="665"/>
      <c r="E15" s="665"/>
      <c r="F15" s="665"/>
      <c r="G15" s="665"/>
      <c r="H15" s="665"/>
      <c r="I15" s="665"/>
      <c r="J15" s="665"/>
      <c r="K15" s="665"/>
      <c r="L15" s="691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24" customHeight="1">
      <c r="A16" s="22"/>
      <c r="B16" s="692" t="s">
        <v>6</v>
      </c>
      <c r="C16" s="665"/>
      <c r="D16" s="665"/>
      <c r="E16" s="665"/>
      <c r="F16" s="665"/>
      <c r="G16" s="665"/>
      <c r="H16" s="665"/>
      <c r="I16" s="665"/>
      <c r="J16" s="665"/>
      <c r="K16" s="665"/>
      <c r="L16" s="69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9.5">
      <c r="A17" s="4"/>
      <c r="B17" s="693" t="s">
        <v>7</v>
      </c>
      <c r="C17" s="665"/>
      <c r="D17" s="665"/>
      <c r="E17" s="665"/>
      <c r="F17" s="665"/>
      <c r="G17" s="665"/>
      <c r="H17" s="665"/>
      <c r="I17" s="665"/>
      <c r="J17" s="665"/>
      <c r="K17" s="665"/>
      <c r="L17" s="691"/>
      <c r="M17" s="2"/>
      <c r="N17" s="1">
        <v>2025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9.5">
      <c r="A18" s="4"/>
      <c r="B18" s="23"/>
      <c r="C18" s="1"/>
      <c r="D18" s="1"/>
      <c r="E18" s="1"/>
      <c r="F18" s="1"/>
      <c r="G18" s="24" t="s">
        <v>8</v>
      </c>
      <c r="H18" s="1"/>
      <c r="I18" s="1"/>
      <c r="J18" s="1"/>
      <c r="K18" s="1"/>
      <c r="L18" s="25"/>
      <c r="M18" s="2"/>
      <c r="N18" s="26" t="s">
        <v>1356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9.5" outlineLevel="1">
      <c r="A19" s="4"/>
      <c r="B19" s="27"/>
      <c r="C19" s="6"/>
      <c r="D19" s="6"/>
      <c r="E19" s="6"/>
      <c r="F19" s="1"/>
      <c r="G19" s="24" t="s">
        <v>9</v>
      </c>
      <c r="H19" s="28">
        <v>1</v>
      </c>
      <c r="I19" s="6"/>
      <c r="J19" s="6"/>
      <c r="K19" s="6"/>
      <c r="L19" s="9"/>
      <c r="M19" s="2"/>
      <c r="N19" s="1">
        <f>DD</f>
        <v>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9.5" outlineLevel="1">
      <c r="A20" s="4"/>
      <c r="B20" s="27"/>
      <c r="C20" s="6"/>
      <c r="D20" s="6"/>
      <c r="E20" s="6"/>
      <c r="F20" s="29"/>
      <c r="G20" s="24" t="s">
        <v>10</v>
      </c>
      <c r="H20" s="30">
        <v>2026</v>
      </c>
      <c r="I20" s="6"/>
      <c r="J20" s="6"/>
      <c r="K20" s="6"/>
      <c r="L20" s="9"/>
      <c r="M20" s="2"/>
      <c r="N20" s="1" t="str">
        <f>DB</f>
        <v>homm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5.75" customHeight="1" outlineLevel="1">
      <c r="A21" s="4"/>
      <c r="B21" s="31"/>
      <c r="C21" s="4"/>
      <c r="D21" s="4"/>
      <c r="E21" s="4"/>
      <c r="F21" s="4"/>
      <c r="G21" s="24" t="s">
        <v>11</v>
      </c>
      <c r="H21" s="30" t="s">
        <v>12</v>
      </c>
      <c r="I21" s="4"/>
      <c r="J21" s="4"/>
      <c r="K21" s="32"/>
      <c r="L21" s="15"/>
      <c r="M21" s="2"/>
      <c r="N21" s="1">
        <f>RV</f>
        <v>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.75" customHeight="1" outlineLevel="1">
      <c r="A22" s="4"/>
      <c r="B22" s="31"/>
      <c r="C22" s="4"/>
      <c r="D22" s="4"/>
      <c r="E22" s="4"/>
      <c r="F22" s="4"/>
      <c r="G22" s="24" t="s">
        <v>13</v>
      </c>
      <c r="H22" s="30">
        <v>0</v>
      </c>
      <c r="I22" s="4"/>
      <c r="J22" s="4"/>
      <c r="K22" s="32"/>
      <c r="L22" s="15"/>
      <c r="M22" s="2"/>
      <c r="N22" s="1" t="str">
        <f>HName</f>
        <v xml:space="preserve">Example 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.75" customHeight="1" outlineLevel="1">
      <c r="A23" s="4"/>
      <c r="B23" s="31"/>
      <c r="C23" s="4"/>
      <c r="D23" s="4"/>
      <c r="E23" s="4"/>
      <c r="F23" s="4"/>
      <c r="G23" s="29"/>
      <c r="H23" s="30"/>
      <c r="I23" s="4"/>
      <c r="J23" s="4"/>
      <c r="K23" s="32"/>
      <c r="L23" s="15"/>
      <c r="M23" s="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.75" customHeight="1">
      <c r="A24" s="33"/>
      <c r="B24" s="34" t="s">
        <v>14</v>
      </c>
      <c r="C24" s="35"/>
      <c r="D24" s="4"/>
      <c r="E24" s="4"/>
      <c r="F24" s="4"/>
      <c r="G24" s="4"/>
      <c r="H24" s="4"/>
      <c r="I24" s="4"/>
      <c r="J24" s="4"/>
      <c r="K24" s="32"/>
      <c r="L24" s="36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customHeight="1">
      <c r="A25" s="4"/>
      <c r="B25" s="31"/>
      <c r="C25" s="4"/>
      <c r="D25" s="4"/>
      <c r="E25" s="4"/>
      <c r="F25" s="4"/>
      <c r="G25" s="4"/>
      <c r="H25" s="4"/>
      <c r="I25" s="4"/>
      <c r="J25" s="4"/>
      <c r="K25" s="32"/>
      <c r="L25" s="37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.75" customHeight="1">
      <c r="A26" s="4"/>
      <c r="B26" s="31"/>
      <c r="C26" s="38" t="s">
        <v>15</v>
      </c>
      <c r="D26" s="4"/>
      <c r="E26" s="4"/>
      <c r="F26" s="4"/>
      <c r="G26" s="4"/>
      <c r="H26" s="4"/>
      <c r="I26" s="4"/>
      <c r="J26" s="4"/>
      <c r="K26" s="32"/>
      <c r="L26" s="39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customHeight="1">
      <c r="A27" s="4"/>
      <c r="B27" s="31"/>
      <c r="C27" s="38" t="s">
        <v>16</v>
      </c>
      <c r="D27" s="4"/>
      <c r="E27" s="4"/>
      <c r="F27" s="4"/>
      <c r="G27" s="4"/>
      <c r="H27" s="4"/>
      <c r="I27" s="4"/>
      <c r="J27" s="4"/>
      <c r="K27" s="32"/>
      <c r="L27" s="39"/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75" customHeight="1">
      <c r="A28" s="4"/>
      <c r="B28" s="40"/>
      <c r="C28" s="38" t="s">
        <v>17</v>
      </c>
      <c r="D28" s="4"/>
      <c r="E28" s="4"/>
      <c r="F28" s="4"/>
      <c r="G28" s="4"/>
      <c r="H28" s="4"/>
      <c r="I28" s="4"/>
      <c r="J28" s="4"/>
      <c r="K28" s="32"/>
      <c r="L28" s="39"/>
      <c r="M28" s="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75" customHeight="1">
      <c r="A29" s="4"/>
      <c r="B29" s="31"/>
      <c r="C29" s="4"/>
      <c r="D29" s="11" t="s">
        <v>18</v>
      </c>
      <c r="E29" s="4"/>
      <c r="F29" s="4"/>
      <c r="G29" s="4"/>
      <c r="H29" s="4"/>
      <c r="I29" s="4"/>
      <c r="J29" s="4"/>
      <c r="K29" s="32"/>
      <c r="L29" s="39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.75" customHeight="1">
      <c r="A30" s="4"/>
      <c r="B30" s="31"/>
      <c r="C30" s="4"/>
      <c r="D30" s="11" t="s">
        <v>19</v>
      </c>
      <c r="E30" s="4"/>
      <c r="F30" s="4"/>
      <c r="G30" s="4"/>
      <c r="H30" s="4"/>
      <c r="I30" s="4"/>
      <c r="J30" s="4"/>
      <c r="K30" s="32"/>
      <c r="L30" s="39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customHeight="1">
      <c r="A31" s="4"/>
      <c r="B31" s="31"/>
      <c r="C31" s="4"/>
      <c r="D31" s="11" t="s">
        <v>20</v>
      </c>
      <c r="E31" s="4"/>
      <c r="F31" s="4"/>
      <c r="G31" s="4"/>
      <c r="H31" s="4"/>
      <c r="I31" s="4"/>
      <c r="J31" s="4"/>
      <c r="K31" s="32"/>
      <c r="L31" s="39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75" customHeight="1">
      <c r="A32" s="4"/>
      <c r="B32" s="31"/>
      <c r="C32" s="4"/>
      <c r="D32" s="11" t="s">
        <v>21</v>
      </c>
      <c r="E32" s="4"/>
      <c r="F32" s="4"/>
      <c r="G32" s="4"/>
      <c r="H32" s="4"/>
      <c r="I32" s="4"/>
      <c r="J32" s="4"/>
      <c r="K32" s="32"/>
      <c r="L32" s="39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5.75" customHeight="1">
      <c r="A33" s="4"/>
      <c r="B33" s="31"/>
      <c r="C33" s="41"/>
      <c r="D33" s="42" t="s">
        <v>22</v>
      </c>
      <c r="E33" s="4"/>
      <c r="F33" s="4"/>
      <c r="G33" s="4"/>
      <c r="H33" s="4"/>
      <c r="I33" s="4"/>
      <c r="J33" s="4"/>
      <c r="K33" s="32"/>
      <c r="L33" s="39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.75" customHeight="1">
      <c r="A34" s="4"/>
      <c r="B34" s="31"/>
      <c r="C34" s="41"/>
      <c r="D34" s="43" t="s">
        <v>23</v>
      </c>
      <c r="E34" s="4"/>
      <c r="F34" s="4"/>
      <c r="G34" s="4"/>
      <c r="H34" s="4"/>
      <c r="I34" s="4"/>
      <c r="J34" s="4"/>
      <c r="K34" s="32"/>
      <c r="L34" s="39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.75" customHeight="1">
      <c r="A35" s="4"/>
      <c r="B35" s="31"/>
      <c r="C35" s="41"/>
      <c r="D35" s="43" t="s">
        <v>24</v>
      </c>
      <c r="E35" s="4"/>
      <c r="F35" s="4"/>
      <c r="G35" s="13"/>
      <c r="H35" s="4"/>
      <c r="I35" s="4"/>
      <c r="J35" s="4"/>
      <c r="K35" s="32"/>
      <c r="L35" s="39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5.75" customHeight="1">
      <c r="A36" s="4"/>
      <c r="B36" s="31"/>
      <c r="C36" s="41"/>
      <c r="D36" s="42" t="s">
        <v>25</v>
      </c>
      <c r="E36" s="4"/>
      <c r="F36" s="4"/>
      <c r="G36" s="13"/>
      <c r="H36" s="4"/>
      <c r="I36" s="4"/>
      <c r="J36" s="4"/>
      <c r="K36" s="32"/>
      <c r="L36" s="39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5.75" customHeight="1">
      <c r="A37" s="4"/>
      <c r="B37" s="31"/>
      <c r="C37" s="41"/>
      <c r="D37" s="43"/>
      <c r="E37" s="4"/>
      <c r="F37" s="4"/>
      <c r="G37" s="4"/>
      <c r="H37" s="4"/>
      <c r="I37" s="4"/>
      <c r="J37" s="4"/>
      <c r="K37" s="32"/>
      <c r="L37" s="39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>
      <c r="A38" s="4"/>
      <c r="B38" s="31"/>
      <c r="C38" s="41"/>
      <c r="D38" s="43"/>
      <c r="E38" s="4"/>
      <c r="F38" s="4"/>
      <c r="G38" s="4"/>
      <c r="H38" s="4"/>
      <c r="I38" s="4"/>
      <c r="J38" s="4"/>
      <c r="K38" s="32"/>
      <c r="L38" s="39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customHeight="1">
      <c r="A39" s="4"/>
      <c r="B39" s="31"/>
      <c r="C39" s="41"/>
      <c r="D39" s="2"/>
      <c r="E39" s="4"/>
      <c r="F39" s="4"/>
      <c r="G39" s="4"/>
      <c r="H39" s="4"/>
      <c r="I39" s="4"/>
      <c r="J39" s="4"/>
      <c r="K39" s="32"/>
      <c r="L39" s="39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customHeight="1">
      <c r="A40" s="4"/>
      <c r="B40" s="31"/>
      <c r="C40" s="41"/>
      <c r="D40" s="2"/>
      <c r="E40" s="4"/>
      <c r="F40" s="4"/>
      <c r="G40" s="4"/>
      <c r="H40" s="4"/>
      <c r="I40" s="4"/>
      <c r="J40" s="4"/>
      <c r="K40" s="32"/>
      <c r="L40" s="39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5.75" customHeight="1">
      <c r="A41" s="4"/>
      <c r="B41" s="31"/>
      <c r="C41" s="41"/>
      <c r="D41" s="2"/>
      <c r="E41" s="4"/>
      <c r="F41" s="4"/>
      <c r="G41" s="4"/>
      <c r="H41" s="4"/>
      <c r="I41" s="4"/>
      <c r="J41" s="4"/>
      <c r="K41" s="32"/>
      <c r="L41" s="39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.75" customHeight="1">
      <c r="A42" s="4"/>
      <c r="B42" s="31"/>
      <c r="C42" s="41"/>
      <c r="D42" s="43"/>
      <c r="E42" s="4"/>
      <c r="F42" s="4"/>
      <c r="G42" s="4"/>
      <c r="H42" s="4"/>
      <c r="I42" s="4"/>
      <c r="J42" s="4"/>
      <c r="K42" s="32"/>
      <c r="L42" s="39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.75" customHeight="1">
      <c r="A43" s="4"/>
      <c r="B43" s="44"/>
      <c r="C43" s="2"/>
      <c r="D43" s="2"/>
      <c r="E43" s="2"/>
      <c r="F43" s="2"/>
      <c r="G43" s="2"/>
      <c r="H43" s="2"/>
      <c r="I43" s="2"/>
      <c r="J43" s="2"/>
      <c r="K43" s="2"/>
      <c r="L43" s="45"/>
      <c r="M43" s="3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.75" customHeight="1">
      <c r="A44" s="4"/>
      <c r="B44" s="44"/>
      <c r="C44" s="2"/>
      <c r="D44" s="2"/>
      <c r="E44" s="2"/>
      <c r="F44" s="2"/>
      <c r="G44" s="2"/>
      <c r="H44" s="2"/>
      <c r="I44" s="2"/>
      <c r="J44" s="2"/>
      <c r="K44" s="2"/>
      <c r="L44" s="45"/>
      <c r="M44" s="1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.75" customHeight="1">
      <c r="A45" s="4"/>
      <c r="B45" s="31"/>
      <c r="C45" s="38"/>
      <c r="D45" s="4"/>
      <c r="E45" s="4"/>
      <c r="F45" s="4"/>
      <c r="G45" s="4"/>
      <c r="H45" s="4"/>
      <c r="I45" s="4"/>
      <c r="J45" s="4"/>
      <c r="K45" s="32"/>
      <c r="L45" s="39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customHeight="1">
      <c r="A46" s="4"/>
      <c r="B46" s="31"/>
      <c r="C46" s="38"/>
      <c r="D46" s="4"/>
      <c r="E46" s="4"/>
      <c r="F46" s="4"/>
      <c r="G46" s="4"/>
      <c r="H46" s="4"/>
      <c r="I46" s="4"/>
      <c r="J46" s="4"/>
      <c r="K46" s="32"/>
      <c r="L46" s="39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customHeight="1">
      <c r="A47" s="4"/>
      <c r="B47" s="31"/>
      <c r="C47" s="38"/>
      <c r="D47" s="4"/>
      <c r="E47" s="4"/>
      <c r="F47" s="4"/>
      <c r="G47" s="4"/>
      <c r="H47" s="4"/>
      <c r="I47" s="4"/>
      <c r="J47" s="4"/>
      <c r="K47" s="32"/>
      <c r="L47" s="39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customHeight="1">
      <c r="A48" s="4"/>
      <c r="B48" s="46"/>
      <c r="C48" s="47"/>
      <c r="D48" s="48"/>
      <c r="E48" s="48"/>
      <c r="F48" s="48"/>
      <c r="G48" s="48"/>
      <c r="H48" s="48"/>
      <c r="I48" s="48"/>
      <c r="J48" s="48"/>
      <c r="K48" s="49"/>
      <c r="L48" s="50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customHeight="1">
      <c r="A49" s="4"/>
      <c r="B49" s="4"/>
      <c r="C49" s="38"/>
      <c r="D49" s="4"/>
      <c r="E49" s="4"/>
      <c r="F49" s="4"/>
      <c r="G49" s="4"/>
      <c r="H49" s="4"/>
      <c r="I49" s="4"/>
      <c r="J49" s="4"/>
      <c r="K49" s="32"/>
      <c r="L49" s="51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75" customHeight="1">
      <c r="A50" s="4"/>
      <c r="B50" s="4"/>
      <c r="C50" s="4"/>
      <c r="D50" s="43"/>
      <c r="E50" s="4"/>
      <c r="F50" s="4"/>
      <c r="G50" s="4"/>
      <c r="H50" s="4"/>
      <c r="I50" s="4"/>
      <c r="J50" s="4"/>
      <c r="K50" s="32"/>
      <c r="L50" s="51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.75" customHeight="1">
      <c r="A51" s="4"/>
      <c r="B51" s="4"/>
      <c r="C51" s="4"/>
      <c r="D51" s="43"/>
      <c r="E51" s="4"/>
      <c r="F51" s="4"/>
      <c r="G51" s="4"/>
      <c r="H51" s="4"/>
      <c r="I51" s="4"/>
      <c r="J51" s="4"/>
      <c r="K51" s="32"/>
      <c r="L51" s="51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.75" customHeight="1">
      <c r="A52" s="4"/>
      <c r="B52" s="4"/>
      <c r="C52" s="38"/>
      <c r="D52" s="4"/>
      <c r="E52" s="4"/>
      <c r="F52" s="4"/>
      <c r="G52" s="4"/>
      <c r="H52" s="4"/>
      <c r="I52" s="4"/>
      <c r="J52" s="4"/>
      <c r="K52" s="32"/>
      <c r="L52" s="51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5.75" customHeight="1">
      <c r="A53" s="4"/>
      <c r="B53" s="4"/>
      <c r="C53" s="38"/>
      <c r="D53" s="4"/>
      <c r="E53" s="4"/>
      <c r="F53" s="4"/>
      <c r="G53" s="4"/>
      <c r="H53" s="4"/>
      <c r="I53" s="4"/>
      <c r="J53" s="4"/>
      <c r="K53" s="32"/>
      <c r="L53" s="51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5.75" customHeight="1">
      <c r="A54" s="4"/>
      <c r="B54" s="4"/>
      <c r="C54" s="38"/>
      <c r="D54" s="4"/>
      <c r="E54" s="4"/>
      <c r="F54" s="4"/>
      <c r="G54" s="4"/>
      <c r="H54" s="4"/>
      <c r="I54" s="4"/>
      <c r="J54" s="4"/>
      <c r="K54" s="32"/>
      <c r="L54" s="51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5.75" customHeight="1">
      <c r="A55" s="4"/>
      <c r="B55" s="4"/>
      <c r="C55" s="38"/>
      <c r="D55" s="4"/>
      <c r="E55" s="4"/>
      <c r="F55" s="4"/>
      <c r="G55" s="4"/>
      <c r="H55" s="4"/>
      <c r="I55" s="4"/>
      <c r="J55" s="4"/>
      <c r="K55" s="32"/>
      <c r="L55" s="51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5.75" customHeight="1">
      <c r="A56" s="4"/>
      <c r="B56" s="4"/>
      <c r="C56" s="38"/>
      <c r="D56" s="4"/>
      <c r="E56" s="4"/>
      <c r="F56" s="4"/>
      <c r="G56" s="4"/>
      <c r="H56" s="4"/>
      <c r="I56" s="4"/>
      <c r="J56" s="4"/>
      <c r="K56" s="32"/>
      <c r="L56" s="51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.75" customHeight="1">
      <c r="A57" s="4"/>
      <c r="B57" s="4"/>
      <c r="C57" s="4"/>
      <c r="D57" s="4"/>
      <c r="E57" s="4"/>
      <c r="F57" s="4"/>
      <c r="G57" s="4"/>
      <c r="H57" s="4"/>
      <c r="I57" s="4"/>
      <c r="J57" s="52"/>
      <c r="K57" s="32"/>
      <c r="L57" s="3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5.75" customHeight="1">
      <c r="A58" s="4"/>
      <c r="B58" s="53"/>
      <c r="C58" s="53"/>
      <c r="D58" s="4"/>
      <c r="E58" s="4"/>
      <c r="F58" s="4"/>
      <c r="G58" s="4"/>
      <c r="H58" s="4"/>
      <c r="I58" s="4"/>
      <c r="J58" s="4"/>
      <c r="K58" s="32"/>
      <c r="L58" s="3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3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.75" customHeight="1">
      <c r="A60" s="4"/>
      <c r="B60" s="53"/>
      <c r="C60" s="53"/>
      <c r="D60" s="4"/>
      <c r="E60" s="4"/>
      <c r="F60" s="4"/>
      <c r="G60" s="4"/>
      <c r="H60" s="4"/>
      <c r="I60" s="4"/>
      <c r="J60" s="4"/>
      <c r="K60" s="4"/>
      <c r="L60" s="3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3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.75" customHeight="1">
      <c r="A62" s="4"/>
      <c r="B62" s="52"/>
      <c r="C62" s="4"/>
      <c r="D62" s="4"/>
      <c r="E62" s="4"/>
      <c r="F62" s="4"/>
      <c r="G62" s="4"/>
      <c r="H62" s="4"/>
      <c r="I62" s="4"/>
      <c r="J62" s="4"/>
      <c r="K62" s="4"/>
      <c r="L62" s="3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3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.75" customHeight="1">
      <c r="A64" s="4"/>
      <c r="B64" s="52"/>
      <c r="C64" s="52"/>
      <c r="D64" s="4"/>
      <c r="E64" s="4"/>
      <c r="F64" s="4"/>
      <c r="G64" s="4"/>
      <c r="H64" s="4"/>
      <c r="I64" s="4"/>
      <c r="J64" s="4"/>
      <c r="K64" s="4"/>
      <c r="L64" s="3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.75" customHeight="1">
      <c r="A65" s="4"/>
      <c r="B65" s="52"/>
      <c r="C65" s="52"/>
      <c r="D65" s="4"/>
      <c r="E65" s="4"/>
      <c r="F65" s="4"/>
      <c r="G65" s="4"/>
      <c r="H65" s="681"/>
      <c r="I65" s="665"/>
      <c r="J65" s="4"/>
      <c r="K65" s="4"/>
      <c r="L65" s="3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.75" customHeight="1">
      <c r="A66" s="4"/>
      <c r="B66" s="4"/>
      <c r="C66" s="52"/>
      <c r="D66" s="4"/>
      <c r="E66" s="4"/>
      <c r="F66" s="4"/>
      <c r="G66" s="54"/>
      <c r="H66" s="682"/>
      <c r="I66" s="665"/>
      <c r="J66" s="4"/>
      <c r="K66" s="4"/>
      <c r="L66" s="3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75" customHeight="1">
      <c r="A67" s="4"/>
      <c r="B67" s="4"/>
      <c r="C67" s="4"/>
      <c r="D67" s="4"/>
      <c r="E67" s="4"/>
      <c r="F67" s="4"/>
      <c r="G67" s="4"/>
      <c r="H67" s="681"/>
      <c r="I67" s="665"/>
      <c r="J67" s="4"/>
      <c r="K67" s="4"/>
      <c r="L67" s="3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.75" customHeight="1">
      <c r="A68" s="4"/>
      <c r="B68" s="52"/>
      <c r="C68" s="52"/>
      <c r="D68" s="4"/>
      <c r="E68" s="4"/>
      <c r="F68" s="4"/>
      <c r="G68" s="4"/>
      <c r="H68" s="4"/>
      <c r="I68" s="4"/>
      <c r="J68" s="4"/>
      <c r="K68" s="4"/>
      <c r="L68" s="3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3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3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.75" customHeight="1">
      <c r="A71" s="4"/>
      <c r="B71" s="4"/>
      <c r="C71" s="4"/>
      <c r="D71" s="4"/>
      <c r="E71" s="4" t="s">
        <v>2</v>
      </c>
      <c r="F71" s="4"/>
      <c r="G71" s="38"/>
      <c r="H71" s="4"/>
      <c r="I71" s="4"/>
      <c r="J71" s="4"/>
      <c r="K71" s="4"/>
      <c r="L71" s="3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3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75" customHeight="1">
      <c r="A73" s="4"/>
      <c r="B73" s="4" t="s">
        <v>2</v>
      </c>
      <c r="C73" s="4"/>
      <c r="D73" s="4"/>
      <c r="E73" s="4" t="s">
        <v>2</v>
      </c>
      <c r="F73" s="4"/>
      <c r="G73" s="4"/>
      <c r="H73" s="4"/>
      <c r="I73" s="4"/>
      <c r="J73" s="4"/>
      <c r="K73" s="4"/>
      <c r="L73" s="3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75" customHeight="1">
      <c r="A74" s="4"/>
      <c r="B74" s="4"/>
      <c r="C74" s="4"/>
      <c r="D74" s="4"/>
      <c r="E74" s="4"/>
      <c r="F74" s="4"/>
      <c r="G74" s="38"/>
      <c r="H74" s="4"/>
      <c r="I74" s="4"/>
      <c r="J74" s="4"/>
      <c r="K74" s="4"/>
      <c r="L74" s="3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.75" customHeight="1">
      <c r="A75" s="4"/>
      <c r="B75" s="52" t="s">
        <v>2</v>
      </c>
      <c r="C75" s="52"/>
      <c r="D75" s="4"/>
      <c r="E75" s="4" t="s">
        <v>2</v>
      </c>
      <c r="F75" s="4"/>
      <c r="G75" s="4"/>
      <c r="H75" s="4"/>
      <c r="I75" s="4"/>
      <c r="J75" s="4"/>
      <c r="K75" s="4"/>
      <c r="L75" s="3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.75" customHeight="1">
      <c r="A76" s="4"/>
      <c r="B76" s="4"/>
      <c r="C76" s="4"/>
      <c r="D76" s="4"/>
      <c r="E76" s="4" t="s">
        <v>2</v>
      </c>
      <c r="F76" s="4"/>
      <c r="G76" s="4"/>
      <c r="H76" s="4"/>
      <c r="I76" s="4"/>
      <c r="J76" s="4"/>
      <c r="K76" s="4"/>
      <c r="L76" s="3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3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.75" customHeight="1">
      <c r="A78" s="4"/>
      <c r="B78" s="4" t="s">
        <v>2</v>
      </c>
      <c r="C78" s="4"/>
      <c r="D78" s="4"/>
      <c r="E78" s="4" t="s">
        <v>2</v>
      </c>
      <c r="F78" s="4"/>
      <c r="G78" s="4"/>
      <c r="H78" s="4"/>
      <c r="I78" s="4"/>
      <c r="J78" s="4"/>
      <c r="K78" s="4"/>
      <c r="L78" s="3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3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.75" customHeight="1">
      <c r="A80" s="4"/>
      <c r="B80" s="4"/>
      <c r="C80" s="4"/>
      <c r="D80" s="4"/>
      <c r="E80" s="4" t="s">
        <v>2</v>
      </c>
      <c r="F80" s="4"/>
      <c r="G80" s="4"/>
      <c r="H80" s="4"/>
      <c r="I80" s="4"/>
      <c r="J80" s="4"/>
      <c r="K80" s="4"/>
      <c r="L80" s="3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3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3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75" customHeight="1">
      <c r="A83" s="4"/>
      <c r="B83" s="4"/>
      <c r="C83" s="4"/>
      <c r="D83" s="4"/>
      <c r="E83" s="4"/>
      <c r="F83" s="4"/>
      <c r="G83" s="38"/>
      <c r="H83" s="4"/>
      <c r="I83" s="4"/>
      <c r="J83" s="4"/>
      <c r="K83" s="4"/>
      <c r="L83" s="3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3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3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75" customHeight="1">
      <c r="A86" s="4"/>
      <c r="B86" s="4"/>
      <c r="C86" s="4"/>
      <c r="D86" s="4"/>
      <c r="E86" s="4"/>
      <c r="F86" s="4"/>
      <c r="G86" s="38"/>
      <c r="H86" s="4"/>
      <c r="I86" s="4"/>
      <c r="J86" s="4"/>
      <c r="K86" s="4"/>
      <c r="L86" s="3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3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3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3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3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3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3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3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3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3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8">
    <mergeCell ref="H65:I65"/>
    <mergeCell ref="H66:I66"/>
    <mergeCell ref="H67:I67"/>
    <mergeCell ref="B7:L8"/>
    <mergeCell ref="B9:C9"/>
    <mergeCell ref="B15:L15"/>
    <mergeCell ref="B16:L16"/>
    <mergeCell ref="B17:L17"/>
  </mergeCells>
  <pageMargins left="0.6" right="0.16" top="0.28000000000000003" bottom="0.59" header="0" footer="0"/>
  <pageSetup paperSize="9" scale="8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000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2" sqref="A2:I2"/>
    </sheetView>
  </sheetViews>
  <sheetFormatPr defaultColWidth="14.42578125" defaultRowHeight="15" customHeight="1" outlineLevelCol="1"/>
  <cols>
    <col min="1" max="1" width="4.42578125" customWidth="1"/>
    <col min="2" max="2" width="45.5703125" customWidth="1"/>
    <col min="3" max="3" width="18" customWidth="1"/>
    <col min="4" max="4" width="2" customWidth="1"/>
    <col min="5" max="5" width="18" customWidth="1"/>
    <col min="6" max="6" width="2" customWidth="1"/>
    <col min="7" max="7" width="18" customWidth="1"/>
    <col min="8" max="8" width="2" customWidth="1"/>
    <col min="9" max="9" width="9.28515625" customWidth="1"/>
    <col min="10" max="10" width="8" customWidth="1"/>
    <col min="11" max="11" width="4.5703125" customWidth="1"/>
    <col min="12" max="13" width="1.140625" customWidth="1"/>
    <col min="14" max="26" width="10.42578125" hidden="1" customWidth="1"/>
    <col min="27" max="31" width="9.28515625" customWidth="1" outlineLevel="1"/>
    <col min="32" max="39" width="10.42578125" customWidth="1"/>
  </cols>
  <sheetData>
    <row r="1" spans="1:57" ht="11.25" customHeight="1">
      <c r="A1" s="55"/>
      <c r="B1" s="56"/>
      <c r="C1" s="57"/>
      <c r="D1" s="58"/>
      <c r="E1" s="59"/>
      <c r="F1" s="58"/>
      <c r="G1" s="59"/>
      <c r="H1" s="58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1"/>
      <c r="AB1" s="61"/>
      <c r="AC1" s="61"/>
      <c r="AD1" s="61"/>
      <c r="AE1" s="61"/>
      <c r="AF1" s="62"/>
      <c r="AG1" s="62"/>
      <c r="AH1" s="62"/>
      <c r="AI1" s="62"/>
      <c r="AJ1" s="62"/>
      <c r="AK1" s="62"/>
      <c r="AL1" s="62"/>
      <c r="AM1" s="62"/>
    </row>
    <row r="2" spans="1:57" ht="18" customHeight="1">
      <c r="A2" s="664" t="s">
        <v>26</v>
      </c>
      <c r="B2" s="665"/>
      <c r="C2" s="665"/>
      <c r="D2" s="665"/>
      <c r="E2" s="665"/>
      <c r="F2" s="665"/>
      <c r="G2" s="665"/>
      <c r="H2" s="665"/>
      <c r="I2" s="665"/>
      <c r="J2" s="64" t="s">
        <v>9</v>
      </c>
      <c r="K2" s="65">
        <f>PRD</f>
        <v>1</v>
      </c>
      <c r="L2" s="60" t="s">
        <v>2</v>
      </c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1"/>
      <c r="AB2" s="61"/>
      <c r="AC2" s="61"/>
      <c r="AD2" s="61"/>
      <c r="AE2" s="61"/>
      <c r="AF2" s="62"/>
      <c r="AG2" s="62"/>
      <c r="AH2" s="62"/>
      <c r="AI2" s="62"/>
      <c r="AJ2" s="62"/>
      <c r="AK2" s="62"/>
      <c r="AL2" s="62"/>
      <c r="AM2" s="62"/>
    </row>
    <row r="3" spans="1:57" ht="18" customHeight="1">
      <c r="A3" s="664" t="s">
        <v>27</v>
      </c>
      <c r="B3" s="665"/>
      <c r="C3" s="665"/>
      <c r="D3" s="665"/>
      <c r="E3" s="665"/>
      <c r="F3" s="665"/>
      <c r="G3" s="665"/>
      <c r="H3" s="58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1"/>
      <c r="AB3" s="61"/>
      <c r="AC3" s="61"/>
      <c r="AD3" s="61"/>
      <c r="AE3" s="61"/>
      <c r="AF3" s="62"/>
      <c r="AG3" s="62"/>
      <c r="AH3" s="62"/>
      <c r="AI3" s="62"/>
      <c r="AJ3" s="62"/>
      <c r="AK3" s="62"/>
      <c r="AL3" s="62"/>
      <c r="AM3" s="62"/>
    </row>
    <row r="4" spans="1:57" ht="15" customHeight="1">
      <c r="A4" s="66"/>
      <c r="B4" s="67"/>
      <c r="C4" s="68"/>
      <c r="D4" s="67"/>
      <c r="E4" s="67"/>
      <c r="F4" s="67"/>
      <c r="G4" s="67"/>
      <c r="H4" s="69" t="s">
        <v>28</v>
      </c>
      <c r="I4" s="7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56" t="s">
        <v>29</v>
      </c>
      <c r="AB4" s="660"/>
      <c r="AC4" s="660"/>
      <c r="AD4" s="660"/>
      <c r="AE4" s="660"/>
      <c r="AF4" s="660"/>
      <c r="AG4" s="660"/>
      <c r="AH4" s="660"/>
      <c r="AI4" s="660"/>
      <c r="AJ4" s="660"/>
      <c r="AK4" s="660"/>
      <c r="AL4" s="660"/>
      <c r="AM4" s="660"/>
      <c r="AN4" s="660"/>
      <c r="AO4" s="660"/>
      <c r="AP4" s="660"/>
      <c r="AQ4" s="660"/>
      <c r="AR4" s="660"/>
      <c r="AS4" s="660"/>
      <c r="AT4" s="660"/>
      <c r="AU4" s="660"/>
      <c r="AV4" s="660"/>
      <c r="AW4" s="660"/>
      <c r="AX4" s="660"/>
      <c r="AY4" s="660"/>
      <c r="AZ4" s="660"/>
      <c r="BA4" s="660"/>
      <c r="BB4" s="660"/>
      <c r="BC4" s="660"/>
      <c r="BD4" s="660"/>
      <c r="BE4" s="657"/>
    </row>
    <row r="5" spans="1:57" ht="13.5" customHeight="1">
      <c r="A5" s="71"/>
      <c r="B5" s="71"/>
      <c r="C5" s="72"/>
      <c r="D5" s="71"/>
      <c r="E5" s="694" t="s">
        <v>2</v>
      </c>
      <c r="F5" s="687"/>
      <c r="G5" s="687"/>
      <c r="H5" s="687"/>
      <c r="I5" s="687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71" t="s">
        <v>30</v>
      </c>
      <c r="AB5" s="665"/>
      <c r="AC5" s="665"/>
      <c r="AD5" s="665"/>
      <c r="AE5" s="665"/>
      <c r="AF5" s="73"/>
      <c r="AG5" s="671" t="s">
        <v>31</v>
      </c>
      <c r="AH5" s="665"/>
      <c r="AI5" s="665"/>
      <c r="AJ5" s="665"/>
      <c r="AK5" s="665"/>
      <c r="AL5" s="665"/>
      <c r="AM5" s="665"/>
      <c r="AN5" s="665"/>
      <c r="AO5" s="665"/>
      <c r="AP5" s="665"/>
      <c r="AQ5" s="665"/>
      <c r="AR5" s="665"/>
      <c r="AS5" s="665"/>
      <c r="AT5" s="665"/>
      <c r="AU5" s="665"/>
      <c r="AV5" s="665"/>
      <c r="AW5" s="665"/>
      <c r="AX5" s="665"/>
      <c r="AY5" s="665"/>
      <c r="AZ5" s="672"/>
      <c r="BA5" s="74"/>
      <c r="BB5" s="673" t="s">
        <v>32</v>
      </c>
      <c r="BC5" s="674"/>
      <c r="BD5" s="674"/>
      <c r="BE5" s="675"/>
    </row>
    <row r="6" spans="1:57" ht="18" customHeight="1">
      <c r="A6" s="697" t="s">
        <v>33</v>
      </c>
      <c r="B6" s="684"/>
      <c r="C6" s="75" t="s">
        <v>34</v>
      </c>
      <c r="D6" s="76"/>
      <c r="E6" s="75" t="s">
        <v>35</v>
      </c>
      <c r="F6" s="77"/>
      <c r="G6" s="78" t="s">
        <v>36</v>
      </c>
      <c r="H6" s="77"/>
      <c r="I6" s="695" t="s">
        <v>37</v>
      </c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58" t="s">
        <v>38</v>
      </c>
      <c r="AB6" s="658" t="s">
        <v>39</v>
      </c>
      <c r="AC6" s="658" t="s">
        <v>40</v>
      </c>
      <c r="AD6" s="658" t="s">
        <v>41</v>
      </c>
      <c r="AE6" s="673" t="s">
        <v>42</v>
      </c>
      <c r="AF6" s="80"/>
      <c r="AG6" s="656" t="s">
        <v>43</v>
      </c>
      <c r="AH6" s="660"/>
      <c r="AI6" s="656" t="s">
        <v>44</v>
      </c>
      <c r="AJ6" s="660"/>
      <c r="AK6" s="656" t="s">
        <v>45</v>
      </c>
      <c r="AL6" s="660"/>
      <c r="AM6" s="656" t="s">
        <v>46</v>
      </c>
      <c r="AN6" s="657"/>
      <c r="AO6" s="680" t="s">
        <v>47</v>
      </c>
      <c r="AP6" s="660"/>
      <c r="AQ6" s="656" t="s">
        <v>48</v>
      </c>
      <c r="AR6" s="657"/>
      <c r="AS6" s="680" t="s">
        <v>49</v>
      </c>
      <c r="AT6" s="660"/>
      <c r="AU6" s="656" t="s">
        <v>50</v>
      </c>
      <c r="AV6" s="657"/>
      <c r="AW6" s="680" t="s">
        <v>51</v>
      </c>
      <c r="AX6" s="657"/>
      <c r="AY6" s="656" t="s">
        <v>52</v>
      </c>
      <c r="AZ6" s="657"/>
      <c r="BA6" s="81"/>
      <c r="BB6" s="676"/>
      <c r="BC6" s="677"/>
      <c r="BD6" s="677"/>
      <c r="BE6" s="678"/>
    </row>
    <row r="7" spans="1:57" ht="18" customHeight="1">
      <c r="A7" s="687"/>
      <c r="B7" s="687"/>
      <c r="C7" s="82" t="s">
        <v>53</v>
      </c>
      <c r="D7" s="83"/>
      <c r="E7" s="82" t="s">
        <v>54</v>
      </c>
      <c r="F7" s="83"/>
      <c r="G7" s="82" t="s">
        <v>55</v>
      </c>
      <c r="H7" s="83"/>
      <c r="I7" s="687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59"/>
      <c r="AB7" s="659"/>
      <c r="AC7" s="659"/>
      <c r="AD7" s="659"/>
      <c r="AE7" s="676"/>
      <c r="AF7" s="84"/>
      <c r="AG7" s="85" t="s">
        <v>56</v>
      </c>
      <c r="AH7" s="86" t="s">
        <v>57</v>
      </c>
      <c r="AI7" s="85" t="s">
        <v>56</v>
      </c>
      <c r="AJ7" s="86" t="s">
        <v>57</v>
      </c>
      <c r="AK7" s="85" t="s">
        <v>56</v>
      </c>
      <c r="AL7" s="86" t="s">
        <v>57</v>
      </c>
      <c r="AM7" s="64" t="s">
        <v>56</v>
      </c>
      <c r="AN7" s="87" t="s">
        <v>57</v>
      </c>
      <c r="AO7" s="88" t="s">
        <v>56</v>
      </c>
      <c r="AP7" s="86" t="s">
        <v>57</v>
      </c>
      <c r="AQ7" s="85" t="s">
        <v>56</v>
      </c>
      <c r="AR7" s="89" t="s">
        <v>57</v>
      </c>
      <c r="AS7" s="88" t="s">
        <v>56</v>
      </c>
      <c r="AT7" s="86" t="s">
        <v>57</v>
      </c>
      <c r="AU7" s="85" t="s">
        <v>56</v>
      </c>
      <c r="AV7" s="89" t="s">
        <v>57</v>
      </c>
      <c r="AW7" s="88" t="s">
        <v>56</v>
      </c>
      <c r="AX7" s="89" t="s">
        <v>57</v>
      </c>
      <c r="AY7" s="85" t="s">
        <v>56</v>
      </c>
      <c r="AZ7" s="89" t="s">
        <v>57</v>
      </c>
      <c r="BA7" s="90"/>
      <c r="BB7" s="64" t="s">
        <v>58</v>
      </c>
      <c r="BC7" s="64" t="s">
        <v>59</v>
      </c>
      <c r="BD7" s="64" t="s">
        <v>60</v>
      </c>
      <c r="BE7" s="91" t="s">
        <v>61</v>
      </c>
    </row>
    <row r="8" spans="1:57" ht="14.25" customHeight="1">
      <c r="A8" s="696" t="s">
        <v>62</v>
      </c>
      <c r="B8" s="665"/>
      <c r="C8" s="92"/>
      <c r="D8" s="93"/>
      <c r="E8" s="94"/>
      <c r="F8" s="93"/>
      <c r="G8" s="94"/>
      <c r="H8" s="93"/>
      <c r="I8" s="79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95"/>
      <c r="AB8" s="96"/>
      <c r="AC8" s="96"/>
      <c r="AD8" s="96"/>
      <c r="AE8" s="96"/>
      <c r="AF8" s="97"/>
      <c r="AG8" s="95"/>
      <c r="AH8" s="96"/>
      <c r="AI8" s="95"/>
      <c r="AJ8" s="96"/>
      <c r="AK8" s="95"/>
      <c r="AL8" s="96"/>
      <c r="AM8" s="95"/>
      <c r="AN8" s="98"/>
      <c r="AO8" s="96"/>
      <c r="AP8" s="96"/>
      <c r="AQ8" s="95"/>
      <c r="AR8" s="98"/>
      <c r="AS8" s="96"/>
      <c r="AT8" s="96"/>
      <c r="AU8" s="95"/>
      <c r="AV8" s="98"/>
      <c r="AW8" s="96"/>
      <c r="AX8" s="96"/>
      <c r="AY8" s="95"/>
      <c r="AZ8" s="98"/>
      <c r="BA8" s="99"/>
      <c r="BB8" s="95"/>
      <c r="BC8" s="100"/>
      <c r="BD8" s="100"/>
      <c r="BE8" s="98"/>
    </row>
    <row r="9" spans="1:57" ht="16.5" customHeight="1">
      <c r="A9" s="101" t="s">
        <v>63</v>
      </c>
      <c r="B9" s="60"/>
      <c r="C9" s="102"/>
      <c r="D9" s="103"/>
      <c r="E9" s="104"/>
      <c r="F9" s="103"/>
      <c r="G9" s="104"/>
      <c r="H9" s="103"/>
      <c r="I9" s="105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95"/>
      <c r="AB9" s="96"/>
      <c r="AC9" s="96"/>
      <c r="AD9" s="96"/>
      <c r="AE9" s="96"/>
      <c r="AF9" s="97"/>
      <c r="AG9" s="95"/>
      <c r="AH9" s="96"/>
      <c r="AI9" s="95"/>
      <c r="AJ9" s="96"/>
      <c r="AK9" s="95"/>
      <c r="AL9" s="96"/>
      <c r="AM9" s="95"/>
      <c r="AN9" s="98"/>
      <c r="AO9" s="96"/>
      <c r="AP9" s="96"/>
      <c r="AQ9" s="95"/>
      <c r="AR9" s="98"/>
      <c r="AS9" s="96"/>
      <c r="AT9" s="96"/>
      <c r="AU9" s="95"/>
      <c r="AV9" s="98"/>
      <c r="AW9" s="96"/>
      <c r="AX9" s="96"/>
      <c r="AY9" s="95"/>
      <c r="AZ9" s="98"/>
      <c r="BA9" s="99"/>
      <c r="BB9" s="95"/>
      <c r="BC9" s="96"/>
      <c r="BD9" s="96"/>
      <c r="BE9" s="98"/>
    </row>
    <row r="10" spans="1:57" ht="12" customHeight="1">
      <c r="A10" s="101" t="s">
        <v>64</v>
      </c>
      <c r="B10" s="106"/>
      <c r="C10" s="102"/>
      <c r="D10" s="103"/>
      <c r="E10" s="104"/>
      <c r="F10" s="103"/>
      <c r="G10" s="104"/>
      <c r="H10" s="107"/>
      <c r="I10" s="108"/>
      <c r="J10" s="60"/>
      <c r="K10" s="60"/>
      <c r="L10" s="109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95"/>
      <c r="AB10" s="96"/>
      <c r="AC10" s="96"/>
      <c r="AD10" s="96"/>
      <c r="AE10" s="96"/>
      <c r="AF10" s="97"/>
      <c r="AG10" s="95"/>
      <c r="AH10" s="96"/>
      <c r="AI10" s="95"/>
      <c r="AJ10" s="96"/>
      <c r="AK10" s="95"/>
      <c r="AL10" s="96"/>
      <c r="AM10" s="95"/>
      <c r="AN10" s="98"/>
      <c r="AO10" s="96"/>
      <c r="AP10" s="96"/>
      <c r="AQ10" s="95"/>
      <c r="AR10" s="98"/>
      <c r="AS10" s="96"/>
      <c r="AT10" s="96"/>
      <c r="AU10" s="95"/>
      <c r="AV10" s="98"/>
      <c r="AW10" s="96"/>
      <c r="AX10" s="96"/>
      <c r="AY10" s="95"/>
      <c r="AZ10" s="98"/>
      <c r="BA10" s="99"/>
      <c r="BB10" s="95"/>
      <c r="BC10" s="96"/>
      <c r="BD10" s="96"/>
      <c r="BE10" s="98"/>
    </row>
    <row r="11" spans="1:57" ht="12" customHeight="1">
      <c r="A11" s="110"/>
      <c r="B11" s="106" t="s">
        <v>65</v>
      </c>
      <c r="C11" s="102">
        <f>'BS-Support'!C18</f>
        <v>-50351.070000000007</v>
      </c>
      <c r="D11" s="103"/>
      <c r="E11" s="102">
        <f>'BS-Support'!E18</f>
        <v>-50351.070000000007</v>
      </c>
      <c r="F11" s="103"/>
      <c r="G11" s="102">
        <f t="shared" ref="G11:G13" si="0">C11-E11</f>
        <v>0</v>
      </c>
      <c r="H11" s="107"/>
      <c r="I11" s="108">
        <f t="shared" ref="I11:I13" si="1">IF(G11=0,0,(G11*100/$G$13))</f>
        <v>0</v>
      </c>
      <c r="J11" s="60"/>
      <c r="K11" s="60"/>
      <c r="L11" s="109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95"/>
      <c r="AB11" s="96"/>
      <c r="AC11" s="96"/>
      <c r="AD11" s="96"/>
      <c r="AE11" s="96"/>
      <c r="AF11" s="97"/>
      <c r="AG11" s="95"/>
      <c r="AH11" s="96"/>
      <c r="AI11" s="95"/>
      <c r="AJ11" s="96"/>
      <c r="AK11" s="95"/>
      <c r="AL11" s="96"/>
      <c r="AM11" s="95"/>
      <c r="AN11" s="98"/>
      <c r="AO11" s="96"/>
      <c r="AP11" s="96"/>
      <c r="AQ11" s="95"/>
      <c r="AR11" s="98"/>
      <c r="AS11" s="96"/>
      <c r="AT11" s="96"/>
      <c r="AU11" s="95"/>
      <c r="AV11" s="98"/>
      <c r="AW11" s="96"/>
      <c r="AX11" s="96"/>
      <c r="AY11" s="95"/>
      <c r="AZ11" s="98"/>
      <c r="BA11" s="99"/>
      <c r="BB11" s="95"/>
      <c r="BC11" s="96"/>
      <c r="BD11" s="96"/>
      <c r="BE11" s="98"/>
    </row>
    <row r="12" spans="1:57" ht="12" customHeight="1">
      <c r="A12" s="110"/>
      <c r="B12" s="106" t="s">
        <v>66</v>
      </c>
      <c r="C12" s="102">
        <f>'BS-Support'!C30</f>
        <v>-309146998.60000002</v>
      </c>
      <c r="D12" s="107"/>
      <c r="E12" s="102">
        <f>'BS-Support'!E30</f>
        <v>-302938852.65999997</v>
      </c>
      <c r="F12" s="103"/>
      <c r="G12" s="102">
        <f t="shared" si="0"/>
        <v>-6208145.9400000572</v>
      </c>
      <c r="H12" s="107"/>
      <c r="I12" s="108">
        <f t="shared" si="1"/>
        <v>100</v>
      </c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95"/>
      <c r="AB12" s="96"/>
      <c r="AC12" s="96"/>
      <c r="AD12" s="96"/>
      <c r="AE12" s="96"/>
      <c r="AF12" s="97"/>
      <c r="AG12" s="95"/>
      <c r="AH12" s="96"/>
      <c r="AI12" s="95"/>
      <c r="AJ12" s="96"/>
      <c r="AK12" s="95"/>
      <c r="AL12" s="96"/>
      <c r="AM12" s="95"/>
      <c r="AN12" s="98"/>
      <c r="AO12" s="96"/>
      <c r="AP12" s="96"/>
      <c r="AQ12" s="95"/>
      <c r="AR12" s="98"/>
      <c r="AS12" s="96"/>
      <c r="AT12" s="96"/>
      <c r="AU12" s="95"/>
      <c r="AV12" s="98"/>
      <c r="AW12" s="96"/>
      <c r="AX12" s="96"/>
      <c r="AY12" s="95"/>
      <c r="AZ12" s="98"/>
      <c r="BA12" s="99"/>
      <c r="BB12" s="95"/>
      <c r="BC12" s="96"/>
      <c r="BD12" s="96"/>
      <c r="BE12" s="98"/>
    </row>
    <row r="13" spans="1:57" ht="16.5" customHeight="1">
      <c r="A13" s="79"/>
      <c r="B13" s="101" t="s">
        <v>67</v>
      </c>
      <c r="C13" s="111">
        <f>SUM(C10:C12)</f>
        <v>-309197349.67000002</v>
      </c>
      <c r="D13" s="112"/>
      <c r="E13" s="111">
        <f>SUM(E10:E12)</f>
        <v>-302989203.72999996</v>
      </c>
      <c r="F13" s="93"/>
      <c r="G13" s="111">
        <f t="shared" si="0"/>
        <v>-6208145.9400000572</v>
      </c>
      <c r="H13" s="112"/>
      <c r="I13" s="113">
        <f t="shared" si="1"/>
        <v>100</v>
      </c>
      <c r="J13" s="114"/>
      <c r="K13" s="114"/>
      <c r="L13" s="60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95"/>
      <c r="AB13" s="96"/>
      <c r="AC13" s="96"/>
      <c r="AD13" s="96"/>
      <c r="AE13" s="96"/>
      <c r="AF13" s="97"/>
      <c r="AG13" s="95"/>
      <c r="AH13" s="96"/>
      <c r="AI13" s="95"/>
      <c r="AJ13" s="96"/>
      <c r="AK13" s="95"/>
      <c r="AL13" s="96"/>
      <c r="AM13" s="95"/>
      <c r="AN13" s="98"/>
      <c r="AO13" s="96"/>
      <c r="AP13" s="96"/>
      <c r="AQ13" s="95"/>
      <c r="AR13" s="98"/>
      <c r="AS13" s="96"/>
      <c r="AT13" s="96"/>
      <c r="AU13" s="95"/>
      <c r="AV13" s="98"/>
      <c r="AW13" s="96"/>
      <c r="AX13" s="96"/>
      <c r="AY13" s="95"/>
      <c r="AZ13" s="98"/>
      <c r="BA13" s="99"/>
      <c r="BB13" s="95"/>
      <c r="BC13" s="96"/>
      <c r="BD13" s="96"/>
      <c r="BE13" s="98"/>
    </row>
    <row r="14" spans="1:57" ht="16.5" customHeight="1">
      <c r="A14" s="115" t="s">
        <v>68</v>
      </c>
      <c r="B14" s="101"/>
      <c r="C14" s="92"/>
      <c r="D14" s="112"/>
      <c r="E14" s="92"/>
      <c r="F14" s="93"/>
      <c r="G14" s="92"/>
      <c r="H14" s="112"/>
      <c r="I14" s="116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95"/>
      <c r="AB14" s="96"/>
      <c r="AC14" s="96"/>
      <c r="AD14" s="96"/>
      <c r="AE14" s="96"/>
      <c r="AF14" s="97"/>
      <c r="AG14" s="95"/>
      <c r="AH14" s="96"/>
      <c r="AI14" s="95"/>
      <c r="AJ14" s="96"/>
      <c r="AK14" s="95"/>
      <c r="AL14" s="96"/>
      <c r="AM14" s="95"/>
      <c r="AN14" s="98"/>
      <c r="AO14" s="96"/>
      <c r="AP14" s="96"/>
      <c r="AQ14" s="95"/>
      <c r="AR14" s="98"/>
      <c r="AS14" s="96"/>
      <c r="AT14" s="96"/>
      <c r="AU14" s="95"/>
      <c r="AV14" s="98"/>
      <c r="AW14" s="96"/>
      <c r="AX14" s="96"/>
      <c r="AY14" s="95"/>
      <c r="AZ14" s="98"/>
      <c r="BA14" s="99"/>
      <c r="BB14" s="95"/>
      <c r="BC14" s="96"/>
      <c r="BD14" s="96"/>
      <c r="BE14" s="98"/>
    </row>
    <row r="15" spans="1:57" ht="12" customHeight="1">
      <c r="A15" s="110"/>
      <c r="B15" s="106" t="s">
        <v>69</v>
      </c>
      <c r="C15" s="102">
        <f>'BS-Support'!C40</f>
        <v>-17038580.600000001</v>
      </c>
      <c r="D15" s="103"/>
      <c r="E15" s="102">
        <f>'BS-Support'!E40</f>
        <v>-19824338.789999999</v>
      </c>
      <c r="F15" s="103"/>
      <c r="G15" s="102">
        <f t="shared" ref="G15:G20" si="2">C15-E15</f>
        <v>2785758.1899999976</v>
      </c>
      <c r="H15" s="107"/>
      <c r="I15" s="108">
        <f t="shared" ref="I15:I20" si="3">IF(G15=0,0,(G15*100/$G$20))</f>
        <v>24.428933324862005</v>
      </c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95"/>
      <c r="AB15" s="96"/>
      <c r="AC15" s="96"/>
      <c r="AD15" s="96"/>
      <c r="AE15" s="96"/>
      <c r="AF15" s="97"/>
      <c r="AG15" s="95"/>
      <c r="AH15" s="96"/>
      <c r="AI15" s="95"/>
      <c r="AJ15" s="96"/>
      <c r="AK15" s="95"/>
      <c r="AL15" s="96"/>
      <c r="AM15" s="95"/>
      <c r="AN15" s="98"/>
      <c r="AO15" s="96"/>
      <c r="AP15" s="96"/>
      <c r="AQ15" s="95"/>
      <c r="AR15" s="98"/>
      <c r="AS15" s="96"/>
      <c r="AT15" s="96"/>
      <c r="AU15" s="95"/>
      <c r="AV15" s="98"/>
      <c r="AW15" s="96"/>
      <c r="AX15" s="96"/>
      <c r="AY15" s="95"/>
      <c r="AZ15" s="98"/>
      <c r="BA15" s="99"/>
      <c r="BB15" s="95"/>
      <c r="BC15" s="96"/>
      <c r="BD15" s="96"/>
      <c r="BE15" s="98"/>
    </row>
    <row r="16" spans="1:57" ht="12" customHeight="1">
      <c r="A16" s="110"/>
      <c r="B16" s="106" t="s">
        <v>70</v>
      </c>
      <c r="C16" s="102">
        <f>'BS-Support'!C42</f>
        <v>0</v>
      </c>
      <c r="D16" s="107"/>
      <c r="E16" s="102">
        <f>'BS-Support'!E42</f>
        <v>0</v>
      </c>
      <c r="F16" s="107"/>
      <c r="G16" s="102">
        <f t="shared" si="2"/>
        <v>0</v>
      </c>
      <c r="H16" s="117"/>
      <c r="I16" s="108">
        <f t="shared" si="3"/>
        <v>0</v>
      </c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95"/>
      <c r="AB16" s="96"/>
      <c r="AC16" s="96"/>
      <c r="AD16" s="96"/>
      <c r="AE16" s="96"/>
      <c r="AF16" s="97"/>
      <c r="AG16" s="95"/>
      <c r="AH16" s="96"/>
      <c r="AI16" s="95"/>
      <c r="AJ16" s="96"/>
      <c r="AK16" s="95"/>
      <c r="AL16" s="96"/>
      <c r="AM16" s="95"/>
      <c r="AN16" s="98"/>
      <c r="AO16" s="96"/>
      <c r="AP16" s="96"/>
      <c r="AQ16" s="95"/>
      <c r="AR16" s="98"/>
      <c r="AS16" s="96"/>
      <c r="AT16" s="96"/>
      <c r="AU16" s="95"/>
      <c r="AV16" s="98"/>
      <c r="AW16" s="96"/>
      <c r="AX16" s="96"/>
      <c r="AY16" s="95"/>
      <c r="AZ16" s="98"/>
      <c r="BA16" s="99"/>
      <c r="BB16" s="95"/>
      <c r="BC16" s="96"/>
      <c r="BD16" s="96"/>
      <c r="BE16" s="98"/>
    </row>
    <row r="17" spans="1:57" ht="12" customHeight="1">
      <c r="A17" s="110"/>
      <c r="B17" s="101" t="s">
        <v>71</v>
      </c>
      <c r="C17" s="92">
        <f>SUM(C15:C16)</f>
        <v>-17038580.600000001</v>
      </c>
      <c r="D17" s="93"/>
      <c r="E17" s="92">
        <f>SUM(E15:E16)</f>
        <v>-19824338.789999999</v>
      </c>
      <c r="F17" s="93"/>
      <c r="G17" s="102">
        <f t="shared" si="2"/>
        <v>2785758.1899999976</v>
      </c>
      <c r="H17" s="112"/>
      <c r="I17" s="108">
        <f t="shared" si="3"/>
        <v>24.428933324862005</v>
      </c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95"/>
      <c r="AB17" s="96"/>
      <c r="AC17" s="96"/>
      <c r="AD17" s="96"/>
      <c r="AE17" s="96"/>
      <c r="AF17" s="97"/>
      <c r="AG17" s="95"/>
      <c r="AH17" s="96"/>
      <c r="AI17" s="95"/>
      <c r="AJ17" s="96"/>
      <c r="AK17" s="95"/>
      <c r="AL17" s="96"/>
      <c r="AM17" s="95"/>
      <c r="AN17" s="98"/>
      <c r="AO17" s="96"/>
      <c r="AP17" s="96"/>
      <c r="AQ17" s="95"/>
      <c r="AR17" s="98"/>
      <c r="AS17" s="96"/>
      <c r="AT17" s="96"/>
      <c r="AU17" s="95"/>
      <c r="AV17" s="98"/>
      <c r="AW17" s="96"/>
      <c r="AX17" s="96"/>
      <c r="AY17" s="95"/>
      <c r="AZ17" s="98"/>
      <c r="BA17" s="99"/>
      <c r="BB17" s="95"/>
      <c r="BC17" s="96"/>
      <c r="BD17" s="96"/>
      <c r="BE17" s="98"/>
    </row>
    <row r="18" spans="1:57" ht="12" customHeight="1">
      <c r="A18" s="110"/>
      <c r="B18" s="106" t="s">
        <v>72</v>
      </c>
      <c r="C18" s="102">
        <f>'BS-Support'!C43</f>
        <v>0</v>
      </c>
      <c r="D18" s="103"/>
      <c r="E18" s="102">
        <f>'BS-Support'!E43</f>
        <v>0</v>
      </c>
      <c r="F18" s="103"/>
      <c r="G18" s="102">
        <f t="shared" si="2"/>
        <v>0</v>
      </c>
      <c r="H18" s="117"/>
      <c r="I18" s="108">
        <f t="shared" si="3"/>
        <v>0</v>
      </c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95"/>
      <c r="AB18" s="96"/>
      <c r="AC18" s="96"/>
      <c r="AD18" s="96"/>
      <c r="AE18" s="96"/>
      <c r="AF18" s="97"/>
      <c r="AG18" s="95"/>
      <c r="AH18" s="96"/>
      <c r="AI18" s="95"/>
      <c r="AJ18" s="96"/>
      <c r="AK18" s="95"/>
      <c r="AL18" s="96"/>
      <c r="AM18" s="95"/>
      <c r="AN18" s="98"/>
      <c r="AO18" s="96"/>
      <c r="AP18" s="96"/>
      <c r="AQ18" s="95"/>
      <c r="AR18" s="98"/>
      <c r="AS18" s="96"/>
      <c r="AT18" s="96"/>
      <c r="AU18" s="95"/>
      <c r="AV18" s="98"/>
      <c r="AW18" s="96"/>
      <c r="AX18" s="96"/>
      <c r="AY18" s="95"/>
      <c r="AZ18" s="98"/>
      <c r="BA18" s="99"/>
      <c r="BB18" s="95"/>
      <c r="BC18" s="96"/>
      <c r="BD18" s="96"/>
      <c r="BE18" s="98"/>
    </row>
    <row r="19" spans="1:57" ht="12" customHeight="1">
      <c r="A19" s="110"/>
      <c r="B19" s="106" t="s">
        <v>73</v>
      </c>
      <c r="C19" s="102">
        <f>'BS-Support'!C62</f>
        <v>366351730.41000003</v>
      </c>
      <c r="D19" s="107"/>
      <c r="E19" s="102">
        <f>'BS-Support'!E62</f>
        <v>357733969.04000002</v>
      </c>
      <c r="F19" s="118"/>
      <c r="G19" s="102">
        <f t="shared" si="2"/>
        <v>8617761.3700000048</v>
      </c>
      <c r="H19" s="107"/>
      <c r="I19" s="108">
        <f t="shared" si="3"/>
        <v>75.571066675137999</v>
      </c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95"/>
      <c r="AB19" s="96"/>
      <c r="AC19" s="96"/>
      <c r="AD19" s="96"/>
      <c r="AE19" s="96"/>
      <c r="AF19" s="97"/>
      <c r="AG19" s="95"/>
      <c r="AH19" s="96"/>
      <c r="AI19" s="95"/>
      <c r="AJ19" s="96"/>
      <c r="AK19" s="95"/>
      <c r="AL19" s="96"/>
      <c r="AM19" s="95"/>
      <c r="AN19" s="98"/>
      <c r="AO19" s="96"/>
      <c r="AP19" s="96"/>
      <c r="AQ19" s="95"/>
      <c r="AR19" s="98"/>
      <c r="AS19" s="96"/>
      <c r="AT19" s="96"/>
      <c r="AU19" s="95"/>
      <c r="AV19" s="98"/>
      <c r="AW19" s="96"/>
      <c r="AX19" s="96"/>
      <c r="AY19" s="95"/>
      <c r="AZ19" s="98"/>
      <c r="BA19" s="99"/>
      <c r="BB19" s="95"/>
      <c r="BC19" s="96"/>
      <c r="BD19" s="96"/>
      <c r="BE19" s="98"/>
    </row>
    <row r="20" spans="1:57" ht="16.5" customHeight="1">
      <c r="A20" s="110"/>
      <c r="B20" s="101" t="s">
        <v>74</v>
      </c>
      <c r="C20" s="111">
        <f>SUM(C17:C19)</f>
        <v>349313149.81</v>
      </c>
      <c r="D20" s="103"/>
      <c r="E20" s="111">
        <f>SUM(E17:E19)</f>
        <v>337909630.25</v>
      </c>
      <c r="F20" s="103"/>
      <c r="G20" s="111">
        <f t="shared" si="2"/>
        <v>11403519.560000002</v>
      </c>
      <c r="H20" s="117"/>
      <c r="I20" s="113">
        <f t="shared" si="3"/>
        <v>100</v>
      </c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95"/>
      <c r="AB20" s="96"/>
      <c r="AC20" s="96"/>
      <c r="AD20" s="96"/>
      <c r="AE20" s="96"/>
      <c r="AF20" s="97"/>
      <c r="AG20" s="95"/>
      <c r="AH20" s="96"/>
      <c r="AI20" s="95"/>
      <c r="AJ20" s="96"/>
      <c r="AK20" s="95"/>
      <c r="AL20" s="96"/>
      <c r="AM20" s="95"/>
      <c r="AN20" s="98"/>
      <c r="AO20" s="96"/>
      <c r="AP20" s="96"/>
      <c r="AQ20" s="95"/>
      <c r="AR20" s="98"/>
      <c r="AS20" s="96"/>
      <c r="AT20" s="96"/>
      <c r="AU20" s="95"/>
      <c r="AV20" s="98"/>
      <c r="AW20" s="96"/>
      <c r="AX20" s="96"/>
      <c r="AY20" s="95"/>
      <c r="AZ20" s="98"/>
      <c r="BA20" s="99"/>
      <c r="BB20" s="95"/>
      <c r="BC20" s="96"/>
      <c r="BD20" s="96"/>
      <c r="BE20" s="98"/>
    </row>
    <row r="21" spans="1:57" ht="16.5" customHeight="1">
      <c r="A21" s="101" t="s">
        <v>75</v>
      </c>
      <c r="B21" s="60"/>
      <c r="C21" s="102"/>
      <c r="D21" s="103"/>
      <c r="E21" s="102"/>
      <c r="F21" s="103"/>
      <c r="G21" s="102"/>
      <c r="H21" s="117"/>
      <c r="I21" s="119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95"/>
      <c r="AB21" s="96"/>
      <c r="AC21" s="96"/>
      <c r="AD21" s="96"/>
      <c r="AE21" s="96"/>
      <c r="AF21" s="97"/>
      <c r="AG21" s="95"/>
      <c r="AH21" s="96"/>
      <c r="AI21" s="95"/>
      <c r="AJ21" s="96"/>
      <c r="AK21" s="95"/>
      <c r="AL21" s="96"/>
      <c r="AM21" s="95"/>
      <c r="AN21" s="98"/>
      <c r="AO21" s="96"/>
      <c r="AP21" s="96"/>
      <c r="AQ21" s="95"/>
      <c r="AR21" s="98"/>
      <c r="AS21" s="96"/>
      <c r="AT21" s="96"/>
      <c r="AU21" s="95"/>
      <c r="AV21" s="98"/>
      <c r="AW21" s="96"/>
      <c r="AX21" s="96"/>
      <c r="AY21" s="95"/>
      <c r="AZ21" s="98"/>
      <c r="BA21" s="99"/>
      <c r="BB21" s="95"/>
      <c r="BC21" s="96"/>
      <c r="BD21" s="96"/>
      <c r="BE21" s="98"/>
    </row>
    <row r="22" spans="1:57" ht="12" customHeight="1">
      <c r="A22" s="110"/>
      <c r="B22" s="106" t="s">
        <v>76</v>
      </c>
      <c r="C22" s="102">
        <f>'BS-Support'!C84</f>
        <v>0</v>
      </c>
      <c r="D22" s="103"/>
      <c r="E22" s="102">
        <f>'BS-Support'!E84</f>
        <v>0</v>
      </c>
      <c r="F22" s="103"/>
      <c r="G22" s="102">
        <f t="shared" ref="G22:G25" si="4">C22-E22</f>
        <v>0</v>
      </c>
      <c r="H22" s="107"/>
      <c r="I22" s="108">
        <f t="shared" ref="I22:I25" si="5">IF(G22=0,0,(G22*100/$G$25))</f>
        <v>0</v>
      </c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95"/>
      <c r="AB22" s="96"/>
      <c r="AC22" s="96"/>
      <c r="AD22" s="96"/>
      <c r="AE22" s="96"/>
      <c r="AF22" s="97"/>
      <c r="AG22" s="95"/>
      <c r="AH22" s="96"/>
      <c r="AI22" s="95"/>
      <c r="AJ22" s="96"/>
      <c r="AK22" s="95"/>
      <c r="AL22" s="96"/>
      <c r="AM22" s="95"/>
      <c r="AN22" s="98"/>
      <c r="AO22" s="96"/>
      <c r="AP22" s="96"/>
      <c r="AQ22" s="95"/>
      <c r="AR22" s="98"/>
      <c r="AS22" s="96"/>
      <c r="AT22" s="96"/>
      <c r="AU22" s="95"/>
      <c r="AV22" s="98"/>
      <c r="AW22" s="96"/>
      <c r="AX22" s="96"/>
      <c r="AY22" s="95"/>
      <c r="AZ22" s="98"/>
      <c r="BA22" s="99"/>
      <c r="BB22" s="95"/>
      <c r="BC22" s="96"/>
      <c r="BD22" s="96"/>
      <c r="BE22" s="98"/>
    </row>
    <row r="23" spans="1:57" ht="12" customHeight="1">
      <c r="A23" s="110"/>
      <c r="B23" s="106" t="s">
        <v>77</v>
      </c>
      <c r="C23" s="102">
        <f>'BS-Support'!C96</f>
        <v>5787.8499999999995</v>
      </c>
      <c r="D23" s="103"/>
      <c r="E23" s="102">
        <f>'BS-Support'!E96</f>
        <v>5787.8499999999995</v>
      </c>
      <c r="F23" s="103"/>
      <c r="G23" s="102">
        <f t="shared" si="4"/>
        <v>0</v>
      </c>
      <c r="H23" s="107"/>
      <c r="I23" s="108">
        <f t="shared" si="5"/>
        <v>0</v>
      </c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95"/>
      <c r="AB23" s="96"/>
      <c r="AC23" s="96"/>
      <c r="AD23" s="96"/>
      <c r="AE23" s="96"/>
      <c r="AF23" s="97"/>
      <c r="AG23" s="95"/>
      <c r="AH23" s="96"/>
      <c r="AI23" s="95"/>
      <c r="AJ23" s="96"/>
      <c r="AK23" s="95"/>
      <c r="AL23" s="96"/>
      <c r="AM23" s="95"/>
      <c r="AN23" s="98"/>
      <c r="AO23" s="96"/>
      <c r="AP23" s="96"/>
      <c r="AQ23" s="95"/>
      <c r="AR23" s="98"/>
      <c r="AS23" s="96"/>
      <c r="AT23" s="96"/>
      <c r="AU23" s="95"/>
      <c r="AV23" s="98"/>
      <c r="AW23" s="96"/>
      <c r="AX23" s="96"/>
      <c r="AY23" s="95"/>
      <c r="AZ23" s="98"/>
      <c r="BA23" s="99"/>
      <c r="BB23" s="95"/>
      <c r="BC23" s="96"/>
      <c r="BD23" s="96"/>
      <c r="BE23" s="98"/>
    </row>
    <row r="24" spans="1:57" ht="12" customHeight="1">
      <c r="A24" s="110"/>
      <c r="B24" s="106" t="s">
        <v>78</v>
      </c>
      <c r="C24" s="102">
        <f>'BS-Support'!C112</f>
        <v>795054.33</v>
      </c>
      <c r="D24" s="103"/>
      <c r="E24" s="102">
        <f>'BS-Support'!E112</f>
        <v>694006.33</v>
      </c>
      <c r="F24" s="103"/>
      <c r="G24" s="102">
        <f t="shared" si="4"/>
        <v>101048</v>
      </c>
      <c r="H24" s="107"/>
      <c r="I24" s="108">
        <f t="shared" si="5"/>
        <v>100</v>
      </c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95"/>
      <c r="AB24" s="96"/>
      <c r="AC24" s="96"/>
      <c r="AD24" s="96"/>
      <c r="AE24" s="96"/>
      <c r="AF24" s="97"/>
      <c r="AG24" s="95"/>
      <c r="AH24" s="96"/>
      <c r="AI24" s="95"/>
      <c r="AJ24" s="96"/>
      <c r="AK24" s="95"/>
      <c r="AL24" s="96"/>
      <c r="AM24" s="95"/>
      <c r="AN24" s="98"/>
      <c r="AO24" s="96"/>
      <c r="AP24" s="96"/>
      <c r="AQ24" s="95"/>
      <c r="AR24" s="98"/>
      <c r="AS24" s="96"/>
      <c r="AT24" s="96"/>
      <c r="AU24" s="95"/>
      <c r="AV24" s="98"/>
      <c r="AW24" s="96"/>
      <c r="AX24" s="96"/>
      <c r="AY24" s="95"/>
      <c r="AZ24" s="98"/>
      <c r="BA24" s="99"/>
      <c r="BB24" s="95"/>
      <c r="BC24" s="96"/>
      <c r="BD24" s="96"/>
      <c r="BE24" s="98"/>
    </row>
    <row r="25" spans="1:57" ht="16.5" customHeight="1">
      <c r="A25" s="110"/>
      <c r="B25" s="101" t="s">
        <v>79</v>
      </c>
      <c r="C25" s="111">
        <f>SUM(C22:C24)</f>
        <v>800842.17999999993</v>
      </c>
      <c r="D25" s="103"/>
      <c r="E25" s="111">
        <f>SUM(E22:E24)</f>
        <v>699794.17999999993</v>
      </c>
      <c r="F25" s="103"/>
      <c r="G25" s="111">
        <f t="shared" si="4"/>
        <v>101048</v>
      </c>
      <c r="H25" s="107"/>
      <c r="I25" s="113">
        <f t="shared" si="5"/>
        <v>100</v>
      </c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95"/>
      <c r="AB25" s="96"/>
      <c r="AC25" s="96"/>
      <c r="AD25" s="96"/>
      <c r="AE25" s="96"/>
      <c r="AF25" s="97"/>
      <c r="AG25" s="95"/>
      <c r="AH25" s="96"/>
      <c r="AI25" s="95"/>
      <c r="AJ25" s="96"/>
      <c r="AK25" s="95"/>
      <c r="AL25" s="96"/>
      <c r="AM25" s="95"/>
      <c r="AN25" s="98"/>
      <c r="AO25" s="96"/>
      <c r="AP25" s="96"/>
      <c r="AQ25" s="95"/>
      <c r="AR25" s="98"/>
      <c r="AS25" s="96"/>
      <c r="AT25" s="96"/>
      <c r="AU25" s="95"/>
      <c r="AV25" s="98"/>
      <c r="AW25" s="96"/>
      <c r="AX25" s="96"/>
      <c r="AY25" s="95"/>
      <c r="AZ25" s="98"/>
      <c r="BA25" s="99"/>
      <c r="BB25" s="95"/>
      <c r="BC25" s="96"/>
      <c r="BD25" s="96"/>
      <c r="BE25" s="98"/>
    </row>
    <row r="26" spans="1:57" ht="16.5" customHeight="1">
      <c r="A26" s="101" t="s">
        <v>80</v>
      </c>
      <c r="B26" s="60"/>
      <c r="C26" s="102" t="s">
        <v>2</v>
      </c>
      <c r="D26" s="103"/>
      <c r="E26" s="102" t="s">
        <v>2</v>
      </c>
      <c r="F26" s="103"/>
      <c r="G26" s="102"/>
      <c r="H26" s="117"/>
      <c r="I26" s="119"/>
      <c r="J26" s="60"/>
      <c r="K26" s="60"/>
      <c r="L26" s="12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95"/>
      <c r="AB26" s="96"/>
      <c r="AC26" s="96"/>
      <c r="AD26" s="96"/>
      <c r="AE26" s="96"/>
      <c r="AF26" s="97"/>
      <c r="AG26" s="95"/>
      <c r="AH26" s="96"/>
      <c r="AI26" s="95"/>
      <c r="AJ26" s="96"/>
      <c r="AK26" s="95"/>
      <c r="AL26" s="96"/>
      <c r="AM26" s="95"/>
      <c r="AN26" s="98"/>
      <c r="AO26" s="96"/>
      <c r="AP26" s="96"/>
      <c r="AQ26" s="95"/>
      <c r="AR26" s="98"/>
      <c r="AS26" s="96"/>
      <c r="AT26" s="96"/>
      <c r="AU26" s="95"/>
      <c r="AV26" s="98"/>
      <c r="AW26" s="96"/>
      <c r="AX26" s="96"/>
      <c r="AY26" s="95"/>
      <c r="AZ26" s="98"/>
      <c r="BA26" s="99"/>
      <c r="BB26" s="95"/>
      <c r="BC26" s="96"/>
      <c r="BD26" s="96"/>
      <c r="BE26" s="98"/>
    </row>
    <row r="27" spans="1:57" ht="12" customHeight="1">
      <c r="A27" s="110"/>
      <c r="B27" s="106" t="s">
        <v>81</v>
      </c>
      <c r="C27" s="102">
        <f>'BS-Support'!C127</f>
        <v>1967594.01</v>
      </c>
      <c r="D27" s="103"/>
      <c r="E27" s="102">
        <f>'BS-Support'!E127</f>
        <v>1934000.01</v>
      </c>
      <c r="F27" s="103"/>
      <c r="G27" s="102">
        <f t="shared" ref="G27:G29" si="6">C27-E27</f>
        <v>33594</v>
      </c>
      <c r="H27" s="107"/>
      <c r="I27" s="108">
        <f t="shared" ref="I27:I29" si="7">IF(G27=0,0,(G27*100/$G$29))</f>
        <v>-123.16322041355038</v>
      </c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95"/>
      <c r="AB27" s="96"/>
      <c r="AC27" s="96"/>
      <c r="AD27" s="96"/>
      <c r="AE27" s="96"/>
      <c r="AF27" s="97"/>
      <c r="AG27" s="95"/>
      <c r="AH27" s="96"/>
      <c r="AI27" s="95"/>
      <c r="AJ27" s="96"/>
      <c r="AK27" s="95"/>
      <c r="AL27" s="96"/>
      <c r="AM27" s="95"/>
      <c r="AN27" s="98"/>
      <c r="AO27" s="96"/>
      <c r="AP27" s="96"/>
      <c r="AQ27" s="95"/>
      <c r="AR27" s="98"/>
      <c r="AS27" s="96"/>
      <c r="AT27" s="96"/>
      <c r="AU27" s="95"/>
      <c r="AV27" s="98"/>
      <c r="AW27" s="96"/>
      <c r="AX27" s="96"/>
      <c r="AY27" s="95"/>
      <c r="AZ27" s="98"/>
      <c r="BA27" s="99"/>
      <c r="BB27" s="95"/>
      <c r="BC27" s="96"/>
      <c r="BD27" s="96"/>
      <c r="BE27" s="98"/>
    </row>
    <row r="28" spans="1:57" ht="12" customHeight="1">
      <c r="A28" s="110"/>
      <c r="B28" s="106" t="s">
        <v>82</v>
      </c>
      <c r="C28" s="102">
        <f>'BS-Support'!C137</f>
        <v>82086</v>
      </c>
      <c r="D28" s="93"/>
      <c r="E28" s="102">
        <f>'BS-Support'!E137</f>
        <v>142956</v>
      </c>
      <c r="F28" s="93"/>
      <c r="G28" s="102">
        <f t="shared" si="6"/>
        <v>-60870</v>
      </c>
      <c r="H28" s="112"/>
      <c r="I28" s="108">
        <f t="shared" si="7"/>
        <v>223.16322041355036</v>
      </c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95"/>
      <c r="AB28" s="96"/>
      <c r="AC28" s="96"/>
      <c r="AD28" s="96"/>
      <c r="AE28" s="96"/>
      <c r="AF28" s="97"/>
      <c r="AG28" s="95"/>
      <c r="AH28" s="96"/>
      <c r="AI28" s="95"/>
      <c r="AJ28" s="96"/>
      <c r="AK28" s="95"/>
      <c r="AL28" s="96"/>
      <c r="AM28" s="95"/>
      <c r="AN28" s="98"/>
      <c r="AO28" s="96"/>
      <c r="AP28" s="96"/>
      <c r="AQ28" s="95"/>
      <c r="AR28" s="98"/>
      <c r="AS28" s="96"/>
      <c r="AT28" s="96"/>
      <c r="AU28" s="95"/>
      <c r="AV28" s="98"/>
      <c r="AW28" s="96"/>
      <c r="AX28" s="96"/>
      <c r="AY28" s="95"/>
      <c r="AZ28" s="98"/>
      <c r="BA28" s="99"/>
      <c r="BB28" s="95"/>
      <c r="BC28" s="96"/>
      <c r="BD28" s="96"/>
      <c r="BE28" s="98"/>
    </row>
    <row r="29" spans="1:57" ht="16.5" customHeight="1">
      <c r="A29" s="110"/>
      <c r="B29" s="101" t="s">
        <v>83</v>
      </c>
      <c r="C29" s="111">
        <f>SUM(C27:C28)</f>
        <v>2049680.01</v>
      </c>
      <c r="D29" s="93"/>
      <c r="E29" s="111">
        <f>SUM(E27:E28)</f>
        <v>2076956.01</v>
      </c>
      <c r="F29" s="93"/>
      <c r="G29" s="111">
        <f t="shared" si="6"/>
        <v>-27276</v>
      </c>
      <c r="H29" s="112"/>
      <c r="I29" s="113">
        <f t="shared" si="7"/>
        <v>100</v>
      </c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95"/>
      <c r="AB29" s="96"/>
      <c r="AC29" s="96"/>
      <c r="AD29" s="96"/>
      <c r="AE29" s="96"/>
      <c r="AF29" s="97"/>
      <c r="AG29" s="95"/>
      <c r="AH29" s="96"/>
      <c r="AI29" s="95"/>
      <c r="AJ29" s="96"/>
      <c r="AK29" s="95"/>
      <c r="AL29" s="96"/>
      <c r="AM29" s="95"/>
      <c r="AN29" s="98"/>
      <c r="AO29" s="96"/>
      <c r="AP29" s="96"/>
      <c r="AQ29" s="95"/>
      <c r="AR29" s="98"/>
      <c r="AS29" s="96"/>
      <c r="AT29" s="96"/>
      <c r="AU29" s="95"/>
      <c r="AV29" s="98"/>
      <c r="AW29" s="96"/>
      <c r="AX29" s="96"/>
      <c r="AY29" s="95"/>
      <c r="AZ29" s="98"/>
      <c r="BA29" s="99"/>
      <c r="BB29" s="95"/>
      <c r="BC29" s="96"/>
      <c r="BD29" s="96"/>
      <c r="BE29" s="98"/>
    </row>
    <row r="30" spans="1:57" ht="13.5" customHeight="1">
      <c r="A30" s="110"/>
      <c r="B30" s="101"/>
      <c r="C30" s="92"/>
      <c r="D30" s="93"/>
      <c r="E30" s="92"/>
      <c r="F30" s="93"/>
      <c r="G30" s="92"/>
      <c r="H30" s="112"/>
      <c r="I30" s="116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95"/>
      <c r="AB30" s="96"/>
      <c r="AC30" s="96"/>
      <c r="AD30" s="96"/>
      <c r="AE30" s="96"/>
      <c r="AF30" s="97"/>
      <c r="AG30" s="95"/>
      <c r="AH30" s="96"/>
      <c r="AI30" s="95"/>
      <c r="AJ30" s="96"/>
      <c r="AK30" s="95"/>
      <c r="AL30" s="96"/>
      <c r="AM30" s="95"/>
      <c r="AN30" s="98"/>
      <c r="AO30" s="96"/>
      <c r="AP30" s="96"/>
      <c r="AQ30" s="95"/>
      <c r="AR30" s="98"/>
      <c r="AS30" s="96"/>
      <c r="AT30" s="96"/>
      <c r="AU30" s="95"/>
      <c r="AV30" s="98"/>
      <c r="AW30" s="96"/>
      <c r="AX30" s="96"/>
      <c r="AY30" s="95"/>
      <c r="AZ30" s="98"/>
      <c r="BA30" s="99"/>
      <c r="BB30" s="95"/>
      <c r="BC30" s="96"/>
      <c r="BD30" s="96"/>
      <c r="BE30" s="98"/>
    </row>
    <row r="31" spans="1:57" ht="16.5" customHeight="1">
      <c r="A31" s="114"/>
      <c r="B31" s="79" t="s">
        <v>84</v>
      </c>
      <c r="C31" s="111">
        <f>+C13+C20+C25+C29</f>
        <v>42966322.329999983</v>
      </c>
      <c r="D31" s="93"/>
      <c r="E31" s="111">
        <f>+E13+E20+E25+E29</f>
        <v>37697176.710000038</v>
      </c>
      <c r="F31" s="93"/>
      <c r="G31" s="111">
        <f>C31-E31</f>
        <v>5269145.6199999452</v>
      </c>
      <c r="H31" s="112"/>
      <c r="I31" s="113">
        <f>IF(G31=0,0,(G31*100/$G$31))</f>
        <v>100</v>
      </c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95"/>
      <c r="AB31" s="96"/>
      <c r="AC31" s="96"/>
      <c r="AD31" s="96"/>
      <c r="AE31" s="96"/>
      <c r="AF31" s="97"/>
      <c r="AG31" s="95"/>
      <c r="AH31" s="96"/>
      <c r="AI31" s="95"/>
      <c r="AJ31" s="96"/>
      <c r="AK31" s="95"/>
      <c r="AL31" s="96"/>
      <c r="AM31" s="95"/>
      <c r="AN31" s="98"/>
      <c r="AO31" s="96"/>
      <c r="AP31" s="96"/>
      <c r="AQ31" s="95"/>
      <c r="AR31" s="98"/>
      <c r="AS31" s="96"/>
      <c r="AT31" s="96"/>
      <c r="AU31" s="95"/>
      <c r="AV31" s="98"/>
      <c r="AW31" s="96"/>
      <c r="AX31" s="96"/>
      <c r="AY31" s="95"/>
      <c r="AZ31" s="98"/>
      <c r="BA31" s="99"/>
      <c r="BB31" s="95"/>
      <c r="BC31" s="96"/>
      <c r="BD31" s="96"/>
      <c r="BE31" s="98"/>
    </row>
    <row r="32" spans="1:57" ht="16.5" customHeight="1">
      <c r="A32" s="115" t="s">
        <v>85</v>
      </c>
      <c r="B32" s="106"/>
      <c r="C32" s="102"/>
      <c r="D32" s="103"/>
      <c r="E32" s="102"/>
      <c r="F32" s="103"/>
      <c r="G32" s="102"/>
      <c r="H32" s="103"/>
      <c r="I32" s="105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95"/>
      <c r="AB32" s="96"/>
      <c r="AC32" s="96"/>
      <c r="AD32" s="96"/>
      <c r="AE32" s="96"/>
      <c r="AF32" s="97"/>
      <c r="AG32" s="95"/>
      <c r="AH32" s="96"/>
      <c r="AI32" s="95"/>
      <c r="AJ32" s="96"/>
      <c r="AK32" s="95"/>
      <c r="AL32" s="96"/>
      <c r="AM32" s="95"/>
      <c r="AN32" s="98"/>
      <c r="AO32" s="96"/>
      <c r="AP32" s="96"/>
      <c r="AQ32" s="95"/>
      <c r="AR32" s="98"/>
      <c r="AS32" s="96"/>
      <c r="AT32" s="96"/>
      <c r="AU32" s="95"/>
      <c r="AV32" s="98"/>
      <c r="AW32" s="96"/>
      <c r="AX32" s="96"/>
      <c r="AY32" s="95"/>
      <c r="AZ32" s="98"/>
      <c r="BA32" s="99"/>
      <c r="BB32" s="95"/>
      <c r="BC32" s="96"/>
      <c r="BD32" s="96"/>
      <c r="BE32" s="98"/>
    </row>
    <row r="33" spans="1:57" ht="13.5" customHeight="1">
      <c r="A33" s="101"/>
      <c r="B33" s="106" t="s">
        <v>86</v>
      </c>
      <c r="C33" s="102">
        <f>'BS-Support'!C202</f>
        <v>3041574.74</v>
      </c>
      <c r="D33" s="103"/>
      <c r="E33" s="102">
        <f>'BS-Support'!E202</f>
        <v>2911351.7500000005</v>
      </c>
      <c r="F33" s="103"/>
      <c r="G33" s="102">
        <f t="shared" ref="G33:G35" si="8">C33-E33</f>
        <v>130222.98999999976</v>
      </c>
      <c r="H33" s="103"/>
      <c r="I33" s="108">
        <f>IF(G33=0,0,(G33*100/$G$29))</f>
        <v>-477.42700542601466</v>
      </c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95"/>
      <c r="AB33" s="96"/>
      <c r="AC33" s="96"/>
      <c r="AD33" s="96"/>
      <c r="AE33" s="96"/>
      <c r="AF33" s="97"/>
      <c r="AG33" s="95"/>
      <c r="AH33" s="96"/>
      <c r="AI33" s="95"/>
      <c r="AJ33" s="96"/>
      <c r="AK33" s="95"/>
      <c r="AL33" s="96"/>
      <c r="AM33" s="95"/>
      <c r="AN33" s="98"/>
      <c r="AO33" s="96"/>
      <c r="AP33" s="96"/>
      <c r="AQ33" s="95"/>
      <c r="AR33" s="98"/>
      <c r="AS33" s="96"/>
      <c r="AT33" s="96"/>
      <c r="AU33" s="95"/>
      <c r="AV33" s="98"/>
      <c r="AW33" s="96"/>
      <c r="AX33" s="96"/>
      <c r="AY33" s="95"/>
      <c r="AZ33" s="98"/>
      <c r="BA33" s="99"/>
      <c r="BB33" s="95"/>
      <c r="BC33" s="96"/>
      <c r="BD33" s="96"/>
      <c r="BE33" s="98"/>
    </row>
    <row r="34" spans="1:57" ht="13.5" customHeight="1">
      <c r="A34" s="110"/>
      <c r="B34" s="121" t="s">
        <v>87</v>
      </c>
      <c r="C34" s="102">
        <f>'BS-Support'!C203</f>
        <v>0</v>
      </c>
      <c r="D34" s="107"/>
      <c r="E34" s="102">
        <f>'BS-Support'!E203</f>
        <v>0</v>
      </c>
      <c r="F34" s="107"/>
      <c r="G34" s="102">
        <f t="shared" si="8"/>
        <v>0</v>
      </c>
      <c r="H34" s="107"/>
      <c r="I34" s="108">
        <f>IF(G34=0,0,(G34*100/#REF!))</f>
        <v>0</v>
      </c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95"/>
      <c r="AB34" s="96"/>
      <c r="AC34" s="96"/>
      <c r="AD34" s="96"/>
      <c r="AE34" s="96"/>
      <c r="AF34" s="97"/>
      <c r="AG34" s="95"/>
      <c r="AH34" s="96"/>
      <c r="AI34" s="95"/>
      <c r="AJ34" s="96"/>
      <c r="AK34" s="95"/>
      <c r="AL34" s="96"/>
      <c r="AM34" s="95"/>
      <c r="AN34" s="98"/>
      <c r="AO34" s="96"/>
      <c r="AP34" s="96"/>
      <c r="AQ34" s="95"/>
      <c r="AR34" s="98"/>
      <c r="AS34" s="96"/>
      <c r="AT34" s="96"/>
      <c r="AU34" s="95"/>
      <c r="AV34" s="98"/>
      <c r="AW34" s="96"/>
      <c r="AX34" s="96"/>
      <c r="AY34" s="95"/>
      <c r="AZ34" s="98"/>
      <c r="BA34" s="99"/>
      <c r="BB34" s="95"/>
      <c r="BC34" s="96"/>
      <c r="BD34" s="96"/>
      <c r="BE34" s="98"/>
    </row>
    <row r="35" spans="1:57" ht="16.5" customHeight="1">
      <c r="A35" s="79"/>
      <c r="B35" s="122" t="s">
        <v>88</v>
      </c>
      <c r="C35" s="111">
        <f>C33-C34</f>
        <v>3041574.74</v>
      </c>
      <c r="D35" s="93"/>
      <c r="E35" s="111">
        <f>E33-E34</f>
        <v>2911351.7500000005</v>
      </c>
      <c r="F35" s="93"/>
      <c r="G35" s="111">
        <f t="shared" si="8"/>
        <v>130222.98999999976</v>
      </c>
      <c r="H35" s="93"/>
      <c r="I35" s="123">
        <f>IF(G35=0,0,(G35*100/$G$35))</f>
        <v>100</v>
      </c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95"/>
      <c r="AB35" s="96"/>
      <c r="AC35" s="96"/>
      <c r="AD35" s="96"/>
      <c r="AE35" s="96"/>
      <c r="AF35" s="97"/>
      <c r="AG35" s="95"/>
      <c r="AH35" s="96"/>
      <c r="AI35" s="95"/>
      <c r="AJ35" s="96"/>
      <c r="AK35" s="95"/>
      <c r="AL35" s="96"/>
      <c r="AM35" s="95"/>
      <c r="AN35" s="98"/>
      <c r="AO35" s="96"/>
      <c r="AP35" s="96"/>
      <c r="AQ35" s="95"/>
      <c r="AR35" s="98"/>
      <c r="AS35" s="96"/>
      <c r="AT35" s="96"/>
      <c r="AU35" s="95"/>
      <c r="AV35" s="98"/>
      <c r="AW35" s="96"/>
      <c r="AX35" s="96"/>
      <c r="AY35" s="95"/>
      <c r="AZ35" s="98"/>
      <c r="BA35" s="99"/>
      <c r="BB35" s="95"/>
      <c r="BC35" s="96"/>
      <c r="BD35" s="96"/>
      <c r="BE35" s="98"/>
    </row>
    <row r="36" spans="1:57" ht="14.25" customHeight="1">
      <c r="A36" s="101"/>
      <c r="B36" s="60"/>
      <c r="C36" s="102"/>
      <c r="D36" s="103"/>
      <c r="E36" s="102"/>
      <c r="F36" s="103"/>
      <c r="G36" s="102"/>
      <c r="H36" s="117"/>
      <c r="I36" s="119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95"/>
      <c r="AB36" s="96"/>
      <c r="AC36" s="96"/>
      <c r="AD36" s="96"/>
      <c r="AE36" s="96"/>
      <c r="AF36" s="97"/>
      <c r="AG36" s="95"/>
      <c r="AH36" s="96"/>
      <c r="AI36" s="95"/>
      <c r="AJ36" s="96"/>
      <c r="AK36" s="95"/>
      <c r="AL36" s="96"/>
      <c r="AM36" s="95"/>
      <c r="AN36" s="98"/>
      <c r="AO36" s="96"/>
      <c r="AP36" s="96"/>
      <c r="AQ36" s="95"/>
      <c r="AR36" s="98"/>
      <c r="AS36" s="96"/>
      <c r="AT36" s="96"/>
      <c r="AU36" s="95"/>
      <c r="AV36" s="98"/>
      <c r="AW36" s="96"/>
      <c r="AX36" s="96"/>
      <c r="AY36" s="95"/>
      <c r="AZ36" s="98"/>
      <c r="BA36" s="99"/>
      <c r="BB36" s="95"/>
      <c r="BC36" s="96"/>
      <c r="BD36" s="96"/>
      <c r="BE36" s="98"/>
    </row>
    <row r="37" spans="1:57" ht="16.5" customHeight="1">
      <c r="A37" s="79"/>
      <c r="B37" s="101" t="s">
        <v>89</v>
      </c>
      <c r="C37" s="111">
        <f>C31+C35</f>
        <v>46007897.069999985</v>
      </c>
      <c r="D37" s="93"/>
      <c r="E37" s="111">
        <f>E31+E35</f>
        <v>40608528.460000038</v>
      </c>
      <c r="F37" s="93"/>
      <c r="G37" s="111">
        <f>C37-E37</f>
        <v>5399368.6099999472</v>
      </c>
      <c r="H37" s="112"/>
      <c r="I37" s="113">
        <f>IF(G37=0,0,(G37*100/$G$37))</f>
        <v>100</v>
      </c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95"/>
      <c r="AB37" s="96"/>
      <c r="AC37" s="96"/>
      <c r="AD37" s="96"/>
      <c r="AE37" s="96"/>
      <c r="AF37" s="97"/>
      <c r="AG37" s="95"/>
      <c r="AH37" s="96"/>
      <c r="AI37" s="95"/>
      <c r="AJ37" s="96"/>
      <c r="AK37" s="95"/>
      <c r="AL37" s="96"/>
      <c r="AM37" s="95"/>
      <c r="AN37" s="98"/>
      <c r="AO37" s="96"/>
      <c r="AP37" s="96"/>
      <c r="AQ37" s="95"/>
      <c r="AR37" s="98"/>
      <c r="AS37" s="96"/>
      <c r="AT37" s="96"/>
      <c r="AU37" s="95"/>
      <c r="AV37" s="98"/>
      <c r="AW37" s="96"/>
      <c r="AX37" s="96"/>
      <c r="AY37" s="95"/>
      <c r="AZ37" s="98"/>
      <c r="BA37" s="99"/>
      <c r="BB37" s="95"/>
      <c r="BC37" s="96"/>
      <c r="BD37" s="96"/>
      <c r="BE37" s="98"/>
    </row>
    <row r="38" spans="1:57" ht="9.75" customHeight="1">
      <c r="A38" s="110"/>
      <c r="B38" s="110"/>
      <c r="C38" s="92"/>
      <c r="D38" s="77"/>
      <c r="E38" s="92"/>
      <c r="F38" s="77"/>
      <c r="G38" s="92"/>
      <c r="H38" s="77"/>
      <c r="I38" s="79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95"/>
      <c r="AB38" s="96"/>
      <c r="AC38" s="96"/>
      <c r="AD38" s="96"/>
      <c r="AE38" s="96"/>
      <c r="AF38" s="97"/>
      <c r="AG38" s="95"/>
      <c r="AH38" s="96"/>
      <c r="AI38" s="95"/>
      <c r="AJ38" s="96"/>
      <c r="AK38" s="95"/>
      <c r="AL38" s="96"/>
      <c r="AM38" s="95"/>
      <c r="AN38" s="98"/>
      <c r="AO38" s="96"/>
      <c r="AP38" s="96"/>
      <c r="AQ38" s="95"/>
      <c r="AR38" s="98"/>
      <c r="AS38" s="96"/>
      <c r="AT38" s="96"/>
      <c r="AU38" s="95"/>
      <c r="AV38" s="98"/>
      <c r="AW38" s="96"/>
      <c r="AX38" s="96"/>
      <c r="AY38" s="95"/>
      <c r="AZ38" s="98"/>
      <c r="BA38" s="99"/>
      <c r="BB38" s="95"/>
      <c r="BC38" s="96"/>
      <c r="BD38" s="96"/>
      <c r="BE38" s="98"/>
    </row>
    <row r="39" spans="1:57" ht="10.5" customHeight="1">
      <c r="A39" s="110"/>
      <c r="B39" s="110"/>
      <c r="C39" s="92"/>
      <c r="D39" s="77"/>
      <c r="E39" s="92"/>
      <c r="F39" s="77"/>
      <c r="G39" s="92"/>
      <c r="H39" s="77"/>
      <c r="I39" s="79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95"/>
      <c r="AB39" s="96"/>
      <c r="AC39" s="96"/>
      <c r="AD39" s="96"/>
      <c r="AE39" s="96"/>
      <c r="AF39" s="97"/>
      <c r="AG39" s="95"/>
      <c r="AH39" s="96"/>
      <c r="AI39" s="95"/>
      <c r="AJ39" s="96"/>
      <c r="AK39" s="95"/>
      <c r="AL39" s="96"/>
      <c r="AM39" s="95"/>
      <c r="AN39" s="98"/>
      <c r="AO39" s="96"/>
      <c r="AP39" s="96"/>
      <c r="AQ39" s="95"/>
      <c r="AR39" s="98"/>
      <c r="AS39" s="96"/>
      <c r="AT39" s="96"/>
      <c r="AU39" s="95"/>
      <c r="AV39" s="98"/>
      <c r="AW39" s="96"/>
      <c r="AX39" s="96"/>
      <c r="AY39" s="95"/>
      <c r="AZ39" s="98"/>
      <c r="BA39" s="99"/>
      <c r="BB39" s="95"/>
      <c r="BC39" s="96"/>
      <c r="BD39" s="96"/>
      <c r="BE39" s="98"/>
    </row>
    <row r="40" spans="1:57" ht="16.5" customHeight="1">
      <c r="A40" s="124" t="s">
        <v>90</v>
      </c>
      <c r="B40" s="125"/>
      <c r="C40" s="92" t="s">
        <v>2</v>
      </c>
      <c r="D40" s="93"/>
      <c r="E40" s="92" t="s">
        <v>2</v>
      </c>
      <c r="F40" s="93"/>
      <c r="G40" s="92"/>
      <c r="H40" s="93"/>
      <c r="I40" s="79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95"/>
      <c r="AB40" s="96"/>
      <c r="AC40" s="96"/>
      <c r="AD40" s="96"/>
      <c r="AE40" s="96"/>
      <c r="AF40" s="97"/>
      <c r="AG40" s="95"/>
      <c r="AH40" s="96"/>
      <c r="AI40" s="95"/>
      <c r="AJ40" s="96"/>
      <c r="AK40" s="95"/>
      <c r="AL40" s="96"/>
      <c r="AM40" s="95"/>
      <c r="AN40" s="98"/>
      <c r="AO40" s="96"/>
      <c r="AP40" s="96"/>
      <c r="AQ40" s="95"/>
      <c r="AR40" s="98"/>
      <c r="AS40" s="96"/>
      <c r="AT40" s="96"/>
      <c r="AU40" s="95"/>
      <c r="AV40" s="98"/>
      <c r="AW40" s="96"/>
      <c r="AX40" s="96"/>
      <c r="AY40" s="95"/>
      <c r="AZ40" s="98"/>
      <c r="BA40" s="99"/>
      <c r="BB40" s="95"/>
      <c r="BC40" s="96"/>
      <c r="BD40" s="96"/>
      <c r="BE40" s="98"/>
    </row>
    <row r="41" spans="1:57" ht="16.5" customHeight="1">
      <c r="A41" s="101" t="s">
        <v>91</v>
      </c>
      <c r="B41" s="60"/>
      <c r="C41" s="102"/>
      <c r="D41" s="103"/>
      <c r="E41" s="102"/>
      <c r="F41" s="103"/>
      <c r="G41" s="102"/>
      <c r="H41" s="103"/>
      <c r="I41" s="105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95"/>
      <c r="AB41" s="96"/>
      <c r="AC41" s="96"/>
      <c r="AD41" s="96"/>
      <c r="AE41" s="96"/>
      <c r="AF41" s="97"/>
      <c r="AG41" s="95"/>
      <c r="AH41" s="96"/>
      <c r="AI41" s="95"/>
      <c r="AJ41" s="96"/>
      <c r="AK41" s="95"/>
      <c r="AL41" s="96"/>
      <c r="AM41" s="95"/>
      <c r="AN41" s="98"/>
      <c r="AO41" s="96"/>
      <c r="AP41" s="96"/>
      <c r="AQ41" s="95"/>
      <c r="AR41" s="98"/>
      <c r="AS41" s="96"/>
      <c r="AT41" s="96"/>
      <c r="AU41" s="95"/>
      <c r="AV41" s="98"/>
      <c r="AW41" s="96"/>
      <c r="AX41" s="96"/>
      <c r="AY41" s="95"/>
      <c r="AZ41" s="98"/>
      <c r="BA41" s="99"/>
      <c r="BB41" s="95"/>
      <c r="BC41" s="96"/>
      <c r="BD41" s="96"/>
      <c r="BE41" s="98"/>
    </row>
    <row r="42" spans="1:57" ht="15" customHeight="1">
      <c r="A42" s="110"/>
      <c r="B42" s="106" t="s">
        <v>92</v>
      </c>
      <c r="C42" s="102">
        <f>'BS-Support'!C215</f>
        <v>-2985829.81</v>
      </c>
      <c r="D42" s="103"/>
      <c r="E42" s="102">
        <f>'BS-Support'!E215</f>
        <v>-2914867.53</v>
      </c>
      <c r="F42" s="103"/>
      <c r="G42" s="102">
        <f t="shared" ref="G42:G48" si="9">C42-E42</f>
        <v>-70962.280000000261</v>
      </c>
      <c r="H42" s="107"/>
      <c r="I42" s="108">
        <f t="shared" ref="I42:I48" si="10">IF(G42=0,0,(G42*100/$G$48))</f>
        <v>-5.7633722610252667</v>
      </c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95"/>
      <c r="AB42" s="96"/>
      <c r="AC42" s="96"/>
      <c r="AD42" s="96"/>
      <c r="AE42" s="96"/>
      <c r="AF42" s="97"/>
      <c r="AG42" s="95"/>
      <c r="AH42" s="96"/>
      <c r="AI42" s="95"/>
      <c r="AJ42" s="96"/>
      <c r="AK42" s="95"/>
      <c r="AL42" s="96"/>
      <c r="AM42" s="95"/>
      <c r="AN42" s="98"/>
      <c r="AO42" s="96"/>
      <c r="AP42" s="96"/>
      <c r="AQ42" s="95"/>
      <c r="AR42" s="98"/>
      <c r="AS42" s="96"/>
      <c r="AT42" s="96"/>
      <c r="AU42" s="95"/>
      <c r="AV42" s="98"/>
      <c r="AW42" s="96"/>
      <c r="AX42" s="96"/>
      <c r="AY42" s="95"/>
      <c r="AZ42" s="98"/>
      <c r="BA42" s="99"/>
      <c r="BB42" s="95"/>
      <c r="BC42" s="96"/>
      <c r="BD42" s="96"/>
      <c r="BE42" s="98"/>
    </row>
    <row r="43" spans="1:57" ht="15" customHeight="1">
      <c r="A43" s="110"/>
      <c r="B43" s="106" t="s">
        <v>93</v>
      </c>
      <c r="C43" s="102">
        <f>'BS-Support'!C217</f>
        <v>0</v>
      </c>
      <c r="D43" s="107"/>
      <c r="E43" s="102">
        <f>'BS-Support'!E217</f>
        <v>0</v>
      </c>
      <c r="F43" s="107"/>
      <c r="G43" s="102">
        <f t="shared" si="9"/>
        <v>0</v>
      </c>
      <c r="H43" s="107"/>
      <c r="I43" s="108">
        <f t="shared" si="10"/>
        <v>0</v>
      </c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95"/>
      <c r="AB43" s="96"/>
      <c r="AC43" s="96"/>
      <c r="AD43" s="96"/>
      <c r="AE43" s="96"/>
      <c r="AF43" s="97"/>
      <c r="AG43" s="95"/>
      <c r="AH43" s="96"/>
      <c r="AI43" s="95"/>
      <c r="AJ43" s="96"/>
      <c r="AK43" s="95"/>
      <c r="AL43" s="96"/>
      <c r="AM43" s="95"/>
      <c r="AN43" s="98"/>
      <c r="AO43" s="96"/>
      <c r="AP43" s="96"/>
      <c r="AQ43" s="95"/>
      <c r="AR43" s="98"/>
      <c r="AS43" s="96"/>
      <c r="AT43" s="96"/>
      <c r="AU43" s="95"/>
      <c r="AV43" s="98"/>
      <c r="AW43" s="96"/>
      <c r="AX43" s="96"/>
      <c r="AY43" s="95"/>
      <c r="AZ43" s="98"/>
      <c r="BA43" s="99"/>
      <c r="BB43" s="95"/>
      <c r="BC43" s="96"/>
      <c r="BD43" s="96"/>
      <c r="BE43" s="98"/>
    </row>
    <row r="44" spans="1:57" ht="15" customHeight="1">
      <c r="A44" s="110"/>
      <c r="B44" s="106" t="s">
        <v>94</v>
      </c>
      <c r="C44" s="102">
        <f>'BS-Support'!C226</f>
        <v>568.05999999999995</v>
      </c>
      <c r="D44" s="103"/>
      <c r="E44" s="102">
        <f>'BS-Support'!E226</f>
        <v>568.05999999999995</v>
      </c>
      <c r="F44" s="103"/>
      <c r="G44" s="102">
        <f t="shared" si="9"/>
        <v>0</v>
      </c>
      <c r="H44" s="107"/>
      <c r="I44" s="108">
        <f t="shared" si="10"/>
        <v>0</v>
      </c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95"/>
      <c r="AB44" s="96"/>
      <c r="AC44" s="96"/>
      <c r="AD44" s="96"/>
      <c r="AE44" s="96"/>
      <c r="AF44" s="97"/>
      <c r="AG44" s="95"/>
      <c r="AH44" s="96"/>
      <c r="AI44" s="95"/>
      <c r="AJ44" s="96"/>
      <c r="AK44" s="95"/>
      <c r="AL44" s="96"/>
      <c r="AM44" s="95"/>
      <c r="AN44" s="98"/>
      <c r="AO44" s="96"/>
      <c r="AP44" s="96"/>
      <c r="AQ44" s="95"/>
      <c r="AR44" s="98"/>
      <c r="AS44" s="96"/>
      <c r="AT44" s="96"/>
      <c r="AU44" s="95"/>
      <c r="AV44" s="98"/>
      <c r="AW44" s="96"/>
      <c r="AX44" s="96"/>
      <c r="AY44" s="95"/>
      <c r="AZ44" s="98"/>
      <c r="BA44" s="99"/>
      <c r="BB44" s="95"/>
      <c r="BC44" s="96"/>
      <c r="BD44" s="96"/>
      <c r="BE44" s="98"/>
    </row>
    <row r="45" spans="1:57" ht="15" customHeight="1">
      <c r="A45" s="110"/>
      <c r="B45" s="106" t="s">
        <v>95</v>
      </c>
      <c r="C45" s="102">
        <f>'BS-Support'!C242</f>
        <v>12217800.02</v>
      </c>
      <c r="D45" s="103"/>
      <c r="E45" s="102">
        <f>'BS-Support'!E242</f>
        <v>11684956.190000001</v>
      </c>
      <c r="F45" s="107"/>
      <c r="G45" s="102">
        <f t="shared" si="9"/>
        <v>532843.82999999821</v>
      </c>
      <c r="H45" s="107"/>
      <c r="I45" s="108">
        <f t="shared" si="10"/>
        <v>43.27619334215926</v>
      </c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95"/>
      <c r="AB45" s="96"/>
      <c r="AC45" s="96"/>
      <c r="AD45" s="96"/>
      <c r="AE45" s="96"/>
      <c r="AF45" s="97"/>
      <c r="AG45" s="95"/>
      <c r="AH45" s="96"/>
      <c r="AI45" s="95"/>
      <c r="AJ45" s="96"/>
      <c r="AK45" s="95"/>
      <c r="AL45" s="96"/>
      <c r="AM45" s="95"/>
      <c r="AN45" s="98"/>
      <c r="AO45" s="96"/>
      <c r="AP45" s="96"/>
      <c r="AQ45" s="95"/>
      <c r="AR45" s="98"/>
      <c r="AS45" s="96"/>
      <c r="AT45" s="96"/>
      <c r="AU45" s="95"/>
      <c r="AV45" s="98"/>
      <c r="AW45" s="96"/>
      <c r="AX45" s="96"/>
      <c r="AY45" s="95"/>
      <c r="AZ45" s="98"/>
      <c r="BA45" s="99"/>
      <c r="BB45" s="95"/>
      <c r="BC45" s="96"/>
      <c r="BD45" s="96"/>
      <c r="BE45" s="98"/>
    </row>
    <row r="46" spans="1:57" ht="15" customHeight="1">
      <c r="A46" s="110"/>
      <c r="B46" s="106" t="s">
        <v>96</v>
      </c>
      <c r="C46" s="102">
        <f>'BS-Support'!C265</f>
        <v>16804960.480000004</v>
      </c>
      <c r="D46" s="103"/>
      <c r="E46" s="102">
        <f>'BS-Support'!E265</f>
        <v>16035578.860000001</v>
      </c>
      <c r="F46" s="103"/>
      <c r="G46" s="102">
        <f t="shared" si="9"/>
        <v>769381.62000000291</v>
      </c>
      <c r="H46" s="107"/>
      <c r="I46" s="108">
        <f t="shared" si="10"/>
        <v>62.487178918866242</v>
      </c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95"/>
      <c r="AB46" s="96"/>
      <c r="AC46" s="96"/>
      <c r="AD46" s="96"/>
      <c r="AE46" s="96"/>
      <c r="AF46" s="97"/>
      <c r="AG46" s="95"/>
      <c r="AH46" s="96"/>
      <c r="AI46" s="95"/>
      <c r="AJ46" s="96"/>
      <c r="AK46" s="95"/>
      <c r="AL46" s="96"/>
      <c r="AM46" s="95"/>
      <c r="AN46" s="98"/>
      <c r="AO46" s="96"/>
      <c r="AP46" s="96"/>
      <c r="AQ46" s="95"/>
      <c r="AR46" s="98"/>
      <c r="AS46" s="96"/>
      <c r="AT46" s="96"/>
      <c r="AU46" s="95"/>
      <c r="AV46" s="98"/>
      <c r="AW46" s="96"/>
      <c r="AX46" s="96"/>
      <c r="AY46" s="95"/>
      <c r="AZ46" s="98"/>
      <c r="BA46" s="99"/>
      <c r="BB46" s="95"/>
      <c r="BC46" s="96"/>
      <c r="BD46" s="96"/>
      <c r="BE46" s="98"/>
    </row>
    <row r="47" spans="1:57" ht="15" customHeight="1">
      <c r="A47" s="110"/>
      <c r="B47" s="106" t="s">
        <v>97</v>
      </c>
      <c r="C47" s="102">
        <f>'BS-Support'!C278</f>
        <v>0</v>
      </c>
      <c r="D47" s="103"/>
      <c r="E47" s="102">
        <f>'BS-Support'!E278</f>
        <v>0</v>
      </c>
      <c r="F47" s="103"/>
      <c r="G47" s="102">
        <f t="shared" si="9"/>
        <v>0</v>
      </c>
      <c r="H47" s="117"/>
      <c r="I47" s="108">
        <f t="shared" si="10"/>
        <v>0</v>
      </c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95"/>
      <c r="AB47" s="96"/>
      <c r="AC47" s="96"/>
      <c r="AD47" s="96"/>
      <c r="AE47" s="96"/>
      <c r="AF47" s="97"/>
      <c r="AG47" s="95"/>
      <c r="AH47" s="96"/>
      <c r="AI47" s="95"/>
      <c r="AJ47" s="96"/>
      <c r="AK47" s="95"/>
      <c r="AL47" s="96"/>
      <c r="AM47" s="95"/>
      <c r="AN47" s="98"/>
      <c r="AO47" s="96"/>
      <c r="AP47" s="96"/>
      <c r="AQ47" s="95"/>
      <c r="AR47" s="98"/>
      <c r="AS47" s="96"/>
      <c r="AT47" s="96"/>
      <c r="AU47" s="95"/>
      <c r="AV47" s="98"/>
      <c r="AW47" s="96"/>
      <c r="AX47" s="96"/>
      <c r="AY47" s="95"/>
      <c r="AZ47" s="98"/>
      <c r="BA47" s="99"/>
      <c r="BB47" s="95"/>
      <c r="BC47" s="96"/>
      <c r="BD47" s="96"/>
      <c r="BE47" s="98"/>
    </row>
    <row r="48" spans="1:57" ht="15" customHeight="1">
      <c r="A48" s="79"/>
      <c r="B48" s="101" t="s">
        <v>98</v>
      </c>
      <c r="C48" s="111">
        <f>SUM(C42:C47)</f>
        <v>26037498.750000004</v>
      </c>
      <c r="D48" s="93"/>
      <c r="E48" s="111">
        <f>SUM(E42:E47)</f>
        <v>24806235.580000006</v>
      </c>
      <c r="F48" s="93"/>
      <c r="G48" s="111">
        <f t="shared" si="9"/>
        <v>1231263.1699999981</v>
      </c>
      <c r="H48" s="112"/>
      <c r="I48" s="113">
        <f t="shared" si="10"/>
        <v>100</v>
      </c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95"/>
      <c r="AB48" s="96"/>
      <c r="AC48" s="96"/>
      <c r="AD48" s="96"/>
      <c r="AE48" s="96"/>
      <c r="AF48" s="97"/>
      <c r="AG48" s="95"/>
      <c r="AH48" s="96"/>
      <c r="AI48" s="95"/>
      <c r="AJ48" s="96"/>
      <c r="AK48" s="95"/>
      <c r="AL48" s="96"/>
      <c r="AM48" s="95"/>
      <c r="AN48" s="98"/>
      <c r="AO48" s="96"/>
      <c r="AP48" s="96"/>
      <c r="AQ48" s="95"/>
      <c r="AR48" s="98"/>
      <c r="AS48" s="96"/>
      <c r="AT48" s="96"/>
      <c r="AU48" s="95"/>
      <c r="AV48" s="98"/>
      <c r="AW48" s="96"/>
      <c r="AX48" s="96"/>
      <c r="AY48" s="95"/>
      <c r="AZ48" s="98"/>
      <c r="BA48" s="99"/>
      <c r="BB48" s="95"/>
      <c r="BC48" s="96"/>
      <c r="BD48" s="96"/>
      <c r="BE48" s="98"/>
    </row>
    <row r="49" spans="1:57" ht="13.5" customHeight="1">
      <c r="A49" s="101" t="s">
        <v>99</v>
      </c>
      <c r="B49" s="101"/>
      <c r="C49" s="92" t="s">
        <v>2</v>
      </c>
      <c r="D49" s="93"/>
      <c r="E49" s="92" t="s">
        <v>2</v>
      </c>
      <c r="F49" s="93"/>
      <c r="G49" s="92"/>
      <c r="H49" s="112"/>
      <c r="I49" s="126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95"/>
      <c r="AB49" s="96"/>
      <c r="AC49" s="96"/>
      <c r="AD49" s="96"/>
      <c r="AE49" s="96"/>
      <c r="AF49" s="97"/>
      <c r="AG49" s="95"/>
      <c r="AH49" s="96"/>
      <c r="AI49" s="95"/>
      <c r="AJ49" s="96"/>
      <c r="AK49" s="95"/>
      <c r="AL49" s="96"/>
      <c r="AM49" s="95"/>
      <c r="AN49" s="98"/>
      <c r="AO49" s="96"/>
      <c r="AP49" s="96"/>
      <c r="AQ49" s="95"/>
      <c r="AR49" s="98"/>
      <c r="AS49" s="96"/>
      <c r="AT49" s="96"/>
      <c r="AU49" s="95"/>
      <c r="AV49" s="98"/>
      <c r="AW49" s="96"/>
      <c r="AX49" s="96"/>
      <c r="AY49" s="95"/>
      <c r="AZ49" s="98"/>
      <c r="BA49" s="99"/>
      <c r="BB49" s="95"/>
      <c r="BC49" s="96"/>
      <c r="BD49" s="96"/>
      <c r="BE49" s="98"/>
    </row>
    <row r="50" spans="1:57" ht="15" customHeight="1">
      <c r="A50" s="110"/>
      <c r="B50" s="106" t="s">
        <v>100</v>
      </c>
      <c r="C50" s="102">
        <f>'BS-Support'!C282</f>
        <v>-761000</v>
      </c>
      <c r="D50" s="107"/>
      <c r="E50" s="102">
        <f>'BS-Support'!E282</f>
        <v>-761000</v>
      </c>
      <c r="F50" s="103"/>
      <c r="G50" s="102">
        <f t="shared" ref="G50:G54" si="11">C50-E50</f>
        <v>0</v>
      </c>
      <c r="H50" s="107"/>
      <c r="I50" s="108">
        <f t="shared" ref="I50:I53" si="12">IF(G50=0,0,(G50*100/$G$53))</f>
        <v>0</v>
      </c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95"/>
      <c r="AB50" s="96"/>
      <c r="AC50" s="96"/>
      <c r="AD50" s="96"/>
      <c r="AE50" s="96"/>
      <c r="AF50" s="97"/>
      <c r="AG50" s="95"/>
      <c r="AH50" s="96"/>
      <c r="AI50" s="95"/>
      <c r="AJ50" s="96"/>
      <c r="AK50" s="95"/>
      <c r="AL50" s="96"/>
      <c r="AM50" s="95"/>
      <c r="AN50" s="98"/>
      <c r="AO50" s="96"/>
      <c r="AP50" s="96"/>
      <c r="AQ50" s="95"/>
      <c r="AR50" s="98"/>
      <c r="AS50" s="96"/>
      <c r="AT50" s="96"/>
      <c r="AU50" s="95"/>
      <c r="AV50" s="98"/>
      <c r="AW50" s="96"/>
      <c r="AX50" s="96"/>
      <c r="AY50" s="95"/>
      <c r="AZ50" s="98"/>
      <c r="BA50" s="99"/>
      <c r="BB50" s="95"/>
      <c r="BC50" s="96"/>
      <c r="BD50" s="96"/>
      <c r="BE50" s="98"/>
    </row>
    <row r="51" spans="1:57" ht="15" customHeight="1">
      <c r="A51" s="110"/>
      <c r="B51" s="106" t="s">
        <v>101</v>
      </c>
      <c r="C51" s="102">
        <f>'BS-Support'!C283</f>
        <v>0</v>
      </c>
      <c r="D51" s="107"/>
      <c r="E51" s="102">
        <f>'BS-Support'!E283</f>
        <v>0</v>
      </c>
      <c r="F51" s="103"/>
      <c r="G51" s="102">
        <f t="shared" si="11"/>
        <v>0</v>
      </c>
      <c r="H51" s="107"/>
      <c r="I51" s="108">
        <f t="shared" si="12"/>
        <v>0</v>
      </c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95"/>
      <c r="AB51" s="96"/>
      <c r="AC51" s="96"/>
      <c r="AD51" s="96"/>
      <c r="AE51" s="96"/>
      <c r="AF51" s="97"/>
      <c r="AG51" s="95"/>
      <c r="AH51" s="96"/>
      <c r="AI51" s="95"/>
      <c r="AJ51" s="96"/>
      <c r="AK51" s="95"/>
      <c r="AL51" s="96"/>
      <c r="AM51" s="95"/>
      <c r="AN51" s="98"/>
      <c r="AO51" s="96"/>
      <c r="AP51" s="96"/>
      <c r="AQ51" s="95"/>
      <c r="AR51" s="98"/>
      <c r="AS51" s="96"/>
      <c r="AT51" s="96"/>
      <c r="AU51" s="95"/>
      <c r="AV51" s="98"/>
      <c r="AW51" s="96"/>
      <c r="AX51" s="96"/>
      <c r="AY51" s="95"/>
      <c r="AZ51" s="98"/>
      <c r="BA51" s="99"/>
      <c r="BB51" s="95"/>
      <c r="BC51" s="96"/>
      <c r="BD51" s="96"/>
      <c r="BE51" s="98"/>
    </row>
    <row r="52" spans="1:57" ht="15" customHeight="1">
      <c r="A52" s="110"/>
      <c r="B52" s="106" t="s">
        <v>102</v>
      </c>
      <c r="C52" s="102">
        <f>'BS-Support'!C284</f>
        <v>0</v>
      </c>
      <c r="D52" s="107"/>
      <c r="E52" s="102">
        <f>'BS-Support'!E284</f>
        <v>0</v>
      </c>
      <c r="F52" s="103"/>
      <c r="G52" s="102">
        <f t="shared" si="11"/>
        <v>0</v>
      </c>
      <c r="H52" s="107"/>
      <c r="I52" s="108">
        <f t="shared" si="12"/>
        <v>0</v>
      </c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95"/>
      <c r="AB52" s="96"/>
      <c r="AC52" s="96"/>
      <c r="AD52" s="96"/>
      <c r="AE52" s="96"/>
      <c r="AF52" s="97"/>
      <c r="AG52" s="95"/>
      <c r="AH52" s="96"/>
      <c r="AI52" s="95"/>
      <c r="AJ52" s="96"/>
      <c r="AK52" s="95"/>
      <c r="AL52" s="96"/>
      <c r="AM52" s="95"/>
      <c r="AN52" s="98"/>
      <c r="AO52" s="96"/>
      <c r="AP52" s="96"/>
      <c r="AQ52" s="95"/>
      <c r="AR52" s="98"/>
      <c r="AS52" s="96"/>
      <c r="AT52" s="96"/>
      <c r="AU52" s="95"/>
      <c r="AV52" s="98"/>
      <c r="AW52" s="96"/>
      <c r="AX52" s="96"/>
      <c r="AY52" s="95"/>
      <c r="AZ52" s="98"/>
      <c r="BA52" s="99"/>
      <c r="BB52" s="95"/>
      <c r="BC52" s="96"/>
      <c r="BD52" s="96"/>
      <c r="BE52" s="98"/>
    </row>
    <row r="53" spans="1:57" ht="15" customHeight="1">
      <c r="A53" s="110"/>
      <c r="B53" s="101" t="s">
        <v>103</v>
      </c>
      <c r="C53" s="111">
        <f>SUM(C50:C52)</f>
        <v>-761000</v>
      </c>
      <c r="D53" s="93"/>
      <c r="E53" s="111">
        <f>SUM(E50:E52)</f>
        <v>-761000</v>
      </c>
      <c r="F53" s="93"/>
      <c r="G53" s="111">
        <f t="shared" si="11"/>
        <v>0</v>
      </c>
      <c r="H53" s="112"/>
      <c r="I53" s="113">
        <f t="shared" si="12"/>
        <v>0</v>
      </c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95"/>
      <c r="AB53" s="96"/>
      <c r="AC53" s="96"/>
      <c r="AD53" s="96"/>
      <c r="AE53" s="96"/>
      <c r="AF53" s="97"/>
      <c r="AG53" s="95"/>
      <c r="AH53" s="96"/>
      <c r="AI53" s="95"/>
      <c r="AJ53" s="96"/>
      <c r="AK53" s="95"/>
      <c r="AL53" s="96"/>
      <c r="AM53" s="95"/>
      <c r="AN53" s="98"/>
      <c r="AO53" s="96"/>
      <c r="AP53" s="96"/>
      <c r="AQ53" s="95"/>
      <c r="AR53" s="98"/>
      <c r="AS53" s="96"/>
      <c r="AT53" s="96"/>
      <c r="AU53" s="95"/>
      <c r="AV53" s="98"/>
      <c r="AW53" s="96"/>
      <c r="AX53" s="96"/>
      <c r="AY53" s="95"/>
      <c r="AZ53" s="98"/>
      <c r="BA53" s="99"/>
      <c r="BB53" s="95"/>
      <c r="BC53" s="96"/>
      <c r="BD53" s="96"/>
      <c r="BE53" s="98"/>
    </row>
    <row r="54" spans="1:57" ht="15" customHeight="1">
      <c r="A54" s="101" t="s">
        <v>104</v>
      </c>
      <c r="B54" s="101"/>
      <c r="C54" s="111">
        <f>SUM(C53,C48)</f>
        <v>25276498.750000004</v>
      </c>
      <c r="D54" s="93"/>
      <c r="E54" s="111">
        <f>SUM(E53,E48)</f>
        <v>24045235.580000006</v>
      </c>
      <c r="F54" s="93"/>
      <c r="G54" s="111">
        <f t="shared" si="11"/>
        <v>1231263.1699999981</v>
      </c>
      <c r="H54" s="112"/>
      <c r="I54" s="113">
        <f>IF(G54=0,0,(G54*100/$G$54))</f>
        <v>100</v>
      </c>
      <c r="J54" s="114"/>
      <c r="K54" s="114"/>
      <c r="L54" s="93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95"/>
      <c r="AB54" s="96"/>
      <c r="AC54" s="96"/>
      <c r="AD54" s="96"/>
      <c r="AE54" s="96"/>
      <c r="AF54" s="97"/>
      <c r="AG54" s="95"/>
      <c r="AH54" s="96"/>
      <c r="AI54" s="95"/>
      <c r="AJ54" s="96"/>
      <c r="AK54" s="95"/>
      <c r="AL54" s="96"/>
      <c r="AM54" s="95"/>
      <c r="AN54" s="98"/>
      <c r="AO54" s="96"/>
      <c r="AP54" s="96"/>
      <c r="AQ54" s="95"/>
      <c r="AR54" s="98"/>
      <c r="AS54" s="96"/>
      <c r="AT54" s="96"/>
      <c r="AU54" s="95"/>
      <c r="AV54" s="98"/>
      <c r="AW54" s="96"/>
      <c r="AX54" s="96"/>
      <c r="AY54" s="95"/>
      <c r="AZ54" s="98"/>
      <c r="BA54" s="99"/>
      <c r="BB54" s="95"/>
      <c r="BC54" s="96"/>
      <c r="BD54" s="96"/>
      <c r="BE54" s="98"/>
    </row>
    <row r="55" spans="1:57" ht="15" customHeight="1">
      <c r="A55" s="101" t="s">
        <v>105</v>
      </c>
      <c r="B55" s="114"/>
      <c r="C55" s="92"/>
      <c r="D55" s="93"/>
      <c r="E55" s="92"/>
      <c r="F55" s="93"/>
      <c r="G55" s="92"/>
      <c r="H55" s="127"/>
      <c r="I55" s="116"/>
      <c r="J55" s="114"/>
      <c r="K55" s="114"/>
      <c r="L55" s="128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95"/>
      <c r="AB55" s="96"/>
      <c r="AC55" s="96"/>
      <c r="AD55" s="96"/>
      <c r="AE55" s="96"/>
      <c r="AF55" s="97"/>
      <c r="AG55" s="95"/>
      <c r="AH55" s="96"/>
      <c r="AI55" s="95"/>
      <c r="AJ55" s="96"/>
      <c r="AK55" s="95"/>
      <c r="AL55" s="96"/>
      <c r="AM55" s="95"/>
      <c r="AN55" s="98"/>
      <c r="AO55" s="96"/>
      <c r="AP55" s="96"/>
      <c r="AQ55" s="95"/>
      <c r="AR55" s="98"/>
      <c r="AS55" s="96"/>
      <c r="AT55" s="96"/>
      <c r="AU55" s="95"/>
      <c r="AV55" s="98"/>
      <c r="AW55" s="96"/>
      <c r="AX55" s="96"/>
      <c r="AY55" s="95"/>
      <c r="AZ55" s="98"/>
      <c r="BA55" s="99"/>
      <c r="BB55" s="95"/>
      <c r="BC55" s="96"/>
      <c r="BD55" s="96"/>
      <c r="BE55" s="98"/>
    </row>
    <row r="56" spans="1:57" ht="15" customHeight="1">
      <c r="A56" s="110"/>
      <c r="B56" s="106" t="s">
        <v>106</v>
      </c>
      <c r="C56" s="102">
        <f>'BS-Support'!C289</f>
        <v>-49054439.899999999</v>
      </c>
      <c r="D56" s="107"/>
      <c r="E56" s="102">
        <f>'BS-Support'!E289</f>
        <v>-49054439.899999999</v>
      </c>
      <c r="F56" s="103"/>
      <c r="G56" s="102">
        <f t="shared" ref="G56:G57" si="13">C56-E56</f>
        <v>0</v>
      </c>
      <c r="H56" s="107"/>
      <c r="I56" s="108">
        <f t="shared" ref="I56:I57" si="14">IF(G56=0,0,(G56*100/$G$62))</f>
        <v>0</v>
      </c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95"/>
      <c r="AB56" s="96"/>
      <c r="AC56" s="96"/>
      <c r="AD56" s="96"/>
      <c r="AE56" s="96"/>
      <c r="AF56" s="97"/>
      <c r="AG56" s="95"/>
      <c r="AH56" s="96"/>
      <c r="AI56" s="95"/>
      <c r="AJ56" s="96"/>
      <c r="AK56" s="95"/>
      <c r="AL56" s="96"/>
      <c r="AM56" s="95"/>
      <c r="AN56" s="98"/>
      <c r="AO56" s="96"/>
      <c r="AP56" s="96"/>
      <c r="AQ56" s="95"/>
      <c r="AR56" s="98"/>
      <c r="AS56" s="96"/>
      <c r="AT56" s="96"/>
      <c r="AU56" s="95"/>
      <c r="AV56" s="98"/>
      <c r="AW56" s="96"/>
      <c r="AX56" s="96"/>
      <c r="AY56" s="95"/>
      <c r="AZ56" s="98"/>
      <c r="BA56" s="99"/>
      <c r="BB56" s="95"/>
      <c r="BC56" s="96"/>
      <c r="BD56" s="96"/>
      <c r="BE56" s="98"/>
    </row>
    <row r="57" spans="1:57" ht="15" customHeight="1">
      <c r="A57" s="110"/>
      <c r="B57" s="106" t="s">
        <v>107</v>
      </c>
      <c r="C57" s="102">
        <f>'BS-Support'!C290</f>
        <v>0</v>
      </c>
      <c r="D57" s="107"/>
      <c r="E57" s="102">
        <f>'BS-Support'!E290</f>
        <v>0</v>
      </c>
      <c r="F57" s="103"/>
      <c r="G57" s="102">
        <f t="shared" si="13"/>
        <v>0</v>
      </c>
      <c r="H57" s="107"/>
      <c r="I57" s="108">
        <f t="shared" si="14"/>
        <v>0</v>
      </c>
      <c r="J57" s="60"/>
      <c r="K57" s="60"/>
      <c r="L57" s="58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95"/>
      <c r="AB57" s="96"/>
      <c r="AC57" s="96"/>
      <c r="AD57" s="96"/>
      <c r="AE57" s="96"/>
      <c r="AF57" s="97"/>
      <c r="AG57" s="95"/>
      <c r="AH57" s="96"/>
      <c r="AI57" s="95"/>
      <c r="AJ57" s="96"/>
      <c r="AK57" s="95"/>
      <c r="AL57" s="96"/>
      <c r="AM57" s="95"/>
      <c r="AN57" s="98"/>
      <c r="AO57" s="96"/>
      <c r="AP57" s="96"/>
      <c r="AQ57" s="95"/>
      <c r="AR57" s="98"/>
      <c r="AS57" s="96"/>
      <c r="AT57" s="96"/>
      <c r="AU57" s="95"/>
      <c r="AV57" s="98"/>
      <c r="AW57" s="96"/>
      <c r="AX57" s="96"/>
      <c r="AY57" s="95"/>
      <c r="AZ57" s="98"/>
      <c r="BA57" s="99"/>
      <c r="BB57" s="95"/>
      <c r="BC57" s="96"/>
      <c r="BD57" s="96"/>
      <c r="BE57" s="98"/>
    </row>
    <row r="58" spans="1:57" ht="15" customHeight="1">
      <c r="A58" s="101" t="s">
        <v>108</v>
      </c>
      <c r="B58" s="60"/>
      <c r="C58" s="102"/>
      <c r="D58" s="103"/>
      <c r="E58" s="102"/>
      <c r="F58" s="103"/>
      <c r="G58" s="102"/>
      <c r="H58" s="117"/>
      <c r="I58" s="108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95"/>
      <c r="AB58" s="96"/>
      <c r="AC58" s="96"/>
      <c r="AD58" s="96"/>
      <c r="AE58" s="96"/>
      <c r="AF58" s="97"/>
      <c r="AG58" s="95"/>
      <c r="AH58" s="96"/>
      <c r="AI58" s="95"/>
      <c r="AJ58" s="96"/>
      <c r="AK58" s="95"/>
      <c r="AL58" s="96"/>
      <c r="AM58" s="95"/>
      <c r="AN58" s="98"/>
      <c r="AO58" s="96"/>
      <c r="AP58" s="96"/>
      <c r="AQ58" s="95"/>
      <c r="AR58" s="98"/>
      <c r="AS58" s="96"/>
      <c r="AT58" s="96"/>
      <c r="AU58" s="95"/>
      <c r="AV58" s="98"/>
      <c r="AW58" s="96"/>
      <c r="AX58" s="96"/>
      <c r="AY58" s="95"/>
      <c r="AZ58" s="98"/>
      <c r="BA58" s="99"/>
      <c r="BB58" s="95"/>
      <c r="BC58" s="96"/>
      <c r="BD58" s="96"/>
      <c r="BE58" s="98"/>
    </row>
    <row r="59" spans="1:57" ht="15" customHeight="1">
      <c r="A59" s="110"/>
      <c r="B59" s="106" t="s">
        <v>109</v>
      </c>
      <c r="C59" s="102">
        <f>'BS-Support'!C293</f>
        <v>0</v>
      </c>
      <c r="D59" s="107"/>
      <c r="E59" s="102">
        <f>'BS-Support'!E293</f>
        <v>0</v>
      </c>
      <c r="F59" s="107"/>
      <c r="G59" s="102">
        <f t="shared" ref="G59:G63" si="15">C59-E59</f>
        <v>0</v>
      </c>
      <c r="H59" s="118"/>
      <c r="I59" s="108">
        <f t="shared" ref="I59:I62" si="16">IF(G59=0,0,(G59*100/$G$62))</f>
        <v>0</v>
      </c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95"/>
      <c r="AB59" s="96"/>
      <c r="AC59" s="96"/>
      <c r="AD59" s="96"/>
      <c r="AE59" s="96"/>
      <c r="AF59" s="97"/>
      <c r="AG59" s="95" t="s">
        <v>110</v>
      </c>
      <c r="AH59" s="96" t="s">
        <v>110</v>
      </c>
      <c r="AI59" s="95"/>
      <c r="AJ59" s="96"/>
      <c r="AK59" s="95"/>
      <c r="AL59" s="96"/>
      <c r="AM59" s="95"/>
      <c r="AN59" s="98"/>
      <c r="AO59" s="96"/>
      <c r="AP59" s="96"/>
      <c r="AQ59" s="95"/>
      <c r="AR59" s="98"/>
      <c r="AS59" s="96"/>
      <c r="AT59" s="96"/>
      <c r="AU59" s="95"/>
      <c r="AV59" s="98"/>
      <c r="AW59" s="96"/>
      <c r="AX59" s="96"/>
      <c r="AY59" s="95"/>
      <c r="AZ59" s="98"/>
      <c r="BA59" s="99"/>
      <c r="BB59" s="95"/>
      <c r="BC59" s="96"/>
      <c r="BD59" s="96"/>
      <c r="BE59" s="98"/>
    </row>
    <row r="60" spans="1:57" ht="15" customHeight="1">
      <c r="A60" s="110"/>
      <c r="B60" s="106" t="s">
        <v>111</v>
      </c>
      <c r="C60" s="129">
        <f>_xll.REP(DB,YR,1,PRD)</f>
        <v>4184916.46</v>
      </c>
      <c r="D60" s="107"/>
      <c r="E60" s="129">
        <f t="array" ref="E60">IF(PRD =1,_xll.REP(DB,YR-1,1,12),_xll.REP(DB,YR,1,PRD-1))</f>
        <v>24664099.989999998</v>
      </c>
      <c r="F60" s="107"/>
      <c r="G60" s="102">
        <f t="shared" si="15"/>
        <v>-20479183.529999997</v>
      </c>
      <c r="H60" s="103"/>
      <c r="I60" s="108">
        <f t="shared" si="16"/>
        <v>100</v>
      </c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95"/>
      <c r="AB60" s="96"/>
      <c r="AC60" s="96"/>
      <c r="AD60" s="96"/>
      <c r="AE60" s="96"/>
      <c r="AF60" s="97"/>
      <c r="AG60" s="95"/>
      <c r="AH60" s="96"/>
      <c r="AI60" s="95"/>
      <c r="AJ60" s="96"/>
      <c r="AK60" s="95"/>
      <c r="AL60" s="96"/>
      <c r="AM60" s="95"/>
      <c r="AN60" s="98"/>
      <c r="AO60" s="96"/>
      <c r="AP60" s="96"/>
      <c r="AQ60" s="95"/>
      <c r="AR60" s="98"/>
      <c r="AS60" s="96"/>
      <c r="AT60" s="96"/>
      <c r="AU60" s="95"/>
      <c r="AV60" s="98"/>
      <c r="AW60" s="96"/>
      <c r="AX60" s="96"/>
      <c r="AY60" s="95"/>
      <c r="AZ60" s="98"/>
      <c r="BA60" s="99"/>
      <c r="BB60" s="95"/>
      <c r="BC60" s="96"/>
      <c r="BD60" s="96"/>
      <c r="BE60" s="98"/>
    </row>
    <row r="61" spans="1:57" ht="15" customHeight="1">
      <c r="A61" s="110"/>
      <c r="B61" s="101" t="s">
        <v>112</v>
      </c>
      <c r="C61" s="92">
        <f>SUM(C59:C60)</f>
        <v>4184916.46</v>
      </c>
      <c r="D61" s="112"/>
      <c r="E61" s="92">
        <f>SUM(E59:E60)</f>
        <v>24664099.989999998</v>
      </c>
      <c r="F61" s="112"/>
      <c r="G61" s="92">
        <f t="shared" si="15"/>
        <v>-20479183.529999997</v>
      </c>
      <c r="H61" s="93"/>
      <c r="I61" s="116">
        <f t="shared" si="16"/>
        <v>100</v>
      </c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95"/>
      <c r="AB61" s="96"/>
      <c r="AC61" s="96"/>
      <c r="AD61" s="96"/>
      <c r="AE61" s="96"/>
      <c r="AF61" s="97"/>
      <c r="AG61" s="95"/>
      <c r="AH61" s="96"/>
      <c r="AI61" s="95"/>
      <c r="AJ61" s="96"/>
      <c r="AK61" s="95"/>
      <c r="AL61" s="96"/>
      <c r="AM61" s="95"/>
      <c r="AN61" s="98"/>
      <c r="AO61" s="96"/>
      <c r="AP61" s="96"/>
      <c r="AQ61" s="95"/>
      <c r="AR61" s="98"/>
      <c r="AS61" s="96"/>
      <c r="AT61" s="96"/>
      <c r="AU61" s="95"/>
      <c r="AV61" s="98"/>
      <c r="AW61" s="96"/>
      <c r="AX61" s="96"/>
      <c r="AY61" s="95"/>
      <c r="AZ61" s="98"/>
      <c r="BA61" s="99"/>
      <c r="BB61" s="95"/>
      <c r="BC61" s="96"/>
      <c r="BD61" s="96"/>
      <c r="BE61" s="98"/>
    </row>
    <row r="62" spans="1:57" ht="15" customHeight="1">
      <c r="A62" s="79"/>
      <c r="B62" s="101" t="s">
        <v>113</v>
      </c>
      <c r="C62" s="130">
        <f>+C56+C57+C61</f>
        <v>-44869523.439999998</v>
      </c>
      <c r="D62" s="93"/>
      <c r="E62" s="130">
        <f>+E56+E57+E61</f>
        <v>-24390339.91</v>
      </c>
      <c r="F62" s="93"/>
      <c r="G62" s="130">
        <f t="shared" si="15"/>
        <v>-20479183.529999997</v>
      </c>
      <c r="H62" s="93"/>
      <c r="I62" s="131">
        <f t="shared" si="16"/>
        <v>100</v>
      </c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95"/>
      <c r="AB62" s="96"/>
      <c r="AC62" s="96"/>
      <c r="AD62" s="96"/>
      <c r="AE62" s="96"/>
      <c r="AF62" s="97"/>
      <c r="AG62" s="95"/>
      <c r="AH62" s="96"/>
      <c r="AI62" s="95"/>
      <c r="AJ62" s="96"/>
      <c r="AK62" s="95"/>
      <c r="AL62" s="96"/>
      <c r="AM62" s="95"/>
      <c r="AN62" s="98"/>
      <c r="AO62" s="96"/>
      <c r="AP62" s="96"/>
      <c r="AQ62" s="95"/>
      <c r="AR62" s="98"/>
      <c r="AS62" s="96"/>
      <c r="AT62" s="96"/>
      <c r="AU62" s="95"/>
      <c r="AV62" s="98"/>
      <c r="AW62" s="96"/>
      <c r="AX62" s="96"/>
      <c r="AY62" s="95"/>
      <c r="AZ62" s="98"/>
      <c r="BA62" s="99"/>
      <c r="BB62" s="95"/>
      <c r="BC62" s="96"/>
      <c r="BD62" s="96"/>
      <c r="BE62" s="98"/>
    </row>
    <row r="63" spans="1:57" ht="15" customHeight="1">
      <c r="A63" s="79"/>
      <c r="B63" s="101" t="s">
        <v>114</v>
      </c>
      <c r="C63" s="111">
        <f>+C54+C62</f>
        <v>-19593024.689999994</v>
      </c>
      <c r="D63" s="93"/>
      <c r="E63" s="111">
        <f>+E54+E62</f>
        <v>-345104.32999999449</v>
      </c>
      <c r="F63" s="93"/>
      <c r="G63" s="111">
        <f t="shared" si="15"/>
        <v>-19247920.359999999</v>
      </c>
      <c r="H63" s="112"/>
      <c r="I63" s="113">
        <f>IF(G63=0,0,(G63*100/$G$63))</f>
        <v>100</v>
      </c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95"/>
      <c r="AB63" s="96"/>
      <c r="AC63" s="96"/>
      <c r="AD63" s="96"/>
      <c r="AE63" s="96"/>
      <c r="AF63" s="97"/>
      <c r="AG63" s="95"/>
      <c r="AH63" s="96"/>
      <c r="AI63" s="95"/>
      <c r="AJ63" s="96"/>
      <c r="AK63" s="95"/>
      <c r="AL63" s="96"/>
      <c r="AM63" s="95"/>
      <c r="AN63" s="98"/>
      <c r="AO63" s="96"/>
      <c r="AP63" s="96"/>
      <c r="AQ63" s="95"/>
      <c r="AR63" s="98"/>
      <c r="AS63" s="96"/>
      <c r="AT63" s="96"/>
      <c r="AU63" s="95"/>
      <c r="AV63" s="98"/>
      <c r="AW63" s="96"/>
      <c r="AX63" s="96"/>
      <c r="AY63" s="95"/>
      <c r="AZ63" s="98"/>
      <c r="BA63" s="99"/>
      <c r="BB63" s="95"/>
      <c r="BC63" s="96"/>
      <c r="BD63" s="96"/>
      <c r="BE63" s="98"/>
    </row>
    <row r="64" spans="1:57" ht="4.5" customHeight="1">
      <c r="A64" s="55"/>
      <c r="B64" s="56"/>
      <c r="C64" s="132"/>
      <c r="D64" s="133"/>
      <c r="E64" s="132" t="s">
        <v>2</v>
      </c>
      <c r="F64" s="133"/>
      <c r="G64" s="132"/>
      <c r="H64" s="58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95"/>
      <c r="AB64" s="96"/>
      <c r="AC64" s="96"/>
      <c r="AD64" s="96"/>
      <c r="AE64" s="96"/>
      <c r="AF64" s="97"/>
      <c r="AG64" s="95"/>
      <c r="AH64" s="96"/>
      <c r="AI64" s="95"/>
      <c r="AJ64" s="96"/>
      <c r="AK64" s="95"/>
      <c r="AL64" s="96"/>
      <c r="AM64" s="95"/>
      <c r="AN64" s="98"/>
      <c r="AO64" s="96"/>
      <c r="AP64" s="96"/>
      <c r="AQ64" s="95"/>
      <c r="AR64" s="98"/>
      <c r="AS64" s="96"/>
      <c r="AT64" s="96"/>
      <c r="AU64" s="95"/>
      <c r="AV64" s="98"/>
      <c r="AW64" s="96"/>
      <c r="AX64" s="96"/>
      <c r="AY64" s="95"/>
      <c r="AZ64" s="98"/>
      <c r="BA64" s="99"/>
      <c r="BB64" s="95"/>
      <c r="BC64" s="96"/>
      <c r="BD64" s="96"/>
      <c r="BE64" s="98"/>
    </row>
    <row r="65" spans="1:57" ht="15" customHeight="1">
      <c r="A65" s="55"/>
      <c r="B65" s="56"/>
      <c r="C65" s="92">
        <f>+C37-C63</f>
        <v>65600921.759999976</v>
      </c>
      <c r="D65" s="94"/>
      <c r="E65" s="92">
        <f>+E37-E63</f>
        <v>40953632.790000036</v>
      </c>
      <c r="F65" s="94"/>
      <c r="G65" s="92">
        <f>C65-E65</f>
        <v>24647288.969999939</v>
      </c>
      <c r="H65" s="93"/>
      <c r="I65" s="115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95"/>
      <c r="AB65" s="96"/>
      <c r="AC65" s="96"/>
      <c r="AD65" s="96"/>
      <c r="AE65" s="96"/>
      <c r="AF65" s="97"/>
      <c r="AG65" s="95"/>
      <c r="AH65" s="96"/>
      <c r="AI65" s="95"/>
      <c r="AJ65" s="96"/>
      <c r="AK65" s="95"/>
      <c r="AL65" s="96"/>
      <c r="AM65" s="95"/>
      <c r="AN65" s="98"/>
      <c r="AO65" s="96"/>
      <c r="AP65" s="96"/>
      <c r="AQ65" s="95"/>
      <c r="AR65" s="98"/>
      <c r="AS65" s="96"/>
      <c r="AT65" s="96"/>
      <c r="AU65" s="95"/>
      <c r="AV65" s="98"/>
      <c r="AW65" s="96"/>
      <c r="AX65" s="96"/>
      <c r="AY65" s="95"/>
      <c r="AZ65" s="98"/>
      <c r="BA65" s="99"/>
      <c r="BB65" s="95"/>
      <c r="BC65" s="96"/>
      <c r="BD65" s="96"/>
      <c r="BE65" s="98"/>
    </row>
    <row r="66" spans="1:57" ht="15.75" customHeight="1">
      <c r="A66" s="55"/>
      <c r="B66" s="56"/>
      <c r="C66" s="57">
        <f>C65-'BS-Support'!C300</f>
        <v>0</v>
      </c>
      <c r="D66" s="134"/>
      <c r="E66" s="57">
        <f>E65-'BS-Support'!E300</f>
        <v>0</v>
      </c>
      <c r="F66" s="58"/>
      <c r="G66" s="57">
        <f>G65-'BS-Support'!G300</f>
        <v>0</v>
      </c>
      <c r="H66" s="58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95"/>
      <c r="AB66" s="96"/>
      <c r="AC66" s="96"/>
      <c r="AD66" s="96"/>
      <c r="AE66" s="96"/>
      <c r="AF66" s="97"/>
      <c r="AG66" s="95"/>
      <c r="AH66" s="96"/>
      <c r="AI66" s="95"/>
      <c r="AJ66" s="96"/>
      <c r="AK66" s="95"/>
      <c r="AL66" s="96"/>
      <c r="AM66" s="95"/>
      <c r="AN66" s="98"/>
      <c r="AO66" s="96"/>
      <c r="AP66" s="96"/>
      <c r="AQ66" s="95"/>
      <c r="AR66" s="98"/>
      <c r="AS66" s="96"/>
      <c r="AT66" s="96"/>
      <c r="AU66" s="95"/>
      <c r="AV66" s="98"/>
      <c r="AW66" s="96"/>
      <c r="AX66" s="96"/>
      <c r="AY66" s="95"/>
      <c r="AZ66" s="98"/>
      <c r="BA66" s="99"/>
      <c r="BB66" s="95"/>
      <c r="BC66" s="96"/>
      <c r="BD66" s="96"/>
      <c r="BE66" s="98"/>
    </row>
    <row r="67" spans="1:57" ht="16.5" customHeight="1">
      <c r="A67" s="55"/>
      <c r="B67" s="135"/>
      <c r="C67" s="57" t="s">
        <v>2</v>
      </c>
      <c r="D67" s="58"/>
      <c r="E67" s="59"/>
      <c r="F67" s="58"/>
      <c r="G67" s="104"/>
      <c r="H67" s="134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136"/>
      <c r="AB67" s="136"/>
      <c r="AC67" s="136"/>
      <c r="AD67" s="136"/>
      <c r="AE67" s="136"/>
      <c r="AF67" s="137"/>
      <c r="AG67" s="137"/>
      <c r="AH67" s="137"/>
      <c r="AI67" s="137"/>
      <c r="AJ67" s="137"/>
      <c r="AK67" s="137"/>
      <c r="AL67" s="137"/>
      <c r="AM67" s="137"/>
    </row>
    <row r="68" spans="1:57" ht="15.75" customHeight="1">
      <c r="A68" s="55"/>
      <c r="B68" s="135"/>
      <c r="C68" s="57"/>
      <c r="D68" s="58"/>
      <c r="E68" s="59"/>
      <c r="F68" s="58"/>
      <c r="G68" s="59"/>
      <c r="H68" s="134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136"/>
      <c r="AB68" s="136"/>
      <c r="AC68" s="136"/>
      <c r="AD68" s="136"/>
      <c r="AE68" s="136"/>
      <c r="AF68" s="137"/>
      <c r="AG68" s="137"/>
      <c r="AH68" s="137"/>
      <c r="AI68" s="137"/>
      <c r="AJ68" s="137"/>
      <c r="AK68" s="137"/>
      <c r="AL68" s="137"/>
      <c r="AM68" s="137"/>
    </row>
    <row r="69" spans="1:57" ht="15.75" customHeight="1">
      <c r="A69" s="55"/>
      <c r="B69" s="56"/>
      <c r="C69" s="57"/>
      <c r="D69" s="134"/>
      <c r="E69" s="59"/>
      <c r="F69" s="134"/>
      <c r="G69" s="59"/>
      <c r="H69" s="134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136"/>
      <c r="AB69" s="136"/>
      <c r="AC69" s="136"/>
      <c r="AD69" s="136"/>
      <c r="AE69" s="136"/>
      <c r="AF69" s="137"/>
      <c r="AG69" s="137"/>
      <c r="AH69" s="137"/>
      <c r="AI69" s="137"/>
      <c r="AJ69" s="137"/>
      <c r="AK69" s="137"/>
      <c r="AL69" s="137"/>
      <c r="AM69" s="137"/>
    </row>
    <row r="70" spans="1:57" ht="17.25" customHeight="1">
      <c r="A70" s="55"/>
      <c r="B70" s="138"/>
      <c r="C70" s="57"/>
      <c r="D70" s="103"/>
      <c r="E70" s="59"/>
      <c r="F70" s="134"/>
      <c r="G70" s="104"/>
      <c r="H70" s="103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136"/>
      <c r="AB70" s="136"/>
      <c r="AC70" s="136"/>
      <c r="AD70" s="136"/>
      <c r="AE70" s="136"/>
      <c r="AF70" s="137"/>
      <c r="AG70" s="137"/>
      <c r="AH70" s="137"/>
      <c r="AI70" s="137"/>
      <c r="AJ70" s="137"/>
      <c r="AK70" s="137"/>
      <c r="AL70" s="137"/>
      <c r="AM70" s="137"/>
    </row>
    <row r="71" spans="1:57" ht="16.5" customHeight="1">
      <c r="A71" s="55"/>
      <c r="B71" s="138"/>
      <c r="C71" s="57"/>
      <c r="D71" s="58"/>
      <c r="E71" s="94"/>
      <c r="F71" s="112"/>
      <c r="G71" s="59"/>
      <c r="H71" s="58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136"/>
      <c r="AB71" s="136"/>
      <c r="AC71" s="136"/>
      <c r="AD71" s="136"/>
      <c r="AE71" s="136"/>
      <c r="AF71" s="137"/>
      <c r="AG71" s="137"/>
      <c r="AH71" s="137"/>
      <c r="AI71" s="137"/>
      <c r="AJ71" s="137"/>
      <c r="AK71" s="137"/>
      <c r="AL71" s="137"/>
      <c r="AM71" s="137"/>
    </row>
    <row r="72" spans="1:57" ht="17.25" customHeight="1">
      <c r="A72" s="55"/>
      <c r="B72" s="138"/>
      <c r="C72" s="57"/>
      <c r="D72" s="134"/>
      <c r="E72" s="59"/>
      <c r="F72" s="134"/>
      <c r="G72" s="59"/>
      <c r="H72" s="134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136"/>
      <c r="AB72" s="136"/>
      <c r="AC72" s="136"/>
      <c r="AD72" s="136"/>
      <c r="AE72" s="136"/>
      <c r="AF72" s="137"/>
      <c r="AG72" s="137"/>
      <c r="AH72" s="137"/>
      <c r="AI72" s="137"/>
      <c r="AJ72" s="137"/>
      <c r="AK72" s="137"/>
      <c r="AL72" s="137"/>
      <c r="AM72" s="137"/>
    </row>
    <row r="73" spans="1:57" ht="17.25" customHeight="1">
      <c r="A73" s="55"/>
      <c r="B73" s="56"/>
      <c r="C73" s="57"/>
      <c r="D73" s="58"/>
      <c r="E73" s="59"/>
      <c r="F73" s="58"/>
      <c r="G73" s="59"/>
      <c r="H73" s="58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136"/>
      <c r="AB73" s="136"/>
      <c r="AC73" s="136"/>
      <c r="AD73" s="136"/>
      <c r="AE73" s="136"/>
      <c r="AF73" s="137"/>
      <c r="AG73" s="137"/>
      <c r="AH73" s="137"/>
      <c r="AI73" s="137"/>
      <c r="AJ73" s="137"/>
      <c r="AK73" s="137"/>
      <c r="AL73" s="137"/>
      <c r="AM73" s="137"/>
    </row>
    <row r="74" spans="1:57" ht="19.5" customHeight="1">
      <c r="A74" s="55"/>
      <c r="B74" s="56"/>
      <c r="C74" s="57" t="s">
        <v>2</v>
      </c>
      <c r="D74" s="58"/>
      <c r="E74" s="59" t="s">
        <v>2</v>
      </c>
      <c r="F74" s="58"/>
      <c r="G74" s="59"/>
      <c r="H74" s="58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136"/>
      <c r="AB74" s="136"/>
      <c r="AC74" s="136"/>
      <c r="AD74" s="136"/>
      <c r="AE74" s="136"/>
      <c r="AF74" s="137"/>
      <c r="AG74" s="137"/>
      <c r="AH74" s="137"/>
      <c r="AI74" s="137"/>
      <c r="AJ74" s="137"/>
      <c r="AK74" s="137"/>
      <c r="AL74" s="137"/>
      <c r="AM74" s="137"/>
    </row>
    <row r="75" spans="1:57" ht="17.25" customHeight="1">
      <c r="A75" s="55"/>
      <c r="B75" s="56"/>
      <c r="C75" s="57" t="s">
        <v>2</v>
      </c>
      <c r="D75" s="58"/>
      <c r="E75" s="59" t="s">
        <v>2</v>
      </c>
      <c r="F75" s="58"/>
      <c r="G75" s="59"/>
      <c r="H75" s="58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136"/>
      <c r="AB75" s="136"/>
      <c r="AC75" s="136"/>
      <c r="AD75" s="136"/>
      <c r="AE75" s="136"/>
      <c r="AF75" s="137"/>
      <c r="AG75" s="137"/>
      <c r="AH75" s="137"/>
      <c r="AI75" s="137"/>
      <c r="AJ75" s="137"/>
      <c r="AK75" s="137"/>
      <c r="AL75" s="137"/>
      <c r="AM75" s="137"/>
    </row>
    <row r="76" spans="1:57" ht="17.25" customHeight="1">
      <c r="A76" s="55"/>
      <c r="B76" s="56"/>
      <c r="C76" s="57" t="s">
        <v>2</v>
      </c>
      <c r="D76" s="58"/>
      <c r="E76" s="59" t="s">
        <v>2</v>
      </c>
      <c r="F76" s="58"/>
      <c r="G76" s="59"/>
      <c r="H76" s="58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136"/>
      <c r="AB76" s="136"/>
      <c r="AC76" s="136"/>
      <c r="AD76" s="136"/>
      <c r="AE76" s="136"/>
      <c r="AF76" s="137"/>
      <c r="AG76" s="137"/>
      <c r="AH76" s="137"/>
      <c r="AI76" s="137"/>
      <c r="AJ76" s="137"/>
      <c r="AK76" s="137"/>
      <c r="AL76" s="137"/>
      <c r="AM76" s="137"/>
    </row>
    <row r="77" spans="1:57" ht="15.75" customHeight="1">
      <c r="A77" s="55"/>
      <c r="B77" s="56"/>
      <c r="C77" s="57" t="s">
        <v>2</v>
      </c>
      <c r="D77" s="58"/>
      <c r="E77" s="59" t="s">
        <v>2</v>
      </c>
      <c r="F77" s="58"/>
      <c r="G77" s="59"/>
      <c r="H77" s="58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136"/>
      <c r="AB77" s="136"/>
      <c r="AC77" s="136"/>
      <c r="AD77" s="136"/>
      <c r="AE77" s="136"/>
      <c r="AF77" s="137"/>
      <c r="AG77" s="137"/>
      <c r="AH77" s="137"/>
      <c r="AI77" s="137"/>
      <c r="AJ77" s="137"/>
      <c r="AK77" s="137"/>
      <c r="AL77" s="137"/>
      <c r="AM77" s="137"/>
    </row>
    <row r="78" spans="1:57" ht="15.75" customHeight="1">
      <c r="A78" s="55"/>
      <c r="B78" s="56"/>
      <c r="C78" s="57"/>
      <c r="D78" s="58"/>
      <c r="E78" s="59"/>
      <c r="F78" s="58"/>
      <c r="G78" s="59"/>
      <c r="H78" s="58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136"/>
      <c r="AB78" s="136"/>
      <c r="AC78" s="136"/>
      <c r="AD78" s="136"/>
      <c r="AE78" s="136"/>
      <c r="AF78" s="137"/>
      <c r="AG78" s="137"/>
      <c r="AH78" s="137"/>
      <c r="AI78" s="137"/>
      <c r="AJ78" s="137"/>
      <c r="AK78" s="137"/>
      <c r="AL78" s="137"/>
      <c r="AM78" s="137"/>
    </row>
    <row r="79" spans="1:57" ht="15.75" customHeight="1">
      <c r="A79" s="55"/>
      <c r="B79" s="56"/>
      <c r="C79" s="57"/>
      <c r="D79" s="58"/>
      <c r="E79" s="59"/>
      <c r="F79" s="58"/>
      <c r="G79" s="59"/>
      <c r="H79" s="58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136"/>
      <c r="AB79" s="136"/>
      <c r="AC79" s="136"/>
      <c r="AD79" s="136"/>
      <c r="AE79" s="136"/>
      <c r="AF79" s="137"/>
      <c r="AG79" s="137"/>
      <c r="AH79" s="137"/>
      <c r="AI79" s="137"/>
      <c r="AJ79" s="137"/>
      <c r="AK79" s="137"/>
      <c r="AL79" s="137"/>
      <c r="AM79" s="137"/>
    </row>
    <row r="80" spans="1:57" ht="15.75" customHeight="1">
      <c r="A80" s="55"/>
      <c r="B80" s="56"/>
      <c r="C80" s="57"/>
      <c r="D80" s="58"/>
      <c r="E80" s="59"/>
      <c r="F80" s="58"/>
      <c r="G80" s="59"/>
      <c r="H80" s="58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136"/>
      <c r="AB80" s="136"/>
      <c r="AC80" s="136"/>
      <c r="AD80" s="136"/>
      <c r="AE80" s="136"/>
      <c r="AF80" s="137"/>
      <c r="AG80" s="137"/>
      <c r="AH80" s="137"/>
      <c r="AI80" s="137"/>
      <c r="AJ80" s="137"/>
      <c r="AK80" s="137"/>
      <c r="AL80" s="137"/>
      <c r="AM80" s="137"/>
    </row>
    <row r="81" spans="1:39" ht="15.75" customHeight="1">
      <c r="A81" s="55"/>
      <c r="B81" s="56"/>
      <c r="C81" s="57"/>
      <c r="D81" s="58"/>
      <c r="E81" s="59"/>
      <c r="F81" s="58"/>
      <c r="G81" s="59"/>
      <c r="H81" s="58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136"/>
      <c r="AB81" s="136"/>
      <c r="AC81" s="136"/>
      <c r="AD81" s="136"/>
      <c r="AE81" s="136"/>
      <c r="AF81" s="137"/>
      <c r="AG81" s="137"/>
      <c r="AH81" s="137"/>
      <c r="AI81" s="137"/>
      <c r="AJ81" s="137"/>
      <c r="AK81" s="137"/>
      <c r="AL81" s="137"/>
      <c r="AM81" s="137"/>
    </row>
    <row r="82" spans="1:39" ht="15.75" customHeight="1">
      <c r="A82" s="55"/>
      <c r="B82" s="56"/>
      <c r="C82" s="57"/>
      <c r="D82" s="58"/>
      <c r="E82" s="59"/>
      <c r="F82" s="58"/>
      <c r="G82" s="59"/>
      <c r="H82" s="58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136"/>
      <c r="AB82" s="136"/>
      <c r="AC82" s="136"/>
      <c r="AD82" s="136"/>
      <c r="AE82" s="136"/>
      <c r="AF82" s="137"/>
      <c r="AG82" s="137"/>
      <c r="AH82" s="137"/>
      <c r="AI82" s="137"/>
      <c r="AJ82" s="137"/>
      <c r="AK82" s="137"/>
      <c r="AL82" s="137"/>
      <c r="AM82" s="137"/>
    </row>
    <row r="83" spans="1:39" ht="15.75" customHeight="1">
      <c r="A83" s="55"/>
      <c r="B83" s="56"/>
      <c r="C83" s="57"/>
      <c r="D83" s="58"/>
      <c r="E83" s="59"/>
      <c r="F83" s="58"/>
      <c r="G83" s="59"/>
      <c r="H83" s="58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136"/>
      <c r="AB83" s="136"/>
      <c r="AC83" s="136"/>
      <c r="AD83" s="136"/>
      <c r="AE83" s="136"/>
      <c r="AF83" s="137"/>
      <c r="AG83" s="137"/>
      <c r="AH83" s="137"/>
      <c r="AI83" s="137"/>
      <c r="AJ83" s="137"/>
      <c r="AK83" s="137"/>
      <c r="AL83" s="137"/>
      <c r="AM83" s="137"/>
    </row>
    <row r="84" spans="1:39" ht="15.75" customHeight="1">
      <c r="A84" s="55"/>
      <c r="B84" s="56"/>
      <c r="C84" s="57"/>
      <c r="D84" s="58"/>
      <c r="E84" s="59"/>
      <c r="F84" s="58"/>
      <c r="G84" s="59"/>
      <c r="H84" s="58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136"/>
      <c r="AB84" s="136"/>
      <c r="AC84" s="136"/>
      <c r="AD84" s="136"/>
      <c r="AE84" s="136"/>
      <c r="AF84" s="137"/>
      <c r="AG84" s="137"/>
      <c r="AH84" s="137"/>
      <c r="AI84" s="137"/>
      <c r="AJ84" s="137"/>
      <c r="AK84" s="137"/>
      <c r="AL84" s="137"/>
      <c r="AM84" s="137"/>
    </row>
    <row r="85" spans="1:39" ht="11.25" customHeight="1">
      <c r="A85" s="55"/>
      <c r="B85" s="56"/>
      <c r="C85" s="57"/>
      <c r="D85" s="58"/>
      <c r="E85" s="59"/>
      <c r="F85" s="58"/>
      <c r="G85" s="59"/>
      <c r="H85" s="58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136"/>
      <c r="AB85" s="136"/>
      <c r="AC85" s="136"/>
      <c r="AD85" s="136"/>
      <c r="AE85" s="136"/>
      <c r="AF85" s="137"/>
      <c r="AG85" s="137"/>
      <c r="AH85" s="137"/>
      <c r="AI85" s="137"/>
      <c r="AJ85" s="137"/>
      <c r="AK85" s="137"/>
      <c r="AL85" s="137"/>
      <c r="AM85" s="137"/>
    </row>
    <row r="86" spans="1:39" ht="11.25" customHeight="1">
      <c r="A86" s="55"/>
      <c r="B86" s="56"/>
      <c r="C86" s="57"/>
      <c r="D86" s="58"/>
      <c r="E86" s="59"/>
      <c r="F86" s="58"/>
      <c r="G86" s="59"/>
      <c r="H86" s="58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136"/>
      <c r="AB86" s="136"/>
      <c r="AC86" s="136"/>
      <c r="AD86" s="136"/>
      <c r="AE86" s="136"/>
      <c r="AF86" s="137"/>
      <c r="AG86" s="137"/>
      <c r="AH86" s="137"/>
      <c r="AI86" s="137"/>
      <c r="AJ86" s="137"/>
      <c r="AK86" s="137"/>
      <c r="AL86" s="137"/>
      <c r="AM86" s="137"/>
    </row>
    <row r="87" spans="1:39" ht="11.25" customHeight="1">
      <c r="A87" s="55"/>
      <c r="B87" s="56"/>
      <c r="C87" s="57"/>
      <c r="D87" s="58"/>
      <c r="E87" s="59"/>
      <c r="F87" s="58"/>
      <c r="G87" s="59"/>
      <c r="H87" s="58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136"/>
      <c r="AB87" s="136"/>
      <c r="AC87" s="136"/>
      <c r="AD87" s="136"/>
      <c r="AE87" s="136"/>
      <c r="AF87" s="137"/>
      <c r="AG87" s="137"/>
      <c r="AH87" s="137"/>
      <c r="AI87" s="137"/>
      <c r="AJ87" s="137"/>
      <c r="AK87" s="137"/>
      <c r="AL87" s="137"/>
      <c r="AM87" s="137"/>
    </row>
    <row r="88" spans="1:39" ht="11.25" customHeight="1">
      <c r="A88" s="55"/>
      <c r="B88" s="56"/>
      <c r="C88" s="57"/>
      <c r="D88" s="58"/>
      <c r="E88" s="59"/>
      <c r="F88" s="58"/>
      <c r="G88" s="59"/>
      <c r="H88" s="58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136"/>
      <c r="AB88" s="136"/>
      <c r="AC88" s="136"/>
      <c r="AD88" s="136"/>
      <c r="AE88" s="136"/>
      <c r="AF88" s="137"/>
      <c r="AG88" s="137"/>
      <c r="AH88" s="137"/>
      <c r="AI88" s="137"/>
      <c r="AJ88" s="137"/>
      <c r="AK88" s="137"/>
      <c r="AL88" s="137"/>
      <c r="AM88" s="137"/>
    </row>
    <row r="89" spans="1:39" ht="11.25" customHeight="1">
      <c r="A89" s="55"/>
      <c r="B89" s="56"/>
      <c r="C89" s="57"/>
      <c r="D89" s="58"/>
      <c r="E89" s="59"/>
      <c r="F89" s="58"/>
      <c r="G89" s="59"/>
      <c r="H89" s="58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136"/>
      <c r="AB89" s="136"/>
      <c r="AC89" s="136"/>
      <c r="AD89" s="136"/>
      <c r="AE89" s="136"/>
      <c r="AF89" s="137"/>
      <c r="AG89" s="137"/>
      <c r="AH89" s="137"/>
      <c r="AI89" s="137"/>
      <c r="AJ89" s="137"/>
      <c r="AK89" s="137"/>
      <c r="AL89" s="137"/>
      <c r="AM89" s="137"/>
    </row>
    <row r="90" spans="1:39" ht="11.25" customHeight="1">
      <c r="A90" s="55"/>
      <c r="B90" s="56"/>
      <c r="C90" s="57"/>
      <c r="D90" s="58"/>
      <c r="E90" s="59"/>
      <c r="F90" s="58"/>
      <c r="G90" s="59"/>
      <c r="H90" s="58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136"/>
      <c r="AB90" s="136"/>
      <c r="AC90" s="136"/>
      <c r="AD90" s="136"/>
      <c r="AE90" s="136"/>
      <c r="AF90" s="137"/>
      <c r="AG90" s="137"/>
      <c r="AH90" s="137"/>
      <c r="AI90" s="137"/>
      <c r="AJ90" s="137"/>
      <c r="AK90" s="137"/>
      <c r="AL90" s="137"/>
      <c r="AM90" s="137"/>
    </row>
    <row r="91" spans="1:39" ht="11.25" customHeight="1">
      <c r="A91" s="55"/>
      <c r="B91" s="56"/>
      <c r="C91" s="57"/>
      <c r="D91" s="58"/>
      <c r="E91" s="59"/>
      <c r="F91" s="58"/>
      <c r="G91" s="59"/>
      <c r="H91" s="58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136"/>
      <c r="AB91" s="136"/>
      <c r="AC91" s="136"/>
      <c r="AD91" s="136"/>
      <c r="AE91" s="136"/>
      <c r="AF91" s="137"/>
      <c r="AG91" s="137"/>
      <c r="AH91" s="137"/>
      <c r="AI91" s="137"/>
      <c r="AJ91" s="137"/>
      <c r="AK91" s="137"/>
      <c r="AL91" s="137"/>
      <c r="AM91" s="137"/>
    </row>
    <row r="92" spans="1:39" ht="11.25" customHeight="1">
      <c r="A92" s="55"/>
      <c r="B92" s="56"/>
      <c r="C92" s="57"/>
      <c r="D92" s="58"/>
      <c r="E92" s="59"/>
      <c r="F92" s="58"/>
      <c r="G92" s="59"/>
      <c r="H92" s="58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136"/>
      <c r="AB92" s="136"/>
      <c r="AC92" s="136"/>
      <c r="AD92" s="136"/>
      <c r="AE92" s="136"/>
      <c r="AF92" s="137"/>
      <c r="AG92" s="137"/>
      <c r="AH92" s="137"/>
      <c r="AI92" s="137"/>
      <c r="AJ92" s="137"/>
      <c r="AK92" s="137"/>
      <c r="AL92" s="137"/>
      <c r="AM92" s="137"/>
    </row>
    <row r="93" spans="1:39" ht="11.25" customHeight="1">
      <c r="A93" s="55"/>
      <c r="B93" s="56"/>
      <c r="C93" s="57"/>
      <c r="D93" s="58"/>
      <c r="E93" s="59"/>
      <c r="F93" s="58"/>
      <c r="G93" s="59"/>
      <c r="H93" s="58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136"/>
      <c r="AB93" s="136"/>
      <c r="AC93" s="136"/>
      <c r="AD93" s="136"/>
      <c r="AE93" s="136"/>
      <c r="AF93" s="137"/>
      <c r="AG93" s="137"/>
      <c r="AH93" s="137"/>
      <c r="AI93" s="137"/>
      <c r="AJ93" s="137"/>
      <c r="AK93" s="137"/>
      <c r="AL93" s="137"/>
      <c r="AM93" s="137"/>
    </row>
    <row r="94" spans="1:39" ht="11.25" customHeight="1">
      <c r="A94" s="55"/>
      <c r="B94" s="56"/>
      <c r="C94" s="57"/>
      <c r="D94" s="58"/>
      <c r="E94" s="59"/>
      <c r="F94" s="58"/>
      <c r="G94" s="59"/>
      <c r="H94" s="58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136"/>
      <c r="AB94" s="136"/>
      <c r="AC94" s="136"/>
      <c r="AD94" s="136"/>
      <c r="AE94" s="136"/>
      <c r="AF94" s="137"/>
      <c r="AG94" s="137"/>
      <c r="AH94" s="137"/>
      <c r="AI94" s="137"/>
      <c r="AJ94" s="137"/>
      <c r="AK94" s="137"/>
      <c r="AL94" s="137"/>
      <c r="AM94" s="137"/>
    </row>
    <row r="95" spans="1:39" ht="11.25" customHeight="1">
      <c r="A95" s="55"/>
      <c r="B95" s="56"/>
      <c r="C95" s="57"/>
      <c r="D95" s="58"/>
      <c r="E95" s="59"/>
      <c r="F95" s="58"/>
      <c r="G95" s="59"/>
      <c r="H95" s="58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136"/>
      <c r="AB95" s="136"/>
      <c r="AC95" s="136"/>
      <c r="AD95" s="136"/>
      <c r="AE95" s="136"/>
      <c r="AF95" s="137"/>
      <c r="AG95" s="137"/>
      <c r="AH95" s="137"/>
      <c r="AI95" s="137"/>
      <c r="AJ95" s="137"/>
      <c r="AK95" s="137"/>
      <c r="AL95" s="137"/>
      <c r="AM95" s="137"/>
    </row>
    <row r="96" spans="1:39" ht="11.25" customHeight="1">
      <c r="A96" s="55"/>
      <c r="B96" s="56"/>
      <c r="C96" s="57"/>
      <c r="D96" s="58"/>
      <c r="E96" s="59"/>
      <c r="F96" s="58"/>
      <c r="G96" s="59"/>
      <c r="H96" s="58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136"/>
      <c r="AB96" s="136"/>
      <c r="AC96" s="136"/>
      <c r="AD96" s="136"/>
      <c r="AE96" s="136"/>
      <c r="AF96" s="137"/>
      <c r="AG96" s="137"/>
      <c r="AH96" s="137"/>
      <c r="AI96" s="137"/>
      <c r="AJ96" s="137"/>
      <c r="AK96" s="137"/>
      <c r="AL96" s="137"/>
      <c r="AM96" s="137"/>
    </row>
    <row r="97" spans="1:39" ht="11.25" customHeight="1">
      <c r="A97" s="55"/>
      <c r="B97" s="56"/>
      <c r="C97" s="57"/>
      <c r="D97" s="58"/>
      <c r="E97" s="59"/>
      <c r="F97" s="58"/>
      <c r="G97" s="59"/>
      <c r="H97" s="58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136"/>
      <c r="AB97" s="136"/>
      <c r="AC97" s="136"/>
      <c r="AD97" s="136"/>
      <c r="AE97" s="136"/>
      <c r="AF97" s="137"/>
      <c r="AG97" s="137"/>
      <c r="AH97" s="137"/>
      <c r="AI97" s="137"/>
      <c r="AJ97" s="137"/>
      <c r="AK97" s="137"/>
      <c r="AL97" s="137"/>
      <c r="AM97" s="137"/>
    </row>
    <row r="98" spans="1:39" ht="11.25" customHeight="1">
      <c r="A98" s="55"/>
      <c r="B98" s="56"/>
      <c r="C98" s="57"/>
      <c r="D98" s="58"/>
      <c r="E98" s="59"/>
      <c r="F98" s="58"/>
      <c r="G98" s="59"/>
      <c r="H98" s="58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136"/>
      <c r="AB98" s="136"/>
      <c r="AC98" s="136"/>
      <c r="AD98" s="136"/>
      <c r="AE98" s="136"/>
      <c r="AF98" s="137"/>
      <c r="AG98" s="137"/>
      <c r="AH98" s="137"/>
      <c r="AI98" s="137"/>
      <c r="AJ98" s="137"/>
      <c r="AK98" s="137"/>
      <c r="AL98" s="137"/>
      <c r="AM98" s="137"/>
    </row>
    <row r="99" spans="1:39" ht="11.25" customHeight="1">
      <c r="A99" s="55"/>
      <c r="B99" s="56"/>
      <c r="C99" s="57"/>
      <c r="D99" s="58"/>
      <c r="E99" s="59"/>
      <c r="F99" s="58"/>
      <c r="G99" s="59"/>
      <c r="H99" s="58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136"/>
      <c r="AB99" s="136"/>
      <c r="AC99" s="136"/>
      <c r="AD99" s="136"/>
      <c r="AE99" s="136"/>
      <c r="AF99" s="137"/>
      <c r="AG99" s="137"/>
      <c r="AH99" s="137"/>
      <c r="AI99" s="137"/>
      <c r="AJ99" s="137"/>
      <c r="AK99" s="137"/>
      <c r="AL99" s="137"/>
      <c r="AM99" s="137"/>
    </row>
    <row r="100" spans="1:39" ht="11.25" customHeight="1">
      <c r="A100" s="55"/>
      <c r="B100" s="56"/>
      <c r="C100" s="57"/>
      <c r="D100" s="58"/>
      <c r="E100" s="59"/>
      <c r="F100" s="58"/>
      <c r="G100" s="59"/>
      <c r="H100" s="58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136"/>
      <c r="AB100" s="136"/>
      <c r="AC100" s="136"/>
      <c r="AD100" s="136"/>
      <c r="AE100" s="136"/>
      <c r="AF100" s="137"/>
      <c r="AG100" s="137"/>
      <c r="AH100" s="137"/>
      <c r="AI100" s="137"/>
      <c r="AJ100" s="137"/>
      <c r="AK100" s="137"/>
      <c r="AL100" s="137"/>
      <c r="AM100" s="137"/>
    </row>
    <row r="101" spans="1:39" ht="11.25" customHeight="1">
      <c r="A101" s="55"/>
      <c r="B101" s="56"/>
      <c r="C101" s="57"/>
      <c r="D101" s="58"/>
      <c r="E101" s="59"/>
      <c r="F101" s="58"/>
      <c r="G101" s="59"/>
      <c r="H101" s="58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136"/>
      <c r="AB101" s="136"/>
      <c r="AC101" s="136"/>
      <c r="AD101" s="136"/>
      <c r="AE101" s="136"/>
      <c r="AF101" s="137"/>
      <c r="AG101" s="137"/>
      <c r="AH101" s="137"/>
      <c r="AI101" s="137"/>
      <c r="AJ101" s="137"/>
      <c r="AK101" s="137"/>
      <c r="AL101" s="137"/>
      <c r="AM101" s="137"/>
    </row>
    <row r="102" spans="1:39" ht="11.25" customHeight="1">
      <c r="A102" s="55"/>
      <c r="B102" s="56"/>
      <c r="C102" s="57"/>
      <c r="D102" s="58"/>
      <c r="E102" s="59"/>
      <c r="F102" s="58"/>
      <c r="G102" s="59"/>
      <c r="H102" s="58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136"/>
      <c r="AB102" s="136"/>
      <c r="AC102" s="136"/>
      <c r="AD102" s="136"/>
      <c r="AE102" s="136"/>
      <c r="AF102" s="137"/>
      <c r="AG102" s="137"/>
      <c r="AH102" s="137"/>
      <c r="AI102" s="137"/>
      <c r="AJ102" s="137"/>
      <c r="AK102" s="137"/>
      <c r="AL102" s="137"/>
      <c r="AM102" s="137"/>
    </row>
    <row r="103" spans="1:39" ht="11.25" customHeight="1">
      <c r="A103" s="55"/>
      <c r="B103" s="56"/>
      <c r="C103" s="57"/>
      <c r="D103" s="58"/>
      <c r="E103" s="59"/>
      <c r="F103" s="58"/>
      <c r="G103" s="59"/>
      <c r="H103" s="58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136"/>
      <c r="AB103" s="136"/>
      <c r="AC103" s="136"/>
      <c r="AD103" s="136"/>
      <c r="AE103" s="136"/>
      <c r="AF103" s="137"/>
      <c r="AG103" s="137"/>
      <c r="AH103" s="137"/>
      <c r="AI103" s="137"/>
      <c r="AJ103" s="137"/>
      <c r="AK103" s="137"/>
      <c r="AL103" s="137"/>
      <c r="AM103" s="137"/>
    </row>
    <row r="104" spans="1:39" ht="11.25" customHeight="1">
      <c r="A104" s="55"/>
      <c r="B104" s="56"/>
      <c r="C104" s="57"/>
      <c r="D104" s="58"/>
      <c r="E104" s="59"/>
      <c r="F104" s="58"/>
      <c r="G104" s="59"/>
      <c r="H104" s="58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136"/>
      <c r="AB104" s="136"/>
      <c r="AC104" s="136"/>
      <c r="AD104" s="136"/>
      <c r="AE104" s="136"/>
      <c r="AF104" s="137"/>
      <c r="AG104" s="137"/>
      <c r="AH104" s="137"/>
      <c r="AI104" s="137"/>
      <c r="AJ104" s="137"/>
      <c r="AK104" s="137"/>
      <c r="AL104" s="137"/>
      <c r="AM104" s="137"/>
    </row>
    <row r="105" spans="1:39" ht="11.25" customHeight="1">
      <c r="A105" s="55"/>
      <c r="B105" s="56"/>
      <c r="C105" s="57"/>
      <c r="D105" s="58"/>
      <c r="E105" s="59"/>
      <c r="F105" s="58"/>
      <c r="G105" s="59"/>
      <c r="H105" s="58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136"/>
      <c r="AB105" s="136"/>
      <c r="AC105" s="136"/>
      <c r="AD105" s="136"/>
      <c r="AE105" s="136"/>
      <c r="AF105" s="137"/>
      <c r="AG105" s="137"/>
      <c r="AH105" s="137"/>
      <c r="AI105" s="137"/>
      <c r="AJ105" s="137"/>
      <c r="AK105" s="137"/>
      <c r="AL105" s="137"/>
      <c r="AM105" s="137"/>
    </row>
    <row r="106" spans="1:39" ht="11.25" customHeight="1">
      <c r="A106" s="55"/>
      <c r="B106" s="56"/>
      <c r="C106" s="57"/>
      <c r="D106" s="58"/>
      <c r="E106" s="59"/>
      <c r="F106" s="58"/>
      <c r="G106" s="59"/>
      <c r="H106" s="58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136"/>
      <c r="AB106" s="136"/>
      <c r="AC106" s="136"/>
      <c r="AD106" s="136"/>
      <c r="AE106" s="136"/>
      <c r="AF106" s="137"/>
      <c r="AG106" s="137"/>
      <c r="AH106" s="137"/>
      <c r="AI106" s="137"/>
      <c r="AJ106" s="137"/>
      <c r="AK106" s="137"/>
      <c r="AL106" s="137"/>
      <c r="AM106" s="137"/>
    </row>
    <row r="107" spans="1:39" ht="11.25" customHeight="1">
      <c r="A107" s="55"/>
      <c r="B107" s="56"/>
      <c r="C107" s="57"/>
      <c r="D107" s="58"/>
      <c r="E107" s="59"/>
      <c r="F107" s="58"/>
      <c r="G107" s="59"/>
      <c r="H107" s="58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136"/>
      <c r="AB107" s="136"/>
      <c r="AC107" s="136"/>
      <c r="AD107" s="136"/>
      <c r="AE107" s="136"/>
      <c r="AF107" s="137"/>
      <c r="AG107" s="137"/>
      <c r="AH107" s="137"/>
      <c r="AI107" s="137"/>
      <c r="AJ107" s="137"/>
      <c r="AK107" s="137"/>
      <c r="AL107" s="137"/>
      <c r="AM107" s="137"/>
    </row>
    <row r="108" spans="1:39" ht="11.25" customHeight="1">
      <c r="A108" s="55"/>
      <c r="B108" s="56"/>
      <c r="C108" s="57"/>
      <c r="D108" s="58"/>
      <c r="E108" s="59"/>
      <c r="F108" s="58"/>
      <c r="G108" s="59"/>
      <c r="H108" s="58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136"/>
      <c r="AB108" s="136"/>
      <c r="AC108" s="136"/>
      <c r="AD108" s="136"/>
      <c r="AE108" s="136"/>
      <c r="AF108" s="137"/>
      <c r="AG108" s="137"/>
      <c r="AH108" s="137"/>
      <c r="AI108" s="137"/>
      <c r="AJ108" s="137"/>
      <c r="AK108" s="137"/>
      <c r="AL108" s="137"/>
      <c r="AM108" s="137"/>
    </row>
    <row r="109" spans="1:39" ht="11.25" customHeight="1">
      <c r="A109" s="55"/>
      <c r="B109" s="56"/>
      <c r="C109" s="57"/>
      <c r="D109" s="58"/>
      <c r="E109" s="59"/>
      <c r="F109" s="58"/>
      <c r="G109" s="59"/>
      <c r="H109" s="58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136"/>
      <c r="AB109" s="136"/>
      <c r="AC109" s="136"/>
      <c r="AD109" s="136"/>
      <c r="AE109" s="136"/>
      <c r="AF109" s="137"/>
      <c r="AG109" s="137"/>
      <c r="AH109" s="137"/>
      <c r="AI109" s="137"/>
      <c r="AJ109" s="137"/>
      <c r="AK109" s="137"/>
      <c r="AL109" s="137"/>
      <c r="AM109" s="137"/>
    </row>
    <row r="110" spans="1:39" ht="11.25" customHeight="1">
      <c r="A110" s="55"/>
      <c r="B110" s="56"/>
      <c r="C110" s="57"/>
      <c r="D110" s="58"/>
      <c r="E110" s="59"/>
      <c r="F110" s="58"/>
      <c r="G110" s="59"/>
      <c r="H110" s="58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136"/>
      <c r="AB110" s="136"/>
      <c r="AC110" s="136"/>
      <c r="AD110" s="136"/>
      <c r="AE110" s="136"/>
      <c r="AF110" s="137"/>
      <c r="AG110" s="137"/>
      <c r="AH110" s="137"/>
      <c r="AI110" s="137"/>
      <c r="AJ110" s="137"/>
      <c r="AK110" s="137"/>
      <c r="AL110" s="137"/>
      <c r="AM110" s="137"/>
    </row>
    <row r="111" spans="1:39" ht="11.25" customHeight="1">
      <c r="A111" s="55"/>
      <c r="B111" s="56"/>
      <c r="C111" s="57"/>
      <c r="D111" s="58"/>
      <c r="E111" s="59"/>
      <c r="F111" s="58"/>
      <c r="G111" s="59"/>
      <c r="H111" s="58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136"/>
      <c r="AB111" s="136"/>
      <c r="AC111" s="136"/>
      <c r="AD111" s="136"/>
      <c r="AE111" s="136"/>
      <c r="AF111" s="137"/>
      <c r="AG111" s="137"/>
      <c r="AH111" s="137"/>
      <c r="AI111" s="137"/>
      <c r="AJ111" s="137"/>
      <c r="AK111" s="137"/>
      <c r="AL111" s="137"/>
      <c r="AM111" s="137"/>
    </row>
    <row r="112" spans="1:39" ht="11.25" customHeight="1">
      <c r="A112" s="55"/>
      <c r="B112" s="56"/>
      <c r="C112" s="57"/>
      <c r="D112" s="58"/>
      <c r="E112" s="59"/>
      <c r="F112" s="58"/>
      <c r="G112" s="59"/>
      <c r="H112" s="58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136"/>
      <c r="AB112" s="136"/>
      <c r="AC112" s="136"/>
      <c r="AD112" s="136"/>
      <c r="AE112" s="136"/>
      <c r="AF112" s="137"/>
      <c r="AG112" s="137"/>
      <c r="AH112" s="137"/>
      <c r="AI112" s="137"/>
      <c r="AJ112" s="137"/>
      <c r="AK112" s="137"/>
      <c r="AL112" s="137"/>
      <c r="AM112" s="137"/>
    </row>
    <row r="113" spans="1:39" ht="11.25" customHeight="1">
      <c r="A113" s="55"/>
      <c r="B113" s="56"/>
      <c r="C113" s="57"/>
      <c r="D113" s="58"/>
      <c r="E113" s="59"/>
      <c r="F113" s="58"/>
      <c r="G113" s="59"/>
      <c r="H113" s="58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136"/>
      <c r="AB113" s="136"/>
      <c r="AC113" s="136"/>
      <c r="AD113" s="136"/>
      <c r="AE113" s="136"/>
      <c r="AF113" s="137"/>
      <c r="AG113" s="137"/>
      <c r="AH113" s="137"/>
      <c r="AI113" s="137"/>
      <c r="AJ113" s="137"/>
      <c r="AK113" s="137"/>
      <c r="AL113" s="137"/>
      <c r="AM113" s="137"/>
    </row>
    <row r="114" spans="1:39" ht="11.25" customHeight="1">
      <c r="A114" s="55"/>
      <c r="B114" s="56"/>
      <c r="C114" s="57"/>
      <c r="D114" s="58"/>
      <c r="E114" s="59"/>
      <c r="F114" s="58"/>
      <c r="G114" s="59"/>
      <c r="H114" s="58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136"/>
      <c r="AB114" s="136"/>
      <c r="AC114" s="136"/>
      <c r="AD114" s="136"/>
      <c r="AE114" s="136"/>
      <c r="AF114" s="137"/>
      <c r="AG114" s="137"/>
      <c r="AH114" s="137"/>
      <c r="AI114" s="137"/>
      <c r="AJ114" s="137"/>
      <c r="AK114" s="137"/>
      <c r="AL114" s="137"/>
      <c r="AM114" s="137"/>
    </row>
    <row r="115" spans="1:39" ht="11.25" customHeight="1">
      <c r="A115" s="55"/>
      <c r="B115" s="56"/>
      <c r="C115" s="57"/>
      <c r="D115" s="58"/>
      <c r="E115" s="59"/>
      <c r="F115" s="58"/>
      <c r="G115" s="59"/>
      <c r="H115" s="58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136"/>
      <c r="AB115" s="136"/>
      <c r="AC115" s="136"/>
      <c r="AD115" s="136"/>
      <c r="AE115" s="136"/>
      <c r="AF115" s="137"/>
      <c r="AG115" s="137"/>
      <c r="AH115" s="137"/>
      <c r="AI115" s="137"/>
      <c r="AJ115" s="137"/>
      <c r="AK115" s="137"/>
      <c r="AL115" s="137"/>
      <c r="AM115" s="137"/>
    </row>
    <row r="116" spans="1:39" ht="11.25" customHeight="1">
      <c r="A116" s="55"/>
      <c r="B116" s="56"/>
      <c r="C116" s="57"/>
      <c r="D116" s="58"/>
      <c r="E116" s="59"/>
      <c r="F116" s="58"/>
      <c r="G116" s="59"/>
      <c r="H116" s="58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136"/>
      <c r="AB116" s="136"/>
      <c r="AC116" s="136"/>
      <c r="AD116" s="136"/>
      <c r="AE116" s="136"/>
      <c r="AF116" s="137"/>
      <c r="AG116" s="137"/>
      <c r="AH116" s="137"/>
      <c r="AI116" s="137"/>
      <c r="AJ116" s="137"/>
      <c r="AK116" s="137"/>
      <c r="AL116" s="137"/>
      <c r="AM116" s="137"/>
    </row>
    <row r="117" spans="1:39" ht="11.25" customHeight="1">
      <c r="A117" s="55"/>
      <c r="B117" s="56"/>
      <c r="C117" s="57"/>
      <c r="D117" s="58"/>
      <c r="E117" s="59"/>
      <c r="F117" s="58"/>
      <c r="G117" s="59"/>
      <c r="H117" s="58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136"/>
      <c r="AB117" s="136"/>
      <c r="AC117" s="136"/>
      <c r="AD117" s="136"/>
      <c r="AE117" s="136"/>
      <c r="AF117" s="137"/>
      <c r="AG117" s="137"/>
      <c r="AH117" s="137"/>
      <c r="AI117" s="137"/>
      <c r="AJ117" s="137"/>
      <c r="AK117" s="137"/>
      <c r="AL117" s="137"/>
      <c r="AM117" s="137"/>
    </row>
    <row r="118" spans="1:39" ht="11.25" customHeight="1">
      <c r="A118" s="55"/>
      <c r="B118" s="56"/>
      <c r="C118" s="57"/>
      <c r="D118" s="58"/>
      <c r="E118" s="59"/>
      <c r="F118" s="58"/>
      <c r="G118" s="59"/>
      <c r="H118" s="58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136"/>
      <c r="AB118" s="136"/>
      <c r="AC118" s="136"/>
      <c r="AD118" s="136"/>
      <c r="AE118" s="136"/>
      <c r="AF118" s="137"/>
      <c r="AG118" s="137"/>
      <c r="AH118" s="137"/>
      <c r="AI118" s="137"/>
      <c r="AJ118" s="137"/>
      <c r="AK118" s="137"/>
      <c r="AL118" s="137"/>
      <c r="AM118" s="137"/>
    </row>
    <row r="119" spans="1:39" ht="11.25" customHeight="1">
      <c r="A119" s="55"/>
      <c r="B119" s="56"/>
      <c r="C119" s="57"/>
      <c r="D119" s="58"/>
      <c r="E119" s="59"/>
      <c r="F119" s="58"/>
      <c r="G119" s="59"/>
      <c r="H119" s="58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136"/>
      <c r="AB119" s="136"/>
      <c r="AC119" s="136"/>
      <c r="AD119" s="136"/>
      <c r="AE119" s="136"/>
      <c r="AF119" s="137"/>
      <c r="AG119" s="137"/>
      <c r="AH119" s="137"/>
      <c r="AI119" s="137"/>
      <c r="AJ119" s="137"/>
      <c r="AK119" s="137"/>
      <c r="AL119" s="137"/>
      <c r="AM119" s="137"/>
    </row>
    <row r="120" spans="1:39" ht="11.25" customHeight="1">
      <c r="A120" s="55"/>
      <c r="B120" s="56"/>
      <c r="C120" s="57"/>
      <c r="D120" s="58"/>
      <c r="E120" s="59"/>
      <c r="F120" s="58"/>
      <c r="G120" s="59"/>
      <c r="H120" s="58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136"/>
      <c r="AB120" s="136"/>
      <c r="AC120" s="136"/>
      <c r="AD120" s="136"/>
      <c r="AE120" s="136"/>
      <c r="AF120" s="137"/>
      <c r="AG120" s="137"/>
      <c r="AH120" s="137"/>
      <c r="AI120" s="137"/>
      <c r="AJ120" s="137"/>
      <c r="AK120" s="137"/>
      <c r="AL120" s="137"/>
      <c r="AM120" s="137"/>
    </row>
    <row r="121" spans="1:39" ht="11.25" customHeight="1">
      <c r="A121" s="55"/>
      <c r="B121" s="56"/>
      <c r="C121" s="57"/>
      <c r="D121" s="58"/>
      <c r="E121" s="59"/>
      <c r="F121" s="58"/>
      <c r="G121" s="59"/>
      <c r="H121" s="58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136"/>
      <c r="AB121" s="136"/>
      <c r="AC121" s="136"/>
      <c r="AD121" s="136"/>
      <c r="AE121" s="136"/>
      <c r="AF121" s="137"/>
      <c r="AG121" s="137"/>
      <c r="AH121" s="137"/>
      <c r="AI121" s="137"/>
      <c r="AJ121" s="137"/>
      <c r="AK121" s="137"/>
      <c r="AL121" s="137"/>
      <c r="AM121" s="137"/>
    </row>
    <row r="122" spans="1:39" ht="11.25" customHeight="1">
      <c r="A122" s="55"/>
      <c r="B122" s="56"/>
      <c r="C122" s="57"/>
      <c r="D122" s="58"/>
      <c r="E122" s="59"/>
      <c r="F122" s="58"/>
      <c r="G122" s="59"/>
      <c r="H122" s="58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136"/>
      <c r="AB122" s="136"/>
      <c r="AC122" s="136"/>
      <c r="AD122" s="136"/>
      <c r="AE122" s="136"/>
      <c r="AF122" s="137"/>
      <c r="AG122" s="137"/>
      <c r="AH122" s="137"/>
      <c r="AI122" s="137"/>
      <c r="AJ122" s="137"/>
      <c r="AK122" s="137"/>
      <c r="AL122" s="137"/>
      <c r="AM122" s="137"/>
    </row>
    <row r="123" spans="1:39" ht="11.25" customHeight="1">
      <c r="A123" s="55"/>
      <c r="B123" s="56"/>
      <c r="C123" s="57"/>
      <c r="D123" s="58"/>
      <c r="E123" s="59"/>
      <c r="F123" s="58"/>
      <c r="G123" s="59"/>
      <c r="H123" s="58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136"/>
      <c r="AB123" s="136"/>
      <c r="AC123" s="136"/>
      <c r="AD123" s="136"/>
      <c r="AE123" s="136"/>
      <c r="AF123" s="137"/>
      <c r="AG123" s="137"/>
      <c r="AH123" s="137"/>
      <c r="AI123" s="137"/>
      <c r="AJ123" s="137"/>
      <c r="AK123" s="137"/>
      <c r="AL123" s="137"/>
      <c r="AM123" s="137"/>
    </row>
    <row r="124" spans="1:39" ht="11.25" customHeight="1">
      <c r="A124" s="55"/>
      <c r="B124" s="56"/>
      <c r="C124" s="57"/>
      <c r="D124" s="58"/>
      <c r="E124" s="59"/>
      <c r="F124" s="58"/>
      <c r="G124" s="59"/>
      <c r="H124" s="58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136"/>
      <c r="AB124" s="136"/>
      <c r="AC124" s="136"/>
      <c r="AD124" s="136"/>
      <c r="AE124" s="136"/>
      <c r="AF124" s="137"/>
      <c r="AG124" s="137"/>
      <c r="AH124" s="137"/>
      <c r="AI124" s="137"/>
      <c r="AJ124" s="137"/>
      <c r="AK124" s="137"/>
      <c r="AL124" s="137"/>
      <c r="AM124" s="137"/>
    </row>
    <row r="125" spans="1:39" ht="11.25" customHeight="1">
      <c r="A125" s="55"/>
      <c r="B125" s="56"/>
      <c r="C125" s="57"/>
      <c r="D125" s="58"/>
      <c r="E125" s="59"/>
      <c r="F125" s="58"/>
      <c r="G125" s="59"/>
      <c r="H125" s="58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136"/>
      <c r="AB125" s="136"/>
      <c r="AC125" s="136"/>
      <c r="AD125" s="136"/>
      <c r="AE125" s="136"/>
      <c r="AF125" s="137"/>
      <c r="AG125" s="137"/>
      <c r="AH125" s="137"/>
      <c r="AI125" s="137"/>
      <c r="AJ125" s="137"/>
      <c r="AK125" s="137"/>
      <c r="AL125" s="137"/>
      <c r="AM125" s="137"/>
    </row>
    <row r="126" spans="1:39" ht="11.25" customHeight="1">
      <c r="A126" s="55"/>
      <c r="B126" s="56"/>
      <c r="C126" s="57"/>
      <c r="D126" s="58"/>
      <c r="E126" s="59"/>
      <c r="F126" s="58"/>
      <c r="G126" s="59"/>
      <c r="H126" s="58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136"/>
      <c r="AB126" s="136"/>
      <c r="AC126" s="136"/>
      <c r="AD126" s="136"/>
      <c r="AE126" s="136"/>
      <c r="AF126" s="137"/>
      <c r="AG126" s="137"/>
      <c r="AH126" s="137"/>
      <c r="AI126" s="137"/>
      <c r="AJ126" s="137"/>
      <c r="AK126" s="137"/>
      <c r="AL126" s="137"/>
      <c r="AM126" s="137"/>
    </row>
    <row r="127" spans="1:39" ht="11.25" customHeight="1">
      <c r="A127" s="55"/>
      <c r="B127" s="56"/>
      <c r="C127" s="57"/>
      <c r="D127" s="58"/>
      <c r="E127" s="59"/>
      <c r="F127" s="58"/>
      <c r="G127" s="59"/>
      <c r="H127" s="58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136"/>
      <c r="AB127" s="136"/>
      <c r="AC127" s="136"/>
      <c r="AD127" s="136"/>
      <c r="AE127" s="136"/>
      <c r="AF127" s="137"/>
      <c r="AG127" s="137"/>
      <c r="AH127" s="137"/>
      <c r="AI127" s="137"/>
      <c r="AJ127" s="137"/>
      <c r="AK127" s="137"/>
      <c r="AL127" s="137"/>
      <c r="AM127" s="137"/>
    </row>
    <row r="128" spans="1:39" ht="11.25" customHeight="1">
      <c r="A128" s="55"/>
      <c r="B128" s="56"/>
      <c r="C128" s="57"/>
      <c r="D128" s="58"/>
      <c r="E128" s="59"/>
      <c r="F128" s="58"/>
      <c r="G128" s="59"/>
      <c r="H128" s="58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136"/>
      <c r="AB128" s="136"/>
      <c r="AC128" s="136"/>
      <c r="AD128" s="136"/>
      <c r="AE128" s="136"/>
      <c r="AF128" s="137"/>
      <c r="AG128" s="137"/>
      <c r="AH128" s="137"/>
      <c r="AI128" s="137"/>
      <c r="AJ128" s="137"/>
      <c r="AK128" s="137"/>
      <c r="AL128" s="137"/>
      <c r="AM128" s="137"/>
    </row>
    <row r="129" spans="1:39" ht="11.25" customHeight="1">
      <c r="A129" s="55"/>
      <c r="B129" s="56"/>
      <c r="C129" s="57"/>
      <c r="D129" s="58"/>
      <c r="E129" s="59"/>
      <c r="F129" s="58"/>
      <c r="G129" s="59"/>
      <c r="H129" s="58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136"/>
      <c r="AB129" s="136"/>
      <c r="AC129" s="136"/>
      <c r="AD129" s="136"/>
      <c r="AE129" s="136"/>
      <c r="AF129" s="137"/>
      <c r="AG129" s="137"/>
      <c r="AH129" s="137"/>
      <c r="AI129" s="137"/>
      <c r="AJ129" s="137"/>
      <c r="AK129" s="137"/>
      <c r="AL129" s="137"/>
      <c r="AM129" s="137"/>
    </row>
    <row r="130" spans="1:39" ht="11.25" customHeight="1">
      <c r="A130" s="55"/>
      <c r="B130" s="56"/>
      <c r="C130" s="57"/>
      <c r="D130" s="58"/>
      <c r="E130" s="59"/>
      <c r="F130" s="58"/>
      <c r="G130" s="59"/>
      <c r="H130" s="58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136"/>
      <c r="AB130" s="136"/>
      <c r="AC130" s="136"/>
      <c r="AD130" s="136"/>
      <c r="AE130" s="136"/>
      <c r="AF130" s="137"/>
      <c r="AG130" s="137"/>
      <c r="AH130" s="137"/>
      <c r="AI130" s="137"/>
      <c r="AJ130" s="137"/>
      <c r="AK130" s="137"/>
      <c r="AL130" s="137"/>
      <c r="AM130" s="137"/>
    </row>
    <row r="131" spans="1:39" ht="11.25" customHeight="1">
      <c r="A131" s="55"/>
      <c r="B131" s="56"/>
      <c r="C131" s="57"/>
      <c r="D131" s="58"/>
      <c r="E131" s="59"/>
      <c r="F131" s="58"/>
      <c r="G131" s="59"/>
      <c r="H131" s="58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136"/>
      <c r="AB131" s="136"/>
      <c r="AC131" s="136"/>
      <c r="AD131" s="136"/>
      <c r="AE131" s="136"/>
      <c r="AF131" s="137"/>
      <c r="AG131" s="137"/>
      <c r="AH131" s="137"/>
      <c r="AI131" s="137"/>
      <c r="AJ131" s="137"/>
      <c r="AK131" s="137"/>
      <c r="AL131" s="137"/>
      <c r="AM131" s="137"/>
    </row>
    <row r="132" spans="1:39" ht="11.25" customHeight="1">
      <c r="A132" s="55"/>
      <c r="B132" s="56"/>
      <c r="C132" s="57"/>
      <c r="D132" s="58"/>
      <c r="E132" s="59"/>
      <c r="F132" s="58"/>
      <c r="G132" s="59"/>
      <c r="H132" s="58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136"/>
      <c r="AB132" s="136"/>
      <c r="AC132" s="136"/>
      <c r="AD132" s="136"/>
      <c r="AE132" s="136"/>
      <c r="AF132" s="137"/>
      <c r="AG132" s="137"/>
      <c r="AH132" s="137"/>
      <c r="AI132" s="137"/>
      <c r="AJ132" s="137"/>
      <c r="AK132" s="137"/>
      <c r="AL132" s="137"/>
      <c r="AM132" s="137"/>
    </row>
    <row r="133" spans="1:39" ht="11.25" customHeight="1">
      <c r="A133" s="55"/>
      <c r="B133" s="56"/>
      <c r="C133" s="57"/>
      <c r="D133" s="58"/>
      <c r="E133" s="59"/>
      <c r="F133" s="58"/>
      <c r="G133" s="59"/>
      <c r="H133" s="58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136"/>
      <c r="AB133" s="136"/>
      <c r="AC133" s="136"/>
      <c r="AD133" s="136"/>
      <c r="AE133" s="136"/>
      <c r="AF133" s="137"/>
      <c r="AG133" s="137"/>
      <c r="AH133" s="137"/>
      <c r="AI133" s="137"/>
      <c r="AJ133" s="137"/>
      <c r="AK133" s="137"/>
      <c r="AL133" s="137"/>
      <c r="AM133" s="137"/>
    </row>
    <row r="134" spans="1:39" ht="11.25" customHeight="1">
      <c r="A134" s="55"/>
      <c r="B134" s="56"/>
      <c r="C134" s="57"/>
      <c r="D134" s="58"/>
      <c r="E134" s="59"/>
      <c r="F134" s="58"/>
      <c r="G134" s="59"/>
      <c r="H134" s="58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136"/>
      <c r="AB134" s="136"/>
      <c r="AC134" s="136"/>
      <c r="AD134" s="136"/>
      <c r="AE134" s="136"/>
      <c r="AF134" s="137"/>
      <c r="AG134" s="137"/>
      <c r="AH134" s="137"/>
      <c r="AI134" s="137"/>
      <c r="AJ134" s="137"/>
      <c r="AK134" s="137"/>
      <c r="AL134" s="137"/>
      <c r="AM134" s="137"/>
    </row>
    <row r="135" spans="1:39" ht="11.25" customHeight="1">
      <c r="A135" s="55"/>
      <c r="B135" s="56"/>
      <c r="C135" s="57"/>
      <c r="D135" s="58"/>
      <c r="E135" s="59"/>
      <c r="F135" s="58"/>
      <c r="G135" s="59"/>
      <c r="H135" s="58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136"/>
      <c r="AB135" s="136"/>
      <c r="AC135" s="136"/>
      <c r="AD135" s="136"/>
      <c r="AE135" s="136"/>
      <c r="AF135" s="137"/>
      <c r="AG135" s="137"/>
      <c r="AH135" s="137"/>
      <c r="AI135" s="137"/>
      <c r="AJ135" s="137"/>
      <c r="AK135" s="137"/>
      <c r="AL135" s="137"/>
      <c r="AM135" s="137"/>
    </row>
    <row r="136" spans="1:39" ht="11.25" customHeight="1">
      <c r="A136" s="55"/>
      <c r="B136" s="56"/>
      <c r="C136" s="57"/>
      <c r="D136" s="58"/>
      <c r="E136" s="59"/>
      <c r="F136" s="58"/>
      <c r="G136" s="59"/>
      <c r="H136" s="58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136"/>
      <c r="AB136" s="136"/>
      <c r="AC136" s="136"/>
      <c r="AD136" s="136"/>
      <c r="AE136" s="136"/>
      <c r="AF136" s="137"/>
      <c r="AG136" s="137"/>
      <c r="AH136" s="137"/>
      <c r="AI136" s="137"/>
      <c r="AJ136" s="137"/>
      <c r="AK136" s="137"/>
      <c r="AL136" s="137"/>
      <c r="AM136" s="137"/>
    </row>
    <row r="137" spans="1:39" ht="11.25" customHeight="1">
      <c r="A137" s="55"/>
      <c r="B137" s="56"/>
      <c r="C137" s="57"/>
      <c r="D137" s="58"/>
      <c r="E137" s="59"/>
      <c r="F137" s="58"/>
      <c r="G137" s="59"/>
      <c r="H137" s="58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136"/>
      <c r="AB137" s="136"/>
      <c r="AC137" s="136"/>
      <c r="AD137" s="136"/>
      <c r="AE137" s="136"/>
      <c r="AF137" s="137"/>
      <c r="AG137" s="137"/>
      <c r="AH137" s="137"/>
      <c r="AI137" s="137"/>
      <c r="AJ137" s="137"/>
      <c r="AK137" s="137"/>
      <c r="AL137" s="137"/>
      <c r="AM137" s="137"/>
    </row>
    <row r="138" spans="1:39" ht="11.25" customHeight="1">
      <c r="A138" s="55"/>
      <c r="B138" s="56"/>
      <c r="C138" s="57"/>
      <c r="D138" s="58"/>
      <c r="E138" s="59"/>
      <c r="F138" s="58"/>
      <c r="G138" s="59"/>
      <c r="H138" s="58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136"/>
      <c r="AB138" s="136"/>
      <c r="AC138" s="136"/>
      <c r="AD138" s="136"/>
      <c r="AE138" s="136"/>
      <c r="AF138" s="137"/>
      <c r="AG138" s="137"/>
      <c r="AH138" s="137"/>
      <c r="AI138" s="137"/>
      <c r="AJ138" s="137"/>
      <c r="AK138" s="137"/>
      <c r="AL138" s="137"/>
      <c r="AM138" s="137"/>
    </row>
    <row r="139" spans="1:39" ht="11.25" customHeight="1">
      <c r="A139" s="55"/>
      <c r="B139" s="56"/>
      <c r="C139" s="57"/>
      <c r="D139" s="58"/>
      <c r="E139" s="59"/>
      <c r="F139" s="58"/>
      <c r="G139" s="59"/>
      <c r="H139" s="58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136"/>
      <c r="AB139" s="136"/>
      <c r="AC139" s="136"/>
      <c r="AD139" s="136"/>
      <c r="AE139" s="136"/>
      <c r="AF139" s="137"/>
      <c r="AG139" s="137"/>
      <c r="AH139" s="137"/>
      <c r="AI139" s="137"/>
      <c r="AJ139" s="137"/>
      <c r="AK139" s="137"/>
      <c r="AL139" s="137"/>
      <c r="AM139" s="137"/>
    </row>
    <row r="140" spans="1:39" ht="11.25" customHeight="1">
      <c r="A140" s="55"/>
      <c r="B140" s="56"/>
      <c r="C140" s="57"/>
      <c r="D140" s="58"/>
      <c r="E140" s="59"/>
      <c r="F140" s="58"/>
      <c r="G140" s="59"/>
      <c r="H140" s="58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136"/>
      <c r="AB140" s="136"/>
      <c r="AC140" s="136"/>
      <c r="AD140" s="136"/>
      <c r="AE140" s="136"/>
      <c r="AF140" s="137"/>
      <c r="AG140" s="137"/>
      <c r="AH140" s="137"/>
      <c r="AI140" s="137"/>
      <c r="AJ140" s="137"/>
      <c r="AK140" s="137"/>
      <c r="AL140" s="137"/>
      <c r="AM140" s="137"/>
    </row>
    <row r="141" spans="1:39" ht="11.25" customHeight="1">
      <c r="A141" s="55"/>
      <c r="B141" s="56"/>
      <c r="C141" s="57"/>
      <c r="D141" s="58"/>
      <c r="E141" s="59"/>
      <c r="F141" s="58"/>
      <c r="G141" s="59"/>
      <c r="H141" s="58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136"/>
      <c r="AB141" s="136"/>
      <c r="AC141" s="136"/>
      <c r="AD141" s="136"/>
      <c r="AE141" s="136"/>
      <c r="AF141" s="137"/>
      <c r="AG141" s="137"/>
      <c r="AH141" s="137"/>
      <c r="AI141" s="137"/>
      <c r="AJ141" s="137"/>
      <c r="AK141" s="137"/>
      <c r="AL141" s="137"/>
      <c r="AM141" s="137"/>
    </row>
    <row r="142" spans="1:39" ht="11.25" customHeight="1">
      <c r="A142" s="55"/>
      <c r="B142" s="56"/>
      <c r="C142" s="57"/>
      <c r="D142" s="58"/>
      <c r="E142" s="59"/>
      <c r="F142" s="58"/>
      <c r="G142" s="59"/>
      <c r="H142" s="58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136"/>
      <c r="AB142" s="136"/>
      <c r="AC142" s="136"/>
      <c r="AD142" s="136"/>
      <c r="AE142" s="136"/>
      <c r="AF142" s="137"/>
      <c r="AG142" s="137"/>
      <c r="AH142" s="137"/>
      <c r="AI142" s="137"/>
      <c r="AJ142" s="137"/>
      <c r="AK142" s="137"/>
      <c r="AL142" s="137"/>
      <c r="AM142" s="137"/>
    </row>
    <row r="143" spans="1:39" ht="11.25" customHeight="1">
      <c r="A143" s="55"/>
      <c r="B143" s="56"/>
      <c r="C143" s="57"/>
      <c r="D143" s="58"/>
      <c r="E143" s="59"/>
      <c r="F143" s="58"/>
      <c r="G143" s="59"/>
      <c r="H143" s="58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136"/>
      <c r="AB143" s="136"/>
      <c r="AC143" s="136"/>
      <c r="AD143" s="136"/>
      <c r="AE143" s="136"/>
      <c r="AF143" s="137"/>
      <c r="AG143" s="137"/>
      <c r="AH143" s="137"/>
      <c r="AI143" s="137"/>
      <c r="AJ143" s="137"/>
      <c r="AK143" s="137"/>
      <c r="AL143" s="137"/>
      <c r="AM143" s="137"/>
    </row>
    <row r="144" spans="1:39" ht="11.25" customHeight="1">
      <c r="A144" s="55"/>
      <c r="B144" s="56"/>
      <c r="C144" s="57"/>
      <c r="D144" s="58"/>
      <c r="E144" s="59"/>
      <c r="F144" s="58"/>
      <c r="G144" s="59"/>
      <c r="H144" s="58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136"/>
      <c r="AB144" s="136"/>
      <c r="AC144" s="136"/>
      <c r="AD144" s="136"/>
      <c r="AE144" s="136"/>
      <c r="AF144" s="137"/>
      <c r="AG144" s="137"/>
      <c r="AH144" s="137"/>
      <c r="AI144" s="137"/>
      <c r="AJ144" s="137"/>
      <c r="AK144" s="137"/>
      <c r="AL144" s="137"/>
      <c r="AM144" s="137"/>
    </row>
    <row r="145" spans="1:39" ht="11.25" customHeight="1">
      <c r="A145" s="55"/>
      <c r="B145" s="56"/>
      <c r="C145" s="57"/>
      <c r="D145" s="58"/>
      <c r="E145" s="59"/>
      <c r="F145" s="58"/>
      <c r="G145" s="59"/>
      <c r="H145" s="58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136"/>
      <c r="AB145" s="136"/>
      <c r="AC145" s="136"/>
      <c r="AD145" s="136"/>
      <c r="AE145" s="136"/>
      <c r="AF145" s="137"/>
      <c r="AG145" s="137"/>
      <c r="AH145" s="137"/>
      <c r="AI145" s="137"/>
      <c r="AJ145" s="137"/>
      <c r="AK145" s="137"/>
      <c r="AL145" s="137"/>
      <c r="AM145" s="137"/>
    </row>
    <row r="146" spans="1:39" ht="11.25" customHeight="1">
      <c r="A146" s="55"/>
      <c r="B146" s="56"/>
      <c r="C146" s="57"/>
      <c r="D146" s="58"/>
      <c r="E146" s="59"/>
      <c r="F146" s="58"/>
      <c r="G146" s="59"/>
      <c r="H146" s="58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136"/>
      <c r="AB146" s="136"/>
      <c r="AC146" s="136"/>
      <c r="AD146" s="136"/>
      <c r="AE146" s="136"/>
      <c r="AF146" s="137"/>
      <c r="AG146" s="137"/>
      <c r="AH146" s="137"/>
      <c r="AI146" s="137"/>
      <c r="AJ146" s="137"/>
      <c r="AK146" s="137"/>
      <c r="AL146" s="137"/>
      <c r="AM146" s="137"/>
    </row>
    <row r="147" spans="1:39" ht="11.25" customHeight="1">
      <c r="A147" s="55"/>
      <c r="B147" s="56"/>
      <c r="C147" s="57"/>
      <c r="D147" s="58"/>
      <c r="E147" s="59"/>
      <c r="F147" s="58"/>
      <c r="G147" s="59"/>
      <c r="H147" s="58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136"/>
      <c r="AB147" s="136"/>
      <c r="AC147" s="136"/>
      <c r="AD147" s="136"/>
      <c r="AE147" s="136"/>
      <c r="AF147" s="137"/>
      <c r="AG147" s="137"/>
      <c r="AH147" s="137"/>
      <c r="AI147" s="137"/>
      <c r="AJ147" s="137"/>
      <c r="AK147" s="137"/>
      <c r="AL147" s="137"/>
      <c r="AM147" s="137"/>
    </row>
    <row r="148" spans="1:39" ht="11.25" customHeight="1">
      <c r="A148" s="55"/>
      <c r="B148" s="56"/>
      <c r="C148" s="57"/>
      <c r="D148" s="58"/>
      <c r="E148" s="59"/>
      <c r="F148" s="58"/>
      <c r="G148" s="59"/>
      <c r="H148" s="58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136"/>
      <c r="AB148" s="136"/>
      <c r="AC148" s="136"/>
      <c r="AD148" s="136"/>
      <c r="AE148" s="136"/>
      <c r="AF148" s="137"/>
      <c r="AG148" s="137"/>
      <c r="AH148" s="137"/>
      <c r="AI148" s="137"/>
      <c r="AJ148" s="137"/>
      <c r="AK148" s="137"/>
      <c r="AL148" s="137"/>
      <c r="AM148" s="137"/>
    </row>
    <row r="149" spans="1:39" ht="11.25" customHeight="1">
      <c r="A149" s="55"/>
      <c r="B149" s="56"/>
      <c r="C149" s="57"/>
      <c r="D149" s="58"/>
      <c r="E149" s="59"/>
      <c r="F149" s="58"/>
      <c r="G149" s="59"/>
      <c r="H149" s="58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136"/>
      <c r="AB149" s="136"/>
      <c r="AC149" s="136"/>
      <c r="AD149" s="136"/>
      <c r="AE149" s="136"/>
      <c r="AF149" s="137"/>
      <c r="AG149" s="137"/>
      <c r="AH149" s="137"/>
      <c r="AI149" s="137"/>
      <c r="AJ149" s="137"/>
      <c r="AK149" s="137"/>
      <c r="AL149" s="137"/>
      <c r="AM149" s="137"/>
    </row>
    <row r="150" spans="1:39" ht="11.25" customHeight="1">
      <c r="A150" s="55"/>
      <c r="B150" s="56"/>
      <c r="C150" s="57"/>
      <c r="D150" s="58"/>
      <c r="E150" s="59"/>
      <c r="F150" s="58"/>
      <c r="G150" s="59"/>
      <c r="H150" s="58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136"/>
      <c r="AB150" s="136"/>
      <c r="AC150" s="136"/>
      <c r="AD150" s="136"/>
      <c r="AE150" s="136"/>
      <c r="AF150" s="137"/>
      <c r="AG150" s="137"/>
      <c r="AH150" s="137"/>
      <c r="AI150" s="137"/>
      <c r="AJ150" s="137"/>
      <c r="AK150" s="137"/>
      <c r="AL150" s="137"/>
      <c r="AM150" s="137"/>
    </row>
    <row r="151" spans="1:39" ht="11.25" customHeight="1">
      <c r="A151" s="55"/>
      <c r="B151" s="56"/>
      <c r="C151" s="57"/>
      <c r="D151" s="58"/>
      <c r="E151" s="59"/>
      <c r="F151" s="58"/>
      <c r="G151" s="59"/>
      <c r="H151" s="58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136"/>
      <c r="AB151" s="136"/>
      <c r="AC151" s="136"/>
      <c r="AD151" s="136"/>
      <c r="AE151" s="136"/>
      <c r="AF151" s="137"/>
      <c r="AG151" s="137"/>
      <c r="AH151" s="137"/>
      <c r="AI151" s="137"/>
      <c r="AJ151" s="137"/>
      <c r="AK151" s="137"/>
      <c r="AL151" s="137"/>
      <c r="AM151" s="137"/>
    </row>
    <row r="152" spans="1:39" ht="11.25" customHeight="1">
      <c r="A152" s="55"/>
      <c r="B152" s="56"/>
      <c r="C152" s="57"/>
      <c r="D152" s="58"/>
      <c r="E152" s="59"/>
      <c r="F152" s="58"/>
      <c r="G152" s="59"/>
      <c r="H152" s="58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136"/>
      <c r="AB152" s="136"/>
      <c r="AC152" s="136"/>
      <c r="AD152" s="136"/>
      <c r="AE152" s="136"/>
      <c r="AF152" s="137"/>
      <c r="AG152" s="137"/>
      <c r="AH152" s="137"/>
      <c r="AI152" s="137"/>
      <c r="AJ152" s="137"/>
      <c r="AK152" s="137"/>
      <c r="AL152" s="137"/>
      <c r="AM152" s="137"/>
    </row>
    <row r="153" spans="1:39" ht="11.25" customHeight="1">
      <c r="A153" s="55"/>
      <c r="B153" s="56"/>
      <c r="C153" s="57"/>
      <c r="D153" s="58"/>
      <c r="E153" s="59"/>
      <c r="F153" s="58"/>
      <c r="G153" s="59"/>
      <c r="H153" s="58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136"/>
      <c r="AB153" s="136"/>
      <c r="AC153" s="136"/>
      <c r="AD153" s="136"/>
      <c r="AE153" s="136"/>
      <c r="AF153" s="137"/>
      <c r="AG153" s="137"/>
      <c r="AH153" s="137"/>
      <c r="AI153" s="137"/>
      <c r="AJ153" s="137"/>
      <c r="AK153" s="137"/>
      <c r="AL153" s="137"/>
      <c r="AM153" s="137"/>
    </row>
    <row r="154" spans="1:39" ht="11.25" customHeight="1">
      <c r="A154" s="55"/>
      <c r="B154" s="56"/>
      <c r="C154" s="57"/>
      <c r="D154" s="58"/>
      <c r="E154" s="59"/>
      <c r="F154" s="58"/>
      <c r="G154" s="59"/>
      <c r="H154" s="58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136"/>
      <c r="AB154" s="136"/>
      <c r="AC154" s="136"/>
      <c r="AD154" s="136"/>
      <c r="AE154" s="136"/>
      <c r="AF154" s="137"/>
      <c r="AG154" s="137"/>
      <c r="AH154" s="137"/>
      <c r="AI154" s="137"/>
      <c r="AJ154" s="137"/>
      <c r="AK154" s="137"/>
      <c r="AL154" s="137"/>
      <c r="AM154" s="137"/>
    </row>
    <row r="155" spans="1:39" ht="11.25" customHeight="1">
      <c r="A155" s="55"/>
      <c r="B155" s="56"/>
      <c r="C155" s="57"/>
      <c r="D155" s="58"/>
      <c r="E155" s="59"/>
      <c r="F155" s="58"/>
      <c r="G155" s="59"/>
      <c r="H155" s="58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136"/>
      <c r="AB155" s="136"/>
      <c r="AC155" s="136"/>
      <c r="AD155" s="136"/>
      <c r="AE155" s="136"/>
      <c r="AF155" s="137"/>
      <c r="AG155" s="137"/>
      <c r="AH155" s="137"/>
      <c r="AI155" s="137"/>
      <c r="AJ155" s="137"/>
      <c r="AK155" s="137"/>
      <c r="AL155" s="137"/>
      <c r="AM155" s="137"/>
    </row>
    <row r="156" spans="1:39" ht="11.25" customHeight="1">
      <c r="A156" s="55"/>
      <c r="B156" s="56"/>
      <c r="C156" s="57"/>
      <c r="D156" s="58"/>
      <c r="E156" s="59"/>
      <c r="F156" s="58"/>
      <c r="G156" s="59"/>
      <c r="H156" s="58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136"/>
      <c r="AB156" s="136"/>
      <c r="AC156" s="136"/>
      <c r="AD156" s="136"/>
      <c r="AE156" s="136"/>
      <c r="AF156" s="137"/>
      <c r="AG156" s="137"/>
      <c r="AH156" s="137"/>
      <c r="AI156" s="137"/>
      <c r="AJ156" s="137"/>
      <c r="AK156" s="137"/>
      <c r="AL156" s="137"/>
      <c r="AM156" s="137"/>
    </row>
    <row r="157" spans="1:39" ht="11.25" customHeight="1">
      <c r="A157" s="55"/>
      <c r="B157" s="56"/>
      <c r="C157" s="57"/>
      <c r="D157" s="58"/>
      <c r="E157" s="59"/>
      <c r="F157" s="58"/>
      <c r="G157" s="59"/>
      <c r="H157" s="58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136"/>
      <c r="AB157" s="136"/>
      <c r="AC157" s="136"/>
      <c r="AD157" s="136"/>
      <c r="AE157" s="136"/>
      <c r="AF157" s="137"/>
      <c r="AG157" s="137"/>
      <c r="AH157" s="137"/>
      <c r="AI157" s="137"/>
      <c r="AJ157" s="137"/>
      <c r="AK157" s="137"/>
      <c r="AL157" s="137"/>
      <c r="AM157" s="137"/>
    </row>
    <row r="158" spans="1:39" ht="11.25" customHeight="1">
      <c r="A158" s="55"/>
      <c r="B158" s="56"/>
      <c r="C158" s="57"/>
      <c r="D158" s="58"/>
      <c r="E158" s="59"/>
      <c r="F158" s="58"/>
      <c r="G158" s="59"/>
      <c r="H158" s="58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136"/>
      <c r="AB158" s="136"/>
      <c r="AC158" s="136"/>
      <c r="AD158" s="136"/>
      <c r="AE158" s="136"/>
      <c r="AF158" s="137"/>
      <c r="AG158" s="137"/>
      <c r="AH158" s="137"/>
      <c r="AI158" s="137"/>
      <c r="AJ158" s="137"/>
      <c r="AK158" s="137"/>
      <c r="AL158" s="137"/>
      <c r="AM158" s="137"/>
    </row>
    <row r="159" spans="1:39" ht="11.25" customHeight="1">
      <c r="A159" s="55"/>
      <c r="B159" s="56"/>
      <c r="C159" s="57"/>
      <c r="D159" s="58"/>
      <c r="E159" s="59"/>
      <c r="F159" s="58"/>
      <c r="G159" s="59"/>
      <c r="H159" s="58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136"/>
      <c r="AB159" s="136"/>
      <c r="AC159" s="136"/>
      <c r="AD159" s="136"/>
      <c r="AE159" s="136"/>
      <c r="AF159" s="137"/>
      <c r="AG159" s="137"/>
      <c r="AH159" s="137"/>
      <c r="AI159" s="137"/>
      <c r="AJ159" s="137"/>
      <c r="AK159" s="137"/>
      <c r="AL159" s="137"/>
      <c r="AM159" s="137"/>
    </row>
    <row r="160" spans="1:39" ht="11.25" customHeight="1">
      <c r="A160" s="55"/>
      <c r="B160" s="56"/>
      <c r="C160" s="57"/>
      <c r="D160" s="58"/>
      <c r="E160" s="59"/>
      <c r="F160" s="58"/>
      <c r="G160" s="59"/>
      <c r="H160" s="58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136"/>
      <c r="AB160" s="136"/>
      <c r="AC160" s="136"/>
      <c r="AD160" s="136"/>
      <c r="AE160" s="136"/>
      <c r="AF160" s="137"/>
      <c r="AG160" s="137"/>
      <c r="AH160" s="137"/>
      <c r="AI160" s="137"/>
      <c r="AJ160" s="137"/>
      <c r="AK160" s="137"/>
      <c r="AL160" s="137"/>
      <c r="AM160" s="137"/>
    </row>
    <row r="161" spans="1:39" ht="11.25" customHeight="1">
      <c r="A161" s="55"/>
      <c r="B161" s="56"/>
      <c r="C161" s="57"/>
      <c r="D161" s="58"/>
      <c r="E161" s="59"/>
      <c r="F161" s="58"/>
      <c r="G161" s="59"/>
      <c r="H161" s="58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136"/>
      <c r="AB161" s="136"/>
      <c r="AC161" s="136"/>
      <c r="AD161" s="136"/>
      <c r="AE161" s="136"/>
      <c r="AF161" s="137"/>
      <c r="AG161" s="137"/>
      <c r="AH161" s="137"/>
      <c r="AI161" s="137"/>
      <c r="AJ161" s="137"/>
      <c r="AK161" s="137"/>
      <c r="AL161" s="137"/>
      <c r="AM161" s="137"/>
    </row>
    <row r="162" spans="1:39" ht="11.25" customHeight="1">
      <c r="A162" s="55"/>
      <c r="B162" s="56"/>
      <c r="C162" s="57"/>
      <c r="D162" s="58"/>
      <c r="E162" s="59"/>
      <c r="F162" s="58"/>
      <c r="G162" s="59"/>
      <c r="H162" s="58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136"/>
      <c r="AB162" s="136"/>
      <c r="AC162" s="136"/>
      <c r="AD162" s="136"/>
      <c r="AE162" s="136"/>
      <c r="AF162" s="137"/>
      <c r="AG162" s="137"/>
      <c r="AH162" s="137"/>
      <c r="AI162" s="137"/>
      <c r="AJ162" s="137"/>
      <c r="AK162" s="137"/>
      <c r="AL162" s="137"/>
      <c r="AM162" s="137"/>
    </row>
    <row r="163" spans="1:39" ht="11.25" customHeight="1">
      <c r="A163" s="55"/>
      <c r="B163" s="56"/>
      <c r="C163" s="57"/>
      <c r="D163" s="58"/>
      <c r="E163" s="59"/>
      <c r="F163" s="58"/>
      <c r="G163" s="59"/>
      <c r="H163" s="58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136"/>
      <c r="AB163" s="136"/>
      <c r="AC163" s="136"/>
      <c r="AD163" s="136"/>
      <c r="AE163" s="136"/>
      <c r="AF163" s="137"/>
      <c r="AG163" s="137"/>
      <c r="AH163" s="137"/>
      <c r="AI163" s="137"/>
      <c r="AJ163" s="137"/>
      <c r="AK163" s="137"/>
      <c r="AL163" s="137"/>
      <c r="AM163" s="137"/>
    </row>
    <row r="164" spans="1:39" ht="11.25" customHeight="1">
      <c r="A164" s="55"/>
      <c r="B164" s="56"/>
      <c r="C164" s="57"/>
      <c r="D164" s="58"/>
      <c r="E164" s="59"/>
      <c r="F164" s="58"/>
      <c r="G164" s="59"/>
      <c r="H164" s="58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136"/>
      <c r="AB164" s="136"/>
      <c r="AC164" s="136"/>
      <c r="AD164" s="136"/>
      <c r="AE164" s="136"/>
      <c r="AF164" s="137"/>
      <c r="AG164" s="137"/>
      <c r="AH164" s="137"/>
      <c r="AI164" s="137"/>
      <c r="AJ164" s="137"/>
      <c r="AK164" s="137"/>
      <c r="AL164" s="137"/>
      <c r="AM164" s="137"/>
    </row>
    <row r="165" spans="1:39" ht="11.25" customHeight="1">
      <c r="A165" s="55"/>
      <c r="B165" s="56"/>
      <c r="C165" s="57"/>
      <c r="D165" s="58"/>
      <c r="E165" s="59"/>
      <c r="F165" s="58"/>
      <c r="G165" s="59"/>
      <c r="H165" s="58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136"/>
      <c r="AB165" s="136"/>
      <c r="AC165" s="136"/>
      <c r="AD165" s="136"/>
      <c r="AE165" s="136"/>
      <c r="AF165" s="137"/>
      <c r="AG165" s="137"/>
      <c r="AH165" s="137"/>
      <c r="AI165" s="137"/>
      <c r="AJ165" s="137"/>
      <c r="AK165" s="137"/>
      <c r="AL165" s="137"/>
      <c r="AM165" s="137"/>
    </row>
    <row r="166" spans="1:39" ht="11.25" customHeight="1">
      <c r="A166" s="55"/>
      <c r="B166" s="56"/>
      <c r="C166" s="57"/>
      <c r="D166" s="58"/>
      <c r="E166" s="59"/>
      <c r="F166" s="58"/>
      <c r="G166" s="59"/>
      <c r="H166" s="58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136"/>
      <c r="AB166" s="136"/>
      <c r="AC166" s="136"/>
      <c r="AD166" s="136"/>
      <c r="AE166" s="136"/>
      <c r="AF166" s="137"/>
      <c r="AG166" s="137"/>
      <c r="AH166" s="137"/>
      <c r="AI166" s="137"/>
      <c r="AJ166" s="137"/>
      <c r="AK166" s="137"/>
      <c r="AL166" s="137"/>
      <c r="AM166" s="137"/>
    </row>
    <row r="167" spans="1:39" ht="11.25" customHeight="1">
      <c r="A167" s="55"/>
      <c r="B167" s="56"/>
      <c r="C167" s="57"/>
      <c r="D167" s="58"/>
      <c r="E167" s="59"/>
      <c r="F167" s="58"/>
      <c r="G167" s="59"/>
      <c r="H167" s="58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136"/>
      <c r="AB167" s="136"/>
      <c r="AC167" s="136"/>
      <c r="AD167" s="136"/>
      <c r="AE167" s="136"/>
      <c r="AF167" s="137"/>
      <c r="AG167" s="137"/>
      <c r="AH167" s="137"/>
      <c r="AI167" s="137"/>
      <c r="AJ167" s="137"/>
      <c r="AK167" s="137"/>
      <c r="AL167" s="137"/>
      <c r="AM167" s="137"/>
    </row>
    <row r="168" spans="1:39" ht="11.25" customHeight="1">
      <c r="A168" s="55"/>
      <c r="B168" s="56"/>
      <c r="C168" s="57"/>
      <c r="D168" s="58"/>
      <c r="E168" s="59"/>
      <c r="F168" s="58"/>
      <c r="G168" s="59"/>
      <c r="H168" s="58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136"/>
      <c r="AB168" s="136"/>
      <c r="AC168" s="136"/>
      <c r="AD168" s="136"/>
      <c r="AE168" s="136"/>
      <c r="AF168" s="137"/>
      <c r="AG168" s="137"/>
      <c r="AH168" s="137"/>
      <c r="AI168" s="137"/>
      <c r="AJ168" s="137"/>
      <c r="AK168" s="137"/>
      <c r="AL168" s="137"/>
      <c r="AM168" s="137"/>
    </row>
    <row r="169" spans="1:39" ht="11.25" customHeight="1">
      <c r="A169" s="55"/>
      <c r="B169" s="56"/>
      <c r="C169" s="57"/>
      <c r="D169" s="58"/>
      <c r="E169" s="59"/>
      <c r="F169" s="58"/>
      <c r="G169" s="59"/>
      <c r="H169" s="58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136"/>
      <c r="AB169" s="136"/>
      <c r="AC169" s="136"/>
      <c r="AD169" s="136"/>
      <c r="AE169" s="136"/>
      <c r="AF169" s="137"/>
      <c r="AG169" s="137"/>
      <c r="AH169" s="137"/>
      <c r="AI169" s="137"/>
      <c r="AJ169" s="137"/>
      <c r="AK169" s="137"/>
      <c r="AL169" s="137"/>
      <c r="AM169" s="137"/>
    </row>
    <row r="170" spans="1:39" ht="11.25" customHeight="1">
      <c r="A170" s="55"/>
      <c r="B170" s="56"/>
      <c r="C170" s="57"/>
      <c r="D170" s="58"/>
      <c r="E170" s="59"/>
      <c r="F170" s="58"/>
      <c r="G170" s="59"/>
      <c r="H170" s="58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136"/>
      <c r="AB170" s="136"/>
      <c r="AC170" s="136"/>
      <c r="AD170" s="136"/>
      <c r="AE170" s="136"/>
      <c r="AF170" s="137"/>
      <c r="AG170" s="137"/>
      <c r="AH170" s="137"/>
      <c r="AI170" s="137"/>
      <c r="AJ170" s="137"/>
      <c r="AK170" s="137"/>
      <c r="AL170" s="137"/>
      <c r="AM170" s="137"/>
    </row>
    <row r="171" spans="1:39" ht="11.25" customHeight="1">
      <c r="A171" s="55"/>
      <c r="B171" s="56"/>
      <c r="C171" s="57"/>
      <c r="D171" s="58"/>
      <c r="E171" s="59"/>
      <c r="F171" s="58"/>
      <c r="G171" s="59"/>
      <c r="H171" s="58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136"/>
      <c r="AB171" s="136"/>
      <c r="AC171" s="136"/>
      <c r="AD171" s="136"/>
      <c r="AE171" s="136"/>
      <c r="AF171" s="137"/>
      <c r="AG171" s="137"/>
      <c r="AH171" s="137"/>
      <c r="AI171" s="137"/>
      <c r="AJ171" s="137"/>
      <c r="AK171" s="137"/>
      <c r="AL171" s="137"/>
      <c r="AM171" s="137"/>
    </row>
    <row r="172" spans="1:39" ht="11.25" customHeight="1">
      <c r="A172" s="55"/>
      <c r="B172" s="56"/>
      <c r="C172" s="57"/>
      <c r="D172" s="58"/>
      <c r="E172" s="59"/>
      <c r="F172" s="58"/>
      <c r="G172" s="59"/>
      <c r="H172" s="58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136"/>
      <c r="AB172" s="136"/>
      <c r="AC172" s="136"/>
      <c r="AD172" s="136"/>
      <c r="AE172" s="136"/>
      <c r="AF172" s="137"/>
      <c r="AG172" s="137"/>
      <c r="AH172" s="137"/>
      <c r="AI172" s="137"/>
      <c r="AJ172" s="137"/>
      <c r="AK172" s="137"/>
      <c r="AL172" s="137"/>
      <c r="AM172" s="137"/>
    </row>
    <row r="173" spans="1:39" ht="11.25" customHeight="1">
      <c r="A173" s="55"/>
      <c r="B173" s="56"/>
      <c r="C173" s="57"/>
      <c r="D173" s="58"/>
      <c r="E173" s="59"/>
      <c r="F173" s="58"/>
      <c r="G173" s="59"/>
      <c r="H173" s="58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136"/>
      <c r="AB173" s="136"/>
      <c r="AC173" s="136"/>
      <c r="AD173" s="136"/>
      <c r="AE173" s="136"/>
      <c r="AF173" s="137"/>
      <c r="AG173" s="137"/>
      <c r="AH173" s="137"/>
      <c r="AI173" s="137"/>
      <c r="AJ173" s="137"/>
      <c r="AK173" s="137"/>
      <c r="AL173" s="137"/>
      <c r="AM173" s="137"/>
    </row>
    <row r="174" spans="1:39" ht="11.25" customHeight="1">
      <c r="A174" s="55"/>
      <c r="B174" s="56"/>
      <c r="C174" s="57"/>
      <c r="D174" s="58"/>
      <c r="E174" s="59"/>
      <c r="F174" s="58"/>
      <c r="G174" s="59"/>
      <c r="H174" s="58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136"/>
      <c r="AB174" s="136"/>
      <c r="AC174" s="136"/>
      <c r="AD174" s="136"/>
      <c r="AE174" s="136"/>
      <c r="AF174" s="137"/>
      <c r="AG174" s="137"/>
      <c r="AH174" s="137"/>
      <c r="AI174" s="137"/>
      <c r="AJ174" s="137"/>
      <c r="AK174" s="137"/>
      <c r="AL174" s="137"/>
      <c r="AM174" s="137"/>
    </row>
    <row r="175" spans="1:39" ht="11.25" customHeight="1">
      <c r="A175" s="55"/>
      <c r="B175" s="56"/>
      <c r="C175" s="57"/>
      <c r="D175" s="58"/>
      <c r="E175" s="59"/>
      <c r="F175" s="58"/>
      <c r="G175" s="59"/>
      <c r="H175" s="58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136"/>
      <c r="AB175" s="136"/>
      <c r="AC175" s="136"/>
      <c r="AD175" s="136"/>
      <c r="AE175" s="136"/>
      <c r="AF175" s="137"/>
      <c r="AG175" s="137"/>
      <c r="AH175" s="137"/>
      <c r="AI175" s="137"/>
      <c r="AJ175" s="137"/>
      <c r="AK175" s="137"/>
      <c r="AL175" s="137"/>
      <c r="AM175" s="137"/>
    </row>
    <row r="176" spans="1:39" ht="11.25" customHeight="1">
      <c r="A176" s="55"/>
      <c r="B176" s="56"/>
      <c r="C176" s="57"/>
      <c r="D176" s="58"/>
      <c r="E176" s="59"/>
      <c r="F176" s="58"/>
      <c r="G176" s="59"/>
      <c r="H176" s="58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136"/>
      <c r="AB176" s="136"/>
      <c r="AC176" s="136"/>
      <c r="AD176" s="136"/>
      <c r="AE176" s="136"/>
      <c r="AF176" s="137"/>
      <c r="AG176" s="137"/>
      <c r="AH176" s="137"/>
      <c r="AI176" s="137"/>
      <c r="AJ176" s="137"/>
      <c r="AK176" s="137"/>
      <c r="AL176" s="137"/>
      <c r="AM176" s="137"/>
    </row>
    <row r="177" spans="1:39" ht="11.25" customHeight="1">
      <c r="A177" s="55"/>
      <c r="B177" s="56"/>
      <c r="C177" s="57"/>
      <c r="D177" s="58"/>
      <c r="E177" s="59"/>
      <c r="F177" s="58"/>
      <c r="G177" s="59"/>
      <c r="H177" s="58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136"/>
      <c r="AB177" s="136"/>
      <c r="AC177" s="136"/>
      <c r="AD177" s="136"/>
      <c r="AE177" s="136"/>
      <c r="AF177" s="137"/>
      <c r="AG177" s="137"/>
      <c r="AH177" s="137"/>
      <c r="AI177" s="137"/>
      <c r="AJ177" s="137"/>
      <c r="AK177" s="137"/>
      <c r="AL177" s="137"/>
      <c r="AM177" s="137"/>
    </row>
    <row r="178" spans="1:39" ht="11.25" customHeight="1">
      <c r="A178" s="55"/>
      <c r="B178" s="56"/>
      <c r="C178" s="57"/>
      <c r="D178" s="58"/>
      <c r="E178" s="59"/>
      <c r="F178" s="58"/>
      <c r="G178" s="59"/>
      <c r="H178" s="58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136"/>
      <c r="AB178" s="136"/>
      <c r="AC178" s="136"/>
      <c r="AD178" s="136"/>
      <c r="AE178" s="136"/>
      <c r="AF178" s="137"/>
      <c r="AG178" s="137"/>
      <c r="AH178" s="137"/>
      <c r="AI178" s="137"/>
      <c r="AJ178" s="137"/>
      <c r="AK178" s="137"/>
      <c r="AL178" s="137"/>
      <c r="AM178" s="137"/>
    </row>
    <row r="179" spans="1:39" ht="11.25" customHeight="1">
      <c r="A179" s="55"/>
      <c r="B179" s="56"/>
      <c r="C179" s="57"/>
      <c r="D179" s="58"/>
      <c r="E179" s="59"/>
      <c r="F179" s="58"/>
      <c r="G179" s="59"/>
      <c r="H179" s="58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136"/>
      <c r="AB179" s="136"/>
      <c r="AC179" s="136"/>
      <c r="AD179" s="136"/>
      <c r="AE179" s="136"/>
      <c r="AF179" s="137"/>
      <c r="AG179" s="137"/>
      <c r="AH179" s="137"/>
      <c r="AI179" s="137"/>
      <c r="AJ179" s="137"/>
      <c r="AK179" s="137"/>
      <c r="AL179" s="137"/>
      <c r="AM179" s="137"/>
    </row>
    <row r="180" spans="1:39" ht="11.25" customHeight="1">
      <c r="A180" s="55"/>
      <c r="B180" s="56"/>
      <c r="C180" s="57"/>
      <c r="D180" s="58"/>
      <c r="E180" s="59"/>
      <c r="F180" s="58"/>
      <c r="G180" s="59"/>
      <c r="H180" s="58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136"/>
      <c r="AB180" s="136"/>
      <c r="AC180" s="136"/>
      <c r="AD180" s="136"/>
      <c r="AE180" s="136"/>
      <c r="AF180" s="137"/>
      <c r="AG180" s="137"/>
      <c r="AH180" s="137"/>
      <c r="AI180" s="137"/>
      <c r="AJ180" s="137"/>
      <c r="AK180" s="137"/>
      <c r="AL180" s="137"/>
      <c r="AM180" s="137"/>
    </row>
    <row r="181" spans="1:39" ht="11.25" customHeight="1">
      <c r="A181" s="55"/>
      <c r="B181" s="56"/>
      <c r="C181" s="57"/>
      <c r="D181" s="58"/>
      <c r="E181" s="59"/>
      <c r="F181" s="58"/>
      <c r="G181" s="59"/>
      <c r="H181" s="58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136"/>
      <c r="AB181" s="136"/>
      <c r="AC181" s="136"/>
      <c r="AD181" s="136"/>
      <c r="AE181" s="136"/>
      <c r="AF181" s="137"/>
      <c r="AG181" s="137"/>
      <c r="AH181" s="137"/>
      <c r="AI181" s="137"/>
      <c r="AJ181" s="137"/>
      <c r="AK181" s="137"/>
      <c r="AL181" s="137"/>
      <c r="AM181" s="137"/>
    </row>
    <row r="182" spans="1:39" ht="11.25" customHeight="1">
      <c r="A182" s="55"/>
      <c r="B182" s="56"/>
      <c r="C182" s="57"/>
      <c r="D182" s="58"/>
      <c r="E182" s="59"/>
      <c r="F182" s="58"/>
      <c r="G182" s="59"/>
      <c r="H182" s="58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136"/>
      <c r="AB182" s="136"/>
      <c r="AC182" s="136"/>
      <c r="AD182" s="136"/>
      <c r="AE182" s="136"/>
      <c r="AF182" s="137"/>
      <c r="AG182" s="137"/>
      <c r="AH182" s="137"/>
      <c r="AI182" s="137"/>
      <c r="AJ182" s="137"/>
      <c r="AK182" s="137"/>
      <c r="AL182" s="137"/>
      <c r="AM182" s="137"/>
    </row>
    <row r="183" spans="1:39" ht="11.25" customHeight="1">
      <c r="A183" s="55"/>
      <c r="B183" s="56"/>
      <c r="C183" s="57"/>
      <c r="D183" s="58"/>
      <c r="E183" s="59"/>
      <c r="F183" s="58"/>
      <c r="G183" s="59"/>
      <c r="H183" s="58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136"/>
      <c r="AB183" s="136"/>
      <c r="AC183" s="136"/>
      <c r="AD183" s="136"/>
      <c r="AE183" s="136"/>
      <c r="AF183" s="137"/>
      <c r="AG183" s="137"/>
      <c r="AH183" s="137"/>
      <c r="AI183" s="137"/>
      <c r="AJ183" s="137"/>
      <c r="AK183" s="137"/>
      <c r="AL183" s="137"/>
      <c r="AM183" s="137"/>
    </row>
    <row r="184" spans="1:39" ht="11.25" customHeight="1">
      <c r="A184" s="55"/>
      <c r="B184" s="56"/>
      <c r="C184" s="57"/>
      <c r="D184" s="58"/>
      <c r="E184" s="59"/>
      <c r="F184" s="58"/>
      <c r="G184" s="59"/>
      <c r="H184" s="58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136"/>
      <c r="AB184" s="136"/>
      <c r="AC184" s="136"/>
      <c r="AD184" s="136"/>
      <c r="AE184" s="136"/>
      <c r="AF184" s="137"/>
      <c r="AG184" s="137"/>
      <c r="AH184" s="137"/>
      <c r="AI184" s="137"/>
      <c r="AJ184" s="137"/>
      <c r="AK184" s="137"/>
      <c r="AL184" s="137"/>
      <c r="AM184" s="137"/>
    </row>
    <row r="185" spans="1:39" ht="11.25" customHeight="1">
      <c r="A185" s="55"/>
      <c r="B185" s="56"/>
      <c r="C185" s="57"/>
      <c r="D185" s="58"/>
      <c r="E185" s="59"/>
      <c r="F185" s="58"/>
      <c r="G185" s="59"/>
      <c r="H185" s="58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136"/>
      <c r="AB185" s="136"/>
      <c r="AC185" s="136"/>
      <c r="AD185" s="136"/>
      <c r="AE185" s="136"/>
      <c r="AF185" s="137"/>
      <c r="AG185" s="137"/>
      <c r="AH185" s="137"/>
      <c r="AI185" s="137"/>
      <c r="AJ185" s="137"/>
      <c r="AK185" s="137"/>
      <c r="AL185" s="137"/>
      <c r="AM185" s="137"/>
    </row>
    <row r="186" spans="1:39" ht="11.25" customHeight="1">
      <c r="A186" s="55"/>
      <c r="B186" s="56"/>
      <c r="C186" s="57"/>
      <c r="D186" s="58"/>
      <c r="E186" s="59"/>
      <c r="F186" s="58"/>
      <c r="G186" s="59"/>
      <c r="H186" s="58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136"/>
      <c r="AB186" s="136"/>
      <c r="AC186" s="136"/>
      <c r="AD186" s="136"/>
      <c r="AE186" s="136"/>
      <c r="AF186" s="137"/>
      <c r="AG186" s="137"/>
      <c r="AH186" s="137"/>
      <c r="AI186" s="137"/>
      <c r="AJ186" s="137"/>
      <c r="AK186" s="137"/>
      <c r="AL186" s="137"/>
      <c r="AM186" s="137"/>
    </row>
    <row r="187" spans="1:39" ht="11.25" customHeight="1">
      <c r="A187" s="55"/>
      <c r="B187" s="56"/>
      <c r="C187" s="57"/>
      <c r="D187" s="58"/>
      <c r="E187" s="59"/>
      <c r="F187" s="58"/>
      <c r="G187" s="59"/>
      <c r="H187" s="58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136"/>
      <c r="AB187" s="136"/>
      <c r="AC187" s="136"/>
      <c r="AD187" s="136"/>
      <c r="AE187" s="136"/>
      <c r="AF187" s="137"/>
      <c r="AG187" s="137"/>
      <c r="AH187" s="137"/>
      <c r="AI187" s="137"/>
      <c r="AJ187" s="137"/>
      <c r="AK187" s="137"/>
      <c r="AL187" s="137"/>
      <c r="AM187" s="137"/>
    </row>
    <row r="188" spans="1:39" ht="11.25" customHeight="1">
      <c r="A188" s="55"/>
      <c r="B188" s="56"/>
      <c r="C188" s="57"/>
      <c r="D188" s="58"/>
      <c r="E188" s="59"/>
      <c r="F188" s="58"/>
      <c r="G188" s="59"/>
      <c r="H188" s="58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136"/>
      <c r="AB188" s="136"/>
      <c r="AC188" s="136"/>
      <c r="AD188" s="136"/>
      <c r="AE188" s="136"/>
      <c r="AF188" s="137"/>
      <c r="AG188" s="137"/>
      <c r="AH188" s="137"/>
      <c r="AI188" s="137"/>
      <c r="AJ188" s="137"/>
      <c r="AK188" s="137"/>
      <c r="AL188" s="137"/>
      <c r="AM188" s="137"/>
    </row>
    <row r="189" spans="1:39" ht="11.25" customHeight="1">
      <c r="A189" s="55"/>
      <c r="B189" s="56"/>
      <c r="C189" s="57"/>
      <c r="D189" s="58"/>
      <c r="E189" s="59"/>
      <c r="F189" s="58"/>
      <c r="G189" s="59"/>
      <c r="H189" s="58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136"/>
      <c r="AB189" s="136"/>
      <c r="AC189" s="136"/>
      <c r="AD189" s="136"/>
      <c r="AE189" s="136"/>
      <c r="AF189" s="137"/>
      <c r="AG189" s="137"/>
      <c r="AH189" s="137"/>
      <c r="AI189" s="137"/>
      <c r="AJ189" s="137"/>
      <c r="AK189" s="137"/>
      <c r="AL189" s="137"/>
      <c r="AM189" s="137"/>
    </row>
    <row r="190" spans="1:39" ht="11.25" customHeight="1">
      <c r="A190" s="55"/>
      <c r="B190" s="56"/>
      <c r="C190" s="57"/>
      <c r="D190" s="58"/>
      <c r="E190" s="59"/>
      <c r="F190" s="58"/>
      <c r="G190" s="59"/>
      <c r="H190" s="58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136"/>
      <c r="AB190" s="136"/>
      <c r="AC190" s="136"/>
      <c r="AD190" s="136"/>
      <c r="AE190" s="136"/>
      <c r="AF190" s="137"/>
      <c r="AG190" s="137"/>
      <c r="AH190" s="137"/>
      <c r="AI190" s="137"/>
      <c r="AJ190" s="137"/>
      <c r="AK190" s="137"/>
      <c r="AL190" s="137"/>
      <c r="AM190" s="137"/>
    </row>
    <row r="191" spans="1:39" ht="11.25" customHeight="1">
      <c r="A191" s="55"/>
      <c r="B191" s="56"/>
      <c r="C191" s="57"/>
      <c r="D191" s="58"/>
      <c r="E191" s="59"/>
      <c r="F191" s="58"/>
      <c r="G191" s="59"/>
      <c r="H191" s="58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136"/>
      <c r="AB191" s="136"/>
      <c r="AC191" s="136"/>
      <c r="AD191" s="136"/>
      <c r="AE191" s="136"/>
      <c r="AF191" s="137"/>
      <c r="AG191" s="137"/>
      <c r="AH191" s="137"/>
      <c r="AI191" s="137"/>
      <c r="AJ191" s="137"/>
      <c r="AK191" s="137"/>
      <c r="AL191" s="137"/>
      <c r="AM191" s="137"/>
    </row>
    <row r="192" spans="1:39" ht="11.25" customHeight="1">
      <c r="A192" s="55"/>
      <c r="B192" s="56"/>
      <c r="C192" s="57"/>
      <c r="D192" s="58"/>
      <c r="E192" s="59"/>
      <c r="F192" s="58"/>
      <c r="G192" s="59"/>
      <c r="H192" s="58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136"/>
      <c r="AB192" s="136"/>
      <c r="AC192" s="136"/>
      <c r="AD192" s="136"/>
      <c r="AE192" s="136"/>
      <c r="AF192" s="137"/>
      <c r="AG192" s="137"/>
      <c r="AH192" s="137"/>
      <c r="AI192" s="137"/>
      <c r="AJ192" s="137"/>
      <c r="AK192" s="137"/>
      <c r="AL192" s="137"/>
      <c r="AM192" s="137"/>
    </row>
    <row r="193" spans="1:39" ht="11.25" customHeight="1">
      <c r="A193" s="55"/>
      <c r="B193" s="56"/>
      <c r="C193" s="57"/>
      <c r="D193" s="58"/>
      <c r="E193" s="59"/>
      <c r="F193" s="58"/>
      <c r="G193" s="59"/>
      <c r="H193" s="58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136"/>
      <c r="AB193" s="136"/>
      <c r="AC193" s="136"/>
      <c r="AD193" s="136"/>
      <c r="AE193" s="136"/>
      <c r="AF193" s="137"/>
      <c r="AG193" s="137"/>
      <c r="AH193" s="137"/>
      <c r="AI193" s="137"/>
      <c r="AJ193" s="137"/>
      <c r="AK193" s="137"/>
      <c r="AL193" s="137"/>
      <c r="AM193" s="137"/>
    </row>
    <row r="194" spans="1:39" ht="11.25" customHeight="1">
      <c r="A194" s="55"/>
      <c r="B194" s="56"/>
      <c r="C194" s="57"/>
      <c r="D194" s="58"/>
      <c r="E194" s="59"/>
      <c r="F194" s="58"/>
      <c r="G194" s="59"/>
      <c r="H194" s="58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136"/>
      <c r="AB194" s="136"/>
      <c r="AC194" s="136"/>
      <c r="AD194" s="136"/>
      <c r="AE194" s="136"/>
      <c r="AF194" s="137"/>
      <c r="AG194" s="137"/>
      <c r="AH194" s="137"/>
      <c r="AI194" s="137"/>
      <c r="AJ194" s="137"/>
      <c r="AK194" s="137"/>
      <c r="AL194" s="137"/>
      <c r="AM194" s="137"/>
    </row>
    <row r="195" spans="1:39" ht="11.25" customHeight="1">
      <c r="A195" s="55"/>
      <c r="B195" s="56"/>
      <c r="C195" s="57"/>
      <c r="D195" s="58"/>
      <c r="E195" s="59"/>
      <c r="F195" s="58"/>
      <c r="G195" s="59"/>
      <c r="H195" s="58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136"/>
      <c r="AB195" s="136"/>
      <c r="AC195" s="136"/>
      <c r="AD195" s="136"/>
      <c r="AE195" s="136"/>
      <c r="AF195" s="137"/>
      <c r="AG195" s="137"/>
      <c r="AH195" s="137"/>
      <c r="AI195" s="137"/>
      <c r="AJ195" s="137"/>
      <c r="AK195" s="137"/>
      <c r="AL195" s="137"/>
      <c r="AM195" s="137"/>
    </row>
    <row r="196" spans="1:39" ht="11.25" customHeight="1">
      <c r="A196" s="55"/>
      <c r="B196" s="56"/>
      <c r="C196" s="57"/>
      <c r="D196" s="58"/>
      <c r="E196" s="59"/>
      <c r="F196" s="58"/>
      <c r="G196" s="59"/>
      <c r="H196" s="58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136"/>
      <c r="AB196" s="136"/>
      <c r="AC196" s="136"/>
      <c r="AD196" s="136"/>
      <c r="AE196" s="136"/>
      <c r="AF196" s="137"/>
      <c r="AG196" s="137"/>
      <c r="AH196" s="137"/>
      <c r="AI196" s="137"/>
      <c r="AJ196" s="137"/>
      <c r="AK196" s="137"/>
      <c r="AL196" s="137"/>
      <c r="AM196" s="137"/>
    </row>
    <row r="197" spans="1:39" ht="11.25" customHeight="1">
      <c r="A197" s="55"/>
      <c r="B197" s="56"/>
      <c r="C197" s="57"/>
      <c r="D197" s="58"/>
      <c r="E197" s="59"/>
      <c r="F197" s="58"/>
      <c r="G197" s="59"/>
      <c r="H197" s="58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136"/>
      <c r="AB197" s="136"/>
      <c r="AC197" s="136"/>
      <c r="AD197" s="136"/>
      <c r="AE197" s="136"/>
      <c r="AF197" s="137"/>
      <c r="AG197" s="137"/>
      <c r="AH197" s="137"/>
      <c r="AI197" s="137"/>
      <c r="AJ197" s="137"/>
      <c r="AK197" s="137"/>
      <c r="AL197" s="137"/>
      <c r="AM197" s="137"/>
    </row>
    <row r="198" spans="1:39" ht="11.25" customHeight="1">
      <c r="A198" s="55"/>
      <c r="B198" s="56"/>
      <c r="C198" s="57"/>
      <c r="D198" s="58"/>
      <c r="E198" s="59"/>
      <c r="F198" s="58"/>
      <c r="G198" s="59"/>
      <c r="H198" s="58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136"/>
      <c r="AB198" s="136"/>
      <c r="AC198" s="136"/>
      <c r="AD198" s="136"/>
      <c r="AE198" s="136"/>
      <c r="AF198" s="137"/>
      <c r="AG198" s="137"/>
      <c r="AH198" s="137"/>
      <c r="AI198" s="137"/>
      <c r="AJ198" s="137"/>
      <c r="AK198" s="137"/>
      <c r="AL198" s="137"/>
      <c r="AM198" s="137"/>
    </row>
    <row r="199" spans="1:39" ht="11.25" customHeight="1">
      <c r="A199" s="55"/>
      <c r="B199" s="56"/>
      <c r="C199" s="57"/>
      <c r="D199" s="58"/>
      <c r="E199" s="59"/>
      <c r="F199" s="58"/>
      <c r="G199" s="59"/>
      <c r="H199" s="58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136"/>
      <c r="AB199" s="136"/>
      <c r="AC199" s="136"/>
      <c r="AD199" s="136"/>
      <c r="AE199" s="136"/>
      <c r="AF199" s="137"/>
      <c r="AG199" s="137"/>
      <c r="AH199" s="137"/>
      <c r="AI199" s="137"/>
      <c r="AJ199" s="137"/>
      <c r="AK199" s="137"/>
      <c r="AL199" s="137"/>
      <c r="AM199" s="137"/>
    </row>
    <row r="200" spans="1:39" ht="11.25" customHeight="1">
      <c r="A200" s="55"/>
      <c r="B200" s="56"/>
      <c r="C200" s="57"/>
      <c r="D200" s="58"/>
      <c r="E200" s="59"/>
      <c r="F200" s="58"/>
      <c r="G200" s="59"/>
      <c r="H200" s="58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136"/>
      <c r="AB200" s="136"/>
      <c r="AC200" s="136"/>
      <c r="AD200" s="136"/>
      <c r="AE200" s="136"/>
      <c r="AF200" s="137"/>
      <c r="AG200" s="137"/>
      <c r="AH200" s="137"/>
      <c r="AI200" s="137"/>
      <c r="AJ200" s="137"/>
      <c r="AK200" s="137"/>
      <c r="AL200" s="137"/>
      <c r="AM200" s="137"/>
    </row>
    <row r="201" spans="1:39" ht="11.25" customHeight="1">
      <c r="A201" s="55"/>
      <c r="B201" s="56"/>
      <c r="C201" s="57"/>
      <c r="D201" s="58"/>
      <c r="E201" s="59"/>
      <c r="F201" s="58"/>
      <c r="G201" s="59"/>
      <c r="H201" s="58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136"/>
      <c r="AB201" s="136"/>
      <c r="AC201" s="136"/>
      <c r="AD201" s="136"/>
      <c r="AE201" s="136"/>
      <c r="AF201" s="137"/>
      <c r="AG201" s="137"/>
      <c r="AH201" s="137"/>
      <c r="AI201" s="137"/>
      <c r="AJ201" s="137"/>
      <c r="AK201" s="137"/>
      <c r="AL201" s="137"/>
      <c r="AM201" s="137"/>
    </row>
    <row r="202" spans="1:39" ht="11.25" customHeight="1">
      <c r="A202" s="55"/>
      <c r="B202" s="56"/>
      <c r="C202" s="57"/>
      <c r="D202" s="58"/>
      <c r="E202" s="59"/>
      <c r="F202" s="58"/>
      <c r="G202" s="59"/>
      <c r="H202" s="58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136"/>
      <c r="AB202" s="136"/>
      <c r="AC202" s="136"/>
      <c r="AD202" s="136"/>
      <c r="AE202" s="136"/>
      <c r="AF202" s="137"/>
      <c r="AG202" s="137"/>
      <c r="AH202" s="137"/>
      <c r="AI202" s="137"/>
      <c r="AJ202" s="137"/>
      <c r="AK202" s="137"/>
      <c r="AL202" s="137"/>
      <c r="AM202" s="137"/>
    </row>
    <row r="203" spans="1:39" ht="11.25" customHeight="1">
      <c r="A203" s="55"/>
      <c r="B203" s="56"/>
      <c r="C203" s="57"/>
      <c r="D203" s="58"/>
      <c r="E203" s="59"/>
      <c r="F203" s="58"/>
      <c r="G203" s="59"/>
      <c r="H203" s="58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136"/>
      <c r="AB203" s="136"/>
      <c r="AC203" s="136"/>
      <c r="AD203" s="136"/>
      <c r="AE203" s="136"/>
      <c r="AF203" s="137"/>
      <c r="AG203" s="137"/>
      <c r="AH203" s="137"/>
      <c r="AI203" s="137"/>
      <c r="AJ203" s="137"/>
      <c r="AK203" s="137"/>
      <c r="AL203" s="137"/>
      <c r="AM203" s="137"/>
    </row>
    <row r="204" spans="1:39" ht="11.25" customHeight="1">
      <c r="A204" s="55"/>
      <c r="B204" s="56"/>
      <c r="C204" s="57"/>
      <c r="D204" s="58"/>
      <c r="E204" s="59"/>
      <c r="F204" s="58"/>
      <c r="G204" s="59"/>
      <c r="H204" s="58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136"/>
      <c r="AB204" s="136"/>
      <c r="AC204" s="136"/>
      <c r="AD204" s="136"/>
      <c r="AE204" s="136"/>
      <c r="AF204" s="137"/>
      <c r="AG204" s="137"/>
      <c r="AH204" s="137"/>
      <c r="AI204" s="137"/>
      <c r="AJ204" s="137"/>
      <c r="AK204" s="137"/>
      <c r="AL204" s="137"/>
      <c r="AM204" s="137"/>
    </row>
    <row r="205" spans="1:39" ht="11.25" customHeight="1">
      <c r="A205" s="55"/>
      <c r="B205" s="56"/>
      <c r="C205" s="57"/>
      <c r="D205" s="58"/>
      <c r="E205" s="59"/>
      <c r="F205" s="58"/>
      <c r="G205" s="59"/>
      <c r="H205" s="58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136"/>
      <c r="AB205" s="136"/>
      <c r="AC205" s="136"/>
      <c r="AD205" s="136"/>
      <c r="AE205" s="136"/>
      <c r="AF205" s="137"/>
      <c r="AG205" s="137"/>
      <c r="AH205" s="137"/>
      <c r="AI205" s="137"/>
      <c r="AJ205" s="137"/>
      <c r="AK205" s="137"/>
      <c r="AL205" s="137"/>
      <c r="AM205" s="137"/>
    </row>
    <row r="206" spans="1:39" ht="11.25" customHeight="1">
      <c r="A206" s="55"/>
      <c r="B206" s="56"/>
      <c r="C206" s="57"/>
      <c r="D206" s="58"/>
      <c r="E206" s="59"/>
      <c r="F206" s="58"/>
      <c r="G206" s="59"/>
      <c r="H206" s="58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136"/>
      <c r="AB206" s="136"/>
      <c r="AC206" s="136"/>
      <c r="AD206" s="136"/>
      <c r="AE206" s="136"/>
      <c r="AF206" s="137"/>
      <c r="AG206" s="137"/>
      <c r="AH206" s="137"/>
      <c r="AI206" s="137"/>
      <c r="AJ206" s="137"/>
      <c r="AK206" s="137"/>
      <c r="AL206" s="137"/>
      <c r="AM206" s="137"/>
    </row>
    <row r="207" spans="1:39" ht="11.25" customHeight="1">
      <c r="A207" s="55"/>
      <c r="B207" s="56"/>
      <c r="C207" s="57"/>
      <c r="D207" s="58"/>
      <c r="E207" s="59"/>
      <c r="F207" s="58"/>
      <c r="G207" s="59"/>
      <c r="H207" s="58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136"/>
      <c r="AB207" s="136"/>
      <c r="AC207" s="136"/>
      <c r="AD207" s="136"/>
      <c r="AE207" s="136"/>
      <c r="AF207" s="137"/>
      <c r="AG207" s="137"/>
      <c r="AH207" s="137"/>
      <c r="AI207" s="137"/>
      <c r="AJ207" s="137"/>
      <c r="AK207" s="137"/>
      <c r="AL207" s="137"/>
      <c r="AM207" s="137"/>
    </row>
    <row r="208" spans="1:39" ht="11.25" customHeight="1">
      <c r="A208" s="55"/>
      <c r="B208" s="56"/>
      <c r="C208" s="57"/>
      <c r="D208" s="58"/>
      <c r="E208" s="59"/>
      <c r="F208" s="58"/>
      <c r="G208" s="59"/>
      <c r="H208" s="58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136"/>
      <c r="AB208" s="136"/>
      <c r="AC208" s="136"/>
      <c r="AD208" s="136"/>
      <c r="AE208" s="136"/>
      <c r="AF208" s="137"/>
      <c r="AG208" s="137"/>
      <c r="AH208" s="137"/>
      <c r="AI208" s="137"/>
      <c r="AJ208" s="137"/>
      <c r="AK208" s="137"/>
      <c r="AL208" s="137"/>
      <c r="AM208" s="137"/>
    </row>
    <row r="209" spans="1:39" ht="11.25" customHeight="1">
      <c r="A209" s="55"/>
      <c r="B209" s="56"/>
      <c r="C209" s="57"/>
      <c r="D209" s="58"/>
      <c r="E209" s="59"/>
      <c r="F209" s="58"/>
      <c r="G209" s="59"/>
      <c r="H209" s="58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136"/>
      <c r="AB209" s="136"/>
      <c r="AC209" s="136"/>
      <c r="AD209" s="136"/>
      <c r="AE209" s="136"/>
      <c r="AF209" s="137"/>
      <c r="AG209" s="137"/>
      <c r="AH209" s="137"/>
      <c r="AI209" s="137"/>
      <c r="AJ209" s="137"/>
      <c r="AK209" s="137"/>
      <c r="AL209" s="137"/>
      <c r="AM209" s="137"/>
    </row>
    <row r="210" spans="1:39" ht="11.25" customHeight="1">
      <c r="A210" s="55"/>
      <c r="B210" s="56"/>
      <c r="C210" s="57"/>
      <c r="D210" s="58"/>
      <c r="E210" s="59"/>
      <c r="F210" s="58"/>
      <c r="G210" s="59"/>
      <c r="H210" s="58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136"/>
      <c r="AB210" s="136"/>
      <c r="AC210" s="136"/>
      <c r="AD210" s="136"/>
      <c r="AE210" s="136"/>
      <c r="AF210" s="137"/>
      <c r="AG210" s="137"/>
      <c r="AH210" s="137"/>
      <c r="AI210" s="137"/>
      <c r="AJ210" s="137"/>
      <c r="AK210" s="137"/>
      <c r="AL210" s="137"/>
      <c r="AM210" s="137"/>
    </row>
    <row r="211" spans="1:39" ht="11.25" customHeight="1">
      <c r="A211" s="55"/>
      <c r="B211" s="56"/>
      <c r="C211" s="57"/>
      <c r="D211" s="58"/>
      <c r="E211" s="59"/>
      <c r="F211" s="58"/>
      <c r="G211" s="59"/>
      <c r="H211" s="58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136"/>
      <c r="AB211" s="136"/>
      <c r="AC211" s="136"/>
      <c r="AD211" s="136"/>
      <c r="AE211" s="136"/>
      <c r="AF211" s="137"/>
      <c r="AG211" s="137"/>
      <c r="AH211" s="137"/>
      <c r="AI211" s="137"/>
      <c r="AJ211" s="137"/>
      <c r="AK211" s="137"/>
      <c r="AL211" s="137"/>
      <c r="AM211" s="137"/>
    </row>
    <row r="212" spans="1:39" ht="11.25" customHeight="1">
      <c r="A212" s="55"/>
      <c r="B212" s="56"/>
      <c r="C212" s="57"/>
      <c r="D212" s="58"/>
      <c r="E212" s="59"/>
      <c r="F212" s="58"/>
      <c r="G212" s="59"/>
      <c r="H212" s="58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136"/>
      <c r="AB212" s="136"/>
      <c r="AC212" s="136"/>
      <c r="AD212" s="136"/>
      <c r="AE212" s="136"/>
      <c r="AF212" s="137"/>
      <c r="AG212" s="137"/>
      <c r="AH212" s="137"/>
      <c r="AI212" s="137"/>
      <c r="AJ212" s="137"/>
      <c r="AK212" s="137"/>
      <c r="AL212" s="137"/>
      <c r="AM212" s="137"/>
    </row>
    <row r="213" spans="1:39" ht="11.25" customHeight="1">
      <c r="A213" s="55"/>
      <c r="B213" s="56"/>
      <c r="C213" s="57"/>
      <c r="D213" s="58"/>
      <c r="E213" s="59"/>
      <c r="F213" s="58"/>
      <c r="G213" s="59"/>
      <c r="H213" s="58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136"/>
      <c r="AB213" s="136"/>
      <c r="AC213" s="136"/>
      <c r="AD213" s="136"/>
      <c r="AE213" s="136"/>
      <c r="AF213" s="137"/>
      <c r="AG213" s="137"/>
      <c r="AH213" s="137"/>
      <c r="AI213" s="137"/>
      <c r="AJ213" s="137"/>
      <c r="AK213" s="137"/>
      <c r="AL213" s="137"/>
      <c r="AM213" s="137"/>
    </row>
    <row r="214" spans="1:39" ht="11.25" customHeight="1">
      <c r="A214" s="55"/>
      <c r="B214" s="56"/>
      <c r="C214" s="57"/>
      <c r="D214" s="58"/>
      <c r="E214" s="59"/>
      <c r="F214" s="58"/>
      <c r="G214" s="59"/>
      <c r="H214" s="58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136"/>
      <c r="AB214" s="136"/>
      <c r="AC214" s="136"/>
      <c r="AD214" s="136"/>
      <c r="AE214" s="136"/>
      <c r="AF214" s="137"/>
      <c r="AG214" s="137"/>
      <c r="AH214" s="137"/>
      <c r="AI214" s="137"/>
      <c r="AJ214" s="137"/>
      <c r="AK214" s="137"/>
      <c r="AL214" s="137"/>
      <c r="AM214" s="137"/>
    </row>
    <row r="215" spans="1:39" ht="11.25" customHeight="1">
      <c r="A215" s="55"/>
      <c r="B215" s="56"/>
      <c r="C215" s="57"/>
      <c r="D215" s="58"/>
      <c r="E215" s="59"/>
      <c r="F215" s="58"/>
      <c r="G215" s="59"/>
      <c r="H215" s="58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136"/>
      <c r="AB215" s="136"/>
      <c r="AC215" s="136"/>
      <c r="AD215" s="136"/>
      <c r="AE215" s="136"/>
      <c r="AF215" s="137"/>
      <c r="AG215" s="137"/>
      <c r="AH215" s="137"/>
      <c r="AI215" s="137"/>
      <c r="AJ215" s="137"/>
      <c r="AK215" s="137"/>
      <c r="AL215" s="137"/>
      <c r="AM215" s="137"/>
    </row>
    <row r="216" spans="1:39" ht="11.25" customHeight="1">
      <c r="A216" s="55"/>
      <c r="B216" s="56"/>
      <c r="C216" s="57"/>
      <c r="D216" s="58"/>
      <c r="E216" s="59"/>
      <c r="F216" s="58"/>
      <c r="G216" s="59"/>
      <c r="H216" s="58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136"/>
      <c r="AB216" s="136"/>
      <c r="AC216" s="136"/>
      <c r="AD216" s="136"/>
      <c r="AE216" s="136"/>
      <c r="AF216" s="137"/>
      <c r="AG216" s="137"/>
      <c r="AH216" s="137"/>
      <c r="AI216" s="137"/>
      <c r="AJ216" s="137"/>
      <c r="AK216" s="137"/>
      <c r="AL216" s="137"/>
      <c r="AM216" s="137"/>
    </row>
    <row r="217" spans="1:39" ht="11.25" customHeight="1">
      <c r="A217" s="55"/>
      <c r="B217" s="56"/>
      <c r="C217" s="57"/>
      <c r="D217" s="58"/>
      <c r="E217" s="59"/>
      <c r="F217" s="58"/>
      <c r="G217" s="59"/>
      <c r="H217" s="58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136"/>
      <c r="AB217" s="136"/>
      <c r="AC217" s="136"/>
      <c r="AD217" s="136"/>
      <c r="AE217" s="136"/>
      <c r="AF217" s="137"/>
      <c r="AG217" s="137"/>
      <c r="AH217" s="137"/>
      <c r="AI217" s="137"/>
      <c r="AJ217" s="137"/>
      <c r="AK217" s="137"/>
      <c r="AL217" s="137"/>
      <c r="AM217" s="137"/>
    </row>
    <row r="218" spans="1:39" ht="11.25" customHeight="1">
      <c r="A218" s="55"/>
      <c r="B218" s="56"/>
      <c r="C218" s="57"/>
      <c r="D218" s="58"/>
      <c r="E218" s="59"/>
      <c r="F218" s="58"/>
      <c r="G218" s="59"/>
      <c r="H218" s="58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136"/>
      <c r="AB218" s="136"/>
      <c r="AC218" s="136"/>
      <c r="AD218" s="136"/>
      <c r="AE218" s="136"/>
      <c r="AF218" s="137"/>
      <c r="AG218" s="137"/>
      <c r="AH218" s="137"/>
      <c r="AI218" s="137"/>
      <c r="AJ218" s="137"/>
      <c r="AK218" s="137"/>
      <c r="AL218" s="137"/>
      <c r="AM218" s="137"/>
    </row>
    <row r="219" spans="1:39" ht="11.25" customHeight="1">
      <c r="A219" s="55"/>
      <c r="B219" s="56"/>
      <c r="C219" s="57"/>
      <c r="D219" s="58"/>
      <c r="E219" s="59"/>
      <c r="F219" s="58"/>
      <c r="G219" s="59"/>
      <c r="H219" s="58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136"/>
      <c r="AB219" s="136"/>
      <c r="AC219" s="136"/>
      <c r="AD219" s="136"/>
      <c r="AE219" s="136"/>
      <c r="AF219" s="137"/>
      <c r="AG219" s="137"/>
      <c r="AH219" s="137"/>
      <c r="AI219" s="137"/>
      <c r="AJ219" s="137"/>
      <c r="AK219" s="137"/>
      <c r="AL219" s="137"/>
      <c r="AM219" s="137"/>
    </row>
    <row r="220" spans="1:39" ht="11.25" customHeight="1">
      <c r="A220" s="55"/>
      <c r="B220" s="56"/>
      <c r="C220" s="57"/>
      <c r="D220" s="58"/>
      <c r="E220" s="59"/>
      <c r="F220" s="58"/>
      <c r="G220" s="59"/>
      <c r="H220" s="58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136"/>
      <c r="AB220" s="136"/>
      <c r="AC220" s="136"/>
      <c r="AD220" s="136"/>
      <c r="AE220" s="136"/>
      <c r="AF220" s="137"/>
      <c r="AG220" s="137"/>
      <c r="AH220" s="137"/>
      <c r="AI220" s="137"/>
      <c r="AJ220" s="137"/>
      <c r="AK220" s="137"/>
      <c r="AL220" s="137"/>
      <c r="AM220" s="137"/>
    </row>
    <row r="221" spans="1:39" ht="11.25" customHeight="1">
      <c r="A221" s="55"/>
      <c r="B221" s="56"/>
      <c r="C221" s="57"/>
      <c r="D221" s="58"/>
      <c r="E221" s="59"/>
      <c r="F221" s="58"/>
      <c r="G221" s="59"/>
      <c r="H221" s="58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136"/>
      <c r="AB221" s="136"/>
      <c r="AC221" s="136"/>
      <c r="AD221" s="136"/>
      <c r="AE221" s="136"/>
      <c r="AF221" s="137"/>
      <c r="AG221" s="137"/>
      <c r="AH221" s="137"/>
      <c r="AI221" s="137"/>
      <c r="AJ221" s="137"/>
      <c r="AK221" s="137"/>
      <c r="AL221" s="137"/>
      <c r="AM221" s="137"/>
    </row>
    <row r="222" spans="1:39" ht="11.25" customHeight="1">
      <c r="A222" s="55"/>
      <c r="B222" s="56"/>
      <c r="C222" s="57"/>
      <c r="D222" s="58"/>
      <c r="E222" s="59"/>
      <c r="F222" s="58"/>
      <c r="G222" s="59"/>
      <c r="H222" s="58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136"/>
      <c r="AB222" s="136"/>
      <c r="AC222" s="136"/>
      <c r="AD222" s="136"/>
      <c r="AE222" s="136"/>
      <c r="AF222" s="137"/>
      <c r="AG222" s="137"/>
      <c r="AH222" s="137"/>
      <c r="AI222" s="137"/>
      <c r="AJ222" s="137"/>
      <c r="AK222" s="137"/>
      <c r="AL222" s="137"/>
      <c r="AM222" s="137"/>
    </row>
    <row r="223" spans="1:39" ht="11.25" customHeight="1">
      <c r="A223" s="55"/>
      <c r="B223" s="56"/>
      <c r="C223" s="57"/>
      <c r="D223" s="58"/>
      <c r="E223" s="59"/>
      <c r="F223" s="58"/>
      <c r="G223" s="59"/>
      <c r="H223" s="58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136"/>
      <c r="AB223" s="136"/>
      <c r="AC223" s="136"/>
      <c r="AD223" s="136"/>
      <c r="AE223" s="136"/>
      <c r="AF223" s="137"/>
      <c r="AG223" s="137"/>
      <c r="AH223" s="137"/>
      <c r="AI223" s="137"/>
      <c r="AJ223" s="137"/>
      <c r="AK223" s="137"/>
      <c r="AL223" s="137"/>
      <c r="AM223" s="137"/>
    </row>
    <row r="224" spans="1:39" ht="11.25" customHeight="1">
      <c r="A224" s="55"/>
      <c r="B224" s="56"/>
      <c r="C224" s="57"/>
      <c r="D224" s="58"/>
      <c r="E224" s="59"/>
      <c r="F224" s="58"/>
      <c r="G224" s="59"/>
      <c r="H224" s="58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136"/>
      <c r="AB224" s="136"/>
      <c r="AC224" s="136"/>
      <c r="AD224" s="136"/>
      <c r="AE224" s="136"/>
      <c r="AF224" s="137"/>
      <c r="AG224" s="137"/>
      <c r="AH224" s="137"/>
      <c r="AI224" s="137"/>
      <c r="AJ224" s="137"/>
      <c r="AK224" s="137"/>
      <c r="AL224" s="137"/>
      <c r="AM224" s="137"/>
    </row>
    <row r="225" spans="1:39" ht="11.25" customHeight="1">
      <c r="A225" s="55"/>
      <c r="B225" s="56"/>
      <c r="C225" s="57"/>
      <c r="D225" s="58"/>
      <c r="E225" s="59"/>
      <c r="F225" s="58"/>
      <c r="G225" s="59"/>
      <c r="H225" s="58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136"/>
      <c r="AB225" s="136"/>
      <c r="AC225" s="136"/>
      <c r="AD225" s="136"/>
      <c r="AE225" s="136"/>
      <c r="AF225" s="137"/>
      <c r="AG225" s="137"/>
      <c r="AH225" s="137"/>
      <c r="AI225" s="137"/>
      <c r="AJ225" s="137"/>
      <c r="AK225" s="137"/>
      <c r="AL225" s="137"/>
      <c r="AM225" s="137"/>
    </row>
    <row r="226" spans="1:39" ht="11.25" customHeight="1">
      <c r="A226" s="55"/>
      <c r="B226" s="56"/>
      <c r="C226" s="57"/>
      <c r="D226" s="58"/>
      <c r="E226" s="59"/>
      <c r="F226" s="58"/>
      <c r="G226" s="59"/>
      <c r="H226" s="58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136"/>
      <c r="AB226" s="136"/>
      <c r="AC226" s="136"/>
      <c r="AD226" s="136"/>
      <c r="AE226" s="136"/>
      <c r="AF226" s="137"/>
      <c r="AG226" s="137"/>
      <c r="AH226" s="137"/>
      <c r="AI226" s="137"/>
      <c r="AJ226" s="137"/>
      <c r="AK226" s="137"/>
      <c r="AL226" s="137"/>
      <c r="AM226" s="137"/>
    </row>
    <row r="227" spans="1:39" ht="11.25" customHeight="1">
      <c r="A227" s="55"/>
      <c r="B227" s="56"/>
      <c r="C227" s="57"/>
      <c r="D227" s="58"/>
      <c r="E227" s="59"/>
      <c r="F227" s="58"/>
      <c r="G227" s="59"/>
      <c r="H227" s="58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136"/>
      <c r="AB227" s="136"/>
      <c r="AC227" s="136"/>
      <c r="AD227" s="136"/>
      <c r="AE227" s="136"/>
      <c r="AF227" s="137"/>
      <c r="AG227" s="137"/>
      <c r="AH227" s="137"/>
      <c r="AI227" s="137"/>
      <c r="AJ227" s="137"/>
      <c r="AK227" s="137"/>
      <c r="AL227" s="137"/>
      <c r="AM227" s="137"/>
    </row>
    <row r="228" spans="1:39" ht="11.25" customHeight="1">
      <c r="A228" s="55"/>
      <c r="B228" s="56"/>
      <c r="C228" s="57"/>
      <c r="D228" s="58"/>
      <c r="E228" s="59"/>
      <c r="F228" s="58"/>
      <c r="G228" s="59"/>
      <c r="H228" s="58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136"/>
      <c r="AB228" s="136"/>
      <c r="AC228" s="136"/>
      <c r="AD228" s="136"/>
      <c r="AE228" s="136"/>
      <c r="AF228" s="137"/>
      <c r="AG228" s="137"/>
      <c r="AH228" s="137"/>
      <c r="AI228" s="137"/>
      <c r="AJ228" s="137"/>
      <c r="AK228" s="137"/>
      <c r="AL228" s="137"/>
      <c r="AM228" s="137"/>
    </row>
    <row r="229" spans="1:39" ht="11.25" customHeight="1">
      <c r="A229" s="55"/>
      <c r="B229" s="56"/>
      <c r="C229" s="57"/>
      <c r="D229" s="58"/>
      <c r="E229" s="59"/>
      <c r="F229" s="58"/>
      <c r="G229" s="59"/>
      <c r="H229" s="58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136"/>
      <c r="AB229" s="136"/>
      <c r="AC229" s="136"/>
      <c r="AD229" s="136"/>
      <c r="AE229" s="136"/>
      <c r="AF229" s="137"/>
      <c r="AG229" s="137"/>
      <c r="AH229" s="137"/>
      <c r="AI229" s="137"/>
      <c r="AJ229" s="137"/>
      <c r="AK229" s="137"/>
      <c r="AL229" s="137"/>
      <c r="AM229" s="137"/>
    </row>
    <row r="230" spans="1:39" ht="11.25" customHeight="1">
      <c r="A230" s="55"/>
      <c r="B230" s="56"/>
      <c r="C230" s="57"/>
      <c r="D230" s="58"/>
      <c r="E230" s="59"/>
      <c r="F230" s="58"/>
      <c r="G230" s="59"/>
      <c r="H230" s="58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136"/>
      <c r="AB230" s="136"/>
      <c r="AC230" s="136"/>
      <c r="AD230" s="136"/>
      <c r="AE230" s="136"/>
      <c r="AF230" s="137"/>
      <c r="AG230" s="137"/>
      <c r="AH230" s="137"/>
      <c r="AI230" s="137"/>
      <c r="AJ230" s="137"/>
      <c r="AK230" s="137"/>
      <c r="AL230" s="137"/>
      <c r="AM230" s="137"/>
    </row>
    <row r="231" spans="1:39" ht="11.25" customHeight="1">
      <c r="A231" s="55"/>
      <c r="B231" s="56"/>
      <c r="C231" s="57"/>
      <c r="D231" s="58"/>
      <c r="E231" s="59"/>
      <c r="F231" s="58"/>
      <c r="G231" s="59"/>
      <c r="H231" s="58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136"/>
      <c r="AB231" s="136"/>
      <c r="AC231" s="136"/>
      <c r="AD231" s="136"/>
      <c r="AE231" s="136"/>
      <c r="AF231" s="137"/>
      <c r="AG231" s="137"/>
      <c r="AH231" s="137"/>
      <c r="AI231" s="137"/>
      <c r="AJ231" s="137"/>
      <c r="AK231" s="137"/>
      <c r="AL231" s="137"/>
      <c r="AM231" s="137"/>
    </row>
    <row r="232" spans="1:39" ht="11.25" customHeight="1">
      <c r="A232" s="55"/>
      <c r="B232" s="56"/>
      <c r="C232" s="57"/>
      <c r="D232" s="58"/>
      <c r="E232" s="59"/>
      <c r="F232" s="58"/>
      <c r="G232" s="59"/>
      <c r="H232" s="58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136"/>
      <c r="AB232" s="136"/>
      <c r="AC232" s="136"/>
      <c r="AD232" s="136"/>
      <c r="AE232" s="136"/>
      <c r="AF232" s="137"/>
      <c r="AG232" s="137"/>
      <c r="AH232" s="137"/>
      <c r="AI232" s="137"/>
      <c r="AJ232" s="137"/>
      <c r="AK232" s="137"/>
      <c r="AL232" s="137"/>
      <c r="AM232" s="137"/>
    </row>
    <row r="233" spans="1:39" ht="11.25" customHeight="1">
      <c r="A233" s="55"/>
      <c r="B233" s="56"/>
      <c r="C233" s="57"/>
      <c r="D233" s="58"/>
      <c r="E233" s="59"/>
      <c r="F233" s="58"/>
      <c r="G233" s="59"/>
      <c r="H233" s="58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136"/>
      <c r="AB233" s="136"/>
      <c r="AC233" s="136"/>
      <c r="AD233" s="136"/>
      <c r="AE233" s="136"/>
      <c r="AF233" s="137"/>
      <c r="AG233" s="137"/>
      <c r="AH233" s="137"/>
      <c r="AI233" s="137"/>
      <c r="AJ233" s="137"/>
      <c r="AK233" s="137"/>
      <c r="AL233" s="137"/>
      <c r="AM233" s="137"/>
    </row>
    <row r="234" spans="1:39" ht="11.25" customHeight="1">
      <c r="A234" s="55"/>
      <c r="B234" s="56"/>
      <c r="C234" s="57"/>
      <c r="D234" s="58"/>
      <c r="E234" s="59"/>
      <c r="F234" s="58"/>
      <c r="G234" s="59"/>
      <c r="H234" s="58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136"/>
      <c r="AB234" s="136"/>
      <c r="AC234" s="136"/>
      <c r="AD234" s="136"/>
      <c r="AE234" s="136"/>
      <c r="AF234" s="137"/>
      <c r="AG234" s="137"/>
      <c r="AH234" s="137"/>
      <c r="AI234" s="137"/>
      <c r="AJ234" s="137"/>
      <c r="AK234" s="137"/>
      <c r="AL234" s="137"/>
      <c r="AM234" s="137"/>
    </row>
    <row r="235" spans="1:39" ht="11.25" customHeight="1">
      <c r="A235" s="55"/>
      <c r="B235" s="56"/>
      <c r="C235" s="57"/>
      <c r="D235" s="58"/>
      <c r="E235" s="59"/>
      <c r="F235" s="58"/>
      <c r="G235" s="59"/>
      <c r="H235" s="58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136"/>
      <c r="AB235" s="136"/>
      <c r="AC235" s="136"/>
      <c r="AD235" s="136"/>
      <c r="AE235" s="136"/>
      <c r="AF235" s="137"/>
      <c r="AG235" s="137"/>
      <c r="AH235" s="137"/>
      <c r="AI235" s="137"/>
      <c r="AJ235" s="137"/>
      <c r="AK235" s="137"/>
      <c r="AL235" s="137"/>
      <c r="AM235" s="137"/>
    </row>
    <row r="236" spans="1:39" ht="11.25" customHeight="1">
      <c r="A236" s="55"/>
      <c r="B236" s="56"/>
      <c r="C236" s="57"/>
      <c r="D236" s="58"/>
      <c r="E236" s="59"/>
      <c r="F236" s="58"/>
      <c r="G236" s="59"/>
      <c r="H236" s="58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136"/>
      <c r="AB236" s="136"/>
      <c r="AC236" s="136"/>
      <c r="AD236" s="136"/>
      <c r="AE236" s="136"/>
      <c r="AF236" s="137"/>
      <c r="AG236" s="137"/>
      <c r="AH236" s="137"/>
      <c r="AI236" s="137"/>
      <c r="AJ236" s="137"/>
      <c r="AK236" s="137"/>
      <c r="AL236" s="137"/>
      <c r="AM236" s="137"/>
    </row>
    <row r="237" spans="1:39" ht="11.25" customHeight="1">
      <c r="A237" s="55"/>
      <c r="B237" s="56"/>
      <c r="C237" s="57"/>
      <c r="D237" s="58"/>
      <c r="E237" s="59"/>
      <c r="F237" s="58"/>
      <c r="G237" s="59"/>
      <c r="H237" s="58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136"/>
      <c r="AB237" s="136"/>
      <c r="AC237" s="136"/>
      <c r="AD237" s="136"/>
      <c r="AE237" s="136"/>
      <c r="AF237" s="137"/>
      <c r="AG237" s="137"/>
      <c r="AH237" s="137"/>
      <c r="AI237" s="137"/>
      <c r="AJ237" s="137"/>
      <c r="AK237" s="137"/>
      <c r="AL237" s="137"/>
      <c r="AM237" s="137"/>
    </row>
    <row r="238" spans="1:39" ht="11.25" customHeight="1">
      <c r="A238" s="55"/>
      <c r="B238" s="56"/>
      <c r="C238" s="57"/>
      <c r="D238" s="58"/>
      <c r="E238" s="59"/>
      <c r="F238" s="58"/>
      <c r="G238" s="59"/>
      <c r="H238" s="58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136"/>
      <c r="AB238" s="136"/>
      <c r="AC238" s="136"/>
      <c r="AD238" s="136"/>
      <c r="AE238" s="136"/>
      <c r="AF238" s="137"/>
      <c r="AG238" s="137"/>
      <c r="AH238" s="137"/>
      <c r="AI238" s="137"/>
      <c r="AJ238" s="137"/>
      <c r="AK238" s="137"/>
      <c r="AL238" s="137"/>
      <c r="AM238" s="137"/>
    </row>
    <row r="239" spans="1:39" ht="11.25" customHeight="1">
      <c r="A239" s="55"/>
      <c r="B239" s="56"/>
      <c r="C239" s="57"/>
      <c r="D239" s="58"/>
      <c r="E239" s="59"/>
      <c r="F239" s="58"/>
      <c r="G239" s="59"/>
      <c r="H239" s="58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136"/>
      <c r="AB239" s="136"/>
      <c r="AC239" s="136"/>
      <c r="AD239" s="136"/>
      <c r="AE239" s="136"/>
      <c r="AF239" s="137"/>
      <c r="AG239" s="137"/>
      <c r="AH239" s="137"/>
      <c r="AI239" s="137"/>
      <c r="AJ239" s="137"/>
      <c r="AK239" s="137"/>
      <c r="AL239" s="137"/>
      <c r="AM239" s="137"/>
    </row>
    <row r="240" spans="1:39" ht="11.25" customHeight="1">
      <c r="A240" s="55"/>
      <c r="B240" s="56"/>
      <c r="C240" s="57"/>
      <c r="D240" s="58"/>
      <c r="E240" s="59"/>
      <c r="F240" s="58"/>
      <c r="G240" s="59"/>
      <c r="H240" s="58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136"/>
      <c r="AB240" s="136"/>
      <c r="AC240" s="136"/>
      <c r="AD240" s="136"/>
      <c r="AE240" s="136"/>
      <c r="AF240" s="137"/>
      <c r="AG240" s="137"/>
      <c r="AH240" s="137"/>
      <c r="AI240" s="137"/>
      <c r="AJ240" s="137"/>
      <c r="AK240" s="137"/>
      <c r="AL240" s="137"/>
      <c r="AM240" s="137"/>
    </row>
    <row r="241" spans="1:39" ht="11.25" customHeight="1">
      <c r="A241" s="55"/>
      <c r="B241" s="56"/>
      <c r="C241" s="57"/>
      <c r="D241" s="58"/>
      <c r="E241" s="59"/>
      <c r="F241" s="58"/>
      <c r="G241" s="59"/>
      <c r="H241" s="58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136"/>
      <c r="AB241" s="136"/>
      <c r="AC241" s="136"/>
      <c r="AD241" s="136"/>
      <c r="AE241" s="136"/>
      <c r="AF241" s="137"/>
      <c r="AG241" s="137"/>
      <c r="AH241" s="137"/>
      <c r="AI241" s="137"/>
      <c r="AJ241" s="137"/>
      <c r="AK241" s="137"/>
      <c r="AL241" s="137"/>
      <c r="AM241" s="137"/>
    </row>
    <row r="242" spans="1:39" ht="11.25" customHeight="1">
      <c r="A242" s="55"/>
      <c r="B242" s="56"/>
      <c r="C242" s="57"/>
      <c r="D242" s="58"/>
      <c r="E242" s="59"/>
      <c r="F242" s="58"/>
      <c r="G242" s="59"/>
      <c r="H242" s="58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136"/>
      <c r="AB242" s="136"/>
      <c r="AC242" s="136"/>
      <c r="AD242" s="136"/>
      <c r="AE242" s="136"/>
      <c r="AF242" s="137"/>
      <c r="AG242" s="137"/>
      <c r="AH242" s="137"/>
      <c r="AI242" s="137"/>
      <c r="AJ242" s="137"/>
      <c r="AK242" s="137"/>
      <c r="AL242" s="137"/>
      <c r="AM242" s="137"/>
    </row>
    <row r="243" spans="1:39" ht="11.25" customHeight="1">
      <c r="A243" s="55"/>
      <c r="B243" s="56"/>
      <c r="C243" s="57"/>
      <c r="D243" s="58"/>
      <c r="E243" s="59"/>
      <c r="F243" s="58"/>
      <c r="G243" s="59"/>
      <c r="H243" s="58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136"/>
      <c r="AB243" s="136"/>
      <c r="AC243" s="136"/>
      <c r="AD243" s="136"/>
      <c r="AE243" s="136"/>
      <c r="AF243" s="137"/>
      <c r="AG243" s="137"/>
      <c r="AH243" s="137"/>
      <c r="AI243" s="137"/>
      <c r="AJ243" s="137"/>
      <c r="AK243" s="137"/>
      <c r="AL243" s="137"/>
      <c r="AM243" s="137"/>
    </row>
    <row r="244" spans="1:39" ht="11.25" customHeight="1">
      <c r="A244" s="55"/>
      <c r="B244" s="56"/>
      <c r="C244" s="57"/>
      <c r="D244" s="58"/>
      <c r="E244" s="59"/>
      <c r="F244" s="58"/>
      <c r="G244" s="59"/>
      <c r="H244" s="58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136"/>
      <c r="AB244" s="136"/>
      <c r="AC244" s="136"/>
      <c r="AD244" s="136"/>
      <c r="AE244" s="136"/>
      <c r="AF244" s="137"/>
      <c r="AG244" s="137"/>
      <c r="AH244" s="137"/>
      <c r="AI244" s="137"/>
      <c r="AJ244" s="137"/>
      <c r="AK244" s="137"/>
      <c r="AL244" s="137"/>
      <c r="AM244" s="137"/>
    </row>
    <row r="245" spans="1:39" ht="11.25" customHeight="1">
      <c r="A245" s="55"/>
      <c r="B245" s="56"/>
      <c r="C245" s="57"/>
      <c r="D245" s="58"/>
      <c r="E245" s="59"/>
      <c r="F245" s="58"/>
      <c r="G245" s="59"/>
      <c r="H245" s="58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136"/>
      <c r="AB245" s="136"/>
      <c r="AC245" s="136"/>
      <c r="AD245" s="136"/>
      <c r="AE245" s="136"/>
      <c r="AF245" s="137"/>
      <c r="AG245" s="137"/>
      <c r="AH245" s="137"/>
      <c r="AI245" s="137"/>
      <c r="AJ245" s="137"/>
      <c r="AK245" s="137"/>
      <c r="AL245" s="137"/>
      <c r="AM245" s="137"/>
    </row>
    <row r="246" spans="1:39" ht="11.25" customHeight="1">
      <c r="A246" s="55"/>
      <c r="B246" s="56"/>
      <c r="C246" s="57"/>
      <c r="D246" s="58"/>
      <c r="E246" s="59"/>
      <c r="F246" s="58"/>
      <c r="G246" s="59"/>
      <c r="H246" s="58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136"/>
      <c r="AB246" s="136"/>
      <c r="AC246" s="136"/>
      <c r="AD246" s="136"/>
      <c r="AE246" s="136"/>
      <c r="AF246" s="137"/>
      <c r="AG246" s="137"/>
      <c r="AH246" s="137"/>
      <c r="AI246" s="137"/>
      <c r="AJ246" s="137"/>
      <c r="AK246" s="137"/>
      <c r="AL246" s="137"/>
      <c r="AM246" s="137"/>
    </row>
    <row r="247" spans="1:39" ht="11.25" customHeight="1">
      <c r="A247" s="55"/>
      <c r="B247" s="56"/>
      <c r="C247" s="57"/>
      <c r="D247" s="58"/>
      <c r="E247" s="59"/>
      <c r="F247" s="58"/>
      <c r="G247" s="59"/>
      <c r="H247" s="58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136"/>
      <c r="AB247" s="136"/>
      <c r="AC247" s="136"/>
      <c r="AD247" s="136"/>
      <c r="AE247" s="136"/>
      <c r="AF247" s="137"/>
      <c r="AG247" s="137"/>
      <c r="AH247" s="137"/>
      <c r="AI247" s="137"/>
      <c r="AJ247" s="137"/>
      <c r="AK247" s="137"/>
      <c r="AL247" s="137"/>
      <c r="AM247" s="137"/>
    </row>
    <row r="248" spans="1:39" ht="11.25" customHeight="1">
      <c r="A248" s="55"/>
      <c r="B248" s="56"/>
      <c r="C248" s="57"/>
      <c r="D248" s="58"/>
      <c r="E248" s="59"/>
      <c r="F248" s="58"/>
      <c r="G248" s="59"/>
      <c r="H248" s="58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136"/>
      <c r="AB248" s="136"/>
      <c r="AC248" s="136"/>
      <c r="AD248" s="136"/>
      <c r="AE248" s="136"/>
      <c r="AF248" s="137"/>
      <c r="AG248" s="137"/>
      <c r="AH248" s="137"/>
      <c r="AI248" s="137"/>
      <c r="AJ248" s="137"/>
      <c r="AK248" s="137"/>
      <c r="AL248" s="137"/>
      <c r="AM248" s="137"/>
    </row>
    <row r="249" spans="1:39" ht="11.25" customHeight="1">
      <c r="A249" s="55"/>
      <c r="B249" s="56"/>
      <c r="C249" s="57"/>
      <c r="D249" s="58"/>
      <c r="E249" s="59"/>
      <c r="F249" s="58"/>
      <c r="G249" s="59"/>
      <c r="H249" s="58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136"/>
      <c r="AB249" s="136"/>
      <c r="AC249" s="136"/>
      <c r="AD249" s="136"/>
      <c r="AE249" s="136"/>
      <c r="AF249" s="137"/>
      <c r="AG249" s="137"/>
      <c r="AH249" s="137"/>
      <c r="AI249" s="137"/>
      <c r="AJ249" s="137"/>
      <c r="AK249" s="137"/>
      <c r="AL249" s="137"/>
      <c r="AM249" s="137"/>
    </row>
    <row r="250" spans="1:39" ht="11.25" customHeight="1">
      <c r="A250" s="55"/>
      <c r="B250" s="56"/>
      <c r="C250" s="57"/>
      <c r="D250" s="58"/>
      <c r="E250" s="59"/>
      <c r="F250" s="58"/>
      <c r="G250" s="59"/>
      <c r="H250" s="58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136"/>
      <c r="AB250" s="136"/>
      <c r="AC250" s="136"/>
      <c r="AD250" s="136"/>
      <c r="AE250" s="136"/>
      <c r="AF250" s="137"/>
      <c r="AG250" s="137"/>
      <c r="AH250" s="137"/>
      <c r="AI250" s="137"/>
      <c r="AJ250" s="137"/>
      <c r="AK250" s="137"/>
      <c r="AL250" s="137"/>
      <c r="AM250" s="137"/>
    </row>
    <row r="251" spans="1:39" ht="11.25" customHeight="1">
      <c r="A251" s="55"/>
      <c r="B251" s="56"/>
      <c r="C251" s="57"/>
      <c r="D251" s="58"/>
      <c r="E251" s="59"/>
      <c r="F251" s="58"/>
      <c r="G251" s="59"/>
      <c r="H251" s="58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136"/>
      <c r="AB251" s="136"/>
      <c r="AC251" s="136"/>
      <c r="AD251" s="136"/>
      <c r="AE251" s="136"/>
      <c r="AF251" s="137"/>
      <c r="AG251" s="137"/>
      <c r="AH251" s="137"/>
      <c r="AI251" s="137"/>
      <c r="AJ251" s="137"/>
      <c r="AK251" s="137"/>
      <c r="AL251" s="137"/>
      <c r="AM251" s="137"/>
    </row>
    <row r="252" spans="1:39" ht="11.25" customHeight="1">
      <c r="A252" s="55"/>
      <c r="B252" s="56"/>
      <c r="C252" s="57"/>
      <c r="D252" s="58"/>
      <c r="E252" s="59"/>
      <c r="F252" s="58"/>
      <c r="G252" s="59"/>
      <c r="H252" s="58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136"/>
      <c r="AB252" s="136"/>
      <c r="AC252" s="136"/>
      <c r="AD252" s="136"/>
      <c r="AE252" s="136"/>
      <c r="AF252" s="137"/>
      <c r="AG252" s="137"/>
      <c r="AH252" s="137"/>
      <c r="AI252" s="137"/>
      <c r="AJ252" s="137"/>
      <c r="AK252" s="137"/>
      <c r="AL252" s="137"/>
      <c r="AM252" s="137"/>
    </row>
    <row r="253" spans="1:39" ht="11.25" customHeight="1">
      <c r="A253" s="55"/>
      <c r="B253" s="56"/>
      <c r="C253" s="57"/>
      <c r="D253" s="58"/>
      <c r="E253" s="59"/>
      <c r="F253" s="58"/>
      <c r="G253" s="59"/>
      <c r="H253" s="58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136"/>
      <c r="AB253" s="136"/>
      <c r="AC253" s="136"/>
      <c r="AD253" s="136"/>
      <c r="AE253" s="136"/>
      <c r="AF253" s="137"/>
      <c r="AG253" s="137"/>
      <c r="AH253" s="137"/>
      <c r="AI253" s="137"/>
      <c r="AJ253" s="137"/>
      <c r="AK253" s="137"/>
      <c r="AL253" s="137"/>
      <c r="AM253" s="137"/>
    </row>
    <row r="254" spans="1:39" ht="11.25" customHeight="1">
      <c r="A254" s="55"/>
      <c r="B254" s="56"/>
      <c r="C254" s="57"/>
      <c r="D254" s="58"/>
      <c r="E254" s="59"/>
      <c r="F254" s="58"/>
      <c r="G254" s="59"/>
      <c r="H254" s="58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136"/>
      <c r="AB254" s="136"/>
      <c r="AC254" s="136"/>
      <c r="AD254" s="136"/>
      <c r="AE254" s="136"/>
      <c r="AF254" s="137"/>
      <c r="AG254" s="137"/>
      <c r="AH254" s="137"/>
      <c r="AI254" s="137"/>
      <c r="AJ254" s="137"/>
      <c r="AK254" s="137"/>
      <c r="AL254" s="137"/>
      <c r="AM254" s="137"/>
    </row>
    <row r="255" spans="1:39" ht="11.25" customHeight="1">
      <c r="A255" s="55"/>
      <c r="B255" s="56"/>
      <c r="C255" s="57"/>
      <c r="D255" s="58"/>
      <c r="E255" s="59"/>
      <c r="F255" s="58"/>
      <c r="G255" s="59"/>
      <c r="H255" s="58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136"/>
      <c r="AB255" s="136"/>
      <c r="AC255" s="136"/>
      <c r="AD255" s="136"/>
      <c r="AE255" s="136"/>
      <c r="AF255" s="137"/>
      <c r="AG255" s="137"/>
      <c r="AH255" s="137"/>
      <c r="AI255" s="137"/>
      <c r="AJ255" s="137"/>
      <c r="AK255" s="137"/>
      <c r="AL255" s="137"/>
      <c r="AM255" s="137"/>
    </row>
    <row r="256" spans="1:39" ht="11.25" customHeight="1">
      <c r="A256" s="55"/>
      <c r="B256" s="56"/>
      <c r="C256" s="57"/>
      <c r="D256" s="58"/>
      <c r="E256" s="59"/>
      <c r="F256" s="58"/>
      <c r="G256" s="59"/>
      <c r="H256" s="58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136"/>
      <c r="AB256" s="136"/>
      <c r="AC256" s="136"/>
      <c r="AD256" s="136"/>
      <c r="AE256" s="136"/>
      <c r="AF256" s="137"/>
      <c r="AG256" s="137"/>
      <c r="AH256" s="137"/>
      <c r="AI256" s="137"/>
      <c r="AJ256" s="137"/>
      <c r="AK256" s="137"/>
      <c r="AL256" s="137"/>
      <c r="AM256" s="137"/>
    </row>
    <row r="257" spans="1:39" ht="11.25" customHeight="1">
      <c r="A257" s="55"/>
      <c r="B257" s="56"/>
      <c r="C257" s="57"/>
      <c r="D257" s="58"/>
      <c r="E257" s="59"/>
      <c r="F257" s="58"/>
      <c r="G257" s="59"/>
      <c r="H257" s="58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136"/>
      <c r="AB257" s="136"/>
      <c r="AC257" s="136"/>
      <c r="AD257" s="136"/>
      <c r="AE257" s="136"/>
      <c r="AF257" s="137"/>
      <c r="AG257" s="137"/>
      <c r="AH257" s="137"/>
      <c r="AI257" s="137"/>
      <c r="AJ257" s="137"/>
      <c r="AK257" s="137"/>
      <c r="AL257" s="137"/>
      <c r="AM257" s="137"/>
    </row>
    <row r="258" spans="1:39" ht="11.25" customHeight="1">
      <c r="A258" s="55"/>
      <c r="B258" s="56"/>
      <c r="C258" s="57"/>
      <c r="D258" s="58"/>
      <c r="E258" s="59"/>
      <c r="F258" s="58"/>
      <c r="G258" s="59"/>
      <c r="H258" s="58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136"/>
      <c r="AB258" s="136"/>
      <c r="AC258" s="136"/>
      <c r="AD258" s="136"/>
      <c r="AE258" s="136"/>
      <c r="AF258" s="137"/>
      <c r="AG258" s="137"/>
      <c r="AH258" s="137"/>
      <c r="AI258" s="137"/>
      <c r="AJ258" s="137"/>
      <c r="AK258" s="137"/>
      <c r="AL258" s="137"/>
      <c r="AM258" s="137"/>
    </row>
    <row r="259" spans="1:39" ht="11.25" customHeight="1">
      <c r="A259" s="55"/>
      <c r="B259" s="56"/>
      <c r="C259" s="57"/>
      <c r="D259" s="58"/>
      <c r="E259" s="59"/>
      <c r="F259" s="58"/>
      <c r="G259" s="59"/>
      <c r="H259" s="58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136"/>
      <c r="AB259" s="136"/>
      <c r="AC259" s="136"/>
      <c r="AD259" s="136"/>
      <c r="AE259" s="136"/>
      <c r="AF259" s="137"/>
      <c r="AG259" s="137"/>
      <c r="AH259" s="137"/>
      <c r="AI259" s="137"/>
      <c r="AJ259" s="137"/>
      <c r="AK259" s="137"/>
      <c r="AL259" s="137"/>
      <c r="AM259" s="137"/>
    </row>
    <row r="260" spans="1:39" ht="11.25" customHeight="1">
      <c r="A260" s="55"/>
      <c r="B260" s="56"/>
      <c r="C260" s="57"/>
      <c r="D260" s="58"/>
      <c r="E260" s="59"/>
      <c r="F260" s="58"/>
      <c r="G260" s="59"/>
      <c r="H260" s="58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136"/>
      <c r="AB260" s="136"/>
      <c r="AC260" s="136"/>
      <c r="AD260" s="136"/>
      <c r="AE260" s="136"/>
      <c r="AF260" s="137"/>
      <c r="AG260" s="137"/>
      <c r="AH260" s="137"/>
      <c r="AI260" s="137"/>
      <c r="AJ260" s="137"/>
      <c r="AK260" s="137"/>
      <c r="AL260" s="137"/>
      <c r="AM260" s="137"/>
    </row>
    <row r="261" spans="1:39" ht="11.25" customHeight="1">
      <c r="A261" s="55"/>
      <c r="B261" s="56"/>
      <c r="C261" s="57"/>
      <c r="D261" s="58"/>
      <c r="E261" s="59"/>
      <c r="F261" s="58"/>
      <c r="G261" s="59"/>
      <c r="H261" s="58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136"/>
      <c r="AB261" s="136"/>
      <c r="AC261" s="136"/>
      <c r="AD261" s="136"/>
      <c r="AE261" s="136"/>
      <c r="AF261" s="137"/>
      <c r="AG261" s="137"/>
      <c r="AH261" s="137"/>
      <c r="AI261" s="137"/>
      <c r="AJ261" s="137"/>
      <c r="AK261" s="137"/>
      <c r="AL261" s="137"/>
      <c r="AM261" s="137"/>
    </row>
    <row r="262" spans="1:39" ht="11.25" customHeight="1">
      <c r="A262" s="55"/>
      <c r="B262" s="56"/>
      <c r="C262" s="57"/>
      <c r="D262" s="58"/>
      <c r="E262" s="59"/>
      <c r="F262" s="58"/>
      <c r="G262" s="59"/>
      <c r="H262" s="58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136"/>
      <c r="AB262" s="136"/>
      <c r="AC262" s="136"/>
      <c r="AD262" s="136"/>
      <c r="AE262" s="136"/>
      <c r="AF262" s="137"/>
      <c r="AG262" s="137"/>
      <c r="AH262" s="137"/>
      <c r="AI262" s="137"/>
      <c r="AJ262" s="137"/>
      <c r="AK262" s="137"/>
      <c r="AL262" s="137"/>
      <c r="AM262" s="137"/>
    </row>
    <row r="263" spans="1:39" ht="11.25" customHeight="1">
      <c r="A263" s="55"/>
      <c r="B263" s="56"/>
      <c r="C263" s="57"/>
      <c r="D263" s="58"/>
      <c r="E263" s="59"/>
      <c r="F263" s="58"/>
      <c r="G263" s="59"/>
      <c r="H263" s="58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136"/>
      <c r="AB263" s="136"/>
      <c r="AC263" s="136"/>
      <c r="AD263" s="136"/>
      <c r="AE263" s="136"/>
      <c r="AF263" s="137"/>
      <c r="AG263" s="137"/>
      <c r="AH263" s="137"/>
      <c r="AI263" s="137"/>
      <c r="AJ263" s="137"/>
      <c r="AK263" s="137"/>
      <c r="AL263" s="137"/>
      <c r="AM263" s="137"/>
    </row>
    <row r="264" spans="1:39" ht="11.25" customHeight="1">
      <c r="A264" s="55"/>
      <c r="B264" s="56"/>
      <c r="C264" s="57"/>
      <c r="D264" s="58"/>
      <c r="E264" s="59"/>
      <c r="F264" s="58"/>
      <c r="G264" s="59"/>
      <c r="H264" s="58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136"/>
      <c r="AB264" s="136"/>
      <c r="AC264" s="136"/>
      <c r="AD264" s="136"/>
      <c r="AE264" s="136"/>
      <c r="AF264" s="137"/>
      <c r="AG264" s="137"/>
      <c r="AH264" s="137"/>
      <c r="AI264" s="137"/>
      <c r="AJ264" s="137"/>
      <c r="AK264" s="137"/>
      <c r="AL264" s="137"/>
      <c r="AM264" s="137"/>
    </row>
    <row r="265" spans="1:39" ht="11.25" customHeight="1">
      <c r="A265" s="55"/>
      <c r="B265" s="56"/>
      <c r="C265" s="57"/>
      <c r="D265" s="58"/>
      <c r="E265" s="59"/>
      <c r="F265" s="58"/>
      <c r="G265" s="59"/>
      <c r="H265" s="58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136"/>
      <c r="AB265" s="136"/>
      <c r="AC265" s="136"/>
      <c r="AD265" s="136"/>
      <c r="AE265" s="136"/>
      <c r="AF265" s="137"/>
      <c r="AG265" s="137"/>
      <c r="AH265" s="137"/>
      <c r="AI265" s="137"/>
      <c r="AJ265" s="137"/>
      <c r="AK265" s="137"/>
      <c r="AL265" s="137"/>
      <c r="AM265" s="137"/>
    </row>
    <row r="266" spans="1:39" ht="11.25" customHeight="1">
      <c r="A266" s="55"/>
      <c r="B266" s="56"/>
      <c r="C266" s="57"/>
      <c r="D266" s="58"/>
      <c r="E266" s="59"/>
      <c r="F266" s="58"/>
      <c r="G266" s="59"/>
      <c r="H266" s="58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136"/>
      <c r="AB266" s="136"/>
      <c r="AC266" s="136"/>
      <c r="AD266" s="136"/>
      <c r="AE266" s="136"/>
      <c r="AF266" s="137"/>
      <c r="AG266" s="137"/>
      <c r="AH266" s="137"/>
      <c r="AI266" s="137"/>
      <c r="AJ266" s="137"/>
      <c r="AK266" s="137"/>
      <c r="AL266" s="137"/>
      <c r="AM266" s="137"/>
    </row>
    <row r="267" spans="1:39" ht="11.25" customHeight="1">
      <c r="A267" s="55"/>
      <c r="B267" s="56"/>
      <c r="C267" s="57"/>
      <c r="D267" s="58"/>
      <c r="E267" s="59"/>
      <c r="F267" s="58"/>
      <c r="G267" s="59"/>
      <c r="H267" s="58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136"/>
      <c r="AB267" s="136"/>
      <c r="AC267" s="136"/>
      <c r="AD267" s="136"/>
      <c r="AE267" s="136"/>
      <c r="AF267" s="137"/>
      <c r="AG267" s="137"/>
      <c r="AH267" s="137"/>
      <c r="AI267" s="137"/>
      <c r="AJ267" s="137"/>
      <c r="AK267" s="137"/>
      <c r="AL267" s="137"/>
      <c r="AM267" s="137"/>
    </row>
    <row r="268" spans="1:39" ht="11.25" customHeight="1">
      <c r="A268" s="55"/>
      <c r="B268" s="56"/>
      <c r="C268" s="57"/>
      <c r="D268" s="58"/>
      <c r="E268" s="59"/>
      <c r="F268" s="58"/>
      <c r="G268" s="59"/>
      <c r="H268" s="58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136"/>
      <c r="AB268" s="136"/>
      <c r="AC268" s="136"/>
      <c r="AD268" s="136"/>
      <c r="AE268" s="136"/>
      <c r="AF268" s="137"/>
      <c r="AG268" s="137"/>
      <c r="AH268" s="137"/>
      <c r="AI268" s="137"/>
      <c r="AJ268" s="137"/>
      <c r="AK268" s="137"/>
      <c r="AL268" s="137"/>
      <c r="AM268" s="137"/>
    </row>
    <row r="269" spans="1:39" ht="11.25" customHeight="1">
      <c r="A269" s="55"/>
      <c r="B269" s="56"/>
      <c r="C269" s="57"/>
      <c r="D269" s="58"/>
      <c r="E269" s="59"/>
      <c r="F269" s="58"/>
      <c r="G269" s="59"/>
      <c r="H269" s="58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136"/>
      <c r="AB269" s="136"/>
      <c r="AC269" s="136"/>
      <c r="AD269" s="136"/>
      <c r="AE269" s="136"/>
      <c r="AF269" s="137"/>
      <c r="AG269" s="137"/>
      <c r="AH269" s="137"/>
      <c r="AI269" s="137"/>
      <c r="AJ269" s="137"/>
      <c r="AK269" s="137"/>
      <c r="AL269" s="137"/>
      <c r="AM269" s="137"/>
    </row>
    <row r="270" spans="1:39" ht="11.25" customHeight="1">
      <c r="A270" s="55"/>
      <c r="B270" s="56"/>
      <c r="C270" s="57"/>
      <c r="D270" s="58"/>
      <c r="E270" s="59"/>
      <c r="F270" s="58"/>
      <c r="G270" s="59"/>
      <c r="H270" s="58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136"/>
      <c r="AB270" s="136"/>
      <c r="AC270" s="136"/>
      <c r="AD270" s="136"/>
      <c r="AE270" s="136"/>
      <c r="AF270" s="137"/>
      <c r="AG270" s="137"/>
      <c r="AH270" s="137"/>
      <c r="AI270" s="137"/>
      <c r="AJ270" s="137"/>
      <c r="AK270" s="137"/>
      <c r="AL270" s="137"/>
      <c r="AM270" s="137"/>
    </row>
    <row r="271" spans="1:39" ht="11.25" customHeight="1">
      <c r="A271" s="55"/>
      <c r="B271" s="56"/>
      <c r="C271" s="57"/>
      <c r="D271" s="58"/>
      <c r="E271" s="59"/>
      <c r="F271" s="58"/>
      <c r="G271" s="59"/>
      <c r="H271" s="58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136"/>
      <c r="AB271" s="136"/>
      <c r="AC271" s="136"/>
      <c r="AD271" s="136"/>
      <c r="AE271" s="136"/>
      <c r="AF271" s="137"/>
      <c r="AG271" s="137"/>
      <c r="AH271" s="137"/>
      <c r="AI271" s="137"/>
      <c r="AJ271" s="137"/>
      <c r="AK271" s="137"/>
      <c r="AL271" s="137"/>
      <c r="AM271" s="137"/>
    </row>
    <row r="272" spans="1:39" ht="11.25" customHeight="1">
      <c r="A272" s="55"/>
      <c r="B272" s="56"/>
      <c r="C272" s="57"/>
      <c r="D272" s="58"/>
      <c r="E272" s="59"/>
      <c r="F272" s="58"/>
      <c r="G272" s="59"/>
      <c r="H272" s="58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136"/>
      <c r="AB272" s="136"/>
      <c r="AC272" s="136"/>
      <c r="AD272" s="136"/>
      <c r="AE272" s="136"/>
      <c r="AF272" s="137"/>
      <c r="AG272" s="137"/>
      <c r="AH272" s="137"/>
      <c r="AI272" s="137"/>
      <c r="AJ272" s="137"/>
      <c r="AK272" s="137"/>
      <c r="AL272" s="137"/>
      <c r="AM272" s="137"/>
    </row>
    <row r="273" spans="1:39" ht="11.25" customHeight="1">
      <c r="A273" s="55"/>
      <c r="B273" s="56"/>
      <c r="C273" s="57"/>
      <c r="D273" s="58"/>
      <c r="E273" s="59"/>
      <c r="F273" s="58"/>
      <c r="G273" s="59"/>
      <c r="H273" s="58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136"/>
      <c r="AB273" s="136"/>
      <c r="AC273" s="136"/>
      <c r="AD273" s="136"/>
      <c r="AE273" s="136"/>
      <c r="AF273" s="137"/>
      <c r="AG273" s="137"/>
      <c r="AH273" s="137"/>
      <c r="AI273" s="137"/>
      <c r="AJ273" s="137"/>
      <c r="AK273" s="137"/>
      <c r="AL273" s="137"/>
      <c r="AM273" s="137"/>
    </row>
    <row r="274" spans="1:39" ht="11.25" customHeight="1">
      <c r="A274" s="55"/>
      <c r="B274" s="56"/>
      <c r="C274" s="57"/>
      <c r="D274" s="58"/>
      <c r="E274" s="59"/>
      <c r="F274" s="58"/>
      <c r="G274" s="59"/>
      <c r="H274" s="58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136"/>
      <c r="AB274" s="136"/>
      <c r="AC274" s="136"/>
      <c r="AD274" s="136"/>
      <c r="AE274" s="136"/>
      <c r="AF274" s="137"/>
      <c r="AG274" s="137"/>
      <c r="AH274" s="137"/>
      <c r="AI274" s="137"/>
      <c r="AJ274" s="137"/>
      <c r="AK274" s="137"/>
      <c r="AL274" s="137"/>
      <c r="AM274" s="137"/>
    </row>
    <row r="275" spans="1:39" ht="11.25" customHeight="1">
      <c r="A275" s="55"/>
      <c r="B275" s="56"/>
      <c r="C275" s="57"/>
      <c r="D275" s="58"/>
      <c r="E275" s="59"/>
      <c r="F275" s="58"/>
      <c r="G275" s="59"/>
      <c r="H275" s="58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136"/>
      <c r="AB275" s="136"/>
      <c r="AC275" s="136"/>
      <c r="AD275" s="136"/>
      <c r="AE275" s="136"/>
      <c r="AF275" s="137"/>
      <c r="AG275" s="137"/>
      <c r="AH275" s="137"/>
      <c r="AI275" s="137"/>
      <c r="AJ275" s="137"/>
      <c r="AK275" s="137"/>
      <c r="AL275" s="137"/>
      <c r="AM275" s="137"/>
    </row>
    <row r="276" spans="1:39" ht="11.25" customHeight="1">
      <c r="A276" s="55"/>
      <c r="B276" s="56"/>
      <c r="C276" s="57"/>
      <c r="D276" s="58"/>
      <c r="E276" s="59"/>
      <c r="F276" s="58"/>
      <c r="G276" s="59"/>
      <c r="H276" s="58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136"/>
      <c r="AB276" s="136"/>
      <c r="AC276" s="136"/>
      <c r="AD276" s="136"/>
      <c r="AE276" s="136"/>
      <c r="AF276" s="137"/>
      <c r="AG276" s="137"/>
      <c r="AH276" s="137"/>
      <c r="AI276" s="137"/>
      <c r="AJ276" s="137"/>
      <c r="AK276" s="137"/>
      <c r="AL276" s="137"/>
      <c r="AM276" s="137"/>
    </row>
    <row r="277" spans="1:39" ht="11.25" customHeight="1">
      <c r="A277" s="55"/>
      <c r="B277" s="56"/>
      <c r="C277" s="57"/>
      <c r="D277" s="58"/>
      <c r="E277" s="59"/>
      <c r="F277" s="58"/>
      <c r="G277" s="59"/>
      <c r="H277" s="58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136"/>
      <c r="AB277" s="136"/>
      <c r="AC277" s="136"/>
      <c r="AD277" s="136"/>
      <c r="AE277" s="136"/>
      <c r="AF277" s="137"/>
      <c r="AG277" s="137"/>
      <c r="AH277" s="137"/>
      <c r="AI277" s="137"/>
      <c r="AJ277" s="137"/>
      <c r="AK277" s="137"/>
      <c r="AL277" s="137"/>
      <c r="AM277" s="137"/>
    </row>
    <row r="278" spans="1:39" ht="15.75" customHeight="1"/>
    <row r="279" spans="1:39" ht="15.75" customHeight="1"/>
    <row r="280" spans="1:39" ht="15.75" customHeight="1"/>
    <row r="281" spans="1:39" ht="15.75" customHeight="1"/>
    <row r="282" spans="1:39" ht="15.75" customHeight="1"/>
    <row r="283" spans="1:39" ht="15.75" customHeight="1"/>
    <row r="284" spans="1:39" ht="15.75" customHeight="1"/>
    <row r="285" spans="1:39" ht="15.75" customHeight="1"/>
    <row r="286" spans="1:39" ht="15.75" customHeight="1"/>
    <row r="287" spans="1:39" ht="15.75" customHeight="1"/>
    <row r="288" spans="1:39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8:B8"/>
    <mergeCell ref="A2:I2"/>
    <mergeCell ref="A3:G3"/>
    <mergeCell ref="A6:B7"/>
    <mergeCell ref="AS6:AT6"/>
    <mergeCell ref="AK6:AL6"/>
    <mergeCell ref="AM6:AN6"/>
    <mergeCell ref="AO6:AP6"/>
    <mergeCell ref="AQ6:AR6"/>
    <mergeCell ref="AU6:AV6"/>
    <mergeCell ref="AW6:AX6"/>
    <mergeCell ref="E5:I5"/>
    <mergeCell ref="I6:I7"/>
    <mergeCell ref="AA4:BE4"/>
    <mergeCell ref="AA5:AE5"/>
    <mergeCell ref="AG5:AZ5"/>
    <mergeCell ref="BB5:BE6"/>
    <mergeCell ref="AY6:AZ6"/>
    <mergeCell ref="AA6:AA7"/>
    <mergeCell ref="AB6:AB7"/>
    <mergeCell ref="AC6:AC7"/>
    <mergeCell ref="AD6:AD7"/>
    <mergeCell ref="AE6:AE7"/>
    <mergeCell ref="AG6:AH6"/>
    <mergeCell ref="AI6:AJ6"/>
  </mergeCells>
  <dataValidations count="1">
    <dataValidation type="list" allowBlank="1" showErrorMessage="1" sqref="BB8:BB66" xr:uid="{00000000-0002-0000-0200-000000000000}">
      <formula1>"A,O"</formula1>
    </dataValidation>
  </dataValidations>
  <pageMargins left="0.3" right="0.25" top="0.34" bottom="0.4" header="0" footer="0"/>
  <pageSetup paperSize="9" scale="85" orientation="landscape"/>
  <headerFooter>
    <oddFooter>&amp;L&amp;F;&amp;A&amp;CPage &amp;P of &amp;RPrint on &amp;D,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CJ505"/>
  <sheetViews>
    <sheetView workbookViewId="0">
      <pane ySplit="7" topLeftCell="A242" activePane="bottomLeft" state="frozen"/>
      <selection pane="bottomLeft" activeCell="BA116" sqref="BA116"/>
    </sheetView>
  </sheetViews>
  <sheetFormatPr defaultColWidth="14.42578125" defaultRowHeight="15" customHeight="1"/>
  <cols>
    <col min="1" max="1" width="4.140625" customWidth="1"/>
    <col min="2" max="2" width="49.85546875" customWidth="1"/>
    <col min="3" max="3" width="16.42578125" customWidth="1"/>
    <col min="4" max="4" width="2" customWidth="1"/>
    <col min="5" max="5" width="16.42578125" customWidth="1"/>
    <col min="6" max="6" width="2" customWidth="1"/>
    <col min="7" max="7" width="16.42578125" customWidth="1"/>
    <col min="8" max="8" width="2" customWidth="1"/>
    <col min="9" max="9" width="11.140625" customWidth="1"/>
    <col min="10" max="10" width="7.140625" customWidth="1"/>
    <col min="11" max="11" width="7.28515625" customWidth="1"/>
    <col min="12" max="12" width="2.5703125" customWidth="1"/>
    <col min="13" max="13" width="1.5703125" hidden="1" customWidth="1"/>
    <col min="14" max="25" width="2.5703125" hidden="1" customWidth="1"/>
    <col min="26" max="50" width="3.140625" hidden="1" customWidth="1"/>
    <col min="51" max="52" width="3.140625" customWidth="1"/>
    <col min="53" max="53" width="5" customWidth="1"/>
    <col min="54" max="54" width="3" customWidth="1"/>
    <col min="55" max="55" width="5" customWidth="1"/>
    <col min="56" max="56" width="3" customWidth="1"/>
    <col min="57" max="57" width="5" customWidth="1"/>
    <col min="58" max="58" width="3" customWidth="1"/>
    <col min="59" max="59" width="5" customWidth="1"/>
    <col min="60" max="60" width="3" customWidth="1"/>
    <col min="61" max="61" width="5" customWidth="1"/>
    <col min="62" max="62" width="3" customWidth="1"/>
    <col min="64" max="83" width="6.5703125" customWidth="1"/>
    <col min="85" max="85" width="4" customWidth="1"/>
    <col min="86" max="86" width="11" customWidth="1"/>
    <col min="87" max="87" width="9" customWidth="1"/>
    <col min="88" max="88" width="6" customWidth="1"/>
  </cols>
  <sheetData>
    <row r="1" spans="1:88" ht="11.25" customHeight="1">
      <c r="A1" s="55"/>
      <c r="B1" s="56"/>
      <c r="C1" s="139"/>
      <c r="D1" s="58"/>
      <c r="E1" s="139"/>
      <c r="F1" s="58"/>
      <c r="G1" s="139"/>
      <c r="H1" s="58"/>
      <c r="I1" s="14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</row>
    <row r="2" spans="1:88" ht="16.5" customHeight="1">
      <c r="A2" s="664" t="s">
        <v>26</v>
      </c>
      <c r="B2" s="665"/>
      <c r="C2" s="665"/>
      <c r="D2" s="665"/>
      <c r="E2" s="665"/>
      <c r="F2" s="665"/>
      <c r="G2" s="665"/>
      <c r="H2" s="665"/>
      <c r="I2" s="665"/>
      <c r="J2" s="64" t="s">
        <v>9</v>
      </c>
      <c r="K2" s="65">
        <f>PRD</f>
        <v>1</v>
      </c>
      <c r="L2" s="141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</row>
    <row r="3" spans="1:88" ht="16.5" customHeight="1">
      <c r="A3" s="664" t="s">
        <v>115</v>
      </c>
      <c r="B3" s="665"/>
      <c r="C3" s="665"/>
      <c r="D3" s="665"/>
      <c r="E3" s="665"/>
      <c r="F3" s="665"/>
      <c r="G3" s="665"/>
      <c r="H3" s="665"/>
      <c r="I3" s="665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</row>
    <row r="4" spans="1:88" ht="15" customHeight="1">
      <c r="A4" s="142"/>
      <c r="B4" s="67"/>
      <c r="C4" s="68"/>
      <c r="D4" s="67"/>
      <c r="E4" s="68"/>
      <c r="F4" s="67"/>
      <c r="G4" s="664" t="s">
        <v>116</v>
      </c>
      <c r="H4" s="665"/>
      <c r="I4" s="665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56" t="s">
        <v>29</v>
      </c>
      <c r="BB4" s="660"/>
      <c r="BC4" s="660"/>
      <c r="BD4" s="660"/>
      <c r="BE4" s="660"/>
      <c r="BF4" s="660"/>
      <c r="BG4" s="660"/>
      <c r="BH4" s="660"/>
      <c r="BI4" s="660"/>
      <c r="BJ4" s="660"/>
      <c r="BK4" s="660"/>
      <c r="BL4" s="660"/>
      <c r="BM4" s="660"/>
      <c r="BN4" s="660"/>
      <c r="BO4" s="660"/>
      <c r="BP4" s="660"/>
      <c r="BQ4" s="660"/>
      <c r="BR4" s="660"/>
      <c r="BS4" s="660"/>
      <c r="BT4" s="660"/>
      <c r="BU4" s="660"/>
      <c r="BV4" s="660"/>
      <c r="BW4" s="660"/>
      <c r="BX4" s="660"/>
      <c r="BY4" s="660"/>
      <c r="BZ4" s="660"/>
      <c r="CA4" s="660"/>
      <c r="CB4" s="660"/>
      <c r="CC4" s="660"/>
      <c r="CD4" s="660"/>
      <c r="CE4" s="660"/>
      <c r="CF4" s="660"/>
      <c r="CG4" s="660"/>
      <c r="CH4" s="660"/>
      <c r="CI4" s="660"/>
      <c r="CJ4" s="657"/>
    </row>
    <row r="5" spans="1:88" ht="13.5" customHeight="1">
      <c r="A5" s="71"/>
      <c r="B5" s="71"/>
      <c r="C5" s="143"/>
      <c r="D5" s="71"/>
      <c r="E5" s="699" t="s">
        <v>2</v>
      </c>
      <c r="F5" s="687"/>
      <c r="G5" s="687"/>
      <c r="H5" s="687"/>
      <c r="I5" s="687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71" t="s">
        <v>30</v>
      </c>
      <c r="BB5" s="665"/>
      <c r="BC5" s="665"/>
      <c r="BD5" s="665"/>
      <c r="BE5" s="665"/>
      <c r="BF5" s="665"/>
      <c r="BG5" s="665"/>
      <c r="BH5" s="665"/>
      <c r="BI5" s="665"/>
      <c r="BJ5" s="665"/>
      <c r="BK5" s="73"/>
      <c r="BL5" s="671" t="s">
        <v>31</v>
      </c>
      <c r="BM5" s="665"/>
      <c r="BN5" s="665"/>
      <c r="BO5" s="665"/>
      <c r="BP5" s="665"/>
      <c r="BQ5" s="665"/>
      <c r="BR5" s="665"/>
      <c r="BS5" s="665"/>
      <c r="BT5" s="665"/>
      <c r="BU5" s="665"/>
      <c r="BV5" s="665"/>
      <c r="BW5" s="665"/>
      <c r="BX5" s="665"/>
      <c r="BY5" s="665"/>
      <c r="BZ5" s="665"/>
      <c r="CA5" s="665"/>
      <c r="CB5" s="665"/>
      <c r="CC5" s="665"/>
      <c r="CD5" s="665"/>
      <c r="CE5" s="672"/>
      <c r="CF5" s="74"/>
      <c r="CG5" s="673" t="s">
        <v>32</v>
      </c>
      <c r="CH5" s="674"/>
      <c r="CI5" s="674"/>
      <c r="CJ5" s="675"/>
    </row>
    <row r="6" spans="1:88" ht="14.25" customHeight="1">
      <c r="A6" s="697" t="s">
        <v>33</v>
      </c>
      <c r="B6" s="684"/>
      <c r="C6" s="76" t="s">
        <v>34</v>
      </c>
      <c r="D6" s="76"/>
      <c r="E6" s="75" t="s">
        <v>35</v>
      </c>
      <c r="F6" s="77"/>
      <c r="G6" s="77" t="s">
        <v>36</v>
      </c>
      <c r="H6" s="77"/>
      <c r="I6" s="700" t="s">
        <v>37</v>
      </c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98" t="s">
        <v>38</v>
      </c>
      <c r="BB6" s="657"/>
      <c r="BC6" s="698" t="s">
        <v>39</v>
      </c>
      <c r="BD6" s="657"/>
      <c r="BE6" s="698" t="s">
        <v>40</v>
      </c>
      <c r="BF6" s="657"/>
      <c r="BG6" s="698" t="s">
        <v>41</v>
      </c>
      <c r="BH6" s="657"/>
      <c r="BI6" s="698" t="s">
        <v>42</v>
      </c>
      <c r="BJ6" s="657"/>
      <c r="BK6" s="80"/>
      <c r="BL6" s="656" t="s">
        <v>43</v>
      </c>
      <c r="BM6" s="660"/>
      <c r="BN6" s="656" t="s">
        <v>44</v>
      </c>
      <c r="BO6" s="660"/>
      <c r="BP6" s="656" t="s">
        <v>45</v>
      </c>
      <c r="BQ6" s="660"/>
      <c r="BR6" s="656" t="s">
        <v>46</v>
      </c>
      <c r="BS6" s="657"/>
      <c r="BT6" s="680" t="s">
        <v>47</v>
      </c>
      <c r="BU6" s="660"/>
      <c r="BV6" s="656" t="s">
        <v>48</v>
      </c>
      <c r="BW6" s="657"/>
      <c r="BX6" s="680" t="s">
        <v>49</v>
      </c>
      <c r="BY6" s="660"/>
      <c r="BZ6" s="656" t="s">
        <v>50</v>
      </c>
      <c r="CA6" s="657"/>
      <c r="CB6" s="680" t="s">
        <v>51</v>
      </c>
      <c r="CC6" s="657"/>
      <c r="CD6" s="656" t="s">
        <v>52</v>
      </c>
      <c r="CE6" s="657"/>
      <c r="CF6" s="81"/>
      <c r="CG6" s="676"/>
      <c r="CH6" s="677"/>
      <c r="CI6" s="677"/>
      <c r="CJ6" s="678"/>
    </row>
    <row r="7" spans="1:88" ht="14.25" customHeight="1">
      <c r="A7" s="687"/>
      <c r="B7" s="687"/>
      <c r="C7" s="83" t="s">
        <v>53</v>
      </c>
      <c r="D7" s="83"/>
      <c r="E7" s="82" t="s">
        <v>54</v>
      </c>
      <c r="F7" s="83"/>
      <c r="G7" s="83" t="s">
        <v>55</v>
      </c>
      <c r="H7" s="83"/>
      <c r="I7" s="687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145" t="s">
        <v>56</v>
      </c>
      <c r="BB7" s="146" t="s">
        <v>117</v>
      </c>
      <c r="BC7" s="145" t="s">
        <v>56</v>
      </c>
      <c r="BD7" s="146" t="s">
        <v>117</v>
      </c>
      <c r="BE7" s="145" t="s">
        <v>56</v>
      </c>
      <c r="BF7" s="146" t="s">
        <v>117</v>
      </c>
      <c r="BG7" s="145" t="s">
        <v>56</v>
      </c>
      <c r="BH7" s="146" t="s">
        <v>117</v>
      </c>
      <c r="BI7" s="145" t="s">
        <v>56</v>
      </c>
      <c r="BJ7" s="146" t="s">
        <v>117</v>
      </c>
      <c r="BK7" s="84"/>
      <c r="BL7" s="85" t="s">
        <v>56</v>
      </c>
      <c r="BM7" s="86" t="s">
        <v>57</v>
      </c>
      <c r="BN7" s="85" t="s">
        <v>56</v>
      </c>
      <c r="BO7" s="86" t="s">
        <v>57</v>
      </c>
      <c r="BP7" s="85" t="s">
        <v>56</v>
      </c>
      <c r="BQ7" s="86" t="s">
        <v>57</v>
      </c>
      <c r="BR7" s="64" t="s">
        <v>56</v>
      </c>
      <c r="BS7" s="87" t="s">
        <v>57</v>
      </c>
      <c r="BT7" s="88" t="s">
        <v>56</v>
      </c>
      <c r="BU7" s="86" t="s">
        <v>57</v>
      </c>
      <c r="BV7" s="85" t="s">
        <v>56</v>
      </c>
      <c r="BW7" s="89" t="s">
        <v>57</v>
      </c>
      <c r="BX7" s="88" t="s">
        <v>56</v>
      </c>
      <c r="BY7" s="86" t="s">
        <v>57</v>
      </c>
      <c r="BZ7" s="85" t="s">
        <v>56</v>
      </c>
      <c r="CA7" s="89" t="s">
        <v>57</v>
      </c>
      <c r="CB7" s="88" t="s">
        <v>56</v>
      </c>
      <c r="CC7" s="89" t="s">
        <v>57</v>
      </c>
      <c r="CD7" s="85" t="s">
        <v>56</v>
      </c>
      <c r="CE7" s="89" t="s">
        <v>57</v>
      </c>
      <c r="CF7" s="90"/>
      <c r="CG7" s="64" t="s">
        <v>58</v>
      </c>
      <c r="CH7" s="64" t="s">
        <v>59</v>
      </c>
      <c r="CI7" s="64" t="s">
        <v>60</v>
      </c>
      <c r="CJ7" s="147" t="s">
        <v>61</v>
      </c>
    </row>
    <row r="8" spans="1:88" ht="11.25" customHeight="1">
      <c r="A8" s="148" t="s">
        <v>118</v>
      </c>
      <c r="B8" s="110"/>
      <c r="C8" s="149"/>
      <c r="D8" s="77"/>
      <c r="E8" s="149"/>
      <c r="F8" s="77"/>
      <c r="G8" s="149"/>
      <c r="H8" s="77"/>
      <c r="I8" s="144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95"/>
      <c r="BB8" s="96"/>
      <c r="BC8" s="96"/>
      <c r="BD8" s="96"/>
      <c r="BE8" s="96"/>
      <c r="BF8" s="96"/>
      <c r="BG8" s="96"/>
      <c r="BH8" s="96"/>
      <c r="BI8" s="96"/>
      <c r="BJ8" s="96"/>
      <c r="BK8" s="97"/>
      <c r="BL8" s="95"/>
      <c r="BM8" s="96"/>
      <c r="BN8" s="95"/>
      <c r="BO8" s="96"/>
      <c r="BP8" s="95"/>
      <c r="BQ8" s="96"/>
      <c r="BR8" s="95"/>
      <c r="BS8" s="98"/>
      <c r="BT8" s="96"/>
      <c r="BU8" s="96"/>
      <c r="BV8" s="95"/>
      <c r="BW8" s="98"/>
      <c r="BX8" s="96"/>
      <c r="BY8" s="96"/>
      <c r="BZ8" s="95"/>
      <c r="CA8" s="98"/>
      <c r="CB8" s="96"/>
      <c r="CC8" s="96"/>
      <c r="CD8" s="95"/>
      <c r="CE8" s="98"/>
      <c r="CF8" s="99"/>
      <c r="CG8" s="95"/>
      <c r="CH8" s="100"/>
      <c r="CI8" s="100"/>
      <c r="CJ8" s="98"/>
    </row>
    <row r="9" spans="1:88" ht="13.5" customHeight="1">
      <c r="A9" s="101" t="s">
        <v>119</v>
      </c>
      <c r="B9" s="125"/>
      <c r="C9" s="150"/>
      <c r="D9" s="93"/>
      <c r="E9" s="150"/>
      <c r="F9" s="93"/>
      <c r="G9" s="150"/>
      <c r="H9" s="93"/>
      <c r="I9" s="144"/>
      <c r="J9" s="151"/>
      <c r="K9" s="60"/>
      <c r="L9" s="151"/>
      <c r="M9" s="60"/>
      <c r="N9" s="151"/>
      <c r="O9" s="60"/>
      <c r="P9" s="151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95"/>
      <c r="BB9" s="96"/>
      <c r="BC9" s="96"/>
      <c r="BD9" s="96"/>
      <c r="BE9" s="96"/>
      <c r="BF9" s="96"/>
      <c r="BG9" s="96"/>
      <c r="BH9" s="96"/>
      <c r="BI9" s="96"/>
      <c r="BJ9" s="96"/>
      <c r="BK9" s="97"/>
      <c r="BL9" s="95"/>
      <c r="BM9" s="96"/>
      <c r="BN9" s="95"/>
      <c r="BO9" s="96"/>
      <c r="BP9" s="95"/>
      <c r="BQ9" s="96"/>
      <c r="BR9" s="95"/>
      <c r="BS9" s="98"/>
      <c r="BT9" s="96"/>
      <c r="BU9" s="96"/>
      <c r="BV9" s="95"/>
      <c r="BW9" s="98"/>
      <c r="BX9" s="96"/>
      <c r="BY9" s="96"/>
      <c r="BZ9" s="95"/>
      <c r="CA9" s="98"/>
      <c r="CB9" s="96"/>
      <c r="CC9" s="96"/>
      <c r="CD9" s="95"/>
      <c r="CE9" s="98"/>
      <c r="CF9" s="99"/>
      <c r="CG9" s="95"/>
      <c r="CH9" s="96"/>
      <c r="CI9" s="96"/>
      <c r="CJ9" s="98"/>
    </row>
    <row r="10" spans="1:88" ht="12.75" customHeight="1">
      <c r="A10" s="55"/>
      <c r="B10" s="148" t="s">
        <v>120</v>
      </c>
      <c r="C10" s="152"/>
      <c r="D10" s="103"/>
      <c r="E10" s="152"/>
      <c r="F10" s="103"/>
      <c r="G10" s="152"/>
      <c r="H10" s="103"/>
      <c r="I10" s="153"/>
      <c r="J10" s="151"/>
      <c r="K10" s="60"/>
      <c r="L10" s="151"/>
      <c r="M10" s="60"/>
      <c r="N10" s="151"/>
      <c r="O10" s="60"/>
      <c r="P10" s="151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95"/>
      <c r="BB10" s="96"/>
      <c r="BC10" s="96"/>
      <c r="BD10" s="96"/>
      <c r="BE10" s="96"/>
      <c r="BF10" s="96"/>
      <c r="BG10" s="96"/>
      <c r="BH10" s="96"/>
      <c r="BI10" s="96"/>
      <c r="BJ10" s="96"/>
      <c r="BK10" s="97"/>
      <c r="BL10" s="95"/>
      <c r="BM10" s="96"/>
      <c r="BN10" s="95"/>
      <c r="BO10" s="96"/>
      <c r="BP10" s="95"/>
      <c r="BQ10" s="96"/>
      <c r="BR10" s="95"/>
      <c r="BS10" s="98"/>
      <c r="BT10" s="96"/>
      <c r="BU10" s="96"/>
      <c r="BV10" s="95"/>
      <c r="BW10" s="98"/>
      <c r="BX10" s="96"/>
      <c r="BY10" s="96"/>
      <c r="BZ10" s="95"/>
      <c r="CA10" s="98"/>
      <c r="CB10" s="96"/>
      <c r="CC10" s="96"/>
      <c r="CD10" s="95"/>
      <c r="CE10" s="98"/>
      <c r="CF10" s="99"/>
      <c r="CG10" s="95"/>
      <c r="CH10" s="96"/>
      <c r="CI10" s="96"/>
      <c r="CJ10" s="98"/>
    </row>
    <row r="11" spans="1:88" ht="12" customHeight="1">
      <c r="A11" s="154"/>
      <c r="B11" s="155" t="s">
        <v>121</v>
      </c>
      <c r="C11" s="102">
        <f>_xll.ACC(DB,_xll.ArrayDPT($BA11:$BJ11),_xll.ArrayCOA($BL11:$CE11),YR,PRD,_xll.ArrayDIM($CG11:$CJ11))</f>
        <v>0</v>
      </c>
      <c r="D11" s="104"/>
      <c r="E11" s="102">
        <f>_xll.ACC(DB,_xll.ArrayDPT($BA11:$BJ11),_xll.ArrayCOA($BL11:$CE11),YR,PRD-1,_xll.ArrayDIM($CG11:$CJ11))</f>
        <v>0</v>
      </c>
      <c r="F11" s="104"/>
      <c r="G11" s="102">
        <f t="shared" ref="G11:G18" si="0">C11-E11</f>
        <v>0</v>
      </c>
      <c r="H11" s="107"/>
      <c r="I11" s="156">
        <f t="shared" ref="I11:I18" si="1">IF(G11=0,0,(G11*100/$G$18))</f>
        <v>0</v>
      </c>
      <c r="J11" s="151"/>
      <c r="K11" s="60"/>
      <c r="L11" s="151"/>
      <c r="M11" s="60"/>
      <c r="N11" s="151"/>
      <c r="O11" s="60"/>
      <c r="P11" s="151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95"/>
      <c r="BB11" s="96"/>
      <c r="BC11" s="96"/>
      <c r="BD11" s="96"/>
      <c r="BE11" s="96"/>
      <c r="BF11" s="96"/>
      <c r="BG11" s="96"/>
      <c r="BH11" s="96"/>
      <c r="BI11" s="96"/>
      <c r="BJ11" s="96"/>
      <c r="BK11" s="97"/>
      <c r="BL11" s="95" t="s">
        <v>122</v>
      </c>
      <c r="BM11" s="96" t="s">
        <v>122</v>
      </c>
      <c r="BN11" s="95"/>
      <c r="BO11" s="96"/>
      <c r="BP11" s="95"/>
      <c r="BQ11" s="96"/>
      <c r="BR11" s="95"/>
      <c r="BS11" s="98"/>
      <c r="BT11" s="96"/>
      <c r="BU11" s="96"/>
      <c r="BV11" s="95"/>
      <c r="BW11" s="98"/>
      <c r="BX11" s="96"/>
      <c r="BY11" s="96"/>
      <c r="BZ11" s="95"/>
      <c r="CA11" s="98"/>
      <c r="CB11" s="96"/>
      <c r="CC11" s="96"/>
      <c r="CD11" s="95"/>
      <c r="CE11" s="98"/>
      <c r="CF11" s="99"/>
      <c r="CG11" s="95"/>
      <c r="CH11" s="96"/>
      <c r="CI11" s="96"/>
      <c r="CJ11" s="98"/>
    </row>
    <row r="12" spans="1:88" ht="12" customHeight="1">
      <c r="A12" s="154"/>
      <c r="B12" s="155" t="s">
        <v>123</v>
      </c>
      <c r="C12" s="102">
        <f>_xll.ACC(DB,_xll.ArrayDPT($BA12:$BJ12),_xll.ArrayCOA($BL12:$CE12),YR,PRD,_xll.ArrayDIM($CG12:$CJ12))</f>
        <v>0</v>
      </c>
      <c r="D12" s="104"/>
      <c r="E12" s="102">
        <f>_xll.ACC(DB,_xll.ArrayDPT($BA12:$BJ12),_xll.ArrayCOA($BL12:$CE12),YR,PRD-1,_xll.ArrayDIM($CG12:$CJ12))</f>
        <v>0</v>
      </c>
      <c r="F12" s="104"/>
      <c r="G12" s="102">
        <f t="shared" si="0"/>
        <v>0</v>
      </c>
      <c r="H12" s="107"/>
      <c r="I12" s="156">
        <f t="shared" si="1"/>
        <v>0</v>
      </c>
      <c r="J12" s="151"/>
      <c r="K12" s="60"/>
      <c r="L12" s="151"/>
      <c r="M12" s="60"/>
      <c r="N12" s="151"/>
      <c r="O12" s="60"/>
      <c r="P12" s="151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95"/>
      <c r="BB12" s="96"/>
      <c r="BC12" s="96"/>
      <c r="BD12" s="96"/>
      <c r="BE12" s="96"/>
      <c r="BF12" s="96"/>
      <c r="BG12" s="96"/>
      <c r="BH12" s="96"/>
      <c r="BI12" s="96"/>
      <c r="BJ12" s="96"/>
      <c r="BK12" s="97"/>
      <c r="BL12" s="95"/>
      <c r="BM12" s="96"/>
      <c r="BN12" s="95"/>
      <c r="BO12" s="96"/>
      <c r="BP12" s="95"/>
      <c r="BQ12" s="96"/>
      <c r="BR12" s="95"/>
      <c r="BS12" s="98"/>
      <c r="BT12" s="96"/>
      <c r="BU12" s="96"/>
      <c r="BV12" s="95"/>
      <c r="BW12" s="98"/>
      <c r="BX12" s="96"/>
      <c r="BY12" s="96"/>
      <c r="BZ12" s="95"/>
      <c r="CA12" s="98"/>
      <c r="CB12" s="96"/>
      <c r="CC12" s="96"/>
      <c r="CD12" s="95"/>
      <c r="CE12" s="98"/>
      <c r="CF12" s="99"/>
      <c r="CG12" s="95"/>
      <c r="CH12" s="96"/>
      <c r="CI12" s="96"/>
      <c r="CJ12" s="98"/>
    </row>
    <row r="13" spans="1:88" ht="12" customHeight="1">
      <c r="A13" s="154"/>
      <c r="B13" s="155" t="s">
        <v>124</v>
      </c>
      <c r="C13" s="102">
        <f>_xll.ACC(DB,_xll.ArrayDPT($BA13:$BJ13),_xll.ArrayCOA($BL13:$CE13),YR,PRD,_xll.ArrayDIM($CG13:$CJ13))</f>
        <v>-85808.57</v>
      </c>
      <c r="D13" s="104"/>
      <c r="E13" s="102">
        <f>_xll.ACC(DB,_xll.ArrayDPT($BA13:$BJ13),_xll.ArrayCOA($BL13:$CE13),YR,PRD-1,_xll.ArrayDIM($CG13:$CJ13))</f>
        <v>-85808.57</v>
      </c>
      <c r="F13" s="104"/>
      <c r="G13" s="102">
        <f t="shared" si="0"/>
        <v>0</v>
      </c>
      <c r="H13" s="107"/>
      <c r="I13" s="156">
        <f t="shared" si="1"/>
        <v>0</v>
      </c>
      <c r="J13" s="151"/>
      <c r="K13" s="60"/>
      <c r="L13" s="151"/>
      <c r="M13" s="60"/>
      <c r="N13" s="151"/>
      <c r="O13" s="60"/>
      <c r="P13" s="151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95"/>
      <c r="BB13" s="96"/>
      <c r="BC13" s="96"/>
      <c r="BD13" s="96"/>
      <c r="BE13" s="96"/>
      <c r="BF13" s="96"/>
      <c r="BG13" s="96"/>
      <c r="BH13" s="96"/>
      <c r="BI13" s="96"/>
      <c r="BJ13" s="96"/>
      <c r="BK13" s="97"/>
      <c r="BL13" s="95" t="s">
        <v>125</v>
      </c>
      <c r="BM13" s="96" t="s">
        <v>125</v>
      </c>
      <c r="BN13" s="95"/>
      <c r="BO13" s="96"/>
      <c r="BP13" s="95"/>
      <c r="BQ13" s="96"/>
      <c r="BR13" s="95"/>
      <c r="BS13" s="98"/>
      <c r="BT13" s="96"/>
      <c r="BU13" s="96"/>
      <c r="BV13" s="95"/>
      <c r="BW13" s="98"/>
      <c r="BX13" s="96"/>
      <c r="BY13" s="96"/>
      <c r="BZ13" s="95"/>
      <c r="CA13" s="98"/>
      <c r="CB13" s="96"/>
      <c r="CC13" s="96"/>
      <c r="CD13" s="95"/>
      <c r="CE13" s="98"/>
      <c r="CF13" s="99"/>
      <c r="CG13" s="95"/>
      <c r="CH13" s="96"/>
      <c r="CI13" s="96"/>
      <c r="CJ13" s="98"/>
    </row>
    <row r="14" spans="1:88" ht="12" customHeight="1">
      <c r="A14" s="154"/>
      <c r="B14" s="155" t="s">
        <v>126</v>
      </c>
      <c r="C14" s="102">
        <f>_xll.ACC(DB,_xll.ArrayDPT($BA14:$BJ14),_xll.ArrayCOA($BL14:$CE14),YR,PRD,_xll.ArrayDIM($CG14:$CJ14))</f>
        <v>35657.5</v>
      </c>
      <c r="D14" s="104"/>
      <c r="E14" s="102">
        <f>_xll.ACC(DB,_xll.ArrayDPT($BA14:$BJ14),_xll.ArrayCOA($BL14:$CE14),YR,PRD-1,_xll.ArrayDIM($CG14:$CJ14))</f>
        <v>35657.5</v>
      </c>
      <c r="F14" s="104"/>
      <c r="G14" s="102">
        <f t="shared" si="0"/>
        <v>0</v>
      </c>
      <c r="H14" s="103"/>
      <c r="I14" s="156">
        <f t="shared" si="1"/>
        <v>0</v>
      </c>
      <c r="J14" s="151"/>
      <c r="K14" s="60"/>
      <c r="L14" s="151"/>
      <c r="M14" s="60"/>
      <c r="N14" s="151"/>
      <c r="O14" s="60"/>
      <c r="P14" s="151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95"/>
      <c r="BB14" s="96"/>
      <c r="BC14" s="96"/>
      <c r="BD14" s="96"/>
      <c r="BE14" s="96"/>
      <c r="BF14" s="96"/>
      <c r="BG14" s="96"/>
      <c r="BH14" s="96"/>
      <c r="BI14" s="96"/>
      <c r="BJ14" s="96"/>
      <c r="BK14" s="97"/>
      <c r="BL14" s="95" t="s">
        <v>127</v>
      </c>
      <c r="BM14" s="96" t="s">
        <v>127</v>
      </c>
      <c r="BN14" s="95"/>
      <c r="BO14" s="96"/>
      <c r="BP14" s="95"/>
      <c r="BQ14" s="96"/>
      <c r="BR14" s="95"/>
      <c r="BS14" s="98"/>
      <c r="BT14" s="96"/>
      <c r="BU14" s="96"/>
      <c r="BV14" s="95"/>
      <c r="BW14" s="98"/>
      <c r="BX14" s="96"/>
      <c r="BY14" s="96"/>
      <c r="BZ14" s="95"/>
      <c r="CA14" s="98"/>
      <c r="CB14" s="96"/>
      <c r="CC14" s="96"/>
      <c r="CD14" s="95"/>
      <c r="CE14" s="98"/>
      <c r="CF14" s="99"/>
      <c r="CG14" s="95"/>
      <c r="CH14" s="96"/>
      <c r="CI14" s="96"/>
      <c r="CJ14" s="98"/>
    </row>
    <row r="15" spans="1:88" ht="12" customHeight="1">
      <c r="A15" s="154"/>
      <c r="B15" s="155" t="s">
        <v>128</v>
      </c>
      <c r="C15" s="102">
        <f>_xll.ACC(DB,_xll.ArrayDPT($BA15:$BJ15),_xll.ArrayCOA($BL15:$CE15),YR,PRD,_xll.ArrayDIM($CG15:$CJ15))</f>
        <v>0</v>
      </c>
      <c r="D15" s="104"/>
      <c r="E15" s="102">
        <f>_xll.ACC(DB,_xll.ArrayDPT($BA15:$BJ15),_xll.ArrayCOA($BL15:$CE15),YR,PRD-1,_xll.ArrayDIM($CG15:$CJ15))</f>
        <v>0</v>
      </c>
      <c r="F15" s="104"/>
      <c r="G15" s="102">
        <f t="shared" si="0"/>
        <v>0</v>
      </c>
      <c r="H15" s="103"/>
      <c r="I15" s="156">
        <f t="shared" si="1"/>
        <v>0</v>
      </c>
      <c r="J15" s="151"/>
      <c r="K15" s="60"/>
      <c r="L15" s="151"/>
      <c r="M15" s="60"/>
      <c r="N15" s="151"/>
      <c r="O15" s="60"/>
      <c r="P15" s="151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95"/>
      <c r="BB15" s="96"/>
      <c r="BC15" s="96"/>
      <c r="BD15" s="96"/>
      <c r="BE15" s="96"/>
      <c r="BF15" s="96"/>
      <c r="BG15" s="96"/>
      <c r="BH15" s="96"/>
      <c r="BI15" s="96"/>
      <c r="BJ15" s="96"/>
      <c r="BK15" s="97"/>
      <c r="BL15" s="95"/>
      <c r="BM15" s="96"/>
      <c r="BN15" s="95"/>
      <c r="BO15" s="96"/>
      <c r="BP15" s="95"/>
      <c r="BQ15" s="96"/>
      <c r="BR15" s="95"/>
      <c r="BS15" s="98"/>
      <c r="BT15" s="96"/>
      <c r="BU15" s="96"/>
      <c r="BV15" s="95"/>
      <c r="BW15" s="98"/>
      <c r="BX15" s="96"/>
      <c r="BY15" s="96"/>
      <c r="BZ15" s="95"/>
      <c r="CA15" s="98"/>
      <c r="CB15" s="96"/>
      <c r="CC15" s="96"/>
      <c r="CD15" s="95"/>
      <c r="CE15" s="98"/>
      <c r="CF15" s="99"/>
      <c r="CG15" s="95"/>
      <c r="CH15" s="96"/>
      <c r="CI15" s="96"/>
      <c r="CJ15" s="98"/>
    </row>
    <row r="16" spans="1:88" ht="12" customHeight="1">
      <c r="A16" s="154"/>
      <c r="B16" s="155" t="s">
        <v>129</v>
      </c>
      <c r="C16" s="102">
        <f>_xll.ACC(DB,_xll.ArrayDPT($BA16:$BJ16),_xll.ArrayCOA($BL16:$CE16),YR,PRD,_xll.ArrayDIM($CG16:$CJ16))</f>
        <v>-200</v>
      </c>
      <c r="D16" s="104"/>
      <c r="E16" s="102">
        <f>_xll.ACC(DB,_xll.ArrayDPT($BA16:$BJ16),_xll.ArrayCOA($BL16:$CE16),YR,PRD-1,_xll.ArrayDIM($CG16:$CJ16))</f>
        <v>-200</v>
      </c>
      <c r="F16" s="104"/>
      <c r="G16" s="102">
        <f t="shared" si="0"/>
        <v>0</v>
      </c>
      <c r="H16" s="103"/>
      <c r="I16" s="156">
        <f t="shared" si="1"/>
        <v>0</v>
      </c>
      <c r="J16" s="151"/>
      <c r="K16" s="60"/>
      <c r="L16" s="151"/>
      <c r="M16" s="60"/>
      <c r="N16" s="151"/>
      <c r="O16" s="60"/>
      <c r="P16" s="151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95"/>
      <c r="BB16" s="96"/>
      <c r="BC16" s="96"/>
      <c r="BD16" s="96"/>
      <c r="BE16" s="96"/>
      <c r="BF16" s="96"/>
      <c r="BG16" s="96"/>
      <c r="BH16" s="96"/>
      <c r="BI16" s="96"/>
      <c r="BJ16" s="96"/>
      <c r="BK16" s="97"/>
      <c r="BL16" s="95" t="s">
        <v>130</v>
      </c>
      <c r="BM16" s="96" t="s">
        <v>130</v>
      </c>
      <c r="BN16" s="95"/>
      <c r="BO16" s="96"/>
      <c r="BP16" s="95"/>
      <c r="BQ16" s="96"/>
      <c r="BR16" s="95"/>
      <c r="BS16" s="98"/>
      <c r="BT16" s="96"/>
      <c r="BU16" s="96"/>
      <c r="BV16" s="95"/>
      <c r="BW16" s="98"/>
      <c r="BX16" s="96"/>
      <c r="BY16" s="96"/>
      <c r="BZ16" s="95"/>
      <c r="CA16" s="98"/>
      <c r="CB16" s="96"/>
      <c r="CC16" s="96"/>
      <c r="CD16" s="95"/>
      <c r="CE16" s="98"/>
      <c r="CF16" s="99"/>
      <c r="CG16" s="95"/>
      <c r="CH16" s="96"/>
      <c r="CI16" s="96"/>
      <c r="CJ16" s="98"/>
    </row>
    <row r="17" spans="1:88" ht="12" customHeight="1">
      <c r="A17" s="154"/>
      <c r="B17" s="155" t="s">
        <v>131</v>
      </c>
      <c r="C17" s="102">
        <f>_xll.ACC(DB,_xll.ArrayDPT($BA17:$BJ17),_xll.ArrayCOA($BL17:$CE17),YR,PRD,_xll.ArrayDIM($CG17:$CJ17))</f>
        <v>0</v>
      </c>
      <c r="D17" s="104"/>
      <c r="E17" s="102">
        <f>_xll.ACC(DB,_xll.ArrayDPT($BA17:$BJ17),_xll.ArrayCOA($BL17:$CE17),YR,PRD-1,_xll.ArrayDIM($CG17:$CJ17))</f>
        <v>0</v>
      </c>
      <c r="F17" s="104"/>
      <c r="G17" s="102">
        <f t="shared" si="0"/>
        <v>0</v>
      </c>
      <c r="H17" s="103"/>
      <c r="I17" s="156">
        <f t="shared" si="1"/>
        <v>0</v>
      </c>
      <c r="J17" s="151"/>
      <c r="K17" s="60"/>
      <c r="L17" s="151"/>
      <c r="M17" s="60"/>
      <c r="N17" s="151"/>
      <c r="O17" s="60"/>
      <c r="P17" s="151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95"/>
      <c r="BB17" s="96"/>
      <c r="BC17" s="96"/>
      <c r="BD17" s="96"/>
      <c r="BE17" s="96"/>
      <c r="BF17" s="96"/>
      <c r="BG17" s="96"/>
      <c r="BH17" s="96"/>
      <c r="BI17" s="96"/>
      <c r="BJ17" s="96"/>
      <c r="BK17" s="97"/>
      <c r="BL17" s="95"/>
      <c r="BM17" s="96"/>
      <c r="BN17" s="95"/>
      <c r="BO17" s="96"/>
      <c r="BP17" s="95"/>
      <c r="BQ17" s="96"/>
      <c r="BR17" s="95"/>
      <c r="BS17" s="98"/>
      <c r="BT17" s="96"/>
      <c r="BU17" s="96"/>
      <c r="BV17" s="95"/>
      <c r="BW17" s="98"/>
      <c r="BX17" s="96"/>
      <c r="BY17" s="96"/>
      <c r="BZ17" s="95"/>
      <c r="CA17" s="98"/>
      <c r="CB17" s="96"/>
      <c r="CC17" s="96"/>
      <c r="CD17" s="95"/>
      <c r="CE17" s="98"/>
      <c r="CF17" s="99"/>
      <c r="CG17" s="95"/>
      <c r="CH17" s="96"/>
      <c r="CI17" s="96"/>
      <c r="CJ17" s="98"/>
    </row>
    <row r="18" spans="1:88" ht="14.25" customHeight="1">
      <c r="A18" s="60"/>
      <c r="B18" s="157" t="s">
        <v>132</v>
      </c>
      <c r="C18" s="130">
        <f>SUM(C11:C17)</f>
        <v>-50351.070000000007</v>
      </c>
      <c r="D18" s="94"/>
      <c r="E18" s="130">
        <f>SUM(E11:E17)</f>
        <v>-50351.070000000007</v>
      </c>
      <c r="F18" s="94"/>
      <c r="G18" s="130">
        <f t="shared" si="0"/>
        <v>0</v>
      </c>
      <c r="H18" s="93"/>
      <c r="I18" s="158">
        <f t="shared" si="1"/>
        <v>0</v>
      </c>
      <c r="J18" s="151"/>
      <c r="K18" s="60"/>
      <c r="L18" s="151"/>
      <c r="M18" s="60"/>
      <c r="N18" s="151"/>
      <c r="O18" s="60"/>
      <c r="P18" s="151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95"/>
      <c r="BB18" s="96"/>
      <c r="BC18" s="96"/>
      <c r="BD18" s="96"/>
      <c r="BE18" s="96"/>
      <c r="BF18" s="96"/>
      <c r="BG18" s="96"/>
      <c r="BH18" s="96"/>
      <c r="BI18" s="96"/>
      <c r="BJ18" s="96"/>
      <c r="BK18" s="97"/>
      <c r="BL18" s="95"/>
      <c r="BM18" s="96"/>
      <c r="BN18" s="95"/>
      <c r="BO18" s="96"/>
      <c r="BP18" s="95"/>
      <c r="BQ18" s="96"/>
      <c r="BR18" s="95"/>
      <c r="BS18" s="98"/>
      <c r="BT18" s="96"/>
      <c r="BU18" s="96"/>
      <c r="BV18" s="95"/>
      <c r="BW18" s="98"/>
      <c r="BX18" s="96"/>
      <c r="BY18" s="96"/>
      <c r="BZ18" s="95"/>
      <c r="CA18" s="98"/>
      <c r="CB18" s="96"/>
      <c r="CC18" s="96"/>
      <c r="CD18" s="95"/>
      <c r="CE18" s="98"/>
      <c r="CF18" s="99"/>
      <c r="CG18" s="95"/>
      <c r="CH18" s="96"/>
      <c r="CI18" s="96"/>
      <c r="CJ18" s="98"/>
    </row>
    <row r="19" spans="1:88" ht="12" customHeight="1">
      <c r="A19" s="154"/>
      <c r="B19" s="106"/>
      <c r="C19" s="102"/>
      <c r="D19" s="104"/>
      <c r="E19" s="102"/>
      <c r="F19" s="104"/>
      <c r="G19" s="102"/>
      <c r="H19" s="103"/>
      <c r="I19" s="156"/>
      <c r="J19" s="151"/>
      <c r="K19" s="60"/>
      <c r="L19" s="151"/>
      <c r="M19" s="60"/>
      <c r="N19" s="151"/>
      <c r="O19" s="60"/>
      <c r="P19" s="151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95"/>
      <c r="BB19" s="96"/>
      <c r="BC19" s="96"/>
      <c r="BD19" s="96"/>
      <c r="BE19" s="96"/>
      <c r="BF19" s="96"/>
      <c r="BG19" s="96"/>
      <c r="BH19" s="96"/>
      <c r="BI19" s="96"/>
      <c r="BJ19" s="96"/>
      <c r="BK19" s="97"/>
      <c r="BL19" s="95"/>
      <c r="BM19" s="96"/>
      <c r="BN19" s="95"/>
      <c r="BO19" s="96"/>
      <c r="BP19" s="95"/>
      <c r="BQ19" s="96"/>
      <c r="BR19" s="95"/>
      <c r="BS19" s="98"/>
      <c r="BT19" s="96"/>
      <c r="BU19" s="96"/>
      <c r="BV19" s="95"/>
      <c r="BW19" s="98"/>
      <c r="BX19" s="96"/>
      <c r="BY19" s="96"/>
      <c r="BZ19" s="95"/>
      <c r="CA19" s="98"/>
      <c r="CB19" s="96"/>
      <c r="CC19" s="96"/>
      <c r="CD19" s="95"/>
      <c r="CE19" s="98"/>
      <c r="CF19" s="99"/>
      <c r="CG19" s="95"/>
      <c r="CH19" s="96"/>
      <c r="CI19" s="96"/>
      <c r="CJ19" s="98"/>
    </row>
    <row r="20" spans="1:88" ht="12" customHeight="1">
      <c r="A20" s="154"/>
      <c r="B20" s="148" t="s">
        <v>133</v>
      </c>
      <c r="C20" s="102"/>
      <c r="D20" s="104"/>
      <c r="E20" s="102"/>
      <c r="F20" s="104"/>
      <c r="G20" s="102"/>
      <c r="H20" s="103"/>
      <c r="I20" s="156"/>
      <c r="J20" s="151"/>
      <c r="K20" s="60"/>
      <c r="L20" s="151"/>
      <c r="M20" s="60"/>
      <c r="N20" s="151"/>
      <c r="O20" s="60"/>
      <c r="P20" s="151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95"/>
      <c r="BB20" s="96"/>
      <c r="BC20" s="96"/>
      <c r="BD20" s="96"/>
      <c r="BE20" s="96"/>
      <c r="BF20" s="96"/>
      <c r="BG20" s="96"/>
      <c r="BH20" s="96"/>
      <c r="BI20" s="96"/>
      <c r="BJ20" s="96"/>
      <c r="BK20" s="97"/>
      <c r="BL20" s="95"/>
      <c r="BM20" s="96"/>
      <c r="BN20" s="95"/>
      <c r="BO20" s="96"/>
      <c r="BP20" s="95"/>
      <c r="BQ20" s="96"/>
      <c r="BR20" s="95"/>
      <c r="BS20" s="98"/>
      <c r="BT20" s="96"/>
      <c r="BU20" s="96"/>
      <c r="BV20" s="95"/>
      <c r="BW20" s="98"/>
      <c r="BX20" s="96"/>
      <c r="BY20" s="96"/>
      <c r="BZ20" s="95"/>
      <c r="CA20" s="98"/>
      <c r="CB20" s="96"/>
      <c r="CC20" s="96"/>
      <c r="CD20" s="95"/>
      <c r="CE20" s="98"/>
      <c r="CF20" s="99"/>
      <c r="CG20" s="95"/>
      <c r="CH20" s="96"/>
      <c r="CI20" s="96"/>
      <c r="CJ20" s="98"/>
    </row>
    <row r="21" spans="1:88" ht="12" customHeight="1">
      <c r="A21" s="154"/>
      <c r="B21" s="155" t="s">
        <v>134</v>
      </c>
      <c r="C21" s="102">
        <f>_xll.ACC(DB,_xll.ArrayDPT($BA21:$BJ21),_xll.ArrayCOA($BL21:$CE21),YR,PRD,_xll.ArrayDIM($CG21:$CJ21))</f>
        <v>-31923561.82</v>
      </c>
      <c r="D21" s="104"/>
      <c r="E21" s="102">
        <f>_xll.ACC(DB,_xll.ArrayDPT($BA21:$BJ21),_xll.ArrayCOA($BL21:$CE21),YR,PRD-1,_xll.ArrayDIM($CG21:$CJ21))</f>
        <v>-31923561.82</v>
      </c>
      <c r="F21" s="104"/>
      <c r="G21" s="102">
        <f t="shared" ref="G21:G31" si="2">C21-E21</f>
        <v>0</v>
      </c>
      <c r="H21" s="103"/>
      <c r="I21" s="156">
        <f t="shared" ref="I21:I30" si="3">IF(G21=0,0,(G21*100/$G$30))</f>
        <v>0</v>
      </c>
      <c r="J21" s="151"/>
      <c r="K21" s="60"/>
      <c r="L21" s="151"/>
      <c r="M21" s="60"/>
      <c r="N21" s="151"/>
      <c r="O21" s="60"/>
      <c r="P21" s="151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95"/>
      <c r="BB21" s="96"/>
      <c r="BC21" s="96"/>
      <c r="BD21" s="96"/>
      <c r="BE21" s="96"/>
      <c r="BF21" s="96"/>
      <c r="BG21" s="96"/>
      <c r="BH21" s="96"/>
      <c r="BI21" s="96"/>
      <c r="BJ21" s="96"/>
      <c r="BK21" s="97"/>
      <c r="BL21" s="95" t="s">
        <v>135</v>
      </c>
      <c r="BM21" s="96" t="s">
        <v>135</v>
      </c>
      <c r="BN21" s="95"/>
      <c r="BO21" s="96"/>
      <c r="BP21" s="95"/>
      <c r="BQ21" s="96"/>
      <c r="BR21" s="95"/>
      <c r="BS21" s="98"/>
      <c r="BT21" s="96"/>
      <c r="BU21" s="96"/>
      <c r="BV21" s="95"/>
      <c r="BW21" s="98"/>
      <c r="BX21" s="96"/>
      <c r="BY21" s="96"/>
      <c r="BZ21" s="95"/>
      <c r="CA21" s="98"/>
      <c r="CB21" s="96"/>
      <c r="CC21" s="96"/>
      <c r="CD21" s="95"/>
      <c r="CE21" s="98"/>
      <c r="CF21" s="99"/>
      <c r="CG21" s="95"/>
      <c r="CH21" s="96"/>
      <c r="CI21" s="96"/>
      <c r="CJ21" s="98"/>
    </row>
    <row r="22" spans="1:88" ht="12" customHeight="1">
      <c r="A22" s="154"/>
      <c r="B22" s="155" t="s">
        <v>136</v>
      </c>
      <c r="C22" s="102">
        <f>_xll.ACC(DB,_xll.ArrayDPT($BA22:$BJ22),_xll.ArrayCOA($BL22:$CE22),YR,PRD,_xll.ArrayDIM($CG22:$CJ22))</f>
        <v>-92019684.900000006</v>
      </c>
      <c r="D22" s="104"/>
      <c r="E22" s="102">
        <f>_xll.ACC(DB,_xll.ArrayDPT($BA22:$BJ22),_xll.ArrayCOA($BL22:$CE22),YR,PRD-1,_xll.ArrayDIM($CG22:$CJ22))</f>
        <v>-90307956.319999993</v>
      </c>
      <c r="F22" s="104"/>
      <c r="G22" s="102">
        <f t="shared" si="2"/>
        <v>-1711728.5800000131</v>
      </c>
      <c r="H22" s="103"/>
      <c r="I22" s="156">
        <f t="shared" si="3"/>
        <v>27.572299307126105</v>
      </c>
      <c r="J22" s="151"/>
      <c r="K22" s="60"/>
      <c r="L22" s="151"/>
      <c r="M22" s="60"/>
      <c r="N22" s="151"/>
      <c r="O22" s="60"/>
      <c r="P22" s="151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95"/>
      <c r="BB22" s="96"/>
      <c r="BC22" s="96"/>
      <c r="BD22" s="96"/>
      <c r="BE22" s="96"/>
      <c r="BF22" s="96"/>
      <c r="BG22" s="96"/>
      <c r="BH22" s="96"/>
      <c r="BI22" s="96"/>
      <c r="BJ22" s="96"/>
      <c r="BK22" s="97"/>
      <c r="BL22" s="95" t="s">
        <v>137</v>
      </c>
      <c r="BM22" s="96" t="s">
        <v>137</v>
      </c>
      <c r="BN22" s="95"/>
      <c r="BO22" s="96"/>
      <c r="BP22" s="95"/>
      <c r="BQ22" s="96"/>
      <c r="BR22" s="95"/>
      <c r="BS22" s="98"/>
      <c r="BT22" s="96"/>
      <c r="BU22" s="96"/>
      <c r="BV22" s="95"/>
      <c r="BW22" s="98"/>
      <c r="BX22" s="96"/>
      <c r="BY22" s="96"/>
      <c r="BZ22" s="95"/>
      <c r="CA22" s="98"/>
      <c r="CB22" s="96"/>
      <c r="CC22" s="96"/>
      <c r="CD22" s="95"/>
      <c r="CE22" s="98"/>
      <c r="CF22" s="99"/>
      <c r="CG22" s="95"/>
      <c r="CH22" s="96"/>
      <c r="CI22" s="96"/>
      <c r="CJ22" s="98"/>
    </row>
    <row r="23" spans="1:88" ht="12" customHeight="1">
      <c r="A23" s="154"/>
      <c r="B23" s="155" t="s">
        <v>138</v>
      </c>
      <c r="C23" s="102">
        <f>_xll.ACC(DB,_xll.ArrayDPT($BA23:$BJ23),_xll.ArrayCOA($BL23:$CE23),YR,PRD,_xll.ArrayDIM($CG23:$CJ23))</f>
        <v>-50590106.5</v>
      </c>
      <c r="D23" s="104"/>
      <c r="E23" s="102">
        <f>_xll.ACC(DB,_xll.ArrayDPT($BA23:$BJ23),_xll.ArrayCOA($BL23:$CE23),YR,PRD-1,_xll.ArrayDIM($CG23:$CJ23))</f>
        <v>-54538739.140000001</v>
      </c>
      <c r="F23" s="104"/>
      <c r="G23" s="102">
        <f t="shared" si="2"/>
        <v>3948632.6400000006</v>
      </c>
      <c r="H23" s="103"/>
      <c r="I23" s="156">
        <f t="shared" si="3"/>
        <v>-63.604056318301758</v>
      </c>
      <c r="J23" s="151"/>
      <c r="K23" s="60"/>
      <c r="L23" s="151"/>
      <c r="M23" s="60"/>
      <c r="N23" s="151"/>
      <c r="O23" s="60"/>
      <c r="P23" s="151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95"/>
      <c r="BB23" s="96"/>
      <c r="BC23" s="96"/>
      <c r="BD23" s="96"/>
      <c r="BE23" s="96"/>
      <c r="BF23" s="96"/>
      <c r="BG23" s="96"/>
      <c r="BH23" s="96"/>
      <c r="BI23" s="96"/>
      <c r="BJ23" s="96"/>
      <c r="BK23" s="97"/>
      <c r="BL23" s="95" t="s">
        <v>139</v>
      </c>
      <c r="BM23" s="96" t="s">
        <v>139</v>
      </c>
      <c r="BN23" s="95"/>
      <c r="BO23" s="96"/>
      <c r="BP23" s="95"/>
      <c r="BQ23" s="96"/>
      <c r="BR23" s="95"/>
      <c r="BS23" s="98"/>
      <c r="BT23" s="96"/>
      <c r="BU23" s="96"/>
      <c r="BV23" s="95"/>
      <c r="BW23" s="98"/>
      <c r="BX23" s="96"/>
      <c r="BY23" s="96"/>
      <c r="BZ23" s="95"/>
      <c r="CA23" s="98"/>
      <c r="CB23" s="96"/>
      <c r="CC23" s="96"/>
      <c r="CD23" s="95"/>
      <c r="CE23" s="98"/>
      <c r="CF23" s="99"/>
      <c r="CG23" s="95"/>
      <c r="CH23" s="96"/>
      <c r="CI23" s="96"/>
      <c r="CJ23" s="98"/>
    </row>
    <row r="24" spans="1:88" ht="12" customHeight="1">
      <c r="A24" s="154"/>
      <c r="B24" s="155" t="s">
        <v>134</v>
      </c>
      <c r="C24" s="102">
        <f>_xll.ACC(DB,_xll.ArrayDPT($BA24:$BJ24),_xll.ArrayCOA($BL24:$CE24),YR,PRD,_xll.ArrayDIM($CG24:$CJ24))</f>
        <v>-42042210.719999999</v>
      </c>
      <c r="D24" s="104"/>
      <c r="E24" s="102">
        <f>_xll.ACC(DB,_xll.ArrayDPT($BA24:$BJ24),_xll.ArrayCOA($BL24:$CE24),YR,PRD-1,_xll.ArrayDIM($CG24:$CJ24))</f>
        <v>-32837160.719999999</v>
      </c>
      <c r="F24" s="104"/>
      <c r="G24" s="102">
        <f t="shared" si="2"/>
        <v>-9205050</v>
      </c>
      <c r="H24" s="103"/>
      <c r="I24" s="156">
        <f t="shared" si="3"/>
        <v>148.27373726333366</v>
      </c>
      <c r="J24" s="151"/>
      <c r="K24" s="60"/>
      <c r="L24" s="151"/>
      <c r="M24" s="60"/>
      <c r="N24" s="151"/>
      <c r="O24" s="60"/>
      <c r="P24" s="151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95"/>
      <c r="BB24" s="96"/>
      <c r="BC24" s="96"/>
      <c r="BD24" s="96"/>
      <c r="BE24" s="96"/>
      <c r="BF24" s="96"/>
      <c r="BG24" s="96"/>
      <c r="BH24" s="96"/>
      <c r="BI24" s="96"/>
      <c r="BJ24" s="96"/>
      <c r="BK24" s="97"/>
      <c r="BL24" s="95" t="s">
        <v>140</v>
      </c>
      <c r="BM24" s="96" t="s">
        <v>140</v>
      </c>
      <c r="BN24" s="95"/>
      <c r="BO24" s="96"/>
      <c r="BP24" s="95"/>
      <c r="BQ24" s="96"/>
      <c r="BR24" s="95"/>
      <c r="BS24" s="98"/>
      <c r="BT24" s="96"/>
      <c r="BU24" s="96"/>
      <c r="BV24" s="95"/>
      <c r="BW24" s="98"/>
      <c r="BX24" s="96"/>
      <c r="BY24" s="96"/>
      <c r="BZ24" s="95"/>
      <c r="CA24" s="98"/>
      <c r="CB24" s="96"/>
      <c r="CC24" s="96"/>
      <c r="CD24" s="95"/>
      <c r="CE24" s="98"/>
      <c r="CF24" s="99"/>
      <c r="CG24" s="95"/>
      <c r="CH24" s="96"/>
      <c r="CI24" s="96"/>
      <c r="CJ24" s="98"/>
    </row>
    <row r="25" spans="1:88" ht="12" customHeight="1">
      <c r="A25" s="154"/>
      <c r="B25" s="155" t="s">
        <v>141</v>
      </c>
      <c r="C25" s="102">
        <f>_xll.ACC(DB,_xll.ArrayDPT($BA25:$BJ25),_xll.ArrayCOA($BL25:$CE25),YR,PRD,_xll.ArrayDIM($CG25:$CJ25))</f>
        <v>-92571934.659999996</v>
      </c>
      <c r="D25" s="104"/>
      <c r="E25" s="102">
        <f>_xll.ACC(DB,_xll.ArrayDPT($BA25:$BJ25),_xll.ArrayCOA($BL25:$CE25),YR,PRD-1,_xll.ArrayDIM($CG25:$CJ25))</f>
        <v>-93331934.659999996</v>
      </c>
      <c r="F25" s="104"/>
      <c r="G25" s="102">
        <f t="shared" si="2"/>
        <v>760000</v>
      </c>
      <c r="H25" s="103"/>
      <c r="I25" s="156">
        <f t="shared" si="3"/>
        <v>-12.241980252158715</v>
      </c>
      <c r="J25" s="151"/>
      <c r="K25" s="60"/>
      <c r="L25" s="151"/>
      <c r="M25" s="60"/>
      <c r="N25" s="151"/>
      <c r="O25" s="60"/>
      <c r="P25" s="151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95"/>
      <c r="BB25" s="96"/>
      <c r="BC25" s="96"/>
      <c r="BD25" s="96"/>
      <c r="BE25" s="96"/>
      <c r="BF25" s="96"/>
      <c r="BG25" s="96"/>
      <c r="BH25" s="96"/>
      <c r="BI25" s="96"/>
      <c r="BJ25" s="96"/>
      <c r="BK25" s="97"/>
      <c r="BL25" s="95" t="s">
        <v>142</v>
      </c>
      <c r="BM25" s="96" t="s">
        <v>142</v>
      </c>
      <c r="BN25" s="95"/>
      <c r="BO25" s="96"/>
      <c r="BP25" s="95"/>
      <c r="BQ25" s="96"/>
      <c r="BR25" s="95"/>
      <c r="BS25" s="98"/>
      <c r="BT25" s="96"/>
      <c r="BU25" s="96"/>
      <c r="BV25" s="95"/>
      <c r="BW25" s="98"/>
      <c r="BX25" s="96"/>
      <c r="BY25" s="96"/>
      <c r="BZ25" s="95"/>
      <c r="CA25" s="98"/>
      <c r="CB25" s="96"/>
      <c r="CC25" s="96"/>
      <c r="CD25" s="95"/>
      <c r="CE25" s="98"/>
      <c r="CF25" s="99"/>
      <c r="CG25" s="95"/>
      <c r="CH25" s="96"/>
      <c r="CI25" s="96"/>
      <c r="CJ25" s="98"/>
    </row>
    <row r="26" spans="1:88" ht="12" customHeight="1">
      <c r="A26" s="154"/>
      <c r="B26" s="155" t="s">
        <v>143</v>
      </c>
      <c r="C26" s="102">
        <f>_xll.ACC(DB,_xll.ArrayDPT($BA26:$BJ26),_xll.ArrayCOA($BL26:$CE26),YR,PRD,_xll.ArrayDIM($CG26:$CJ26))</f>
        <v>500</v>
      </c>
      <c r="D26" s="104"/>
      <c r="E26" s="102">
        <f>_xll.ACC(DB,_xll.ArrayDPT($BA26:$BJ26),_xll.ArrayCOA($BL26:$CE26),YR,PRD-1,_xll.ArrayDIM($CG26:$CJ26))</f>
        <v>500</v>
      </c>
      <c r="F26" s="104"/>
      <c r="G26" s="102">
        <f t="shared" si="2"/>
        <v>0</v>
      </c>
      <c r="H26" s="103"/>
      <c r="I26" s="156">
        <f t="shared" si="3"/>
        <v>0</v>
      </c>
      <c r="J26" s="151"/>
      <c r="K26" s="60"/>
      <c r="L26" s="151"/>
      <c r="M26" s="60"/>
      <c r="N26" s="151"/>
      <c r="O26" s="60"/>
      <c r="P26" s="151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95"/>
      <c r="BB26" s="96"/>
      <c r="BC26" s="96"/>
      <c r="BD26" s="96"/>
      <c r="BE26" s="96"/>
      <c r="BF26" s="96"/>
      <c r="BG26" s="96"/>
      <c r="BH26" s="96"/>
      <c r="BI26" s="96"/>
      <c r="BJ26" s="96"/>
      <c r="BK26" s="97"/>
      <c r="BL26" s="95" t="s">
        <v>144</v>
      </c>
      <c r="BM26" s="96" t="s">
        <v>144</v>
      </c>
      <c r="BN26" s="95"/>
      <c r="BO26" s="96"/>
      <c r="BP26" s="95"/>
      <c r="BQ26" s="96"/>
      <c r="BR26" s="95"/>
      <c r="BS26" s="98"/>
      <c r="BT26" s="96"/>
      <c r="BU26" s="96"/>
      <c r="BV26" s="95"/>
      <c r="BW26" s="98"/>
      <c r="BX26" s="96"/>
      <c r="BY26" s="96"/>
      <c r="BZ26" s="95"/>
      <c r="CA26" s="98"/>
      <c r="CB26" s="96"/>
      <c r="CC26" s="96"/>
      <c r="CD26" s="95"/>
      <c r="CE26" s="98"/>
      <c r="CF26" s="99"/>
      <c r="CG26" s="95"/>
      <c r="CH26" s="96"/>
      <c r="CI26" s="96"/>
      <c r="CJ26" s="98"/>
    </row>
    <row r="27" spans="1:88" ht="12" customHeight="1">
      <c r="A27" s="154"/>
      <c r="B27" s="155" t="s">
        <v>145</v>
      </c>
      <c r="C27" s="102">
        <f>_xll.ACC(DB,_xll.ArrayDPT($BA27:$BJ27),_xll.ArrayCOA($BL27:$CE27),YR,PRD,_xll.ArrayDIM($CG27:$CJ27))</f>
        <v>0</v>
      </c>
      <c r="D27" s="104"/>
      <c r="E27" s="102">
        <f>_xll.ACC(DB,_xll.ArrayDPT($BA27:$BJ27),_xll.ArrayCOA($BL27:$CE27),YR,PRD-1,_xll.ArrayDIM($CG27:$CJ27))</f>
        <v>0</v>
      </c>
      <c r="F27" s="104"/>
      <c r="G27" s="102">
        <f t="shared" si="2"/>
        <v>0</v>
      </c>
      <c r="H27" s="103"/>
      <c r="I27" s="156">
        <f t="shared" si="3"/>
        <v>0</v>
      </c>
      <c r="J27" s="151"/>
      <c r="K27" s="60"/>
      <c r="L27" s="151"/>
      <c r="M27" s="60"/>
      <c r="N27" s="151"/>
      <c r="O27" s="60"/>
      <c r="P27" s="151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95"/>
      <c r="BB27" s="96"/>
      <c r="BC27" s="96"/>
      <c r="BD27" s="96"/>
      <c r="BE27" s="96"/>
      <c r="BF27" s="96"/>
      <c r="BG27" s="96"/>
      <c r="BH27" s="96"/>
      <c r="BI27" s="96"/>
      <c r="BJ27" s="96"/>
      <c r="BK27" s="97"/>
      <c r="BL27" s="95"/>
      <c r="BM27" s="96"/>
      <c r="BN27" s="95"/>
      <c r="BO27" s="96"/>
      <c r="BP27" s="95"/>
      <c r="BQ27" s="96"/>
      <c r="BR27" s="95"/>
      <c r="BS27" s="98"/>
      <c r="BT27" s="96"/>
      <c r="BU27" s="96"/>
      <c r="BV27" s="95"/>
      <c r="BW27" s="98"/>
      <c r="BX27" s="96"/>
      <c r="BY27" s="96"/>
      <c r="BZ27" s="95"/>
      <c r="CA27" s="98"/>
      <c r="CB27" s="96"/>
      <c r="CC27" s="96"/>
      <c r="CD27" s="95"/>
      <c r="CE27" s="98"/>
      <c r="CF27" s="99"/>
      <c r="CG27" s="95"/>
      <c r="CH27" s="96"/>
      <c r="CI27" s="96"/>
      <c r="CJ27" s="98"/>
    </row>
    <row r="28" spans="1:88" ht="12" customHeight="1">
      <c r="A28" s="154"/>
      <c r="B28" s="155" t="s">
        <v>146</v>
      </c>
      <c r="C28" s="102">
        <f>_xll.ACC(DB,_xll.ArrayDPT($BA28:$BJ28),_xll.ArrayCOA($BL28:$CE28),YR,PRD,_xll.ArrayDIM($CG28:$CJ28))</f>
        <v>0</v>
      </c>
      <c r="D28" s="104"/>
      <c r="E28" s="102">
        <f>_xll.ACC(DB,_xll.ArrayDPT($BA28:$BJ28),_xll.ArrayCOA($BL28:$CE28),YR,PRD-1,_xll.ArrayDIM($CG28:$CJ28))</f>
        <v>0</v>
      </c>
      <c r="F28" s="104"/>
      <c r="G28" s="102">
        <f t="shared" si="2"/>
        <v>0</v>
      </c>
      <c r="H28" s="103"/>
      <c r="I28" s="156">
        <f t="shared" si="3"/>
        <v>0</v>
      </c>
      <c r="J28" s="151"/>
      <c r="K28" s="60"/>
      <c r="L28" s="151"/>
      <c r="M28" s="60"/>
      <c r="N28" s="151"/>
      <c r="O28" s="60"/>
      <c r="P28" s="151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95"/>
      <c r="BB28" s="96"/>
      <c r="BC28" s="96"/>
      <c r="BD28" s="96"/>
      <c r="BE28" s="96"/>
      <c r="BF28" s="96"/>
      <c r="BG28" s="96"/>
      <c r="BH28" s="96"/>
      <c r="BI28" s="96"/>
      <c r="BJ28" s="96"/>
      <c r="BK28" s="97"/>
      <c r="BL28" s="95"/>
      <c r="BM28" s="96"/>
      <c r="BN28" s="95"/>
      <c r="BO28" s="96"/>
      <c r="BP28" s="95"/>
      <c r="BQ28" s="96"/>
      <c r="BR28" s="95"/>
      <c r="BS28" s="98"/>
      <c r="BT28" s="96"/>
      <c r="BU28" s="96"/>
      <c r="BV28" s="95"/>
      <c r="BW28" s="98"/>
      <c r="BX28" s="96"/>
      <c r="BY28" s="96"/>
      <c r="BZ28" s="95"/>
      <c r="CA28" s="98"/>
      <c r="CB28" s="96"/>
      <c r="CC28" s="96"/>
      <c r="CD28" s="95"/>
      <c r="CE28" s="98"/>
      <c r="CF28" s="99"/>
      <c r="CG28" s="95"/>
      <c r="CH28" s="96"/>
      <c r="CI28" s="96"/>
      <c r="CJ28" s="98"/>
    </row>
    <row r="29" spans="1:88" ht="12" customHeight="1">
      <c r="A29" s="154"/>
      <c r="B29" s="155" t="s">
        <v>147</v>
      </c>
      <c r="C29" s="102">
        <f>_xll.ACC(DB,_xll.ArrayDPT($BA29:$BJ29),_xll.ArrayCOA($BL29:$CE29),YR,PRD,_xll.ArrayDIM($CG29:$CJ29))</f>
        <v>0</v>
      </c>
      <c r="D29" s="104"/>
      <c r="E29" s="102">
        <f>_xll.ACC(DB,_xll.ArrayDPT($BA29:$BJ29),_xll.ArrayCOA($BL29:$CE29),YR,PRD-1,_xll.ArrayDIM($CG29:$CJ29))</f>
        <v>0</v>
      </c>
      <c r="F29" s="104"/>
      <c r="G29" s="102">
        <f t="shared" si="2"/>
        <v>0</v>
      </c>
      <c r="H29" s="103"/>
      <c r="I29" s="156">
        <f t="shared" si="3"/>
        <v>0</v>
      </c>
      <c r="J29" s="151"/>
      <c r="K29" s="60"/>
      <c r="L29" s="151"/>
      <c r="M29" s="60"/>
      <c r="N29" s="151"/>
      <c r="O29" s="60"/>
      <c r="P29" s="151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95"/>
      <c r="BB29" s="96"/>
      <c r="BC29" s="96"/>
      <c r="BD29" s="96"/>
      <c r="BE29" s="96"/>
      <c r="BF29" s="96"/>
      <c r="BG29" s="96"/>
      <c r="BH29" s="96"/>
      <c r="BI29" s="96"/>
      <c r="BJ29" s="96"/>
      <c r="BK29" s="97"/>
      <c r="BL29" s="95"/>
      <c r="BM29" s="96"/>
      <c r="BN29" s="95"/>
      <c r="BO29" s="96"/>
      <c r="BP29" s="95"/>
      <c r="BQ29" s="96"/>
      <c r="BR29" s="95"/>
      <c r="BS29" s="98"/>
      <c r="BT29" s="96"/>
      <c r="BU29" s="96"/>
      <c r="BV29" s="95"/>
      <c r="BW29" s="98"/>
      <c r="BX29" s="96"/>
      <c r="BY29" s="96"/>
      <c r="BZ29" s="95"/>
      <c r="CA29" s="98"/>
      <c r="CB29" s="96"/>
      <c r="CC29" s="96"/>
      <c r="CD29" s="95"/>
      <c r="CE29" s="98"/>
      <c r="CF29" s="99"/>
      <c r="CG29" s="95"/>
      <c r="CH29" s="96"/>
      <c r="CI29" s="96"/>
      <c r="CJ29" s="98"/>
    </row>
    <row r="30" spans="1:88" ht="14.25" customHeight="1">
      <c r="A30" s="60"/>
      <c r="B30" s="157" t="s">
        <v>148</v>
      </c>
      <c r="C30" s="130">
        <f>SUM(C21:C29)</f>
        <v>-309146998.60000002</v>
      </c>
      <c r="D30" s="94"/>
      <c r="E30" s="130">
        <f>SUM(E21:E29)</f>
        <v>-302938852.65999997</v>
      </c>
      <c r="F30" s="94"/>
      <c r="G30" s="130">
        <f t="shared" si="2"/>
        <v>-6208145.9400000572</v>
      </c>
      <c r="H30" s="93"/>
      <c r="I30" s="158">
        <f t="shared" si="3"/>
        <v>100</v>
      </c>
      <c r="J30" s="151"/>
      <c r="K30" s="60"/>
      <c r="L30" s="151"/>
      <c r="M30" s="60"/>
      <c r="N30" s="151"/>
      <c r="O30" s="60"/>
      <c r="P30" s="151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95"/>
      <c r="BB30" s="96"/>
      <c r="BC30" s="96"/>
      <c r="BD30" s="96"/>
      <c r="BE30" s="96"/>
      <c r="BF30" s="96"/>
      <c r="BG30" s="96"/>
      <c r="BH30" s="96"/>
      <c r="BI30" s="96"/>
      <c r="BJ30" s="96"/>
      <c r="BK30" s="97"/>
      <c r="BL30" s="95"/>
      <c r="BM30" s="96"/>
      <c r="BN30" s="95"/>
      <c r="BO30" s="96"/>
      <c r="BP30" s="95"/>
      <c r="BQ30" s="96"/>
      <c r="BR30" s="95"/>
      <c r="BS30" s="98"/>
      <c r="BT30" s="96"/>
      <c r="BU30" s="96"/>
      <c r="BV30" s="95"/>
      <c r="BW30" s="98"/>
      <c r="BX30" s="96"/>
      <c r="BY30" s="96"/>
      <c r="BZ30" s="95"/>
      <c r="CA30" s="98"/>
      <c r="CB30" s="96"/>
      <c r="CC30" s="96"/>
      <c r="CD30" s="95"/>
      <c r="CE30" s="98"/>
      <c r="CF30" s="99"/>
      <c r="CG30" s="95"/>
      <c r="CH30" s="96"/>
      <c r="CI30" s="96"/>
      <c r="CJ30" s="98"/>
    </row>
    <row r="31" spans="1:88" ht="15" customHeight="1">
      <c r="A31" s="101" t="s">
        <v>149</v>
      </c>
      <c r="B31" s="106"/>
      <c r="C31" s="111">
        <f>+C30+C18</f>
        <v>-309197349.67000002</v>
      </c>
      <c r="D31" s="94"/>
      <c r="E31" s="111">
        <f>+E30+E18</f>
        <v>-302989203.72999996</v>
      </c>
      <c r="F31" s="94"/>
      <c r="G31" s="111">
        <f t="shared" si="2"/>
        <v>-6208145.9400000572</v>
      </c>
      <c r="H31" s="112"/>
      <c r="I31" s="159">
        <f>IF(G31=0,0,(G31*100/$G$31))</f>
        <v>100</v>
      </c>
      <c r="J31" s="151"/>
      <c r="K31" s="60"/>
      <c r="L31" s="151"/>
      <c r="M31" s="60"/>
      <c r="N31" s="151"/>
      <c r="O31" s="60"/>
      <c r="P31" s="151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95"/>
      <c r="BB31" s="96"/>
      <c r="BC31" s="96"/>
      <c r="BD31" s="96"/>
      <c r="BE31" s="96"/>
      <c r="BF31" s="96"/>
      <c r="BG31" s="96"/>
      <c r="BH31" s="96"/>
      <c r="BI31" s="96"/>
      <c r="BJ31" s="96"/>
      <c r="BK31" s="97"/>
      <c r="BL31" s="95"/>
      <c r="BM31" s="96"/>
      <c r="BN31" s="95"/>
      <c r="BO31" s="96"/>
      <c r="BP31" s="95"/>
      <c r="BQ31" s="96"/>
      <c r="BR31" s="95"/>
      <c r="BS31" s="98"/>
      <c r="BT31" s="96"/>
      <c r="BU31" s="96"/>
      <c r="BV31" s="95"/>
      <c r="BW31" s="98"/>
      <c r="BX31" s="96"/>
      <c r="BY31" s="96"/>
      <c r="BZ31" s="95"/>
      <c r="CA31" s="98"/>
      <c r="CB31" s="96"/>
      <c r="CC31" s="96"/>
      <c r="CD31" s="95"/>
      <c r="CE31" s="98"/>
      <c r="CF31" s="99"/>
      <c r="CG31" s="95"/>
      <c r="CH31" s="96"/>
      <c r="CI31" s="96"/>
      <c r="CJ31" s="98"/>
    </row>
    <row r="32" spans="1:88" ht="9" customHeight="1">
      <c r="A32" s="101"/>
      <c r="B32" s="106"/>
      <c r="C32" s="92"/>
      <c r="D32" s="94"/>
      <c r="E32" s="92"/>
      <c r="F32" s="94"/>
      <c r="G32" s="92"/>
      <c r="H32" s="112"/>
      <c r="I32" s="160"/>
      <c r="J32" s="151"/>
      <c r="K32" s="60"/>
      <c r="L32" s="151"/>
      <c r="M32" s="60"/>
      <c r="N32" s="151"/>
      <c r="O32" s="60"/>
      <c r="P32" s="151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95"/>
      <c r="BB32" s="96"/>
      <c r="BC32" s="96"/>
      <c r="BD32" s="96"/>
      <c r="BE32" s="96"/>
      <c r="BF32" s="96"/>
      <c r="BG32" s="96"/>
      <c r="BH32" s="96"/>
      <c r="BI32" s="96"/>
      <c r="BJ32" s="96"/>
      <c r="BK32" s="97"/>
      <c r="BL32" s="95"/>
      <c r="BM32" s="96"/>
      <c r="BN32" s="95"/>
      <c r="BO32" s="96"/>
      <c r="BP32" s="95"/>
      <c r="BQ32" s="96"/>
      <c r="BR32" s="95"/>
      <c r="BS32" s="98"/>
      <c r="BT32" s="96"/>
      <c r="BU32" s="96"/>
      <c r="BV32" s="95"/>
      <c r="BW32" s="98"/>
      <c r="BX32" s="96"/>
      <c r="BY32" s="96"/>
      <c r="BZ32" s="95"/>
      <c r="CA32" s="98"/>
      <c r="CB32" s="96"/>
      <c r="CC32" s="96"/>
      <c r="CD32" s="95"/>
      <c r="CE32" s="98"/>
      <c r="CF32" s="99"/>
      <c r="CG32" s="95"/>
      <c r="CH32" s="96"/>
      <c r="CI32" s="96"/>
      <c r="CJ32" s="98"/>
    </row>
    <row r="33" spans="1:88" ht="15" customHeight="1">
      <c r="A33" s="157" t="s">
        <v>150</v>
      </c>
      <c r="B33" s="101"/>
      <c r="C33" s="102"/>
      <c r="D33" s="104"/>
      <c r="E33" s="102"/>
      <c r="F33" s="104"/>
      <c r="G33" s="102"/>
      <c r="H33" s="117"/>
      <c r="I33" s="153"/>
      <c r="J33" s="151"/>
      <c r="K33" s="60"/>
      <c r="L33" s="151"/>
      <c r="M33" s="60"/>
      <c r="N33" s="151"/>
      <c r="O33" s="60"/>
      <c r="P33" s="151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95"/>
      <c r="BB33" s="96"/>
      <c r="BC33" s="96"/>
      <c r="BD33" s="96"/>
      <c r="BE33" s="96"/>
      <c r="BF33" s="96"/>
      <c r="BG33" s="96"/>
      <c r="BH33" s="96"/>
      <c r="BI33" s="96"/>
      <c r="BJ33" s="96"/>
      <c r="BK33" s="97"/>
      <c r="BL33" s="95"/>
      <c r="BM33" s="96"/>
      <c r="BN33" s="95"/>
      <c r="BO33" s="96"/>
      <c r="BP33" s="95"/>
      <c r="BQ33" s="96"/>
      <c r="BR33" s="95"/>
      <c r="BS33" s="98"/>
      <c r="BT33" s="96"/>
      <c r="BU33" s="96"/>
      <c r="BV33" s="95"/>
      <c r="BW33" s="98"/>
      <c r="BX33" s="96"/>
      <c r="BY33" s="96"/>
      <c r="BZ33" s="95"/>
      <c r="CA33" s="98"/>
      <c r="CB33" s="96"/>
      <c r="CC33" s="96"/>
      <c r="CD33" s="95"/>
      <c r="CE33" s="98"/>
      <c r="CF33" s="99"/>
      <c r="CG33" s="95"/>
      <c r="CH33" s="96"/>
      <c r="CI33" s="96"/>
      <c r="CJ33" s="98"/>
    </row>
    <row r="34" spans="1:88" ht="12" customHeight="1">
      <c r="A34" s="154"/>
      <c r="B34" s="155" t="s">
        <v>151</v>
      </c>
      <c r="C34" s="102">
        <f>_xll.ACC(DB,_xll.ArrayDPT($BA34:$BJ34),_xll.ArrayCOA($BL34:$CE34),YR,PRD,_xll.ArrayDIM($CG34:$CJ34))</f>
        <v>-17038580.600000001</v>
      </c>
      <c r="D34" s="104"/>
      <c r="E34" s="102">
        <f>_xll.ACC(DB,_xll.ArrayDPT($BA34:$BJ34),_xll.ArrayCOA($BL34:$CE34),YR,PRD-1,_xll.ArrayDIM($CG34:$CJ34))</f>
        <v>-19824338.789999999</v>
      </c>
      <c r="F34" s="104"/>
      <c r="G34" s="102">
        <f t="shared" ref="G34:G40" si="4">C34-E34</f>
        <v>2785758.1899999976</v>
      </c>
      <c r="H34" s="107"/>
      <c r="I34" s="156">
        <f t="shared" ref="I34:I40" si="5">IF(G34=0,0,(G34*100/$G$44))</f>
        <v>100</v>
      </c>
      <c r="J34" s="151"/>
      <c r="K34" s="60"/>
      <c r="L34" s="151"/>
      <c r="M34" s="60"/>
      <c r="N34" s="151"/>
      <c r="O34" s="60"/>
      <c r="P34" s="151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95"/>
      <c r="BB34" s="96"/>
      <c r="BC34" s="96"/>
      <c r="BD34" s="96"/>
      <c r="BE34" s="96"/>
      <c r="BF34" s="96"/>
      <c r="BG34" s="96"/>
      <c r="BH34" s="96"/>
      <c r="BI34" s="96"/>
      <c r="BJ34" s="96"/>
      <c r="BK34" s="97"/>
      <c r="BL34" s="95" t="s">
        <v>152</v>
      </c>
      <c r="BM34" s="96" t="s">
        <v>152</v>
      </c>
      <c r="BN34" s="95"/>
      <c r="BO34" s="96"/>
      <c r="BP34" s="95"/>
      <c r="BQ34" s="96"/>
      <c r="BR34" s="95"/>
      <c r="BS34" s="98"/>
      <c r="BT34" s="96"/>
      <c r="BU34" s="96"/>
      <c r="BV34" s="95"/>
      <c r="BW34" s="98"/>
      <c r="BX34" s="96"/>
      <c r="BY34" s="96"/>
      <c r="BZ34" s="95"/>
      <c r="CA34" s="98"/>
      <c r="CB34" s="96"/>
      <c r="CC34" s="96"/>
      <c r="CD34" s="95"/>
      <c r="CE34" s="98"/>
      <c r="CF34" s="99"/>
      <c r="CG34" s="95"/>
      <c r="CH34" s="96"/>
      <c r="CI34" s="96"/>
      <c r="CJ34" s="98"/>
    </row>
    <row r="35" spans="1:88" ht="12" customHeight="1">
      <c r="A35" s="154"/>
      <c r="B35" s="155" t="s">
        <v>153</v>
      </c>
      <c r="C35" s="102">
        <f>_xll.ACC(DB,_xll.ArrayDPT($BA35:$BJ35),_xll.ArrayCOA($BL35:$CE35),YR,PRD,_xll.ArrayDIM($CG35:$CJ35))</f>
        <v>0</v>
      </c>
      <c r="D35" s="104"/>
      <c r="E35" s="102">
        <f>_xll.ACC(DB,_xll.ArrayDPT($BA35:$BJ35),_xll.ArrayCOA($BL35:$CE35),YR,PRD-1,_xll.ArrayDIM($CG35:$CJ35))</f>
        <v>0</v>
      </c>
      <c r="F35" s="104"/>
      <c r="G35" s="102">
        <f t="shared" si="4"/>
        <v>0</v>
      </c>
      <c r="H35" s="107"/>
      <c r="I35" s="156">
        <f t="shared" si="5"/>
        <v>0</v>
      </c>
      <c r="J35" s="151"/>
      <c r="K35" s="60"/>
      <c r="L35" s="151"/>
      <c r="M35" s="60"/>
      <c r="N35" s="151"/>
      <c r="O35" s="60"/>
      <c r="P35" s="151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95"/>
      <c r="BB35" s="96"/>
      <c r="BC35" s="96"/>
      <c r="BD35" s="96"/>
      <c r="BE35" s="96"/>
      <c r="BF35" s="96"/>
      <c r="BG35" s="96"/>
      <c r="BH35" s="96"/>
      <c r="BI35" s="96"/>
      <c r="BJ35" s="96"/>
      <c r="BK35" s="97"/>
      <c r="BL35" s="95" t="s">
        <v>154</v>
      </c>
      <c r="BM35" s="96" t="s">
        <v>154</v>
      </c>
      <c r="BN35" s="95"/>
      <c r="BO35" s="96"/>
      <c r="BP35" s="95"/>
      <c r="BQ35" s="96"/>
      <c r="BR35" s="95"/>
      <c r="BS35" s="98"/>
      <c r="BT35" s="96"/>
      <c r="BU35" s="96"/>
      <c r="BV35" s="95"/>
      <c r="BW35" s="98"/>
      <c r="BX35" s="96"/>
      <c r="BY35" s="96"/>
      <c r="BZ35" s="95"/>
      <c r="CA35" s="98"/>
      <c r="CB35" s="96"/>
      <c r="CC35" s="96"/>
      <c r="CD35" s="95"/>
      <c r="CE35" s="98"/>
      <c r="CF35" s="99"/>
      <c r="CG35" s="95"/>
      <c r="CH35" s="96"/>
      <c r="CI35" s="96"/>
      <c r="CJ35" s="98"/>
    </row>
    <row r="36" spans="1:88" ht="12" customHeight="1">
      <c r="A36" s="154"/>
      <c r="B36" s="155" t="s">
        <v>155</v>
      </c>
      <c r="C36" s="102">
        <f>_xll.ACC(DB,_xll.ArrayDPT($BA36:$BJ36),_xll.ArrayCOA($BL36:$CE36),YR,PRD,_xll.ArrayDIM($CG36:$CJ36))</f>
        <v>0</v>
      </c>
      <c r="D36" s="104"/>
      <c r="E36" s="102">
        <f>_xll.ACC(DB,_xll.ArrayDPT($BA36:$BJ36),_xll.ArrayCOA($BL36:$CE36),YR,PRD-1,_xll.ArrayDIM($CG36:$CJ36))</f>
        <v>0</v>
      </c>
      <c r="F36" s="104"/>
      <c r="G36" s="102">
        <f t="shared" si="4"/>
        <v>0</v>
      </c>
      <c r="H36" s="107"/>
      <c r="I36" s="156">
        <f t="shared" si="5"/>
        <v>0</v>
      </c>
      <c r="J36" s="151"/>
      <c r="K36" s="60"/>
      <c r="L36" s="151"/>
      <c r="M36" s="60"/>
      <c r="N36" s="151"/>
      <c r="O36" s="60"/>
      <c r="P36" s="151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95"/>
      <c r="BB36" s="96"/>
      <c r="BC36" s="96"/>
      <c r="BD36" s="96"/>
      <c r="BE36" s="96"/>
      <c r="BF36" s="96"/>
      <c r="BG36" s="96"/>
      <c r="BH36" s="96"/>
      <c r="BI36" s="96"/>
      <c r="BJ36" s="96"/>
      <c r="BK36" s="97"/>
      <c r="BL36" s="95" t="s">
        <v>156</v>
      </c>
      <c r="BM36" s="96" t="s">
        <v>156</v>
      </c>
      <c r="BN36" s="95" t="s">
        <v>157</v>
      </c>
      <c r="BO36" s="96" t="s">
        <v>157</v>
      </c>
      <c r="BP36" s="95" t="s">
        <v>158</v>
      </c>
      <c r="BQ36" s="96" t="s">
        <v>158</v>
      </c>
      <c r="BR36" s="95" t="s">
        <v>159</v>
      </c>
      <c r="BS36" s="98" t="s">
        <v>159</v>
      </c>
      <c r="BT36" s="96" t="s">
        <v>160</v>
      </c>
      <c r="BU36" s="96" t="s">
        <v>160</v>
      </c>
      <c r="BV36" s="95"/>
      <c r="BW36" s="98"/>
      <c r="BX36" s="96"/>
      <c r="BY36" s="96"/>
      <c r="BZ36" s="95"/>
      <c r="CA36" s="98"/>
      <c r="CB36" s="96"/>
      <c r="CC36" s="96"/>
      <c r="CD36" s="95"/>
      <c r="CE36" s="98"/>
      <c r="CF36" s="99"/>
      <c r="CG36" s="95"/>
      <c r="CH36" s="96"/>
      <c r="CI36" s="96"/>
      <c r="CJ36" s="98"/>
    </row>
    <row r="37" spans="1:88" ht="12" customHeight="1">
      <c r="A37" s="154"/>
      <c r="B37" s="155" t="s">
        <v>161</v>
      </c>
      <c r="C37" s="102">
        <f>_xll.ACC(DB,_xll.ArrayDPT($BA37:$BJ37),_xll.ArrayCOA($BL37:$CE37),YR,PRD,_xll.ArrayDIM($CG37:$CJ37))</f>
        <v>0</v>
      </c>
      <c r="D37" s="104"/>
      <c r="E37" s="102">
        <f>_xll.ACC(DB,_xll.ArrayDPT($BA37:$BJ37),_xll.ArrayCOA($BL37:$CE37),YR,PRD-1,_xll.ArrayDIM($CG37:$CJ37))</f>
        <v>0</v>
      </c>
      <c r="F37" s="104"/>
      <c r="G37" s="102">
        <f t="shared" si="4"/>
        <v>0</v>
      </c>
      <c r="H37" s="107"/>
      <c r="I37" s="156">
        <f t="shared" si="5"/>
        <v>0</v>
      </c>
      <c r="J37" s="151"/>
      <c r="K37" s="114"/>
      <c r="L37" s="161"/>
      <c r="M37" s="114"/>
      <c r="N37" s="161"/>
      <c r="O37" s="114"/>
      <c r="P37" s="161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  <c r="AZ37" s="114"/>
      <c r="BA37" s="95"/>
      <c r="BB37" s="96"/>
      <c r="BC37" s="96"/>
      <c r="BD37" s="96"/>
      <c r="BE37" s="96"/>
      <c r="BF37" s="96"/>
      <c r="BG37" s="96"/>
      <c r="BH37" s="96"/>
      <c r="BI37" s="96"/>
      <c r="BJ37" s="96"/>
      <c r="BK37" s="97"/>
      <c r="BL37" s="95"/>
      <c r="BM37" s="96"/>
      <c r="BN37" s="95"/>
      <c r="BO37" s="96"/>
      <c r="BP37" s="95"/>
      <c r="BQ37" s="96"/>
      <c r="BR37" s="95"/>
      <c r="BS37" s="98"/>
      <c r="BT37" s="96"/>
      <c r="BU37" s="96"/>
      <c r="BV37" s="95"/>
      <c r="BW37" s="98"/>
      <c r="BX37" s="96"/>
      <c r="BY37" s="96"/>
      <c r="BZ37" s="95"/>
      <c r="CA37" s="98"/>
      <c r="CB37" s="96"/>
      <c r="CC37" s="96"/>
      <c r="CD37" s="95"/>
      <c r="CE37" s="98"/>
      <c r="CF37" s="99"/>
      <c r="CG37" s="95"/>
      <c r="CH37" s="96"/>
      <c r="CI37" s="96"/>
      <c r="CJ37" s="98"/>
    </row>
    <row r="38" spans="1:88" ht="12" customHeight="1">
      <c r="A38" s="154"/>
      <c r="B38" s="155" t="s">
        <v>162</v>
      </c>
      <c r="C38" s="102">
        <f>_xll.ACC(DB,_xll.ArrayDPT($BA38:$BJ38),_xll.ArrayCOA($BL38:$CE38),YR,PRD,_xll.ArrayDIM($CG38:$CJ38))</f>
        <v>0</v>
      </c>
      <c r="D38" s="104"/>
      <c r="E38" s="102">
        <f>_xll.ACC(DB,_xll.ArrayDPT($BA38:$BJ38),_xll.ArrayCOA($BL38:$CE38),YR,PRD-1,_xll.ArrayDIM($CG38:$CJ38))</f>
        <v>0</v>
      </c>
      <c r="F38" s="104"/>
      <c r="G38" s="102">
        <f t="shared" si="4"/>
        <v>0</v>
      </c>
      <c r="H38" s="107"/>
      <c r="I38" s="156">
        <f t="shared" si="5"/>
        <v>0</v>
      </c>
      <c r="J38" s="151"/>
      <c r="K38" s="114"/>
      <c r="L38" s="161"/>
      <c r="M38" s="114"/>
      <c r="N38" s="161"/>
      <c r="O38" s="114"/>
      <c r="P38" s="161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4"/>
      <c r="AX38" s="114"/>
      <c r="AY38" s="114"/>
      <c r="AZ38" s="114"/>
      <c r="BA38" s="95"/>
      <c r="BB38" s="96"/>
      <c r="BC38" s="96"/>
      <c r="BD38" s="96"/>
      <c r="BE38" s="96"/>
      <c r="BF38" s="96"/>
      <c r="BG38" s="96"/>
      <c r="BH38" s="96"/>
      <c r="BI38" s="96"/>
      <c r="BJ38" s="96"/>
      <c r="BK38" s="97"/>
      <c r="BL38" s="95"/>
      <c r="BM38" s="96"/>
      <c r="BN38" s="95"/>
      <c r="BO38" s="96"/>
      <c r="BP38" s="95"/>
      <c r="BQ38" s="96"/>
      <c r="BR38" s="95"/>
      <c r="BS38" s="98"/>
      <c r="BT38" s="96"/>
      <c r="BU38" s="96"/>
      <c r="BV38" s="95"/>
      <c r="BW38" s="98"/>
      <c r="BX38" s="96"/>
      <c r="BY38" s="96"/>
      <c r="BZ38" s="95"/>
      <c r="CA38" s="98"/>
      <c r="CB38" s="96"/>
      <c r="CC38" s="96"/>
      <c r="CD38" s="95"/>
      <c r="CE38" s="98"/>
      <c r="CF38" s="99"/>
      <c r="CG38" s="95"/>
      <c r="CH38" s="96"/>
      <c r="CI38" s="96"/>
      <c r="CJ38" s="98"/>
    </row>
    <row r="39" spans="1:88" ht="12" customHeight="1">
      <c r="A39" s="154"/>
      <c r="B39" s="155" t="s">
        <v>163</v>
      </c>
      <c r="C39" s="102">
        <f>_xll.ACC(DB,_xll.ArrayDPT($BA39:$BJ39),_xll.ArrayCOA($BL39:$CE39),YR,PRD,_xll.ArrayDIM($CG39:$CJ39))</f>
        <v>0</v>
      </c>
      <c r="D39" s="104"/>
      <c r="E39" s="102">
        <f>_xll.ACC(DB,_xll.ArrayDPT($BA39:$BJ39),_xll.ArrayCOA($BL39:$CE39),YR,PRD-1,_xll.ArrayDIM($CG39:$CJ39))</f>
        <v>0</v>
      </c>
      <c r="F39" s="104"/>
      <c r="G39" s="102">
        <f t="shared" si="4"/>
        <v>0</v>
      </c>
      <c r="H39" s="107"/>
      <c r="I39" s="156">
        <f t="shared" si="5"/>
        <v>0</v>
      </c>
      <c r="J39" s="151"/>
      <c r="K39" s="114"/>
      <c r="L39" s="161"/>
      <c r="M39" s="114"/>
      <c r="N39" s="161"/>
      <c r="O39" s="114"/>
      <c r="P39" s="161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  <c r="AS39" s="114"/>
      <c r="AT39" s="114"/>
      <c r="AU39" s="114"/>
      <c r="AV39" s="114"/>
      <c r="AW39" s="114"/>
      <c r="AX39" s="114"/>
      <c r="AY39" s="114"/>
      <c r="AZ39" s="114"/>
      <c r="BA39" s="95"/>
      <c r="BB39" s="96"/>
      <c r="BC39" s="96"/>
      <c r="BD39" s="96"/>
      <c r="BE39" s="96"/>
      <c r="BF39" s="96"/>
      <c r="BG39" s="96"/>
      <c r="BH39" s="96"/>
      <c r="BI39" s="96"/>
      <c r="BJ39" s="96"/>
      <c r="BK39" s="97"/>
      <c r="BL39" s="95" t="s">
        <v>164</v>
      </c>
      <c r="BM39" s="96" t="s">
        <v>164</v>
      </c>
      <c r="BN39" s="95" t="s">
        <v>165</v>
      </c>
      <c r="BO39" s="96" t="s">
        <v>165</v>
      </c>
      <c r="BP39" s="95" t="s">
        <v>166</v>
      </c>
      <c r="BQ39" s="96" t="s">
        <v>166</v>
      </c>
      <c r="BR39" s="95" t="s">
        <v>167</v>
      </c>
      <c r="BS39" s="98" t="s">
        <v>167</v>
      </c>
      <c r="BT39" s="96"/>
      <c r="BU39" s="96"/>
      <c r="BV39" s="95"/>
      <c r="BW39" s="98"/>
      <c r="BX39" s="96"/>
      <c r="BY39" s="96"/>
      <c r="BZ39" s="95"/>
      <c r="CA39" s="98"/>
      <c r="CB39" s="96"/>
      <c r="CC39" s="96"/>
      <c r="CD39" s="95"/>
      <c r="CE39" s="98"/>
      <c r="CF39" s="99"/>
      <c r="CG39" s="95"/>
      <c r="CH39" s="96"/>
      <c r="CI39" s="96"/>
      <c r="CJ39" s="98"/>
    </row>
    <row r="40" spans="1:88" ht="11.25" customHeight="1">
      <c r="A40" s="162"/>
      <c r="B40" s="157" t="s">
        <v>168</v>
      </c>
      <c r="C40" s="111">
        <f>SUM(C34:C39)</f>
        <v>-17038580.600000001</v>
      </c>
      <c r="D40" s="94"/>
      <c r="E40" s="111">
        <f>SUM(E34:E39)</f>
        <v>-19824338.789999999</v>
      </c>
      <c r="F40" s="94"/>
      <c r="G40" s="111">
        <f t="shared" si="4"/>
        <v>2785758.1899999976</v>
      </c>
      <c r="H40" s="112"/>
      <c r="I40" s="159">
        <f t="shared" si="5"/>
        <v>100</v>
      </c>
      <c r="J40" s="151"/>
      <c r="K40" s="60"/>
      <c r="L40" s="151"/>
      <c r="M40" s="60"/>
      <c r="N40" s="151"/>
      <c r="O40" s="60"/>
      <c r="P40" s="151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95"/>
      <c r="BB40" s="96"/>
      <c r="BC40" s="96"/>
      <c r="BD40" s="96"/>
      <c r="BE40" s="96"/>
      <c r="BF40" s="96"/>
      <c r="BG40" s="96"/>
      <c r="BH40" s="96"/>
      <c r="BI40" s="96"/>
      <c r="BJ40" s="96"/>
      <c r="BK40" s="97"/>
      <c r="BL40" s="95"/>
      <c r="BM40" s="96"/>
      <c r="BN40" s="95"/>
      <c r="BO40" s="96"/>
      <c r="BP40" s="95"/>
      <c r="BQ40" s="96"/>
      <c r="BR40" s="95"/>
      <c r="BS40" s="98"/>
      <c r="BT40" s="96"/>
      <c r="BU40" s="96"/>
      <c r="BV40" s="95"/>
      <c r="BW40" s="98"/>
      <c r="BX40" s="96"/>
      <c r="BY40" s="96"/>
      <c r="BZ40" s="95"/>
      <c r="CA40" s="98"/>
      <c r="CB40" s="96"/>
      <c r="CC40" s="96"/>
      <c r="CD40" s="95"/>
      <c r="CE40" s="98"/>
      <c r="CF40" s="99"/>
      <c r="CG40" s="95"/>
      <c r="CH40" s="96"/>
      <c r="CI40" s="96"/>
      <c r="CJ40" s="98"/>
    </row>
    <row r="41" spans="1:88" ht="11.25" customHeight="1">
      <c r="A41" s="162"/>
      <c r="B41" s="162"/>
      <c r="C41" s="163"/>
      <c r="D41" s="164"/>
      <c r="E41" s="163"/>
      <c r="F41" s="164"/>
      <c r="G41" s="163"/>
      <c r="H41" s="165"/>
      <c r="I41" s="166"/>
      <c r="J41" s="151"/>
      <c r="K41" s="60"/>
      <c r="L41" s="151"/>
      <c r="M41" s="60"/>
      <c r="N41" s="151"/>
      <c r="O41" s="60"/>
      <c r="P41" s="151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95"/>
      <c r="BB41" s="96"/>
      <c r="BC41" s="96"/>
      <c r="BD41" s="96"/>
      <c r="BE41" s="96"/>
      <c r="BF41" s="96"/>
      <c r="BG41" s="96"/>
      <c r="BH41" s="96"/>
      <c r="BI41" s="96"/>
      <c r="BJ41" s="96"/>
      <c r="BK41" s="97"/>
      <c r="BL41" s="95"/>
      <c r="BM41" s="96"/>
      <c r="BN41" s="95"/>
      <c r="BO41" s="96"/>
      <c r="BP41" s="95"/>
      <c r="BQ41" s="96"/>
      <c r="BR41" s="95"/>
      <c r="BS41" s="98"/>
      <c r="BT41" s="96"/>
      <c r="BU41" s="96"/>
      <c r="BV41" s="95"/>
      <c r="BW41" s="98"/>
      <c r="BX41" s="96"/>
      <c r="BY41" s="96"/>
      <c r="BZ41" s="95"/>
      <c r="CA41" s="98"/>
      <c r="CB41" s="96"/>
      <c r="CC41" s="96"/>
      <c r="CD41" s="95"/>
      <c r="CE41" s="98"/>
      <c r="CF41" s="99"/>
      <c r="CG41" s="95"/>
      <c r="CH41" s="96"/>
      <c r="CI41" s="96"/>
      <c r="CJ41" s="98"/>
    </row>
    <row r="42" spans="1:88" ht="11.25" customHeight="1">
      <c r="A42" s="162"/>
      <c r="B42" s="162" t="s">
        <v>169</v>
      </c>
      <c r="C42" s="102">
        <f>_xll.ACC(DB,_xll.ArrayDPT($BA42:$BJ42),_xll.ArrayCOA($BL42:$CE42),YR,PRD,_xll.ArrayDIM($CG42:$CJ42))</f>
        <v>0</v>
      </c>
      <c r="D42" s="164"/>
      <c r="E42" s="102">
        <f>_xll.ACC(DB,_xll.ArrayDPT($BA42:$BJ42),_xll.ArrayCOA($BL42:$CE42),YR-1,PRD,_xll.ArrayDIM($CG42:$CJ42))</f>
        <v>0</v>
      </c>
      <c r="F42" s="164"/>
      <c r="G42" s="163">
        <f t="shared" ref="G42:G44" si="6">C42-E42</f>
        <v>0</v>
      </c>
      <c r="H42" s="165"/>
      <c r="I42" s="166">
        <f t="shared" ref="I42:I44" si="7">IF(G42=0,0,(G42*100/$G$44))</f>
        <v>0</v>
      </c>
      <c r="J42" s="151"/>
      <c r="K42" s="60"/>
      <c r="L42" s="151"/>
      <c r="M42" s="60"/>
      <c r="N42" s="151"/>
      <c r="O42" s="60"/>
      <c r="P42" s="151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95"/>
      <c r="BB42" s="96"/>
      <c r="BC42" s="96"/>
      <c r="BD42" s="96"/>
      <c r="BE42" s="96"/>
      <c r="BF42" s="96"/>
      <c r="BG42" s="96"/>
      <c r="BH42" s="96"/>
      <c r="BI42" s="96"/>
      <c r="BJ42" s="96"/>
      <c r="BK42" s="97"/>
      <c r="BL42" s="95"/>
      <c r="BM42" s="96"/>
      <c r="BN42" s="95"/>
      <c r="BO42" s="96"/>
      <c r="BP42" s="95"/>
      <c r="BQ42" s="96"/>
      <c r="BR42" s="95"/>
      <c r="BS42" s="98"/>
      <c r="BT42" s="96"/>
      <c r="BU42" s="96"/>
      <c r="BV42" s="95"/>
      <c r="BW42" s="98"/>
      <c r="BX42" s="96"/>
      <c r="BY42" s="96"/>
      <c r="BZ42" s="95"/>
      <c r="CA42" s="98"/>
      <c r="CB42" s="96"/>
      <c r="CC42" s="96"/>
      <c r="CD42" s="95"/>
      <c r="CE42" s="98"/>
      <c r="CF42" s="99"/>
      <c r="CG42" s="95"/>
      <c r="CH42" s="96"/>
      <c r="CI42" s="96"/>
      <c r="CJ42" s="98"/>
    </row>
    <row r="43" spans="1:88" ht="12" customHeight="1">
      <c r="A43" s="154"/>
      <c r="B43" s="155" t="s">
        <v>72</v>
      </c>
      <c r="C43" s="102">
        <f>_xll.ACC(DB,_xll.ArrayDPT($BA43:$BJ43),_xll.ArrayCOA($BL43:$CE43),YR,PRD,_xll.ArrayDIM($CG43:$CJ43))</f>
        <v>0</v>
      </c>
      <c r="D43" s="104"/>
      <c r="E43" s="102">
        <f>_xll.ACC(DB,_xll.ArrayDPT($BA43:$BJ43),_xll.ArrayCOA($BL43:$CE43),YR-1,PRD,_xll.ArrayDIM($CG43:$CJ43))</f>
        <v>0</v>
      </c>
      <c r="F43" s="104"/>
      <c r="G43" s="102">
        <f t="shared" si="6"/>
        <v>0</v>
      </c>
      <c r="H43" s="107"/>
      <c r="I43" s="156">
        <f t="shared" si="7"/>
        <v>0</v>
      </c>
      <c r="J43" s="151"/>
      <c r="K43" s="60"/>
      <c r="L43" s="151"/>
      <c r="M43" s="60"/>
      <c r="N43" s="151"/>
      <c r="O43" s="60"/>
      <c r="P43" s="151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95"/>
      <c r="BB43" s="96"/>
      <c r="BC43" s="96"/>
      <c r="BD43" s="96"/>
      <c r="BE43" s="96"/>
      <c r="BF43" s="96"/>
      <c r="BG43" s="96"/>
      <c r="BH43" s="96"/>
      <c r="BI43" s="96"/>
      <c r="BJ43" s="96"/>
      <c r="BK43" s="97"/>
      <c r="BL43" s="95"/>
      <c r="BM43" s="96"/>
      <c r="BN43" s="95"/>
      <c r="BO43" s="96"/>
      <c r="BP43" s="95"/>
      <c r="BQ43" s="96"/>
      <c r="BR43" s="95"/>
      <c r="BS43" s="98"/>
      <c r="BT43" s="96"/>
      <c r="BU43" s="96"/>
      <c r="BV43" s="95"/>
      <c r="BW43" s="98"/>
      <c r="BX43" s="96"/>
      <c r="BY43" s="96"/>
      <c r="BZ43" s="95"/>
      <c r="CA43" s="98"/>
      <c r="CB43" s="96"/>
      <c r="CC43" s="96"/>
      <c r="CD43" s="95"/>
      <c r="CE43" s="98"/>
      <c r="CF43" s="99"/>
      <c r="CG43" s="95"/>
      <c r="CH43" s="96"/>
      <c r="CI43" s="96"/>
      <c r="CJ43" s="98"/>
    </row>
    <row r="44" spans="1:88" ht="15" customHeight="1">
      <c r="A44" s="101" t="s">
        <v>170</v>
      </c>
      <c r="B44" s="106"/>
      <c r="C44" s="167">
        <f>C40+C42+C43</f>
        <v>-17038580.600000001</v>
      </c>
      <c r="D44" s="94"/>
      <c r="E44" s="111">
        <f>E40+E42+E43</f>
        <v>-19824338.789999999</v>
      </c>
      <c r="F44" s="94"/>
      <c r="G44" s="111">
        <f t="shared" si="6"/>
        <v>2785758.1899999976</v>
      </c>
      <c r="H44" s="112"/>
      <c r="I44" s="159">
        <f t="shared" si="7"/>
        <v>100</v>
      </c>
      <c r="J44" s="151">
        <f>C44-BS!C17</f>
        <v>0</v>
      </c>
      <c r="K44" s="60"/>
      <c r="L44" s="151">
        <f>E44-BS!E17</f>
        <v>0</v>
      </c>
      <c r="M44" s="60"/>
      <c r="N44" s="151"/>
      <c r="O44" s="60"/>
      <c r="P44" s="151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95"/>
      <c r="BB44" s="96"/>
      <c r="BC44" s="96"/>
      <c r="BD44" s="96"/>
      <c r="BE44" s="96"/>
      <c r="BF44" s="96"/>
      <c r="BG44" s="96"/>
      <c r="BH44" s="96"/>
      <c r="BI44" s="96"/>
      <c r="BJ44" s="96"/>
      <c r="BK44" s="97"/>
      <c r="BL44" s="95"/>
      <c r="BM44" s="96"/>
      <c r="BN44" s="95"/>
      <c r="BO44" s="96"/>
      <c r="BP44" s="95"/>
      <c r="BQ44" s="96"/>
      <c r="BR44" s="95"/>
      <c r="BS44" s="98"/>
      <c r="BT44" s="96"/>
      <c r="BU44" s="96"/>
      <c r="BV44" s="95"/>
      <c r="BW44" s="98"/>
      <c r="BX44" s="96"/>
      <c r="BY44" s="96"/>
      <c r="BZ44" s="95"/>
      <c r="CA44" s="98"/>
      <c r="CB44" s="96"/>
      <c r="CC44" s="96"/>
      <c r="CD44" s="95"/>
      <c r="CE44" s="98"/>
      <c r="CF44" s="99"/>
      <c r="CG44" s="95"/>
      <c r="CH44" s="96"/>
      <c r="CI44" s="96"/>
      <c r="CJ44" s="98"/>
    </row>
    <row r="45" spans="1:88" ht="9" customHeight="1">
      <c r="A45" s="157"/>
      <c r="B45" s="106"/>
      <c r="C45" s="92"/>
      <c r="D45" s="94"/>
      <c r="E45" s="92"/>
      <c r="F45" s="94"/>
      <c r="G45" s="92"/>
      <c r="H45" s="112"/>
      <c r="I45" s="160"/>
      <c r="J45" s="151"/>
      <c r="K45" s="60"/>
      <c r="L45" s="151"/>
      <c r="M45" s="60"/>
      <c r="N45" s="151"/>
      <c r="O45" s="60"/>
      <c r="P45" s="151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95"/>
      <c r="BB45" s="96"/>
      <c r="BC45" s="96"/>
      <c r="BD45" s="96"/>
      <c r="BE45" s="96"/>
      <c r="BF45" s="96"/>
      <c r="BG45" s="96"/>
      <c r="BH45" s="96"/>
      <c r="BI45" s="96"/>
      <c r="BJ45" s="96"/>
      <c r="BK45" s="97"/>
      <c r="BL45" s="95"/>
      <c r="BM45" s="96"/>
      <c r="BN45" s="95"/>
      <c r="BO45" s="96"/>
      <c r="BP45" s="95"/>
      <c r="BQ45" s="96"/>
      <c r="BR45" s="95"/>
      <c r="BS45" s="98"/>
      <c r="BT45" s="96"/>
      <c r="BU45" s="96"/>
      <c r="BV45" s="95"/>
      <c r="BW45" s="98"/>
      <c r="BX45" s="96"/>
      <c r="BY45" s="96"/>
      <c r="BZ45" s="95"/>
      <c r="CA45" s="98"/>
      <c r="CB45" s="96"/>
      <c r="CC45" s="96"/>
      <c r="CD45" s="95"/>
      <c r="CE45" s="98"/>
      <c r="CF45" s="99"/>
      <c r="CG45" s="95"/>
      <c r="CH45" s="96"/>
      <c r="CI45" s="96"/>
      <c r="CJ45" s="98"/>
    </row>
    <row r="46" spans="1:88" ht="12" customHeight="1">
      <c r="A46" s="154"/>
      <c r="B46" s="106"/>
      <c r="C46" s="102"/>
      <c r="D46" s="104"/>
      <c r="E46" s="102"/>
      <c r="F46" s="104"/>
      <c r="G46" s="102"/>
      <c r="H46" s="107"/>
      <c r="I46" s="156"/>
      <c r="J46" s="151"/>
      <c r="K46" s="60"/>
      <c r="L46" s="151"/>
      <c r="M46" s="60"/>
      <c r="N46" s="151"/>
      <c r="O46" s="60"/>
      <c r="P46" s="151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95"/>
      <c r="BB46" s="96"/>
      <c r="BC46" s="96"/>
      <c r="BD46" s="96"/>
      <c r="BE46" s="96"/>
      <c r="BF46" s="96"/>
      <c r="BG46" s="96"/>
      <c r="BH46" s="96"/>
      <c r="BI46" s="96"/>
      <c r="BJ46" s="96"/>
      <c r="BK46" s="97"/>
      <c r="BL46" s="95"/>
      <c r="BM46" s="96"/>
      <c r="BN46" s="95"/>
      <c r="BO46" s="96"/>
      <c r="BP46" s="95"/>
      <c r="BQ46" s="96"/>
      <c r="BR46" s="95"/>
      <c r="BS46" s="98"/>
      <c r="BT46" s="96"/>
      <c r="BU46" s="96"/>
      <c r="BV46" s="95"/>
      <c r="BW46" s="98"/>
      <c r="BX46" s="96"/>
      <c r="BY46" s="96"/>
      <c r="BZ46" s="95"/>
      <c r="CA46" s="98"/>
      <c r="CB46" s="96"/>
      <c r="CC46" s="96"/>
      <c r="CD46" s="95"/>
      <c r="CE46" s="98"/>
      <c r="CF46" s="99"/>
      <c r="CG46" s="95"/>
      <c r="CH46" s="96"/>
      <c r="CI46" s="96"/>
      <c r="CJ46" s="98"/>
    </row>
    <row r="47" spans="1:88" ht="15" customHeight="1">
      <c r="A47" s="157" t="s">
        <v>171</v>
      </c>
      <c r="B47" s="106"/>
      <c r="C47" s="102"/>
      <c r="D47" s="104"/>
      <c r="E47" s="102">
        <f>_xll.ACC(DB,_xll.ArrayDPT($BA47:$BJ47),_xll.ArrayCOA($BL47:$CE47),YR,PRD-1,_xll.ArrayDIM($CG47:$CJ47))</f>
        <v>0</v>
      </c>
      <c r="F47" s="104"/>
      <c r="G47" s="102"/>
      <c r="H47" s="107"/>
      <c r="I47" s="153"/>
      <c r="J47" s="151"/>
      <c r="K47" s="60"/>
      <c r="L47" s="151"/>
      <c r="M47" s="60"/>
      <c r="N47" s="151"/>
      <c r="O47" s="60"/>
      <c r="P47" s="151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95"/>
      <c r="BB47" s="96"/>
      <c r="BC47" s="96"/>
      <c r="BD47" s="96"/>
      <c r="BE47" s="96"/>
      <c r="BF47" s="96"/>
      <c r="BG47" s="96"/>
      <c r="BH47" s="96"/>
      <c r="BI47" s="96"/>
      <c r="BJ47" s="96"/>
      <c r="BK47" s="97"/>
      <c r="BL47" s="95"/>
      <c r="BM47" s="96"/>
      <c r="BN47" s="95"/>
      <c r="BO47" s="96"/>
      <c r="BP47" s="95"/>
      <c r="BQ47" s="96"/>
      <c r="BR47" s="95"/>
      <c r="BS47" s="98"/>
      <c r="BT47" s="96"/>
      <c r="BU47" s="96"/>
      <c r="BV47" s="95"/>
      <c r="BW47" s="98"/>
      <c r="BX47" s="96"/>
      <c r="BY47" s="96"/>
      <c r="BZ47" s="95"/>
      <c r="CA47" s="98"/>
      <c r="CB47" s="96"/>
      <c r="CC47" s="96"/>
      <c r="CD47" s="95"/>
      <c r="CE47" s="98"/>
      <c r="CF47" s="99"/>
      <c r="CG47" s="95"/>
      <c r="CH47" s="96"/>
      <c r="CI47" s="96"/>
      <c r="CJ47" s="98"/>
    </row>
    <row r="48" spans="1:88" ht="12" customHeight="1">
      <c r="A48" s="154"/>
      <c r="B48" s="155" t="s">
        <v>172</v>
      </c>
      <c r="C48" s="102">
        <f>_xll.ACC(DB,_xll.ArrayDPT($BA48:$BJ48),_xll.ArrayCOA($BL48:$CE48),YR,PRD,_xll.ArrayDIM($CG48:$CJ48))</f>
        <v>0</v>
      </c>
      <c r="D48" s="104"/>
      <c r="E48" s="102">
        <f>_xll.ACC(DB,_xll.ArrayDPT($BA48:$BJ48),_xll.ArrayCOA($BL48:$CE48),YR,PRD-1,_xll.ArrayDIM($CG48:$CJ48))</f>
        <v>0</v>
      </c>
      <c r="F48" s="104"/>
      <c r="G48" s="102">
        <f t="shared" ref="G48:G62" si="8">C48-E48</f>
        <v>0</v>
      </c>
      <c r="H48" s="107"/>
      <c r="I48" s="156">
        <f t="shared" ref="I48:I62" si="9">IF(G48=0,0,(G48*100/$G$62))</f>
        <v>0</v>
      </c>
      <c r="J48" s="151"/>
      <c r="K48" s="60"/>
      <c r="L48" s="151"/>
      <c r="M48" s="60"/>
      <c r="N48" s="151"/>
      <c r="O48" s="60"/>
      <c r="P48" s="151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95"/>
      <c r="BB48" s="96"/>
      <c r="BC48" s="96"/>
      <c r="BD48" s="96"/>
      <c r="BE48" s="96"/>
      <c r="BF48" s="96"/>
      <c r="BG48" s="96"/>
      <c r="BH48" s="96"/>
      <c r="BI48" s="96"/>
      <c r="BJ48" s="96"/>
      <c r="BK48" s="97"/>
      <c r="BL48" s="95"/>
      <c r="BM48" s="96"/>
      <c r="BN48" s="95"/>
      <c r="BO48" s="96"/>
      <c r="BP48" s="95"/>
      <c r="BQ48" s="96"/>
      <c r="BR48" s="95"/>
      <c r="BS48" s="98"/>
      <c r="BT48" s="96"/>
      <c r="BU48" s="96"/>
      <c r="BV48" s="95"/>
      <c r="BW48" s="98"/>
      <c r="BX48" s="96"/>
      <c r="BY48" s="96"/>
      <c r="BZ48" s="95"/>
      <c r="CA48" s="98"/>
      <c r="CB48" s="96"/>
      <c r="CC48" s="96"/>
      <c r="CD48" s="95"/>
      <c r="CE48" s="98"/>
      <c r="CF48" s="99"/>
      <c r="CG48" s="95"/>
      <c r="CH48" s="96"/>
      <c r="CI48" s="96"/>
      <c r="CJ48" s="98"/>
    </row>
    <row r="49" spans="1:88" ht="12" customHeight="1">
      <c r="A49" s="154"/>
      <c r="B49" s="155" t="s">
        <v>173</v>
      </c>
      <c r="C49" s="102">
        <f>_xll.ACC(DB,_xll.ArrayDPT($BA49:$BJ49),_xll.ArrayCOA($BL49:$CE49),YR,PRD,_xll.ArrayDIM($CG49:$CJ49))</f>
        <v>126076.59</v>
      </c>
      <c r="D49" s="104"/>
      <c r="E49" s="102">
        <f>_xll.ACC(DB,_xll.ArrayDPT($BA49:$BJ49),_xll.ArrayCOA($BL49:$CE49),YR,PRD-1,_xll.ArrayDIM($CG49:$CJ49))</f>
        <v>126076.59</v>
      </c>
      <c r="F49" s="104"/>
      <c r="G49" s="102">
        <f t="shared" si="8"/>
        <v>0</v>
      </c>
      <c r="H49" s="107"/>
      <c r="I49" s="156">
        <f t="shared" si="9"/>
        <v>0</v>
      </c>
      <c r="J49" s="151"/>
      <c r="K49" s="60"/>
      <c r="L49" s="151"/>
      <c r="M49" s="60"/>
      <c r="N49" s="151"/>
      <c r="O49" s="60"/>
      <c r="P49" s="151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95"/>
      <c r="BB49" s="96"/>
      <c r="BC49" s="96"/>
      <c r="BD49" s="96"/>
      <c r="BE49" s="96"/>
      <c r="BF49" s="96"/>
      <c r="BG49" s="96"/>
      <c r="BH49" s="96"/>
      <c r="BI49" s="96"/>
      <c r="BJ49" s="96"/>
      <c r="BK49" s="97"/>
      <c r="BL49" s="95" t="s">
        <v>174</v>
      </c>
      <c r="BM49" s="96" t="s">
        <v>174</v>
      </c>
      <c r="BN49" s="95"/>
      <c r="BO49" s="96"/>
      <c r="BP49" s="95"/>
      <c r="BQ49" s="96"/>
      <c r="BR49" s="95"/>
      <c r="BS49" s="98"/>
      <c r="BT49" s="96"/>
      <c r="BU49" s="96"/>
      <c r="BV49" s="95"/>
      <c r="BW49" s="98"/>
      <c r="BX49" s="96"/>
      <c r="BY49" s="96"/>
      <c r="BZ49" s="95"/>
      <c r="CA49" s="98"/>
      <c r="CB49" s="96"/>
      <c r="CC49" s="96"/>
      <c r="CD49" s="95"/>
      <c r="CE49" s="98"/>
      <c r="CF49" s="99"/>
      <c r="CG49" s="95"/>
      <c r="CH49" s="96"/>
      <c r="CI49" s="96"/>
      <c r="CJ49" s="98"/>
    </row>
    <row r="50" spans="1:88" ht="12" customHeight="1">
      <c r="A50" s="168"/>
      <c r="B50" s="155" t="s">
        <v>175</v>
      </c>
      <c r="C50" s="102">
        <f>_xll.ACC(DB,_xll.ArrayDPT($BA50:$BJ50),_xll.ArrayCOA($BL50:$CE50),YR,PRD,_xll.ArrayDIM($CG50:$CJ50))</f>
        <v>100612636.77</v>
      </c>
      <c r="D50" s="104"/>
      <c r="E50" s="102">
        <f>_xll.ACC(DB,_xll.ArrayDPT($BA50:$BJ50),_xll.ArrayCOA($BL50:$CE50),YR,PRD-1,_xll.ArrayDIM($CG50:$CJ50))</f>
        <v>100197636.77</v>
      </c>
      <c r="F50" s="104"/>
      <c r="G50" s="102">
        <f t="shared" si="8"/>
        <v>415000</v>
      </c>
      <c r="H50" s="107"/>
      <c r="I50" s="156">
        <f t="shared" si="9"/>
        <v>4.8156357803627579</v>
      </c>
      <c r="J50" s="151"/>
      <c r="K50" s="60"/>
      <c r="L50" s="169"/>
      <c r="M50" s="60"/>
      <c r="N50" s="151"/>
      <c r="O50" s="60"/>
      <c r="P50" s="151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95"/>
      <c r="BB50" s="96"/>
      <c r="BC50" s="96"/>
      <c r="BD50" s="96"/>
      <c r="BE50" s="96"/>
      <c r="BF50" s="96"/>
      <c r="BG50" s="96"/>
      <c r="BH50" s="96"/>
      <c r="BI50" s="96"/>
      <c r="BJ50" s="96"/>
      <c r="BK50" s="97"/>
      <c r="BL50" s="95" t="s">
        <v>176</v>
      </c>
      <c r="BM50" s="96" t="s">
        <v>176</v>
      </c>
      <c r="BN50" s="95"/>
      <c r="BO50" s="96"/>
      <c r="BP50" s="95"/>
      <c r="BQ50" s="96"/>
      <c r="BR50" s="95"/>
      <c r="BS50" s="98"/>
      <c r="BT50" s="96"/>
      <c r="BU50" s="96"/>
      <c r="BV50" s="95"/>
      <c r="BW50" s="98"/>
      <c r="BX50" s="96"/>
      <c r="BY50" s="96"/>
      <c r="BZ50" s="95"/>
      <c r="CA50" s="98"/>
      <c r="CB50" s="96"/>
      <c r="CC50" s="96"/>
      <c r="CD50" s="95"/>
      <c r="CE50" s="98"/>
      <c r="CF50" s="99"/>
      <c r="CG50" s="95"/>
      <c r="CH50" s="96"/>
      <c r="CI50" s="96"/>
      <c r="CJ50" s="98"/>
    </row>
    <row r="51" spans="1:88" ht="12" customHeight="1">
      <c r="A51" s="168"/>
      <c r="B51" s="155" t="s">
        <v>177</v>
      </c>
      <c r="C51" s="102">
        <f>_xll.ACC(DB,_xll.ArrayDPT($BA51:$BJ51),_xll.ArrayCOA($BL51:$CE51),YR,PRD,_xll.ArrayDIM($CG51:$CJ51))</f>
        <v>6212.06</v>
      </c>
      <c r="D51" s="104"/>
      <c r="E51" s="102">
        <f>_xll.ACC(DB,_xll.ArrayDPT($BA51:$BJ51),_xll.ArrayCOA($BL51:$CE51),YR,PRD-1,_xll.ArrayDIM($CG51:$CJ51))</f>
        <v>6212.06</v>
      </c>
      <c r="F51" s="104"/>
      <c r="G51" s="102">
        <f t="shared" si="8"/>
        <v>0</v>
      </c>
      <c r="H51" s="107"/>
      <c r="I51" s="156">
        <f t="shared" si="9"/>
        <v>0</v>
      </c>
      <c r="J51" s="151"/>
      <c r="K51" s="60"/>
      <c r="L51" s="169"/>
      <c r="M51" s="60"/>
      <c r="N51" s="151"/>
      <c r="O51" s="60"/>
      <c r="P51" s="151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95"/>
      <c r="BB51" s="96"/>
      <c r="BC51" s="96"/>
      <c r="BD51" s="96"/>
      <c r="BE51" s="96"/>
      <c r="BF51" s="96"/>
      <c r="BG51" s="96"/>
      <c r="BH51" s="96"/>
      <c r="BI51" s="96"/>
      <c r="BJ51" s="96"/>
      <c r="BK51" s="97"/>
      <c r="BL51" s="95" t="s">
        <v>178</v>
      </c>
      <c r="BM51" s="96" t="s">
        <v>178</v>
      </c>
      <c r="BN51" s="95"/>
      <c r="BO51" s="96"/>
      <c r="BP51" s="95"/>
      <c r="BQ51" s="96"/>
      <c r="BR51" s="95"/>
      <c r="BS51" s="98"/>
      <c r="BT51" s="96"/>
      <c r="BU51" s="96"/>
      <c r="BV51" s="95"/>
      <c r="BW51" s="98"/>
      <c r="BX51" s="96"/>
      <c r="BY51" s="96"/>
      <c r="BZ51" s="95"/>
      <c r="CA51" s="98"/>
      <c r="CB51" s="96"/>
      <c r="CC51" s="96"/>
      <c r="CD51" s="95"/>
      <c r="CE51" s="98"/>
      <c r="CF51" s="99"/>
      <c r="CG51" s="95"/>
      <c r="CH51" s="96"/>
      <c r="CI51" s="96"/>
      <c r="CJ51" s="98"/>
    </row>
    <row r="52" spans="1:88" ht="12" customHeight="1">
      <c r="A52" s="168"/>
      <c r="B52" s="155" t="s">
        <v>179</v>
      </c>
      <c r="C52" s="102">
        <f>_xll.ACC(DB,_xll.ArrayDPT($BA52:$BJ52),_xll.ArrayCOA($BL52:$CE52),YR,PRD,_xll.ArrayDIM($CG52:$CJ52))</f>
        <v>0</v>
      </c>
      <c r="D52" s="104"/>
      <c r="E52" s="102">
        <f>_xll.ACC(DB,_xll.ArrayDPT($BA52:$BJ52),_xll.ArrayCOA($BL52:$CE52),YR,PRD-1,_xll.ArrayDIM($CG52:$CJ52))</f>
        <v>0</v>
      </c>
      <c r="F52" s="104"/>
      <c r="G52" s="102">
        <f t="shared" si="8"/>
        <v>0</v>
      </c>
      <c r="H52" s="107"/>
      <c r="I52" s="156">
        <f t="shared" si="9"/>
        <v>0</v>
      </c>
      <c r="J52" s="151"/>
      <c r="K52" s="60"/>
      <c r="L52" s="169"/>
      <c r="M52" s="60"/>
      <c r="N52" s="151"/>
      <c r="O52" s="60"/>
      <c r="P52" s="151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95"/>
      <c r="BB52" s="96"/>
      <c r="BC52" s="96"/>
      <c r="BD52" s="96"/>
      <c r="BE52" s="96"/>
      <c r="BF52" s="96"/>
      <c r="BG52" s="96"/>
      <c r="BH52" s="96"/>
      <c r="BI52" s="96"/>
      <c r="BJ52" s="96"/>
      <c r="BK52" s="97"/>
      <c r="BL52" s="95"/>
      <c r="BM52" s="96"/>
      <c r="BN52" s="95"/>
      <c r="BO52" s="96"/>
      <c r="BP52" s="95"/>
      <c r="BQ52" s="96"/>
      <c r="BR52" s="95"/>
      <c r="BS52" s="98"/>
      <c r="BT52" s="96"/>
      <c r="BU52" s="96"/>
      <c r="BV52" s="95"/>
      <c r="BW52" s="98"/>
      <c r="BX52" s="96"/>
      <c r="BY52" s="96"/>
      <c r="BZ52" s="95"/>
      <c r="CA52" s="98"/>
      <c r="CB52" s="96"/>
      <c r="CC52" s="96"/>
      <c r="CD52" s="95"/>
      <c r="CE52" s="98"/>
      <c r="CF52" s="99"/>
      <c r="CG52" s="95"/>
      <c r="CH52" s="96"/>
      <c r="CI52" s="96"/>
      <c r="CJ52" s="98"/>
    </row>
    <row r="53" spans="1:88" ht="12" customHeight="1">
      <c r="A53" s="168"/>
      <c r="B53" s="155" t="s">
        <v>180</v>
      </c>
      <c r="C53" s="102">
        <f>_xll.ACC(DB,_xll.ArrayDPT($BA53:$BJ53),_xll.ArrayCOA($BL53:$CE53),YR,PRD,_xll.ArrayDIM($CG53:$CJ53))</f>
        <v>0</v>
      </c>
      <c r="D53" s="104"/>
      <c r="E53" s="102">
        <f>_xll.ACC(DB,_xll.ArrayDPT($BA53:$BJ53),_xll.ArrayCOA($BL53:$CE53),YR,PRD-1,_xll.ArrayDIM($CG53:$CJ53))</f>
        <v>0</v>
      </c>
      <c r="F53" s="104"/>
      <c r="G53" s="102">
        <f t="shared" si="8"/>
        <v>0</v>
      </c>
      <c r="H53" s="107"/>
      <c r="I53" s="156">
        <f t="shared" si="9"/>
        <v>0</v>
      </c>
      <c r="J53" s="151"/>
      <c r="K53" s="60"/>
      <c r="L53" s="169"/>
      <c r="M53" s="60"/>
      <c r="N53" s="151"/>
      <c r="O53" s="60"/>
      <c r="P53" s="151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95"/>
      <c r="BB53" s="96"/>
      <c r="BC53" s="96"/>
      <c r="BD53" s="96"/>
      <c r="BE53" s="96"/>
      <c r="BF53" s="96"/>
      <c r="BG53" s="96"/>
      <c r="BH53" s="96"/>
      <c r="BI53" s="96"/>
      <c r="BJ53" s="96"/>
      <c r="BK53" s="97"/>
      <c r="BL53" s="95"/>
      <c r="BM53" s="96"/>
      <c r="BN53" s="95"/>
      <c r="BO53" s="96"/>
      <c r="BP53" s="95"/>
      <c r="BQ53" s="96"/>
      <c r="BR53" s="95"/>
      <c r="BS53" s="98"/>
      <c r="BT53" s="96"/>
      <c r="BU53" s="96"/>
      <c r="BV53" s="95"/>
      <c r="BW53" s="98"/>
      <c r="BX53" s="96"/>
      <c r="BY53" s="96"/>
      <c r="BZ53" s="95"/>
      <c r="CA53" s="98"/>
      <c r="CB53" s="96"/>
      <c r="CC53" s="96"/>
      <c r="CD53" s="95"/>
      <c r="CE53" s="98"/>
      <c r="CF53" s="99"/>
      <c r="CG53" s="95"/>
      <c r="CH53" s="96"/>
      <c r="CI53" s="96"/>
      <c r="CJ53" s="98"/>
    </row>
    <row r="54" spans="1:88" ht="12" customHeight="1">
      <c r="A54" s="154"/>
      <c r="B54" s="155" t="s">
        <v>181</v>
      </c>
      <c r="C54" s="102">
        <f>_xll.ACC(DB,_xll.ArrayDPT($BA54:$BJ54),_xll.ArrayCOA($BL54:$CE54),YR,PRD,_xll.ArrayDIM($CG54:$CJ54))</f>
        <v>0</v>
      </c>
      <c r="D54" s="104"/>
      <c r="E54" s="102">
        <f>_xll.ACC(DB,_xll.ArrayDPT($BA54:$BJ54),_xll.ArrayCOA($BL54:$CE54),YR,PRD-1,_xll.ArrayDIM($CG54:$CJ54))</f>
        <v>0</v>
      </c>
      <c r="F54" s="104"/>
      <c r="G54" s="102">
        <f t="shared" si="8"/>
        <v>0</v>
      </c>
      <c r="H54" s="107"/>
      <c r="I54" s="156">
        <f t="shared" si="9"/>
        <v>0</v>
      </c>
      <c r="J54" s="151"/>
      <c r="K54" s="60"/>
      <c r="L54" s="151"/>
      <c r="M54" s="60"/>
      <c r="N54" s="151"/>
      <c r="O54" s="60"/>
      <c r="P54" s="151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95"/>
      <c r="BB54" s="96"/>
      <c r="BC54" s="96"/>
      <c r="BD54" s="96"/>
      <c r="BE54" s="96"/>
      <c r="BF54" s="96"/>
      <c r="BG54" s="96"/>
      <c r="BH54" s="96"/>
      <c r="BI54" s="96"/>
      <c r="BJ54" s="96"/>
      <c r="BK54" s="97"/>
      <c r="BL54" s="95"/>
      <c r="BM54" s="96"/>
      <c r="BN54" s="95"/>
      <c r="BO54" s="96"/>
      <c r="BP54" s="95"/>
      <c r="BQ54" s="96"/>
      <c r="BR54" s="95"/>
      <c r="BS54" s="98"/>
      <c r="BT54" s="96"/>
      <c r="BU54" s="96"/>
      <c r="BV54" s="95"/>
      <c r="BW54" s="98"/>
      <c r="BX54" s="96"/>
      <c r="BY54" s="96"/>
      <c r="BZ54" s="95"/>
      <c r="CA54" s="98"/>
      <c r="CB54" s="96"/>
      <c r="CC54" s="96"/>
      <c r="CD54" s="95"/>
      <c r="CE54" s="98"/>
      <c r="CF54" s="99"/>
      <c r="CG54" s="95"/>
      <c r="CH54" s="96"/>
      <c r="CI54" s="96"/>
      <c r="CJ54" s="98"/>
    </row>
    <row r="55" spans="1:88" ht="12" customHeight="1">
      <c r="A55" s="154"/>
      <c r="B55" s="155" t="s">
        <v>182</v>
      </c>
      <c r="C55" s="102">
        <f>_xll.ACC(DB,_xll.ArrayDPT($BA55:$BJ55),_xll.ArrayCOA($BL55:$CE55),YR,PRD,_xll.ArrayDIM($CG55:$CJ55))</f>
        <v>0</v>
      </c>
      <c r="D55" s="104"/>
      <c r="E55" s="102">
        <f>_xll.ACC(DB,_xll.ArrayDPT($BA55:$BJ55),_xll.ArrayCOA($BL55:$CE55),YR,PRD-1,_xll.ArrayDIM($CG55:$CJ55))</f>
        <v>0</v>
      </c>
      <c r="F55" s="104"/>
      <c r="G55" s="102">
        <f t="shared" si="8"/>
        <v>0</v>
      </c>
      <c r="H55" s="107"/>
      <c r="I55" s="156">
        <f t="shared" si="9"/>
        <v>0</v>
      </c>
      <c r="J55" s="151"/>
      <c r="K55" s="60"/>
      <c r="L55" s="151"/>
      <c r="M55" s="60"/>
      <c r="N55" s="151"/>
      <c r="O55" s="60"/>
      <c r="P55" s="151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95"/>
      <c r="BB55" s="96"/>
      <c r="BC55" s="96"/>
      <c r="BD55" s="96"/>
      <c r="BE55" s="96"/>
      <c r="BF55" s="96"/>
      <c r="BG55" s="96"/>
      <c r="BH55" s="96"/>
      <c r="BI55" s="96"/>
      <c r="BJ55" s="96"/>
      <c r="BK55" s="97"/>
      <c r="BL55" s="95"/>
      <c r="BM55" s="96"/>
      <c r="BN55" s="95"/>
      <c r="BO55" s="96"/>
      <c r="BP55" s="95"/>
      <c r="BQ55" s="96"/>
      <c r="BR55" s="95"/>
      <c r="BS55" s="98"/>
      <c r="BT55" s="96"/>
      <c r="BU55" s="96"/>
      <c r="BV55" s="95"/>
      <c r="BW55" s="98"/>
      <c r="BX55" s="96"/>
      <c r="BY55" s="96"/>
      <c r="BZ55" s="95"/>
      <c r="CA55" s="98"/>
      <c r="CB55" s="96"/>
      <c r="CC55" s="96"/>
      <c r="CD55" s="95"/>
      <c r="CE55" s="98"/>
      <c r="CF55" s="99"/>
      <c r="CG55" s="95"/>
      <c r="CH55" s="96"/>
      <c r="CI55" s="96"/>
      <c r="CJ55" s="98"/>
    </row>
    <row r="56" spans="1:88" ht="12" customHeight="1">
      <c r="A56" s="170"/>
      <c r="B56" s="155" t="s">
        <v>183</v>
      </c>
      <c r="C56" s="102">
        <f>_xll.ACC(DB,_xll.ArrayDPT($BA56:$BJ56),_xll.ArrayCOA($BL56:$CE56),YR,PRD,_xll.ArrayDIM($CG56:$CJ56))</f>
        <v>-164600</v>
      </c>
      <c r="D56" s="104"/>
      <c r="E56" s="102">
        <f>_xll.ACC(DB,_xll.ArrayDPT($BA56:$BJ56),_xll.ArrayCOA($BL56:$CE56),YR,PRD-1,_xll.ArrayDIM($CG56:$CJ56))</f>
        <v>-164600</v>
      </c>
      <c r="F56" s="171"/>
      <c r="G56" s="102">
        <f t="shared" si="8"/>
        <v>0</v>
      </c>
      <c r="H56" s="107"/>
      <c r="I56" s="156">
        <f t="shared" si="9"/>
        <v>0</v>
      </c>
      <c r="J56" s="151"/>
      <c r="K56" s="60"/>
      <c r="L56" s="172" t="s">
        <v>2</v>
      </c>
      <c r="M56" s="60"/>
      <c r="N56" s="151"/>
      <c r="O56" s="60"/>
      <c r="P56" s="151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95"/>
      <c r="BB56" s="96"/>
      <c r="BC56" s="96"/>
      <c r="BD56" s="96"/>
      <c r="BE56" s="96"/>
      <c r="BF56" s="96"/>
      <c r="BG56" s="96"/>
      <c r="BH56" s="96"/>
      <c r="BI56" s="96"/>
      <c r="BJ56" s="96"/>
      <c r="BK56" s="97"/>
      <c r="BL56" s="95" t="s">
        <v>184</v>
      </c>
      <c r="BM56" s="96" t="s">
        <v>184</v>
      </c>
      <c r="BN56" s="95"/>
      <c r="BO56" s="96"/>
      <c r="BP56" s="95"/>
      <c r="BQ56" s="96"/>
      <c r="BR56" s="95"/>
      <c r="BS56" s="98"/>
      <c r="BT56" s="96"/>
      <c r="BU56" s="96"/>
      <c r="BV56" s="95"/>
      <c r="BW56" s="98"/>
      <c r="BX56" s="96"/>
      <c r="BY56" s="96"/>
      <c r="BZ56" s="95"/>
      <c r="CA56" s="98"/>
      <c r="CB56" s="96"/>
      <c r="CC56" s="96"/>
      <c r="CD56" s="95"/>
      <c r="CE56" s="98"/>
      <c r="CF56" s="99"/>
      <c r="CG56" s="95"/>
      <c r="CH56" s="96"/>
      <c r="CI56" s="96"/>
      <c r="CJ56" s="98"/>
    </row>
    <row r="57" spans="1:88" ht="12" customHeight="1">
      <c r="A57" s="170"/>
      <c r="B57" s="155" t="s">
        <v>185</v>
      </c>
      <c r="C57" s="102">
        <f>_xll.ACC(DB,_xll.ArrayDPT($BA57:$BJ57),_xll.ArrayCOA($BL57:$CE57),YR,PRD,_xll.ArrayDIM($CG57:$CJ57))</f>
        <v>167682459.5</v>
      </c>
      <c r="D57" s="104"/>
      <c r="E57" s="102">
        <f>_xll.ACC(DB,_xll.ArrayDPT($BA57:$BJ57),_xll.ArrayCOA($BL57:$CE57),YR,PRD-1,_xll.ArrayDIM($CG57:$CJ57))</f>
        <v>167081533.02000001</v>
      </c>
      <c r="F57" s="171"/>
      <c r="G57" s="102">
        <f t="shared" si="8"/>
        <v>600926.47999998927</v>
      </c>
      <c r="H57" s="107"/>
      <c r="I57" s="156">
        <f t="shared" si="9"/>
        <v>6.973115803506972</v>
      </c>
      <c r="J57" s="151"/>
      <c r="K57" s="60"/>
      <c r="L57" s="172"/>
      <c r="M57" s="60"/>
      <c r="N57" s="151"/>
      <c r="O57" s="60"/>
      <c r="P57" s="151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95"/>
      <c r="BB57" s="96"/>
      <c r="BC57" s="96"/>
      <c r="BD57" s="96"/>
      <c r="BE57" s="96"/>
      <c r="BF57" s="96"/>
      <c r="BG57" s="96"/>
      <c r="BH57" s="96"/>
      <c r="BI57" s="96"/>
      <c r="BJ57" s="96"/>
      <c r="BK57" s="97"/>
      <c r="BL57" s="95" t="s">
        <v>186</v>
      </c>
      <c r="BM57" s="96" t="s">
        <v>186</v>
      </c>
      <c r="BN57" s="95"/>
      <c r="BO57" s="96"/>
      <c r="BP57" s="95"/>
      <c r="BQ57" s="96"/>
      <c r="BR57" s="95"/>
      <c r="BS57" s="98"/>
      <c r="BT57" s="96"/>
      <c r="BU57" s="96"/>
      <c r="BV57" s="95"/>
      <c r="BW57" s="98"/>
      <c r="BX57" s="96"/>
      <c r="BY57" s="96"/>
      <c r="BZ57" s="95"/>
      <c r="CA57" s="98"/>
      <c r="CB57" s="96"/>
      <c r="CC57" s="96"/>
      <c r="CD57" s="95"/>
      <c r="CE57" s="98"/>
      <c r="CF57" s="99"/>
      <c r="CG57" s="95"/>
      <c r="CH57" s="96"/>
      <c r="CI57" s="96"/>
      <c r="CJ57" s="98"/>
    </row>
    <row r="58" spans="1:88" ht="12" customHeight="1">
      <c r="A58" s="168"/>
      <c r="B58" s="155" t="s">
        <v>187</v>
      </c>
      <c r="C58" s="102">
        <f>_xll.ACC(DB,_xll.ArrayDPT($BA58:$BJ58),_xll.ArrayCOA($BL58:$CE58),YR,PRD,_xll.ArrayDIM($CG58:$CJ58))</f>
        <v>4350.5200000000004</v>
      </c>
      <c r="D58" s="104"/>
      <c r="E58" s="102">
        <f>_xll.ACC(DB,_xll.ArrayDPT($BA58:$BJ58),_xll.ArrayCOA($BL58:$CE58),YR,PRD-1,_xll.ArrayDIM($CG58:$CJ58))</f>
        <v>4350.5200000000004</v>
      </c>
      <c r="F58" s="104"/>
      <c r="G58" s="102">
        <f t="shared" si="8"/>
        <v>0</v>
      </c>
      <c r="H58" s="117"/>
      <c r="I58" s="156">
        <f t="shared" si="9"/>
        <v>0</v>
      </c>
      <c r="J58" s="151"/>
      <c r="K58" s="60"/>
      <c r="L58" s="169" t="s">
        <v>2</v>
      </c>
      <c r="M58" s="60"/>
      <c r="N58" s="151"/>
      <c r="O58" s="60"/>
      <c r="P58" s="151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95"/>
      <c r="BB58" s="96"/>
      <c r="BC58" s="96"/>
      <c r="BD58" s="96"/>
      <c r="BE58" s="96"/>
      <c r="BF58" s="96"/>
      <c r="BG58" s="96"/>
      <c r="BH58" s="96"/>
      <c r="BI58" s="96"/>
      <c r="BJ58" s="96"/>
      <c r="BK58" s="97"/>
      <c r="BL58" s="95" t="s">
        <v>188</v>
      </c>
      <c r="BM58" s="96" t="s">
        <v>188</v>
      </c>
      <c r="BN58" s="95"/>
      <c r="BO58" s="96"/>
      <c r="BP58" s="95"/>
      <c r="BQ58" s="96"/>
      <c r="BR58" s="95"/>
      <c r="BS58" s="98"/>
      <c r="BT58" s="96"/>
      <c r="BU58" s="96"/>
      <c r="BV58" s="95"/>
      <c r="BW58" s="98"/>
      <c r="BX58" s="96"/>
      <c r="BY58" s="96"/>
      <c r="BZ58" s="95"/>
      <c r="CA58" s="98"/>
      <c r="CB58" s="96"/>
      <c r="CC58" s="96"/>
      <c r="CD58" s="95"/>
      <c r="CE58" s="98"/>
      <c r="CF58" s="99"/>
      <c r="CG58" s="95"/>
      <c r="CH58" s="96"/>
      <c r="CI58" s="96"/>
      <c r="CJ58" s="98"/>
    </row>
    <row r="59" spans="1:88" ht="12" customHeight="1">
      <c r="A59" s="168"/>
      <c r="B59" s="155" t="s">
        <v>189</v>
      </c>
      <c r="C59" s="102">
        <f>_xll.ACC(DB,_xll.ArrayDPT($BA59:$BJ59),_xll.ArrayCOA($BL59:$CE59),YR,PRD,_xll.ArrayDIM($CG59:$CJ59))</f>
        <v>99976759.980000004</v>
      </c>
      <c r="D59" s="104"/>
      <c r="E59" s="102">
        <f>_xll.ACC(DB,_xll.ArrayDPT($BA59:$BJ59),_xll.ArrayCOA($BL59:$CE59),YR,PRD-1,_xll.ArrayDIM($CG59:$CJ59))</f>
        <v>92374925.090000004</v>
      </c>
      <c r="F59" s="104"/>
      <c r="G59" s="102">
        <f t="shared" si="8"/>
        <v>7601834.8900000006</v>
      </c>
      <c r="H59" s="117"/>
      <c r="I59" s="156">
        <f t="shared" si="9"/>
        <v>88.21124841613009</v>
      </c>
      <c r="J59" s="151"/>
      <c r="K59" s="60"/>
      <c r="L59" s="169"/>
      <c r="M59" s="60"/>
      <c r="N59" s="151"/>
      <c r="O59" s="60"/>
      <c r="P59" s="151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95"/>
      <c r="BB59" s="96"/>
      <c r="BC59" s="96"/>
      <c r="BD59" s="96"/>
      <c r="BE59" s="96"/>
      <c r="BF59" s="96"/>
      <c r="BG59" s="96"/>
      <c r="BH59" s="96"/>
      <c r="BI59" s="96"/>
      <c r="BJ59" s="96"/>
      <c r="BK59" s="97"/>
      <c r="BL59" s="95" t="s">
        <v>190</v>
      </c>
      <c r="BM59" s="96" t="s">
        <v>190</v>
      </c>
      <c r="BN59" s="95"/>
      <c r="BO59" s="96"/>
      <c r="BP59" s="95"/>
      <c r="BQ59" s="96"/>
      <c r="BR59" s="95"/>
      <c r="BS59" s="98"/>
      <c r="BT59" s="96"/>
      <c r="BU59" s="96"/>
      <c r="BV59" s="95"/>
      <c r="BW59" s="98"/>
      <c r="BX59" s="96"/>
      <c r="BY59" s="96"/>
      <c r="BZ59" s="95"/>
      <c r="CA59" s="98"/>
      <c r="CB59" s="96"/>
      <c r="CC59" s="96"/>
      <c r="CD59" s="95"/>
      <c r="CE59" s="98"/>
      <c r="CF59" s="99"/>
      <c r="CG59" s="95"/>
      <c r="CH59" s="96"/>
      <c r="CI59" s="96"/>
      <c r="CJ59" s="98"/>
    </row>
    <row r="60" spans="1:88" ht="12" customHeight="1">
      <c r="A60" s="168"/>
      <c r="B60" s="155" t="s">
        <v>191</v>
      </c>
      <c r="C60" s="102">
        <f>_xll.ACC(DB,_xll.ArrayDPT($BA60:$BJ60),_xll.ArrayCOA($BL60:$CE60),YR,PRD,_xll.ArrayDIM($CG60:$CJ60))</f>
        <v>-9224</v>
      </c>
      <c r="D60" s="104"/>
      <c r="E60" s="102">
        <f>_xll.ACC(DB,_xll.ArrayDPT($BA60:$BJ60),_xll.ArrayCOA($BL60:$CE60),YR,PRD-1,_xll.ArrayDIM($CG60:$CJ60))</f>
        <v>-9224</v>
      </c>
      <c r="F60" s="104"/>
      <c r="G60" s="102">
        <f t="shared" si="8"/>
        <v>0</v>
      </c>
      <c r="H60" s="117"/>
      <c r="I60" s="156">
        <f t="shared" si="9"/>
        <v>0</v>
      </c>
      <c r="J60" s="151"/>
      <c r="K60" s="60"/>
      <c r="L60" s="169"/>
      <c r="M60" s="60"/>
      <c r="N60" s="151"/>
      <c r="O60" s="60"/>
      <c r="P60" s="151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95"/>
      <c r="BB60" s="96"/>
      <c r="BC60" s="96"/>
      <c r="BD60" s="96"/>
      <c r="BE60" s="96"/>
      <c r="BF60" s="96"/>
      <c r="BG60" s="96"/>
      <c r="BH60" s="96"/>
      <c r="BI60" s="96"/>
      <c r="BJ60" s="96"/>
      <c r="BK60" s="97"/>
      <c r="BL60" s="95" t="s">
        <v>192</v>
      </c>
      <c r="BM60" s="96" t="s">
        <v>192</v>
      </c>
      <c r="BN60" s="95"/>
      <c r="BO60" s="96"/>
      <c r="BP60" s="95"/>
      <c r="BQ60" s="96"/>
      <c r="BR60" s="95"/>
      <c r="BS60" s="98"/>
      <c r="BT60" s="96"/>
      <c r="BU60" s="96"/>
      <c r="BV60" s="95"/>
      <c r="BW60" s="98"/>
      <c r="BX60" s="96"/>
      <c r="BY60" s="96"/>
      <c r="BZ60" s="95"/>
      <c r="CA60" s="98"/>
      <c r="CB60" s="96"/>
      <c r="CC60" s="96"/>
      <c r="CD60" s="95"/>
      <c r="CE60" s="98"/>
      <c r="CF60" s="99"/>
      <c r="CG60" s="95"/>
      <c r="CH60" s="96"/>
      <c r="CI60" s="96"/>
      <c r="CJ60" s="98"/>
    </row>
    <row r="61" spans="1:88" ht="12" customHeight="1">
      <c r="A61" s="168"/>
      <c r="B61" s="155" t="s">
        <v>193</v>
      </c>
      <c r="C61" s="102">
        <f>_xll.ACC(DB,_xll.ArrayDPT($BA61:$BJ61),_xll.ArrayCOA($BL61:$CE61),YR,PRD,_xll.ArrayDIM($CG61:$CJ61))</f>
        <v>-1882941.01</v>
      </c>
      <c r="D61" s="104"/>
      <c r="E61" s="102">
        <f>_xll.ACC(DB,_xll.ArrayDPT($BA61:$BJ61),_xll.ArrayCOA($BL61:$CE61),YR,PRD-1,_xll.ArrayDIM($CG61:$CJ61))</f>
        <v>-1882941.01</v>
      </c>
      <c r="F61" s="104"/>
      <c r="G61" s="102">
        <f t="shared" si="8"/>
        <v>0</v>
      </c>
      <c r="H61" s="117"/>
      <c r="I61" s="156">
        <f t="shared" si="9"/>
        <v>0</v>
      </c>
      <c r="J61" s="151"/>
      <c r="K61" s="60"/>
      <c r="L61" s="169"/>
      <c r="M61" s="60"/>
      <c r="N61" s="151"/>
      <c r="O61" s="60"/>
      <c r="P61" s="151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95"/>
      <c r="BB61" s="96"/>
      <c r="BC61" s="96"/>
      <c r="BD61" s="96"/>
      <c r="BE61" s="96"/>
      <c r="BF61" s="96"/>
      <c r="BG61" s="96"/>
      <c r="BH61" s="96"/>
      <c r="BI61" s="96"/>
      <c r="BJ61" s="96"/>
      <c r="BK61" s="97"/>
      <c r="BL61" s="95" t="s">
        <v>194</v>
      </c>
      <c r="BM61" s="96" t="s">
        <v>194</v>
      </c>
      <c r="BN61" s="95"/>
      <c r="BO61" s="96"/>
      <c r="BP61" s="95"/>
      <c r="BQ61" s="96"/>
      <c r="BR61" s="95"/>
      <c r="BS61" s="98"/>
      <c r="BT61" s="96"/>
      <c r="BU61" s="96"/>
      <c r="BV61" s="95"/>
      <c r="BW61" s="98"/>
      <c r="BX61" s="96"/>
      <c r="BY61" s="96"/>
      <c r="BZ61" s="95"/>
      <c r="CA61" s="98"/>
      <c r="CB61" s="96"/>
      <c r="CC61" s="96"/>
      <c r="CD61" s="95"/>
      <c r="CE61" s="98"/>
      <c r="CF61" s="99"/>
      <c r="CG61" s="95"/>
      <c r="CH61" s="96"/>
      <c r="CI61" s="96"/>
      <c r="CJ61" s="98"/>
    </row>
    <row r="62" spans="1:88" ht="15" customHeight="1">
      <c r="A62" s="157" t="s">
        <v>195</v>
      </c>
      <c r="B62" s="106"/>
      <c r="C62" s="111">
        <f>SUM(C48:C61)</f>
        <v>366351730.41000003</v>
      </c>
      <c r="D62" s="94"/>
      <c r="E62" s="111">
        <f>SUM(E48:E61)</f>
        <v>357733969.04000002</v>
      </c>
      <c r="F62" s="94"/>
      <c r="G62" s="111">
        <f t="shared" si="8"/>
        <v>8617761.3700000048</v>
      </c>
      <c r="H62" s="112"/>
      <c r="I62" s="159">
        <f t="shared" si="9"/>
        <v>100</v>
      </c>
      <c r="J62" s="151">
        <f>C62-BS!C19</f>
        <v>0</v>
      </c>
      <c r="K62" s="60"/>
      <c r="L62" s="151">
        <f>E62-BS!E19</f>
        <v>0</v>
      </c>
      <c r="M62" s="60"/>
      <c r="N62" s="151"/>
      <c r="O62" s="60"/>
      <c r="P62" s="151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95"/>
      <c r="BB62" s="96"/>
      <c r="BC62" s="96"/>
      <c r="BD62" s="96"/>
      <c r="BE62" s="96"/>
      <c r="BF62" s="96"/>
      <c r="BG62" s="96"/>
      <c r="BH62" s="96"/>
      <c r="BI62" s="96"/>
      <c r="BJ62" s="96"/>
      <c r="BK62" s="97"/>
      <c r="BL62" s="95"/>
      <c r="BM62" s="96"/>
      <c r="BN62" s="95"/>
      <c r="BO62" s="96"/>
      <c r="BP62" s="95"/>
      <c r="BQ62" s="96"/>
      <c r="BR62" s="95"/>
      <c r="BS62" s="98"/>
      <c r="BT62" s="96"/>
      <c r="BU62" s="96"/>
      <c r="BV62" s="95"/>
      <c r="BW62" s="98"/>
      <c r="BX62" s="96"/>
      <c r="BY62" s="96"/>
      <c r="BZ62" s="95"/>
      <c r="CA62" s="98"/>
      <c r="CB62" s="96"/>
      <c r="CC62" s="96"/>
      <c r="CD62" s="95"/>
      <c r="CE62" s="98"/>
      <c r="CF62" s="99"/>
      <c r="CG62" s="95"/>
      <c r="CH62" s="96"/>
      <c r="CI62" s="96"/>
      <c r="CJ62" s="98"/>
    </row>
    <row r="63" spans="1:88" ht="15" customHeight="1">
      <c r="A63" s="157"/>
      <c r="B63" s="106"/>
      <c r="C63" s="92"/>
      <c r="D63" s="94"/>
      <c r="E63" s="92"/>
      <c r="F63" s="94"/>
      <c r="G63" s="92"/>
      <c r="H63" s="112"/>
      <c r="I63" s="160"/>
      <c r="J63" s="151"/>
      <c r="K63" s="60"/>
      <c r="L63" s="151"/>
      <c r="M63" s="60"/>
      <c r="N63" s="151"/>
      <c r="O63" s="60"/>
      <c r="P63" s="151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95"/>
      <c r="BB63" s="96"/>
      <c r="BC63" s="96"/>
      <c r="BD63" s="96"/>
      <c r="BE63" s="96"/>
      <c r="BF63" s="96"/>
      <c r="BG63" s="96"/>
      <c r="BH63" s="96"/>
      <c r="BI63" s="96"/>
      <c r="BJ63" s="96"/>
      <c r="BK63" s="97"/>
      <c r="BL63" s="95"/>
      <c r="BM63" s="96"/>
      <c r="BN63" s="95"/>
      <c r="BO63" s="96"/>
      <c r="BP63" s="95"/>
      <c r="BQ63" s="96"/>
      <c r="BR63" s="95"/>
      <c r="BS63" s="98"/>
      <c r="BT63" s="96"/>
      <c r="BU63" s="96"/>
      <c r="BV63" s="95"/>
      <c r="BW63" s="98"/>
      <c r="BX63" s="96"/>
      <c r="BY63" s="96"/>
      <c r="BZ63" s="95"/>
      <c r="CA63" s="98"/>
      <c r="CB63" s="96"/>
      <c r="CC63" s="96"/>
      <c r="CD63" s="95"/>
      <c r="CE63" s="98"/>
      <c r="CF63" s="99"/>
      <c r="CG63" s="95"/>
      <c r="CH63" s="96"/>
      <c r="CI63" s="96"/>
      <c r="CJ63" s="98"/>
    </row>
    <row r="64" spans="1:88" ht="15" customHeight="1">
      <c r="A64" s="157" t="s">
        <v>196</v>
      </c>
      <c r="B64" s="106"/>
      <c r="C64" s="102"/>
      <c r="D64" s="104"/>
      <c r="E64" s="102"/>
      <c r="F64" s="104"/>
      <c r="G64" s="102"/>
      <c r="H64" s="107"/>
      <c r="I64" s="153"/>
      <c r="J64" s="151"/>
      <c r="K64" s="114"/>
      <c r="L64" s="161"/>
      <c r="M64" s="114"/>
      <c r="N64" s="161"/>
      <c r="O64" s="114"/>
      <c r="P64" s="161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4"/>
      <c r="AN64" s="114"/>
      <c r="AO64" s="114"/>
      <c r="AP64" s="114"/>
      <c r="AQ64" s="114"/>
      <c r="AR64" s="114"/>
      <c r="AS64" s="114"/>
      <c r="AT64" s="114"/>
      <c r="AU64" s="114"/>
      <c r="AV64" s="114"/>
      <c r="AW64" s="114"/>
      <c r="AX64" s="114"/>
      <c r="AY64" s="114"/>
      <c r="AZ64" s="114"/>
      <c r="BA64" s="95"/>
      <c r="BB64" s="96"/>
      <c r="BC64" s="96"/>
      <c r="BD64" s="96"/>
      <c r="BE64" s="96"/>
      <c r="BF64" s="96"/>
      <c r="BG64" s="96"/>
      <c r="BH64" s="96"/>
      <c r="BI64" s="96"/>
      <c r="BJ64" s="96"/>
      <c r="BK64" s="97"/>
      <c r="BL64" s="95"/>
      <c r="BM64" s="96"/>
      <c r="BN64" s="95"/>
      <c r="BO64" s="96"/>
      <c r="BP64" s="95"/>
      <c r="BQ64" s="96"/>
      <c r="BR64" s="95"/>
      <c r="BS64" s="98"/>
      <c r="BT64" s="96"/>
      <c r="BU64" s="96"/>
      <c r="BV64" s="95"/>
      <c r="BW64" s="98"/>
      <c r="BX64" s="96"/>
      <c r="BY64" s="96"/>
      <c r="BZ64" s="95"/>
      <c r="CA64" s="98"/>
      <c r="CB64" s="96"/>
      <c r="CC64" s="96"/>
      <c r="CD64" s="95"/>
      <c r="CE64" s="98"/>
      <c r="CF64" s="99"/>
      <c r="CG64" s="95"/>
      <c r="CH64" s="96"/>
      <c r="CI64" s="96"/>
      <c r="CJ64" s="98"/>
    </row>
    <row r="65" spans="1:88" ht="15" customHeight="1">
      <c r="A65" s="168"/>
      <c r="B65" s="101" t="s">
        <v>197</v>
      </c>
      <c r="C65" s="132"/>
      <c r="D65" s="173"/>
      <c r="E65" s="132"/>
      <c r="F65" s="173"/>
      <c r="G65" s="92"/>
      <c r="H65" s="112"/>
      <c r="I65" s="174"/>
      <c r="J65" s="151"/>
      <c r="K65" s="114"/>
      <c r="L65" s="161"/>
      <c r="M65" s="114"/>
      <c r="N65" s="161"/>
      <c r="O65" s="114"/>
      <c r="P65" s="161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  <c r="AT65" s="114"/>
      <c r="AU65" s="114"/>
      <c r="AV65" s="114"/>
      <c r="AW65" s="114"/>
      <c r="AX65" s="114"/>
      <c r="AY65" s="114"/>
      <c r="AZ65" s="114"/>
      <c r="BA65" s="95"/>
      <c r="BB65" s="96"/>
      <c r="BC65" s="96"/>
      <c r="BD65" s="96"/>
      <c r="BE65" s="96"/>
      <c r="BF65" s="96"/>
      <c r="BG65" s="96"/>
      <c r="BH65" s="96"/>
      <c r="BI65" s="96"/>
      <c r="BJ65" s="96"/>
      <c r="BK65" s="97"/>
      <c r="BL65" s="95"/>
      <c r="BM65" s="96"/>
      <c r="BN65" s="95"/>
      <c r="BO65" s="96"/>
      <c r="BP65" s="95"/>
      <c r="BQ65" s="96"/>
      <c r="BR65" s="95"/>
      <c r="BS65" s="98"/>
      <c r="BT65" s="96"/>
      <c r="BU65" s="96"/>
      <c r="BV65" s="95"/>
      <c r="BW65" s="98"/>
      <c r="BX65" s="96"/>
      <c r="BY65" s="96"/>
      <c r="BZ65" s="95"/>
      <c r="CA65" s="98"/>
      <c r="CB65" s="96"/>
      <c r="CC65" s="96"/>
      <c r="CD65" s="95"/>
      <c r="CE65" s="98"/>
      <c r="CF65" s="99"/>
      <c r="CG65" s="95"/>
      <c r="CH65" s="96"/>
      <c r="CI65" s="96"/>
      <c r="CJ65" s="98"/>
    </row>
    <row r="66" spans="1:88" ht="12" customHeight="1">
      <c r="A66" s="154"/>
      <c r="B66" s="155" t="s">
        <v>198</v>
      </c>
      <c r="C66" s="102">
        <f>_xll.ACC(DB,_xll.ArrayDPT($BA66:$BJ66),_xll.ArrayCOA($BL66:$CE66),YR,PRD,_xll.ArrayDIM($CG66:$CJ66))</f>
        <v>0</v>
      </c>
      <c r="D66" s="104"/>
      <c r="E66" s="102">
        <f>_xll.ACC(DB,_xll.ArrayDPT($BA66:$BJ66),_xll.ArrayCOA($BL66:$CE66),YR,PRD-1,_xll.ArrayDIM($CG66:$CJ66))</f>
        <v>0</v>
      </c>
      <c r="F66" s="175"/>
      <c r="G66" s="102">
        <f t="shared" ref="G66:G71" si="10">C66-E66</f>
        <v>0</v>
      </c>
      <c r="H66" s="107"/>
      <c r="I66" s="156">
        <f t="shared" ref="I66:I71" si="11">IF(G66=0,0,(G66*100/$G$84))</f>
        <v>0</v>
      </c>
      <c r="J66" s="151"/>
      <c r="K66" s="60"/>
      <c r="L66" s="151"/>
      <c r="M66" s="60"/>
      <c r="N66" s="151"/>
      <c r="O66" s="60"/>
      <c r="P66" s="151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95"/>
      <c r="BB66" s="96"/>
      <c r="BC66" s="96"/>
      <c r="BD66" s="96"/>
      <c r="BE66" s="96"/>
      <c r="BF66" s="96"/>
      <c r="BG66" s="96"/>
      <c r="BH66" s="96"/>
      <c r="BI66" s="96"/>
      <c r="BJ66" s="96"/>
      <c r="BK66" s="97"/>
      <c r="BL66" s="95" t="s">
        <v>199</v>
      </c>
      <c r="BM66" s="96" t="s">
        <v>199</v>
      </c>
      <c r="BN66" s="95"/>
      <c r="BO66" s="96"/>
      <c r="BP66" s="95"/>
      <c r="BQ66" s="96"/>
      <c r="BR66" s="95"/>
      <c r="BS66" s="98"/>
      <c r="BT66" s="96"/>
      <c r="BU66" s="96"/>
      <c r="BV66" s="95"/>
      <c r="BW66" s="98"/>
      <c r="BX66" s="96"/>
      <c r="BY66" s="96"/>
      <c r="BZ66" s="95"/>
      <c r="CA66" s="98"/>
      <c r="CB66" s="96"/>
      <c r="CC66" s="96"/>
      <c r="CD66" s="95"/>
      <c r="CE66" s="98"/>
      <c r="CF66" s="99"/>
      <c r="CG66" s="95"/>
      <c r="CH66" s="96"/>
      <c r="CI66" s="96"/>
      <c r="CJ66" s="98"/>
    </row>
    <row r="67" spans="1:88" ht="12" customHeight="1">
      <c r="A67" s="154"/>
      <c r="B67" s="155" t="s">
        <v>200</v>
      </c>
      <c r="C67" s="102">
        <f>_xll.ACC(DB,_xll.ArrayDPT($BA67:$BJ67),_xll.ArrayCOA($BL67:$CE67),YR,PRD,_xll.ArrayDIM($CG67:$CJ67))</f>
        <v>0</v>
      </c>
      <c r="D67" s="164"/>
      <c r="E67" s="102">
        <f>_xll.ACC(DB,_xll.ArrayDPT($BA67:$BJ67),_xll.ArrayCOA($BL67:$CE67),YR,PRD-1,_xll.ArrayDIM($CG67:$CJ67))</f>
        <v>0</v>
      </c>
      <c r="F67" s="104"/>
      <c r="G67" s="102">
        <f t="shared" si="10"/>
        <v>0</v>
      </c>
      <c r="H67" s="103"/>
      <c r="I67" s="156">
        <f t="shared" si="11"/>
        <v>0</v>
      </c>
      <c r="J67" s="151"/>
      <c r="K67" s="60"/>
      <c r="L67" s="151"/>
      <c r="M67" s="60"/>
      <c r="N67" s="151"/>
      <c r="O67" s="60"/>
      <c r="P67" s="151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95"/>
      <c r="BB67" s="96"/>
      <c r="BC67" s="96"/>
      <c r="BD67" s="96"/>
      <c r="BE67" s="96"/>
      <c r="BF67" s="96"/>
      <c r="BG67" s="96"/>
      <c r="BH67" s="96"/>
      <c r="BI67" s="96"/>
      <c r="BJ67" s="96"/>
      <c r="BK67" s="97"/>
      <c r="BL67" s="95" t="s">
        <v>199</v>
      </c>
      <c r="BM67" s="96" t="s">
        <v>199</v>
      </c>
      <c r="BN67" s="95"/>
      <c r="BO67" s="96"/>
      <c r="BP67" s="95"/>
      <c r="BQ67" s="96"/>
      <c r="BR67" s="95"/>
      <c r="BS67" s="98"/>
      <c r="BT67" s="96"/>
      <c r="BU67" s="96"/>
      <c r="BV67" s="95"/>
      <c r="BW67" s="98"/>
      <c r="BX67" s="96"/>
      <c r="BY67" s="96"/>
      <c r="BZ67" s="95"/>
      <c r="CA67" s="98"/>
      <c r="CB67" s="96"/>
      <c r="CC67" s="96"/>
      <c r="CD67" s="95"/>
      <c r="CE67" s="98"/>
      <c r="CF67" s="99"/>
      <c r="CG67" s="95"/>
      <c r="CH67" s="96"/>
      <c r="CI67" s="96"/>
      <c r="CJ67" s="98"/>
    </row>
    <row r="68" spans="1:88" ht="12" customHeight="1">
      <c r="A68" s="154"/>
      <c r="B68" s="155" t="s">
        <v>201</v>
      </c>
      <c r="C68" s="102">
        <f>_xll.ACC(DB,_xll.ArrayDPT($BA68:$BJ68),_xll.ArrayCOA($BL68:$CE68),YR,PRD,_xll.ArrayDIM($CG68:$CJ68))</f>
        <v>0</v>
      </c>
      <c r="D68" s="104"/>
      <c r="E68" s="102">
        <f>_xll.ACC(DB,_xll.ArrayDPT($BA68:$BJ68),_xll.ArrayCOA($BL68:$CE68),YR,PRD-1,_xll.ArrayDIM($CG68:$CJ68))</f>
        <v>0</v>
      </c>
      <c r="F68" s="104"/>
      <c r="G68" s="102">
        <f t="shared" si="10"/>
        <v>0</v>
      </c>
      <c r="H68" s="103"/>
      <c r="I68" s="156">
        <f t="shared" si="11"/>
        <v>0</v>
      </c>
      <c r="J68" s="151"/>
      <c r="K68" s="60"/>
      <c r="L68" s="151"/>
      <c r="M68" s="60"/>
      <c r="N68" s="151"/>
      <c r="O68" s="60"/>
      <c r="P68" s="151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95"/>
      <c r="BB68" s="96"/>
      <c r="BC68" s="96"/>
      <c r="BD68" s="96"/>
      <c r="BE68" s="96"/>
      <c r="BF68" s="96"/>
      <c r="BG68" s="96"/>
      <c r="BH68" s="96"/>
      <c r="BI68" s="96"/>
      <c r="BJ68" s="96"/>
      <c r="BK68" s="97"/>
      <c r="BL68" s="95" t="s">
        <v>199</v>
      </c>
      <c r="BM68" s="96" t="s">
        <v>199</v>
      </c>
      <c r="BN68" s="95"/>
      <c r="BO68" s="96"/>
      <c r="BP68" s="95"/>
      <c r="BQ68" s="96"/>
      <c r="BR68" s="95"/>
      <c r="BS68" s="98"/>
      <c r="BT68" s="96"/>
      <c r="BU68" s="96"/>
      <c r="BV68" s="95"/>
      <c r="BW68" s="98"/>
      <c r="BX68" s="96"/>
      <c r="BY68" s="96"/>
      <c r="BZ68" s="95"/>
      <c r="CA68" s="98"/>
      <c r="CB68" s="96"/>
      <c r="CC68" s="96"/>
      <c r="CD68" s="95"/>
      <c r="CE68" s="98"/>
      <c r="CF68" s="99"/>
      <c r="CG68" s="95"/>
      <c r="CH68" s="96"/>
      <c r="CI68" s="96"/>
      <c r="CJ68" s="98"/>
    </row>
    <row r="69" spans="1:88" ht="12" customHeight="1">
      <c r="A69" s="154"/>
      <c r="B69" s="155" t="s">
        <v>202</v>
      </c>
      <c r="C69" s="102">
        <f>_xll.ACC(DB,_xll.ArrayDPT($BA69:$BJ69),_xll.ArrayCOA($BL69:$CE69),YR,PRD,_xll.ArrayDIM($CG69:$CJ69))</f>
        <v>0</v>
      </c>
      <c r="D69" s="104"/>
      <c r="E69" s="102">
        <f>_xll.ACC(DB,_xll.ArrayDPT($BA69:$BJ69),_xll.ArrayCOA($BL69:$CE69),YR,PRD-1,_xll.ArrayDIM($CG69:$CJ69))</f>
        <v>0</v>
      </c>
      <c r="F69" s="104"/>
      <c r="G69" s="102">
        <f t="shared" si="10"/>
        <v>0</v>
      </c>
      <c r="H69" s="103"/>
      <c r="I69" s="156">
        <f t="shared" si="11"/>
        <v>0</v>
      </c>
      <c r="J69" s="151"/>
      <c r="K69" s="60"/>
      <c r="L69" s="151"/>
      <c r="M69" s="60"/>
      <c r="N69" s="151"/>
      <c r="O69" s="60"/>
      <c r="P69" s="151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95"/>
      <c r="BB69" s="96"/>
      <c r="BC69" s="96"/>
      <c r="BD69" s="96"/>
      <c r="BE69" s="96"/>
      <c r="BF69" s="96"/>
      <c r="BG69" s="96"/>
      <c r="BH69" s="96"/>
      <c r="BI69" s="96"/>
      <c r="BJ69" s="96"/>
      <c r="BK69" s="97"/>
      <c r="BL69" s="95"/>
      <c r="BM69" s="96"/>
      <c r="BN69" s="95"/>
      <c r="BO69" s="96"/>
      <c r="BP69" s="95"/>
      <c r="BQ69" s="96"/>
      <c r="BR69" s="95"/>
      <c r="BS69" s="98"/>
      <c r="BT69" s="96"/>
      <c r="BU69" s="96"/>
      <c r="BV69" s="95"/>
      <c r="BW69" s="98"/>
      <c r="BX69" s="96"/>
      <c r="BY69" s="96"/>
      <c r="BZ69" s="95"/>
      <c r="CA69" s="98"/>
      <c r="CB69" s="96"/>
      <c r="CC69" s="96"/>
      <c r="CD69" s="95"/>
      <c r="CE69" s="98"/>
      <c r="CF69" s="99"/>
      <c r="CG69" s="95"/>
      <c r="CH69" s="96"/>
      <c r="CI69" s="96"/>
      <c r="CJ69" s="98"/>
    </row>
    <row r="70" spans="1:88" ht="12" customHeight="1">
      <c r="A70" s="154"/>
      <c r="B70" s="155" t="s">
        <v>203</v>
      </c>
      <c r="C70" s="102">
        <f>_xll.ACC(DB,_xll.ArrayDPT($BA70:$BJ70),_xll.ArrayCOA($BL70:$CE70),YR,PRD,_xll.ArrayDIM($CG70:$CJ70))</f>
        <v>0</v>
      </c>
      <c r="D70" s="104"/>
      <c r="E70" s="102">
        <f>_xll.ACC(DB,_xll.ArrayDPT($BA70:$BJ70),_xll.ArrayCOA($BL70:$CE70),YR,PRD-1,_xll.ArrayDIM($CG70:$CJ70))</f>
        <v>0</v>
      </c>
      <c r="F70" s="104"/>
      <c r="G70" s="102">
        <f t="shared" si="10"/>
        <v>0</v>
      </c>
      <c r="H70" s="103"/>
      <c r="I70" s="156">
        <f t="shared" si="11"/>
        <v>0</v>
      </c>
      <c r="J70" s="151"/>
      <c r="K70" s="60"/>
      <c r="L70" s="151"/>
      <c r="M70" s="60"/>
      <c r="N70" s="176"/>
      <c r="O70" s="177"/>
      <c r="P70" s="176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  <c r="AH70" s="177"/>
      <c r="AI70" s="177"/>
      <c r="AJ70" s="177"/>
      <c r="AK70" s="177"/>
      <c r="AL70" s="177"/>
      <c r="AM70" s="177"/>
      <c r="AN70" s="177"/>
      <c r="AO70" s="177"/>
      <c r="AP70" s="177"/>
      <c r="AQ70" s="177"/>
      <c r="AR70" s="177"/>
      <c r="AS70" s="177"/>
      <c r="AT70" s="177"/>
      <c r="AU70" s="177"/>
      <c r="AV70" s="177"/>
      <c r="AW70" s="177"/>
      <c r="AX70" s="177"/>
      <c r="AY70" s="177"/>
      <c r="AZ70" s="177"/>
      <c r="BA70" s="95"/>
      <c r="BB70" s="96"/>
      <c r="BC70" s="96"/>
      <c r="BD70" s="96"/>
      <c r="BE70" s="96"/>
      <c r="BF70" s="96"/>
      <c r="BG70" s="96"/>
      <c r="BH70" s="96"/>
      <c r="BI70" s="96"/>
      <c r="BJ70" s="96"/>
      <c r="BK70" s="97"/>
      <c r="BL70" s="95"/>
      <c r="BM70" s="96"/>
      <c r="BN70" s="95"/>
      <c r="BO70" s="96"/>
      <c r="BP70" s="95"/>
      <c r="BQ70" s="96"/>
      <c r="BR70" s="95"/>
      <c r="BS70" s="98"/>
      <c r="BT70" s="96"/>
      <c r="BU70" s="96"/>
      <c r="BV70" s="95"/>
      <c r="BW70" s="98"/>
      <c r="BX70" s="96"/>
      <c r="BY70" s="96"/>
      <c r="BZ70" s="95"/>
      <c r="CA70" s="98"/>
      <c r="CB70" s="96"/>
      <c r="CC70" s="96"/>
      <c r="CD70" s="95"/>
      <c r="CE70" s="98"/>
      <c r="CF70" s="99"/>
      <c r="CG70" s="95"/>
      <c r="CH70" s="96"/>
      <c r="CI70" s="96"/>
      <c r="CJ70" s="98"/>
    </row>
    <row r="71" spans="1:88" ht="14.25" customHeight="1">
      <c r="A71" s="60"/>
      <c r="B71" s="157"/>
      <c r="C71" s="130">
        <f>SUM(C66:C70)</f>
        <v>0</v>
      </c>
      <c r="D71" s="94"/>
      <c r="E71" s="130">
        <f>SUM(E66:E70)</f>
        <v>0</v>
      </c>
      <c r="F71" s="94"/>
      <c r="G71" s="130">
        <f t="shared" si="10"/>
        <v>0</v>
      </c>
      <c r="H71" s="93"/>
      <c r="I71" s="158">
        <f t="shared" si="11"/>
        <v>0</v>
      </c>
      <c r="J71" s="151"/>
      <c r="K71" s="60"/>
      <c r="L71" s="151"/>
      <c r="M71" s="60"/>
      <c r="N71" s="151"/>
      <c r="O71" s="60"/>
      <c r="P71" s="151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95"/>
      <c r="BB71" s="96"/>
      <c r="BC71" s="96"/>
      <c r="BD71" s="96"/>
      <c r="BE71" s="96"/>
      <c r="BF71" s="96"/>
      <c r="BG71" s="96"/>
      <c r="BH71" s="96"/>
      <c r="BI71" s="96"/>
      <c r="BJ71" s="96"/>
      <c r="BK71" s="97"/>
      <c r="BL71" s="95"/>
      <c r="BM71" s="96"/>
      <c r="BN71" s="95"/>
      <c r="BO71" s="96"/>
      <c r="BP71" s="95"/>
      <c r="BQ71" s="96"/>
      <c r="BR71" s="95"/>
      <c r="BS71" s="98"/>
      <c r="BT71" s="96"/>
      <c r="BU71" s="96"/>
      <c r="BV71" s="95"/>
      <c r="BW71" s="98"/>
      <c r="BX71" s="96"/>
      <c r="BY71" s="96"/>
      <c r="BZ71" s="95"/>
      <c r="CA71" s="98"/>
      <c r="CB71" s="96"/>
      <c r="CC71" s="96"/>
      <c r="CD71" s="95"/>
      <c r="CE71" s="98"/>
      <c r="CF71" s="99"/>
      <c r="CG71" s="95"/>
      <c r="CH71" s="96"/>
      <c r="CI71" s="96"/>
      <c r="CJ71" s="98"/>
    </row>
    <row r="72" spans="1:88" ht="15" customHeight="1">
      <c r="A72" s="168"/>
      <c r="B72" s="101" t="s">
        <v>204</v>
      </c>
      <c r="C72" s="92"/>
      <c r="D72" s="94"/>
      <c r="E72" s="92"/>
      <c r="F72" s="94"/>
      <c r="G72" s="92"/>
      <c r="H72" s="93"/>
      <c r="I72" s="174"/>
      <c r="J72" s="151"/>
      <c r="K72" s="114"/>
      <c r="L72" s="161"/>
      <c r="M72" s="114"/>
      <c r="N72" s="161"/>
      <c r="O72" s="114"/>
      <c r="P72" s="161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  <c r="AH72" s="114"/>
      <c r="AI72" s="114"/>
      <c r="AJ72" s="114"/>
      <c r="AK72" s="114"/>
      <c r="AL72" s="114"/>
      <c r="AM72" s="114"/>
      <c r="AN72" s="114"/>
      <c r="AO72" s="114"/>
      <c r="AP72" s="114"/>
      <c r="AQ72" s="114"/>
      <c r="AR72" s="114"/>
      <c r="AS72" s="114"/>
      <c r="AT72" s="114"/>
      <c r="AU72" s="114"/>
      <c r="AV72" s="114"/>
      <c r="AW72" s="114"/>
      <c r="AX72" s="114"/>
      <c r="AY72" s="114"/>
      <c r="AZ72" s="114"/>
      <c r="BA72" s="95"/>
      <c r="BB72" s="96"/>
      <c r="BC72" s="96"/>
      <c r="BD72" s="96"/>
      <c r="BE72" s="96"/>
      <c r="BF72" s="96"/>
      <c r="BG72" s="96"/>
      <c r="BH72" s="96"/>
      <c r="BI72" s="96"/>
      <c r="BJ72" s="96"/>
      <c r="BK72" s="97"/>
      <c r="BL72" s="95"/>
      <c r="BM72" s="96"/>
      <c r="BN72" s="95"/>
      <c r="BO72" s="96"/>
      <c r="BP72" s="95"/>
      <c r="BQ72" s="96"/>
      <c r="BR72" s="95"/>
      <c r="BS72" s="98"/>
      <c r="BT72" s="96"/>
      <c r="BU72" s="96"/>
      <c r="BV72" s="95"/>
      <c r="BW72" s="98"/>
      <c r="BX72" s="96"/>
      <c r="BY72" s="96"/>
      <c r="BZ72" s="95"/>
      <c r="CA72" s="98"/>
      <c r="CB72" s="96"/>
      <c r="CC72" s="96"/>
      <c r="CD72" s="95"/>
      <c r="CE72" s="98"/>
      <c r="CF72" s="99"/>
      <c r="CG72" s="95"/>
      <c r="CH72" s="96"/>
      <c r="CI72" s="96"/>
      <c r="CJ72" s="98"/>
    </row>
    <row r="73" spans="1:88" ht="12" customHeight="1">
      <c r="A73" s="154"/>
      <c r="B73" s="155" t="s">
        <v>205</v>
      </c>
      <c r="C73" s="102">
        <f>_xll.ACC(DB,_xll.ArrayDPT($BA73:$BJ73),_xll.ArrayCOA($BL73:$CE73),YR,PRD,_xll.ArrayDIM($CG73:$CJ73))</f>
        <v>0</v>
      </c>
      <c r="D73" s="104"/>
      <c r="E73" s="102">
        <f>_xll.ACC(DB,_xll.ArrayDPT($BA73:$BJ73),_xll.ArrayCOA($BL73:$CE73),YR,PRD-1,_xll.ArrayDIM($CG73:$CJ73))</f>
        <v>0</v>
      </c>
      <c r="F73" s="104"/>
      <c r="G73" s="102">
        <f t="shared" ref="G73:G78" si="12">C73-E73</f>
        <v>0</v>
      </c>
      <c r="H73" s="107"/>
      <c r="I73" s="156">
        <f t="shared" ref="I73:I78" si="13">IF(G73=0,0,(G73*100/$G$84))</f>
        <v>0</v>
      </c>
      <c r="J73" s="151"/>
      <c r="K73" s="114"/>
      <c r="L73" s="161"/>
      <c r="M73" s="114"/>
      <c r="N73" s="161"/>
      <c r="O73" s="114"/>
      <c r="P73" s="161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  <c r="AH73" s="114"/>
      <c r="AI73" s="114"/>
      <c r="AJ73" s="114"/>
      <c r="AK73" s="114"/>
      <c r="AL73" s="114"/>
      <c r="AM73" s="114"/>
      <c r="AN73" s="114"/>
      <c r="AO73" s="114"/>
      <c r="AP73" s="114"/>
      <c r="AQ73" s="114"/>
      <c r="AR73" s="114"/>
      <c r="AS73" s="114"/>
      <c r="AT73" s="114"/>
      <c r="AU73" s="114"/>
      <c r="AV73" s="114"/>
      <c r="AW73" s="114"/>
      <c r="AX73" s="114"/>
      <c r="AY73" s="114"/>
      <c r="AZ73" s="114"/>
      <c r="BA73" s="95"/>
      <c r="BB73" s="96"/>
      <c r="BC73" s="96"/>
      <c r="BD73" s="96"/>
      <c r="BE73" s="96"/>
      <c r="BF73" s="96"/>
      <c r="BG73" s="96"/>
      <c r="BH73" s="96"/>
      <c r="BI73" s="96"/>
      <c r="BJ73" s="96"/>
      <c r="BK73" s="97"/>
      <c r="BL73" s="95" t="s">
        <v>206</v>
      </c>
      <c r="BM73" s="96" t="s">
        <v>206</v>
      </c>
      <c r="BN73" s="95"/>
      <c r="BO73" s="96"/>
      <c r="BP73" s="95"/>
      <c r="BQ73" s="96"/>
      <c r="BR73" s="95"/>
      <c r="BS73" s="98"/>
      <c r="BT73" s="96"/>
      <c r="BU73" s="96"/>
      <c r="BV73" s="95"/>
      <c r="BW73" s="98"/>
      <c r="BX73" s="96"/>
      <c r="BY73" s="96"/>
      <c r="BZ73" s="95"/>
      <c r="CA73" s="98"/>
      <c r="CB73" s="96"/>
      <c r="CC73" s="96"/>
      <c r="CD73" s="95"/>
      <c r="CE73" s="98"/>
      <c r="CF73" s="99"/>
      <c r="CG73" s="95"/>
      <c r="CH73" s="96"/>
      <c r="CI73" s="96"/>
      <c r="CJ73" s="98"/>
    </row>
    <row r="74" spans="1:88" ht="12" customHeight="1">
      <c r="A74" s="154"/>
      <c r="B74" s="155" t="s">
        <v>207</v>
      </c>
      <c r="C74" s="102">
        <f>_xll.ACC(DB,_xll.ArrayDPT($BA74:$BJ74),_xll.ArrayCOA($BL74:$CE74),YR,PRD,_xll.ArrayDIM($CG74:$CJ74))</f>
        <v>0</v>
      </c>
      <c r="D74" s="104"/>
      <c r="E74" s="102">
        <f>_xll.ACC(DB,_xll.ArrayDPT($BA74:$BJ74),_xll.ArrayCOA($BL74:$CE74),YR,PRD-1,_xll.ArrayDIM($CG74:$CJ74))</f>
        <v>0</v>
      </c>
      <c r="F74" s="104"/>
      <c r="G74" s="102">
        <f t="shared" si="12"/>
        <v>0</v>
      </c>
      <c r="H74" s="117"/>
      <c r="I74" s="156">
        <f t="shared" si="13"/>
        <v>0</v>
      </c>
      <c r="J74" s="151"/>
      <c r="K74" s="114"/>
      <c r="L74" s="161"/>
      <c r="M74" s="114"/>
      <c r="N74" s="161"/>
      <c r="O74" s="114"/>
      <c r="P74" s="161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  <c r="AT74" s="114"/>
      <c r="AU74" s="114"/>
      <c r="AV74" s="114"/>
      <c r="AW74" s="114"/>
      <c r="AX74" s="114"/>
      <c r="AY74" s="114"/>
      <c r="AZ74" s="114"/>
      <c r="BA74" s="95"/>
      <c r="BB74" s="96"/>
      <c r="BC74" s="96"/>
      <c r="BD74" s="96"/>
      <c r="BE74" s="96"/>
      <c r="BF74" s="96"/>
      <c r="BG74" s="96"/>
      <c r="BH74" s="96"/>
      <c r="BI74" s="96"/>
      <c r="BJ74" s="96"/>
      <c r="BK74" s="97"/>
      <c r="BL74" s="95" t="s">
        <v>206</v>
      </c>
      <c r="BM74" s="96" t="s">
        <v>206</v>
      </c>
      <c r="BN74" s="95"/>
      <c r="BO74" s="96"/>
      <c r="BP74" s="95"/>
      <c r="BQ74" s="96"/>
      <c r="BR74" s="95"/>
      <c r="BS74" s="98"/>
      <c r="BT74" s="96"/>
      <c r="BU74" s="96"/>
      <c r="BV74" s="95"/>
      <c r="BW74" s="98"/>
      <c r="BX74" s="96"/>
      <c r="BY74" s="96"/>
      <c r="BZ74" s="95"/>
      <c r="CA74" s="98"/>
      <c r="CB74" s="96"/>
      <c r="CC74" s="96"/>
      <c r="CD74" s="95"/>
      <c r="CE74" s="98"/>
      <c r="CF74" s="99"/>
      <c r="CG74" s="95"/>
      <c r="CH74" s="96"/>
      <c r="CI74" s="96"/>
      <c r="CJ74" s="98"/>
    </row>
    <row r="75" spans="1:88" ht="12" customHeight="1">
      <c r="A75" s="154"/>
      <c r="B75" s="155" t="s">
        <v>208</v>
      </c>
      <c r="C75" s="102">
        <f>_xll.ACC(DB,_xll.ArrayDPT($BA75:$BJ75),_xll.ArrayCOA($BL75:$CE75),YR,PRD,_xll.ArrayDIM($CG75:$CJ75))</f>
        <v>0</v>
      </c>
      <c r="D75" s="104"/>
      <c r="E75" s="102">
        <f>_xll.ACC(DB,_xll.ArrayDPT($BA75:$BJ75),_xll.ArrayCOA($BL75:$CE75),YR,PRD-1,_xll.ArrayDIM($CG75:$CJ75))</f>
        <v>0</v>
      </c>
      <c r="F75" s="104"/>
      <c r="G75" s="102">
        <f t="shared" si="12"/>
        <v>0</v>
      </c>
      <c r="H75" s="117"/>
      <c r="I75" s="156">
        <f t="shared" si="13"/>
        <v>0</v>
      </c>
      <c r="J75" s="151"/>
      <c r="K75" s="114"/>
      <c r="L75" s="161"/>
      <c r="M75" s="114"/>
      <c r="N75" s="161"/>
      <c r="O75" s="114"/>
      <c r="P75" s="161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4"/>
      <c r="AL75" s="114"/>
      <c r="AM75" s="114"/>
      <c r="AN75" s="114"/>
      <c r="AO75" s="114"/>
      <c r="AP75" s="114"/>
      <c r="AQ75" s="114"/>
      <c r="AR75" s="114"/>
      <c r="AS75" s="114"/>
      <c r="AT75" s="114"/>
      <c r="AU75" s="114"/>
      <c r="AV75" s="114"/>
      <c r="AW75" s="114"/>
      <c r="AX75" s="114"/>
      <c r="AY75" s="114"/>
      <c r="AZ75" s="114"/>
      <c r="BA75" s="95"/>
      <c r="BB75" s="96"/>
      <c r="BC75" s="96"/>
      <c r="BD75" s="96"/>
      <c r="BE75" s="96"/>
      <c r="BF75" s="96"/>
      <c r="BG75" s="96"/>
      <c r="BH75" s="96"/>
      <c r="BI75" s="96"/>
      <c r="BJ75" s="96"/>
      <c r="BK75" s="97"/>
      <c r="BL75" s="95" t="s">
        <v>209</v>
      </c>
      <c r="BM75" s="96" t="s">
        <v>209</v>
      </c>
      <c r="BN75" s="95"/>
      <c r="BO75" s="96"/>
      <c r="BP75" s="95"/>
      <c r="BQ75" s="96"/>
      <c r="BR75" s="95"/>
      <c r="BS75" s="98"/>
      <c r="BT75" s="96"/>
      <c r="BU75" s="96"/>
      <c r="BV75" s="95"/>
      <c r="BW75" s="98"/>
      <c r="BX75" s="96"/>
      <c r="BY75" s="96"/>
      <c r="BZ75" s="95"/>
      <c r="CA75" s="98"/>
      <c r="CB75" s="96"/>
      <c r="CC75" s="96"/>
      <c r="CD75" s="95"/>
      <c r="CE75" s="98"/>
      <c r="CF75" s="99"/>
      <c r="CG75" s="95"/>
      <c r="CH75" s="96"/>
      <c r="CI75" s="96"/>
      <c r="CJ75" s="98"/>
    </row>
    <row r="76" spans="1:88" ht="12" customHeight="1">
      <c r="A76" s="154"/>
      <c r="B76" s="155" t="s">
        <v>210</v>
      </c>
      <c r="C76" s="102">
        <f>_xll.ACC(DB,_xll.ArrayDPT($BA76:$BJ76),_xll.ArrayCOA($BL76:$CE76),YR,PRD,_xll.ArrayDIM($CG76:$CJ76))</f>
        <v>0</v>
      </c>
      <c r="D76" s="173"/>
      <c r="E76" s="102">
        <f>_xll.ACC(DB,_xll.ArrayDPT($BA76:$BJ76),_xll.ArrayCOA($BL76:$CE76),YR,PRD-1,_xll.ArrayDIM($CG76:$CJ76))</f>
        <v>0</v>
      </c>
      <c r="F76" s="173"/>
      <c r="G76" s="102">
        <f t="shared" si="12"/>
        <v>0</v>
      </c>
      <c r="H76" s="107"/>
      <c r="I76" s="156">
        <f t="shared" si="13"/>
        <v>0</v>
      </c>
      <c r="J76" s="151"/>
      <c r="K76" s="60"/>
      <c r="L76" s="151"/>
      <c r="M76" s="60"/>
      <c r="N76" s="151"/>
      <c r="O76" s="60"/>
      <c r="P76" s="151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95"/>
      <c r="BB76" s="96"/>
      <c r="BC76" s="96"/>
      <c r="BD76" s="96"/>
      <c r="BE76" s="96"/>
      <c r="BF76" s="96"/>
      <c r="BG76" s="96"/>
      <c r="BH76" s="96"/>
      <c r="BI76" s="96"/>
      <c r="BJ76" s="96"/>
      <c r="BK76" s="97"/>
      <c r="BL76" s="95" t="s">
        <v>206</v>
      </c>
      <c r="BM76" s="96" t="s">
        <v>206</v>
      </c>
      <c r="BN76" s="95"/>
      <c r="BO76" s="96"/>
      <c r="BP76" s="95"/>
      <c r="BQ76" s="96"/>
      <c r="BR76" s="95"/>
      <c r="BS76" s="98"/>
      <c r="BT76" s="96"/>
      <c r="BU76" s="96"/>
      <c r="BV76" s="95"/>
      <c r="BW76" s="98"/>
      <c r="BX76" s="96"/>
      <c r="BY76" s="96"/>
      <c r="BZ76" s="95"/>
      <c r="CA76" s="98"/>
      <c r="CB76" s="96"/>
      <c r="CC76" s="96"/>
      <c r="CD76" s="95"/>
      <c r="CE76" s="98"/>
      <c r="CF76" s="99"/>
      <c r="CG76" s="95"/>
      <c r="CH76" s="96"/>
      <c r="CI76" s="96"/>
      <c r="CJ76" s="98"/>
    </row>
    <row r="77" spans="1:88" ht="12" customHeight="1">
      <c r="A77" s="154"/>
      <c r="B77" s="155" t="s">
        <v>211</v>
      </c>
      <c r="C77" s="102">
        <f>_xll.ACC(DB,_xll.ArrayDPT($BA77:$BJ77),_xll.ArrayCOA($BL77:$CE77),YR,PRD,_xll.ArrayDIM($CG77:$CJ77))</f>
        <v>0</v>
      </c>
      <c r="D77" s="173"/>
      <c r="E77" s="102">
        <f>_xll.ACC(DB,_xll.ArrayDPT($BA77:$BJ77),_xll.ArrayCOA($BL77:$CE77),YR,PRD-1,_xll.ArrayDIM($CG77:$CJ77))</f>
        <v>0</v>
      </c>
      <c r="F77" s="173"/>
      <c r="G77" s="102">
        <f t="shared" si="12"/>
        <v>0</v>
      </c>
      <c r="H77" s="107"/>
      <c r="I77" s="156">
        <f t="shared" si="13"/>
        <v>0</v>
      </c>
      <c r="J77" s="151"/>
      <c r="K77" s="60"/>
      <c r="L77" s="151"/>
      <c r="M77" s="60"/>
      <c r="N77" s="176"/>
      <c r="O77" s="177"/>
      <c r="P77" s="176"/>
      <c r="Q77" s="177"/>
      <c r="R77" s="177"/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  <c r="AH77" s="177"/>
      <c r="AI77" s="177"/>
      <c r="AJ77" s="177"/>
      <c r="AK77" s="177"/>
      <c r="AL77" s="177"/>
      <c r="AM77" s="177"/>
      <c r="AN77" s="177"/>
      <c r="AO77" s="177"/>
      <c r="AP77" s="177"/>
      <c r="AQ77" s="177"/>
      <c r="AR77" s="177"/>
      <c r="AS77" s="177"/>
      <c r="AT77" s="177"/>
      <c r="AU77" s="177"/>
      <c r="AV77" s="177"/>
      <c r="AW77" s="177"/>
      <c r="AX77" s="177"/>
      <c r="AY77" s="177"/>
      <c r="AZ77" s="177"/>
      <c r="BA77" s="95"/>
      <c r="BB77" s="96"/>
      <c r="BC77" s="96"/>
      <c r="BD77" s="96"/>
      <c r="BE77" s="96"/>
      <c r="BF77" s="96"/>
      <c r="BG77" s="96"/>
      <c r="BH77" s="96"/>
      <c r="BI77" s="96"/>
      <c r="BJ77" s="96"/>
      <c r="BK77" s="97"/>
      <c r="BL77" s="95"/>
      <c r="BM77" s="96"/>
      <c r="BN77" s="95"/>
      <c r="BO77" s="96"/>
      <c r="BP77" s="95"/>
      <c r="BQ77" s="96"/>
      <c r="BR77" s="95"/>
      <c r="BS77" s="98"/>
      <c r="BT77" s="96"/>
      <c r="BU77" s="96"/>
      <c r="BV77" s="95"/>
      <c r="BW77" s="98"/>
      <c r="BX77" s="96"/>
      <c r="BY77" s="96"/>
      <c r="BZ77" s="95"/>
      <c r="CA77" s="98"/>
      <c r="CB77" s="96"/>
      <c r="CC77" s="96"/>
      <c r="CD77" s="95"/>
      <c r="CE77" s="98"/>
      <c r="CF77" s="99"/>
      <c r="CG77" s="95"/>
      <c r="CH77" s="96"/>
      <c r="CI77" s="96"/>
      <c r="CJ77" s="98"/>
    </row>
    <row r="78" spans="1:88" ht="14.25" customHeight="1">
      <c r="A78" s="60"/>
      <c r="B78" s="157"/>
      <c r="C78" s="130">
        <f>SUM(C73:C77)</f>
        <v>0</v>
      </c>
      <c r="D78" s="94"/>
      <c r="E78" s="130">
        <f>SUM(E73:E77)</f>
        <v>0</v>
      </c>
      <c r="F78" s="94"/>
      <c r="G78" s="130">
        <f t="shared" si="12"/>
        <v>0</v>
      </c>
      <c r="H78" s="93"/>
      <c r="I78" s="158">
        <f t="shared" si="13"/>
        <v>0</v>
      </c>
      <c r="J78" s="151"/>
      <c r="K78" s="60"/>
      <c r="L78" s="151"/>
      <c r="M78" s="60"/>
      <c r="N78" s="151"/>
      <c r="O78" s="60"/>
      <c r="P78" s="151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95"/>
      <c r="BB78" s="96"/>
      <c r="BC78" s="96"/>
      <c r="BD78" s="96"/>
      <c r="BE78" s="96"/>
      <c r="BF78" s="96"/>
      <c r="BG78" s="96"/>
      <c r="BH78" s="96"/>
      <c r="BI78" s="96"/>
      <c r="BJ78" s="96"/>
      <c r="BK78" s="97"/>
      <c r="BL78" s="95"/>
      <c r="BM78" s="96"/>
      <c r="BN78" s="95"/>
      <c r="BO78" s="96"/>
      <c r="BP78" s="95"/>
      <c r="BQ78" s="96"/>
      <c r="BR78" s="95"/>
      <c r="BS78" s="98"/>
      <c r="BT78" s="96"/>
      <c r="BU78" s="96"/>
      <c r="BV78" s="95"/>
      <c r="BW78" s="98"/>
      <c r="BX78" s="96"/>
      <c r="BY78" s="96"/>
      <c r="BZ78" s="95"/>
      <c r="CA78" s="98"/>
      <c r="CB78" s="96"/>
      <c r="CC78" s="96"/>
      <c r="CD78" s="95"/>
      <c r="CE78" s="98"/>
      <c r="CF78" s="99"/>
      <c r="CG78" s="95"/>
      <c r="CH78" s="96"/>
      <c r="CI78" s="96"/>
      <c r="CJ78" s="98"/>
    </row>
    <row r="79" spans="1:88" ht="15" customHeight="1">
      <c r="A79" s="110"/>
      <c r="B79" s="101" t="s">
        <v>212</v>
      </c>
      <c r="C79" s="102"/>
      <c r="D79" s="104"/>
      <c r="E79" s="102"/>
      <c r="F79" s="104"/>
      <c r="G79" s="102"/>
      <c r="H79" s="103"/>
      <c r="I79" s="153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95"/>
      <c r="BB79" s="96"/>
      <c r="BC79" s="96"/>
      <c r="BD79" s="96"/>
      <c r="BE79" s="96"/>
      <c r="BF79" s="96"/>
      <c r="BG79" s="96"/>
      <c r="BH79" s="96"/>
      <c r="BI79" s="96"/>
      <c r="BJ79" s="96"/>
      <c r="BK79" s="97"/>
      <c r="BL79" s="95"/>
      <c r="BM79" s="96"/>
      <c r="BN79" s="95"/>
      <c r="BO79" s="96"/>
      <c r="BP79" s="95"/>
      <c r="BQ79" s="96"/>
      <c r="BR79" s="95"/>
      <c r="BS79" s="98"/>
      <c r="BT79" s="96"/>
      <c r="BU79" s="96"/>
      <c r="BV79" s="95"/>
      <c r="BW79" s="98"/>
      <c r="BX79" s="96"/>
      <c r="BY79" s="96"/>
      <c r="BZ79" s="95"/>
      <c r="CA79" s="98"/>
      <c r="CB79" s="96"/>
      <c r="CC79" s="96"/>
      <c r="CD79" s="95"/>
      <c r="CE79" s="98"/>
      <c r="CF79" s="99"/>
      <c r="CG79" s="95"/>
      <c r="CH79" s="96"/>
      <c r="CI79" s="96"/>
      <c r="CJ79" s="98"/>
    </row>
    <row r="80" spans="1:88" ht="13.5" customHeight="1">
      <c r="A80" s="79"/>
      <c r="B80" s="155" t="s">
        <v>213</v>
      </c>
      <c r="C80" s="102">
        <f>_xll.ACC(DB,_xll.ArrayDPT($BA80:$BJ80),_xll.ArrayCOA($BL80:$CE80),YR,PRD,_xll.ArrayDIM($CG80:$CJ80))</f>
        <v>0</v>
      </c>
      <c r="D80" s="173"/>
      <c r="E80" s="102">
        <f>_xll.ACC(DB,_xll.ArrayDPT($BA80:$BJ80),_xll.ArrayCOA($BL80:$CE80),YR,PRD-1,_xll.ArrayDIM($CG80:$CJ80))</f>
        <v>0</v>
      </c>
      <c r="F80" s="173"/>
      <c r="G80" s="102">
        <f t="shared" ref="G80:G84" si="14">C80-E80</f>
        <v>0</v>
      </c>
      <c r="H80" s="103"/>
      <c r="I80" s="156">
        <f t="shared" ref="I80:I84" si="15">IF(G80=0,0,(G80*100/$G$84))</f>
        <v>0</v>
      </c>
      <c r="J80" s="60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/>
      <c r="AT80" s="114"/>
      <c r="AU80" s="114"/>
      <c r="AV80" s="114"/>
      <c r="AW80" s="114"/>
      <c r="AX80" s="114"/>
      <c r="AY80" s="114"/>
      <c r="AZ80" s="114"/>
      <c r="BA80" s="95"/>
      <c r="BB80" s="96"/>
      <c r="BC80" s="96"/>
      <c r="BD80" s="96"/>
      <c r="BE80" s="96"/>
      <c r="BF80" s="96"/>
      <c r="BG80" s="96"/>
      <c r="BH80" s="96"/>
      <c r="BI80" s="96"/>
      <c r="BJ80" s="96"/>
      <c r="BK80" s="97"/>
      <c r="BL80" s="95" t="s">
        <v>214</v>
      </c>
      <c r="BM80" s="96" t="s">
        <v>214</v>
      </c>
      <c r="BN80" s="95"/>
      <c r="BO80" s="96"/>
      <c r="BP80" s="95"/>
      <c r="BQ80" s="96"/>
      <c r="BR80" s="95"/>
      <c r="BS80" s="98"/>
      <c r="BT80" s="96"/>
      <c r="BU80" s="96"/>
      <c r="BV80" s="95"/>
      <c r="BW80" s="98"/>
      <c r="BX80" s="96"/>
      <c r="BY80" s="96"/>
      <c r="BZ80" s="95"/>
      <c r="CA80" s="98"/>
      <c r="CB80" s="96"/>
      <c r="CC80" s="96"/>
      <c r="CD80" s="95"/>
      <c r="CE80" s="98"/>
      <c r="CF80" s="99"/>
      <c r="CG80" s="95"/>
      <c r="CH80" s="96"/>
      <c r="CI80" s="96"/>
      <c r="CJ80" s="98"/>
    </row>
    <row r="81" spans="1:88" ht="13.5" customHeight="1">
      <c r="A81" s="79"/>
      <c r="B81" s="155" t="s">
        <v>215</v>
      </c>
      <c r="C81" s="102">
        <f>_xll.ACC(DB,_xll.ArrayDPT($BA81:$BJ81),_xll.ArrayCOA($BL81:$CE81),YR,PRD,_xll.ArrayDIM($CG81:$CJ81))</f>
        <v>0</v>
      </c>
      <c r="D81" s="173"/>
      <c r="E81" s="102">
        <f>_xll.ACC(DB,_xll.ArrayDPT($BA81:$BJ81),_xll.ArrayCOA($BL81:$CE81),YR,PRD-1,_xll.ArrayDIM($CG81:$CJ81))</f>
        <v>0</v>
      </c>
      <c r="F81" s="173"/>
      <c r="G81" s="102">
        <f t="shared" si="14"/>
        <v>0</v>
      </c>
      <c r="H81" s="103"/>
      <c r="I81" s="156">
        <f t="shared" si="15"/>
        <v>0</v>
      </c>
      <c r="J81" s="60"/>
      <c r="K81" s="114"/>
      <c r="L81" s="114"/>
      <c r="M81" s="114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  <c r="AH81" s="177"/>
      <c r="AI81" s="177"/>
      <c r="AJ81" s="177"/>
      <c r="AK81" s="177"/>
      <c r="AL81" s="177"/>
      <c r="AM81" s="177"/>
      <c r="AN81" s="177"/>
      <c r="AO81" s="177"/>
      <c r="AP81" s="177"/>
      <c r="AQ81" s="177"/>
      <c r="AR81" s="177"/>
      <c r="AS81" s="177"/>
      <c r="AT81" s="177"/>
      <c r="AU81" s="177"/>
      <c r="AV81" s="177"/>
      <c r="AW81" s="177"/>
      <c r="AX81" s="177"/>
      <c r="AY81" s="177"/>
      <c r="AZ81" s="177"/>
      <c r="BA81" s="95"/>
      <c r="BB81" s="96"/>
      <c r="BC81" s="96"/>
      <c r="BD81" s="96"/>
      <c r="BE81" s="96"/>
      <c r="BF81" s="96"/>
      <c r="BG81" s="96"/>
      <c r="BH81" s="96"/>
      <c r="BI81" s="96"/>
      <c r="BJ81" s="96"/>
      <c r="BK81" s="97"/>
      <c r="BL81" s="95" t="s">
        <v>214</v>
      </c>
      <c r="BM81" s="96" t="s">
        <v>214</v>
      </c>
      <c r="BN81" s="95"/>
      <c r="BO81" s="96"/>
      <c r="BP81" s="95"/>
      <c r="BQ81" s="96"/>
      <c r="BR81" s="95"/>
      <c r="BS81" s="98"/>
      <c r="BT81" s="96"/>
      <c r="BU81" s="96"/>
      <c r="BV81" s="95"/>
      <c r="BW81" s="98"/>
      <c r="BX81" s="96"/>
      <c r="BY81" s="96"/>
      <c r="BZ81" s="95"/>
      <c r="CA81" s="98"/>
      <c r="CB81" s="96"/>
      <c r="CC81" s="96"/>
      <c r="CD81" s="95"/>
      <c r="CE81" s="98"/>
      <c r="CF81" s="99"/>
      <c r="CG81" s="95"/>
      <c r="CH81" s="96"/>
      <c r="CI81" s="96"/>
      <c r="CJ81" s="98"/>
    </row>
    <row r="82" spans="1:88" ht="13.5" customHeight="1">
      <c r="A82" s="79"/>
      <c r="B82" s="155" t="s">
        <v>216</v>
      </c>
      <c r="C82" s="102">
        <f>_xll.ACC(DB,_xll.ArrayDPT($BA82:$BJ82),_xll.ArrayCOA($BL82:$CE82),YR,PRD,_xll.ArrayDIM($CG82:$CJ82))</f>
        <v>0</v>
      </c>
      <c r="D82" s="173"/>
      <c r="E82" s="102">
        <f>_xll.ACC(DB,_xll.ArrayDPT($BA82:$BJ82),_xll.ArrayCOA($BL82:$CE82),YR,PRD-1,_xll.ArrayDIM($CG82:$CJ82))</f>
        <v>0</v>
      </c>
      <c r="F82" s="173"/>
      <c r="G82" s="102">
        <f t="shared" si="14"/>
        <v>0</v>
      </c>
      <c r="H82" s="103"/>
      <c r="I82" s="156">
        <f t="shared" si="15"/>
        <v>0</v>
      </c>
      <c r="J82" s="60"/>
      <c r="K82" s="114"/>
      <c r="L82" s="114"/>
      <c r="M82" s="114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  <c r="AH82" s="177"/>
      <c r="AI82" s="177"/>
      <c r="AJ82" s="177"/>
      <c r="AK82" s="177"/>
      <c r="AL82" s="177"/>
      <c r="AM82" s="177"/>
      <c r="AN82" s="177"/>
      <c r="AO82" s="177"/>
      <c r="AP82" s="177"/>
      <c r="AQ82" s="177"/>
      <c r="AR82" s="177"/>
      <c r="AS82" s="177"/>
      <c r="AT82" s="177"/>
      <c r="AU82" s="177"/>
      <c r="AV82" s="177"/>
      <c r="AW82" s="177"/>
      <c r="AX82" s="177"/>
      <c r="AY82" s="177"/>
      <c r="AZ82" s="177"/>
      <c r="BA82" s="95"/>
      <c r="BB82" s="96"/>
      <c r="BC82" s="96"/>
      <c r="BD82" s="96"/>
      <c r="BE82" s="96"/>
      <c r="BF82" s="96"/>
      <c r="BG82" s="96"/>
      <c r="BH82" s="96"/>
      <c r="BI82" s="96"/>
      <c r="BJ82" s="96"/>
      <c r="BK82" s="97"/>
      <c r="BL82" s="95"/>
      <c r="BM82" s="96"/>
      <c r="BN82" s="95"/>
      <c r="BO82" s="96"/>
      <c r="BP82" s="95"/>
      <c r="BQ82" s="96"/>
      <c r="BR82" s="95"/>
      <c r="BS82" s="98"/>
      <c r="BT82" s="96"/>
      <c r="BU82" s="96"/>
      <c r="BV82" s="95"/>
      <c r="BW82" s="98"/>
      <c r="BX82" s="96"/>
      <c r="BY82" s="96"/>
      <c r="BZ82" s="95"/>
      <c r="CA82" s="98"/>
      <c r="CB82" s="96"/>
      <c r="CC82" s="96"/>
      <c r="CD82" s="95"/>
      <c r="CE82" s="98"/>
      <c r="CF82" s="99"/>
      <c r="CG82" s="95"/>
      <c r="CH82" s="96"/>
      <c r="CI82" s="96"/>
      <c r="CJ82" s="98"/>
    </row>
    <row r="83" spans="1:88" ht="14.25" customHeight="1">
      <c r="A83" s="60"/>
      <c r="B83" s="157"/>
      <c r="C83" s="130">
        <f>SUM(C80:C82)</f>
        <v>0</v>
      </c>
      <c r="D83" s="94"/>
      <c r="E83" s="130">
        <f>SUM(E80:E82)</f>
        <v>0</v>
      </c>
      <c r="F83" s="94"/>
      <c r="G83" s="130">
        <f t="shared" si="14"/>
        <v>0</v>
      </c>
      <c r="H83" s="93"/>
      <c r="I83" s="158">
        <f t="shared" si="15"/>
        <v>0</v>
      </c>
      <c r="J83" s="151"/>
      <c r="K83" s="60"/>
      <c r="L83" s="151"/>
      <c r="M83" s="60"/>
      <c r="N83" s="151"/>
      <c r="O83" s="60"/>
      <c r="P83" s="151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95"/>
      <c r="BB83" s="96"/>
      <c r="BC83" s="96"/>
      <c r="BD83" s="96"/>
      <c r="BE83" s="96"/>
      <c r="BF83" s="96"/>
      <c r="BG83" s="96"/>
      <c r="BH83" s="96"/>
      <c r="BI83" s="96"/>
      <c r="BJ83" s="96"/>
      <c r="BK83" s="97"/>
      <c r="BL83" s="95"/>
      <c r="BM83" s="96"/>
      <c r="BN83" s="95"/>
      <c r="BO83" s="96"/>
      <c r="BP83" s="95"/>
      <c r="BQ83" s="96"/>
      <c r="BR83" s="95"/>
      <c r="BS83" s="98"/>
      <c r="BT83" s="96"/>
      <c r="BU83" s="96"/>
      <c r="BV83" s="95"/>
      <c r="BW83" s="98"/>
      <c r="BX83" s="96"/>
      <c r="BY83" s="96"/>
      <c r="BZ83" s="95"/>
      <c r="CA83" s="98"/>
      <c r="CB83" s="96"/>
      <c r="CC83" s="96"/>
      <c r="CD83" s="95"/>
      <c r="CE83" s="98"/>
      <c r="CF83" s="99"/>
      <c r="CG83" s="95"/>
      <c r="CH83" s="96"/>
      <c r="CI83" s="96"/>
      <c r="CJ83" s="98"/>
    </row>
    <row r="84" spans="1:88" ht="15" customHeight="1">
      <c r="A84" s="178" t="s">
        <v>217</v>
      </c>
      <c r="B84" s="106"/>
      <c r="C84" s="111">
        <f>SUM(C71,C78,C83)</f>
        <v>0</v>
      </c>
      <c r="D84" s="94"/>
      <c r="E84" s="111">
        <f>SUM(E71,E78,E83)</f>
        <v>0</v>
      </c>
      <c r="F84" s="94"/>
      <c r="G84" s="111">
        <f t="shared" si="14"/>
        <v>0</v>
      </c>
      <c r="H84" s="127"/>
      <c r="I84" s="159">
        <f t="shared" si="15"/>
        <v>0</v>
      </c>
      <c r="J84" s="179">
        <f>C84-BS!C22</f>
        <v>0</v>
      </c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95"/>
      <c r="BB84" s="96"/>
      <c r="BC84" s="96"/>
      <c r="BD84" s="96"/>
      <c r="BE84" s="96"/>
      <c r="BF84" s="96"/>
      <c r="BG84" s="96"/>
      <c r="BH84" s="96"/>
      <c r="BI84" s="96"/>
      <c r="BJ84" s="96"/>
      <c r="BK84" s="97"/>
      <c r="BL84" s="95"/>
      <c r="BM84" s="96"/>
      <c r="BN84" s="95"/>
      <c r="BO84" s="96"/>
      <c r="BP84" s="95"/>
      <c r="BQ84" s="96"/>
      <c r="BR84" s="95"/>
      <c r="BS84" s="98"/>
      <c r="BT84" s="96"/>
      <c r="BU84" s="96"/>
      <c r="BV84" s="95"/>
      <c r="BW84" s="98"/>
      <c r="BX84" s="96"/>
      <c r="BY84" s="96"/>
      <c r="BZ84" s="95"/>
      <c r="CA84" s="98"/>
      <c r="CB84" s="96"/>
      <c r="CC84" s="96"/>
      <c r="CD84" s="95"/>
      <c r="CE84" s="98"/>
      <c r="CF84" s="99"/>
      <c r="CG84" s="95"/>
      <c r="CH84" s="96"/>
      <c r="CI84" s="96"/>
      <c r="CJ84" s="98"/>
    </row>
    <row r="85" spans="1:88" ht="15" customHeight="1">
      <c r="A85" s="110"/>
      <c r="B85" s="110"/>
      <c r="C85" s="92"/>
      <c r="D85" s="78"/>
      <c r="E85" s="92"/>
      <c r="F85" s="78"/>
      <c r="G85" s="92"/>
      <c r="H85" s="77"/>
      <c r="I85" s="144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95"/>
      <c r="BB85" s="96"/>
      <c r="BC85" s="96"/>
      <c r="BD85" s="96"/>
      <c r="BE85" s="96"/>
      <c r="BF85" s="96"/>
      <c r="BG85" s="96"/>
      <c r="BH85" s="96"/>
      <c r="BI85" s="96"/>
      <c r="BJ85" s="96"/>
      <c r="BK85" s="97"/>
      <c r="BL85" s="95"/>
      <c r="BM85" s="96"/>
      <c r="BN85" s="95"/>
      <c r="BO85" s="96"/>
      <c r="BP85" s="95"/>
      <c r="BQ85" s="96"/>
      <c r="BR85" s="95"/>
      <c r="BS85" s="98"/>
      <c r="BT85" s="96"/>
      <c r="BU85" s="96"/>
      <c r="BV85" s="95"/>
      <c r="BW85" s="98"/>
      <c r="BX85" s="96"/>
      <c r="BY85" s="96"/>
      <c r="BZ85" s="95"/>
      <c r="CA85" s="98"/>
      <c r="CB85" s="96"/>
      <c r="CC85" s="96"/>
      <c r="CD85" s="95"/>
      <c r="CE85" s="98"/>
      <c r="CF85" s="99"/>
      <c r="CG85" s="95"/>
      <c r="CH85" s="96"/>
      <c r="CI85" s="96"/>
      <c r="CJ85" s="98"/>
    </row>
    <row r="86" spans="1:88" ht="17.25" customHeight="1">
      <c r="A86" s="180" t="s">
        <v>218</v>
      </c>
      <c r="B86" s="125"/>
      <c r="C86" s="92"/>
      <c r="D86" s="78"/>
      <c r="E86" s="92"/>
      <c r="F86" s="78"/>
      <c r="G86" s="92"/>
      <c r="H86" s="77"/>
      <c r="I86" s="144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95"/>
      <c r="BB86" s="96"/>
      <c r="BC86" s="96"/>
      <c r="BD86" s="96"/>
      <c r="BE86" s="96"/>
      <c r="BF86" s="96"/>
      <c r="BG86" s="96"/>
      <c r="BH86" s="96"/>
      <c r="BI86" s="96"/>
      <c r="BJ86" s="96"/>
      <c r="BK86" s="97"/>
      <c r="BL86" s="95"/>
      <c r="BM86" s="96"/>
      <c r="BN86" s="95"/>
      <c r="BO86" s="96"/>
      <c r="BP86" s="95"/>
      <c r="BQ86" s="96"/>
      <c r="BR86" s="95"/>
      <c r="BS86" s="98"/>
      <c r="BT86" s="96"/>
      <c r="BU86" s="96"/>
      <c r="BV86" s="95"/>
      <c r="BW86" s="98"/>
      <c r="BX86" s="96"/>
      <c r="BY86" s="96"/>
      <c r="BZ86" s="95"/>
      <c r="CA86" s="98"/>
      <c r="CB86" s="96"/>
      <c r="CC86" s="96"/>
      <c r="CD86" s="95"/>
      <c r="CE86" s="98"/>
      <c r="CF86" s="99"/>
      <c r="CG86" s="95"/>
      <c r="CH86" s="96"/>
      <c r="CI86" s="96"/>
      <c r="CJ86" s="98"/>
    </row>
    <row r="87" spans="1:88" ht="11.25" customHeight="1">
      <c r="A87" s="110"/>
      <c r="B87" s="181" t="s">
        <v>219</v>
      </c>
      <c r="C87" s="102">
        <f>_xll.ACC(DB,_xll.ArrayDPT($BA87:$BJ87),_xll.ArrayCOA($BL87:$CE87),YR,PRD,_xll.ArrayDIM($CG87:$CJ87))</f>
        <v>0</v>
      </c>
      <c r="D87" s="78"/>
      <c r="E87" s="102">
        <f>_xll.ACC(DB,_xll.ArrayDPT($BA87:$BJ87),_xll.ArrayCOA($BL87:$CE87),YR,PRD-1,_xll.ArrayDIM($CG87:$CJ87))</f>
        <v>0</v>
      </c>
      <c r="F87" s="78"/>
      <c r="G87" s="102">
        <f t="shared" ref="G87:G96" si="16">C87-E87</f>
        <v>0</v>
      </c>
      <c r="H87" s="77"/>
      <c r="I87" s="156">
        <f t="shared" ref="I87:I96" si="17">IF(G87=0,0,(G87*100/$G$96))</f>
        <v>0</v>
      </c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95"/>
      <c r="BB87" s="96"/>
      <c r="BC87" s="96"/>
      <c r="BD87" s="96"/>
      <c r="BE87" s="96"/>
      <c r="BF87" s="96"/>
      <c r="BG87" s="96"/>
      <c r="BH87" s="96"/>
      <c r="BI87" s="96"/>
      <c r="BJ87" s="96"/>
      <c r="BK87" s="97"/>
      <c r="BL87" s="95" t="s">
        <v>220</v>
      </c>
      <c r="BM87" s="96" t="s">
        <v>220</v>
      </c>
      <c r="BN87" s="95"/>
      <c r="BO87" s="96"/>
      <c r="BP87" s="95"/>
      <c r="BQ87" s="96"/>
      <c r="BR87" s="95"/>
      <c r="BS87" s="98"/>
      <c r="BT87" s="96"/>
      <c r="BU87" s="96"/>
      <c r="BV87" s="95"/>
      <c r="BW87" s="98"/>
      <c r="BX87" s="96"/>
      <c r="BY87" s="96"/>
      <c r="BZ87" s="95"/>
      <c r="CA87" s="98"/>
      <c r="CB87" s="96"/>
      <c r="CC87" s="96"/>
      <c r="CD87" s="95"/>
      <c r="CE87" s="98"/>
      <c r="CF87" s="99"/>
      <c r="CG87" s="95"/>
      <c r="CH87" s="96"/>
      <c r="CI87" s="96"/>
      <c r="CJ87" s="98"/>
    </row>
    <row r="88" spans="1:88" ht="11.25" customHeight="1">
      <c r="A88" s="110"/>
      <c r="B88" s="181" t="s">
        <v>221</v>
      </c>
      <c r="C88" s="102">
        <f>_xll.ACC(DB,_xll.ArrayDPT($BA88:$BJ88),_xll.ArrayCOA($BL88:$CE88),YR,PRD,_xll.ArrayDIM($CG88:$CJ88))</f>
        <v>0</v>
      </c>
      <c r="D88" s="78"/>
      <c r="E88" s="102">
        <f>_xll.ACC(DB,_xll.ArrayDPT($BA88:$BJ88),_xll.ArrayCOA($BL88:$CE88),YR,PRD-1,_xll.ArrayDIM($CG88:$CJ88))</f>
        <v>0</v>
      </c>
      <c r="F88" s="78"/>
      <c r="G88" s="102">
        <f t="shared" si="16"/>
        <v>0</v>
      </c>
      <c r="H88" s="77"/>
      <c r="I88" s="156">
        <f t="shared" si="17"/>
        <v>0</v>
      </c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95"/>
      <c r="BB88" s="96"/>
      <c r="BC88" s="96"/>
      <c r="BD88" s="96"/>
      <c r="BE88" s="96"/>
      <c r="BF88" s="96"/>
      <c r="BG88" s="96"/>
      <c r="BH88" s="96"/>
      <c r="BI88" s="96"/>
      <c r="BJ88" s="96"/>
      <c r="BK88" s="97"/>
      <c r="BL88" s="95" t="s">
        <v>222</v>
      </c>
      <c r="BM88" s="96" t="s">
        <v>222</v>
      </c>
      <c r="BN88" s="95"/>
      <c r="BO88" s="96"/>
      <c r="BP88" s="95"/>
      <c r="BQ88" s="96"/>
      <c r="BR88" s="95"/>
      <c r="BS88" s="98"/>
      <c r="BT88" s="96"/>
      <c r="BU88" s="96"/>
      <c r="BV88" s="95"/>
      <c r="BW88" s="98"/>
      <c r="BX88" s="96"/>
      <c r="BY88" s="96"/>
      <c r="BZ88" s="95"/>
      <c r="CA88" s="98"/>
      <c r="CB88" s="96"/>
      <c r="CC88" s="96"/>
      <c r="CD88" s="95"/>
      <c r="CE88" s="98"/>
      <c r="CF88" s="99"/>
      <c r="CG88" s="95"/>
      <c r="CH88" s="96"/>
      <c r="CI88" s="96"/>
      <c r="CJ88" s="98"/>
    </row>
    <row r="89" spans="1:88" ht="11.25" customHeight="1">
      <c r="A89" s="110"/>
      <c r="B89" s="181" t="s">
        <v>223</v>
      </c>
      <c r="C89" s="102">
        <f>_xll.ACC(DB,_xll.ArrayDPT($BA89:$BJ89),_xll.ArrayCOA($BL89:$CE89),YR,PRD,_xll.ArrayDIM($CG89:$CJ89))</f>
        <v>0</v>
      </c>
      <c r="D89" s="78"/>
      <c r="E89" s="102">
        <f>_xll.ACC(DB,_xll.ArrayDPT($BA89:$BJ89),_xll.ArrayCOA($BL89:$CE89),YR,PRD-1,_xll.ArrayDIM($CG89:$CJ89))</f>
        <v>0</v>
      </c>
      <c r="F89" s="78"/>
      <c r="G89" s="102">
        <f t="shared" si="16"/>
        <v>0</v>
      </c>
      <c r="H89" s="77"/>
      <c r="I89" s="156">
        <f t="shared" si="17"/>
        <v>0</v>
      </c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95"/>
      <c r="BB89" s="96"/>
      <c r="BC89" s="96"/>
      <c r="BD89" s="96"/>
      <c r="BE89" s="96"/>
      <c r="BF89" s="96"/>
      <c r="BG89" s="96"/>
      <c r="BH89" s="96"/>
      <c r="BI89" s="96"/>
      <c r="BJ89" s="96"/>
      <c r="BK89" s="97"/>
      <c r="BL89" s="95"/>
      <c r="BM89" s="96"/>
      <c r="BN89" s="95"/>
      <c r="BO89" s="96"/>
      <c r="BP89" s="95"/>
      <c r="BQ89" s="96"/>
      <c r="BR89" s="95"/>
      <c r="BS89" s="98"/>
      <c r="BT89" s="96"/>
      <c r="BU89" s="96"/>
      <c r="BV89" s="95"/>
      <c r="BW89" s="98"/>
      <c r="BX89" s="96"/>
      <c r="BY89" s="96"/>
      <c r="BZ89" s="95"/>
      <c r="CA89" s="98"/>
      <c r="CB89" s="96"/>
      <c r="CC89" s="96"/>
      <c r="CD89" s="95"/>
      <c r="CE89" s="98"/>
      <c r="CF89" s="99"/>
      <c r="CG89" s="95"/>
      <c r="CH89" s="96"/>
      <c r="CI89" s="96"/>
      <c r="CJ89" s="98"/>
    </row>
    <row r="90" spans="1:88" ht="11.25" customHeight="1">
      <c r="A90" s="110"/>
      <c r="B90" s="181" t="s">
        <v>224</v>
      </c>
      <c r="C90" s="102">
        <f>_xll.ACC(DB,_xll.ArrayDPT($BA90:$BJ90),_xll.ArrayCOA($BL90:$CE90),YR,PRD,_xll.ArrayDIM($CG90:$CJ90))</f>
        <v>1682.24</v>
      </c>
      <c r="D90" s="78"/>
      <c r="E90" s="102">
        <f>_xll.ACC(DB,_xll.ArrayDPT($BA90:$BJ90),_xll.ArrayCOA($BL90:$CE90),YR,PRD-1,_xll.ArrayDIM($CG90:$CJ90))</f>
        <v>1682.24</v>
      </c>
      <c r="F90" s="78"/>
      <c r="G90" s="102">
        <f t="shared" si="16"/>
        <v>0</v>
      </c>
      <c r="H90" s="77"/>
      <c r="I90" s="156">
        <f t="shared" si="17"/>
        <v>0</v>
      </c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95"/>
      <c r="BB90" s="96"/>
      <c r="BC90" s="96"/>
      <c r="BD90" s="96"/>
      <c r="BE90" s="96"/>
      <c r="BF90" s="96"/>
      <c r="BG90" s="96"/>
      <c r="BH90" s="96"/>
      <c r="BI90" s="96"/>
      <c r="BJ90" s="96"/>
      <c r="BK90" s="97"/>
      <c r="BL90" s="95" t="s">
        <v>225</v>
      </c>
      <c r="BM90" s="96" t="s">
        <v>225</v>
      </c>
      <c r="BN90" s="95"/>
      <c r="BO90" s="96"/>
      <c r="BP90" s="95"/>
      <c r="BQ90" s="96"/>
      <c r="BR90" s="95"/>
      <c r="BS90" s="98"/>
      <c r="BT90" s="96"/>
      <c r="BU90" s="96"/>
      <c r="BV90" s="95"/>
      <c r="BW90" s="98"/>
      <c r="BX90" s="96"/>
      <c r="BY90" s="96"/>
      <c r="BZ90" s="95"/>
      <c r="CA90" s="98"/>
      <c r="CB90" s="96"/>
      <c r="CC90" s="96"/>
      <c r="CD90" s="95"/>
      <c r="CE90" s="98"/>
      <c r="CF90" s="99"/>
      <c r="CG90" s="95"/>
      <c r="CH90" s="96"/>
      <c r="CI90" s="96"/>
      <c r="CJ90" s="98"/>
    </row>
    <row r="91" spans="1:88" ht="11.25" customHeight="1">
      <c r="A91" s="110"/>
      <c r="B91" s="181" t="s">
        <v>226</v>
      </c>
      <c r="C91" s="102">
        <f>_xll.ACC(DB,_xll.ArrayDPT($BA91:$BJ91),_xll.ArrayCOA($BL91:$CE91),YR,PRD,_xll.ArrayDIM($CG91:$CJ91))</f>
        <v>0</v>
      </c>
      <c r="D91" s="78"/>
      <c r="E91" s="102">
        <f>_xll.ACC(DB,_xll.ArrayDPT($BA91:$BJ91),_xll.ArrayCOA($BL91:$CE91),YR,PRD-1,_xll.ArrayDIM($CG91:$CJ91))</f>
        <v>0</v>
      </c>
      <c r="F91" s="78"/>
      <c r="G91" s="102">
        <f t="shared" si="16"/>
        <v>0</v>
      </c>
      <c r="H91" s="77"/>
      <c r="I91" s="156">
        <f t="shared" si="17"/>
        <v>0</v>
      </c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95"/>
      <c r="BB91" s="96"/>
      <c r="BC91" s="96"/>
      <c r="BD91" s="96"/>
      <c r="BE91" s="96"/>
      <c r="BF91" s="96"/>
      <c r="BG91" s="96"/>
      <c r="BH91" s="96"/>
      <c r="BI91" s="96"/>
      <c r="BJ91" s="96"/>
      <c r="BK91" s="97"/>
      <c r="BL91" s="95" t="s">
        <v>227</v>
      </c>
      <c r="BM91" s="96" t="s">
        <v>227</v>
      </c>
      <c r="BN91" s="95"/>
      <c r="BO91" s="96"/>
      <c r="BP91" s="95"/>
      <c r="BQ91" s="96"/>
      <c r="BR91" s="95"/>
      <c r="BS91" s="98"/>
      <c r="BT91" s="96"/>
      <c r="BU91" s="96"/>
      <c r="BV91" s="95"/>
      <c r="BW91" s="98"/>
      <c r="BX91" s="96"/>
      <c r="BY91" s="96"/>
      <c r="BZ91" s="95"/>
      <c r="CA91" s="98"/>
      <c r="CB91" s="96"/>
      <c r="CC91" s="96"/>
      <c r="CD91" s="95"/>
      <c r="CE91" s="98"/>
      <c r="CF91" s="99"/>
      <c r="CG91" s="95"/>
      <c r="CH91" s="96"/>
      <c r="CI91" s="96"/>
      <c r="CJ91" s="98"/>
    </row>
    <row r="92" spans="1:88" ht="11.25" customHeight="1">
      <c r="A92" s="110"/>
      <c r="B92" s="181" t="s">
        <v>228</v>
      </c>
      <c r="C92" s="102">
        <f>_xll.ACC(DB,_xll.ArrayDPT($BA92:$BJ92),_xll.ArrayCOA($BL92:$CE92),YR,PRD,_xll.ArrayDIM($CG92:$CJ92))</f>
        <v>4105.6099999999997</v>
      </c>
      <c r="D92" s="78"/>
      <c r="E92" s="102">
        <f>_xll.ACC(DB,_xll.ArrayDPT($BA92:$BJ92),_xll.ArrayCOA($BL92:$CE92),YR,PRD-1,_xll.ArrayDIM($CG92:$CJ92))</f>
        <v>4105.6099999999997</v>
      </c>
      <c r="F92" s="78"/>
      <c r="G92" s="102">
        <f t="shared" si="16"/>
        <v>0</v>
      </c>
      <c r="H92" s="77"/>
      <c r="I92" s="156">
        <f t="shared" si="17"/>
        <v>0</v>
      </c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95"/>
      <c r="BB92" s="96"/>
      <c r="BC92" s="96"/>
      <c r="BD92" s="96"/>
      <c r="BE92" s="96"/>
      <c r="BF92" s="96"/>
      <c r="BG92" s="96"/>
      <c r="BH92" s="96"/>
      <c r="BI92" s="96"/>
      <c r="BJ92" s="96"/>
      <c r="BK92" s="97"/>
      <c r="BL92" s="95" t="s">
        <v>229</v>
      </c>
      <c r="BM92" s="96" t="s">
        <v>229</v>
      </c>
      <c r="BN92" s="95"/>
      <c r="BO92" s="96"/>
      <c r="BP92" s="95"/>
      <c r="BQ92" s="96"/>
      <c r="BR92" s="95"/>
      <c r="BS92" s="98"/>
      <c r="BT92" s="96"/>
      <c r="BU92" s="96"/>
      <c r="BV92" s="95"/>
      <c r="BW92" s="98"/>
      <c r="BX92" s="96"/>
      <c r="BY92" s="96"/>
      <c r="BZ92" s="95"/>
      <c r="CA92" s="98"/>
      <c r="CB92" s="96"/>
      <c r="CC92" s="96"/>
      <c r="CD92" s="95"/>
      <c r="CE92" s="98"/>
      <c r="CF92" s="99"/>
      <c r="CG92" s="95"/>
      <c r="CH92" s="96"/>
      <c r="CI92" s="96"/>
      <c r="CJ92" s="98"/>
    </row>
    <row r="93" spans="1:88" ht="11.25" customHeight="1">
      <c r="A93" s="110"/>
      <c r="B93" s="181" t="s">
        <v>230</v>
      </c>
      <c r="C93" s="102">
        <f>_xll.ACC(DB,_xll.ArrayDPT($BA93:$BJ93),_xll.ArrayCOA($BL93:$CE93),YR,PRD,_xll.ArrayDIM($CG93:$CJ93))</f>
        <v>0</v>
      </c>
      <c r="D93" s="78"/>
      <c r="E93" s="102">
        <f>_xll.ACC(DB,_xll.ArrayDPT($BA93:$BJ93),_xll.ArrayCOA($BL93:$CE93),YR,PRD-1,_xll.ArrayDIM($CG93:$CJ93))</f>
        <v>0</v>
      </c>
      <c r="F93" s="78"/>
      <c r="G93" s="102">
        <f t="shared" si="16"/>
        <v>0</v>
      </c>
      <c r="H93" s="77"/>
      <c r="I93" s="156">
        <f t="shared" si="17"/>
        <v>0</v>
      </c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95"/>
      <c r="BB93" s="96"/>
      <c r="BC93" s="96"/>
      <c r="BD93" s="96"/>
      <c r="BE93" s="96"/>
      <c r="BF93" s="96"/>
      <c r="BG93" s="96"/>
      <c r="BH93" s="96"/>
      <c r="BI93" s="96"/>
      <c r="BJ93" s="96"/>
      <c r="BK93" s="97"/>
      <c r="BL93" s="95" t="s">
        <v>231</v>
      </c>
      <c r="BM93" s="96" t="s">
        <v>231</v>
      </c>
      <c r="BN93" s="95"/>
      <c r="BO93" s="96"/>
      <c r="BP93" s="95"/>
      <c r="BQ93" s="96"/>
      <c r="BR93" s="95"/>
      <c r="BS93" s="98"/>
      <c r="BT93" s="96"/>
      <c r="BU93" s="96"/>
      <c r="BV93" s="95"/>
      <c r="BW93" s="98"/>
      <c r="BX93" s="96"/>
      <c r="BY93" s="96"/>
      <c r="BZ93" s="95"/>
      <c r="CA93" s="98"/>
      <c r="CB93" s="96"/>
      <c r="CC93" s="96"/>
      <c r="CD93" s="95"/>
      <c r="CE93" s="98"/>
      <c r="CF93" s="99"/>
      <c r="CG93" s="95"/>
      <c r="CH93" s="96"/>
      <c r="CI93" s="96"/>
      <c r="CJ93" s="98"/>
    </row>
    <row r="94" spans="1:88" ht="11.25" customHeight="1">
      <c r="A94" s="110"/>
      <c r="B94" s="181" t="s">
        <v>232</v>
      </c>
      <c r="C94" s="102">
        <f>_xll.ACC(DB,_xll.ArrayDPT($BA94:$BJ94),_xll.ArrayCOA($BL94:$CE94),YR,PRD,_xll.ArrayDIM($CG94:$CJ94))</f>
        <v>0</v>
      </c>
      <c r="D94" s="78"/>
      <c r="E94" s="102">
        <f>_xll.ACC(DB,_xll.ArrayDPT($BA94:$BJ94),_xll.ArrayCOA($BL94:$CE94),YR,PRD-1,_xll.ArrayDIM($CG94:$CJ94))</f>
        <v>0</v>
      </c>
      <c r="F94" s="78"/>
      <c r="G94" s="102">
        <f t="shared" si="16"/>
        <v>0</v>
      </c>
      <c r="H94" s="77"/>
      <c r="I94" s="156">
        <f t="shared" si="17"/>
        <v>0</v>
      </c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95"/>
      <c r="BB94" s="96"/>
      <c r="BC94" s="96"/>
      <c r="BD94" s="96"/>
      <c r="BE94" s="96"/>
      <c r="BF94" s="96"/>
      <c r="BG94" s="96"/>
      <c r="BH94" s="96"/>
      <c r="BI94" s="96"/>
      <c r="BJ94" s="96"/>
      <c r="BK94" s="97"/>
      <c r="BL94" s="95"/>
      <c r="BM94" s="96"/>
      <c r="BN94" s="95"/>
      <c r="BO94" s="96"/>
      <c r="BP94" s="95"/>
      <c r="BQ94" s="96"/>
      <c r="BR94" s="95"/>
      <c r="BS94" s="98"/>
      <c r="BT94" s="96"/>
      <c r="BU94" s="96"/>
      <c r="BV94" s="95"/>
      <c r="BW94" s="98"/>
      <c r="BX94" s="96"/>
      <c r="BY94" s="96"/>
      <c r="BZ94" s="95"/>
      <c r="CA94" s="98"/>
      <c r="CB94" s="96"/>
      <c r="CC94" s="96"/>
      <c r="CD94" s="95"/>
      <c r="CE94" s="98"/>
      <c r="CF94" s="99"/>
      <c r="CG94" s="95"/>
      <c r="CH94" s="96"/>
      <c r="CI94" s="96"/>
      <c r="CJ94" s="98"/>
    </row>
    <row r="95" spans="1:88" ht="11.25" customHeight="1">
      <c r="A95" s="110"/>
      <c r="B95" s="181" t="s">
        <v>233</v>
      </c>
      <c r="C95" s="102">
        <f>_xll.ACC(DB,_xll.ArrayDPT($BA95:$BJ95),_xll.ArrayCOA($BL95:$CE95),YR,PRD,_xll.ArrayDIM($CG95:$CJ95))</f>
        <v>0</v>
      </c>
      <c r="D95" s="78"/>
      <c r="E95" s="102">
        <f>_xll.ACC(DB,_xll.ArrayDPT($BA95:$BJ95),_xll.ArrayCOA($BL95:$CE95),YR,PRD-1,_xll.ArrayDIM($CG95:$CJ95))</f>
        <v>0</v>
      </c>
      <c r="F95" s="78"/>
      <c r="G95" s="102">
        <f t="shared" si="16"/>
        <v>0</v>
      </c>
      <c r="H95" s="77"/>
      <c r="I95" s="156">
        <f t="shared" si="17"/>
        <v>0</v>
      </c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95"/>
      <c r="BB95" s="96"/>
      <c r="BC95" s="96"/>
      <c r="BD95" s="96"/>
      <c r="BE95" s="96"/>
      <c r="BF95" s="96"/>
      <c r="BG95" s="96"/>
      <c r="BH95" s="96"/>
      <c r="BI95" s="96"/>
      <c r="BJ95" s="96"/>
      <c r="BK95" s="97"/>
      <c r="BL95" s="95"/>
      <c r="BM95" s="96"/>
      <c r="BN95" s="95"/>
      <c r="BO95" s="96"/>
      <c r="BP95" s="95"/>
      <c r="BQ95" s="96"/>
      <c r="BR95" s="95"/>
      <c r="BS95" s="98"/>
      <c r="BT95" s="96"/>
      <c r="BU95" s="96"/>
      <c r="BV95" s="95"/>
      <c r="BW95" s="98"/>
      <c r="BX95" s="96"/>
      <c r="BY95" s="96"/>
      <c r="BZ95" s="95"/>
      <c r="CA95" s="98"/>
      <c r="CB95" s="96"/>
      <c r="CC95" s="96"/>
      <c r="CD95" s="95"/>
      <c r="CE95" s="98"/>
      <c r="CF95" s="99"/>
      <c r="CG95" s="95"/>
      <c r="CH95" s="96"/>
      <c r="CI95" s="96"/>
      <c r="CJ95" s="98"/>
    </row>
    <row r="96" spans="1:88" ht="15" customHeight="1">
      <c r="A96" s="178" t="s">
        <v>234</v>
      </c>
      <c r="B96" s="181"/>
      <c r="C96" s="111">
        <f>SUM(C90:C95)</f>
        <v>5787.8499999999995</v>
      </c>
      <c r="D96" s="78"/>
      <c r="E96" s="111">
        <f>SUM(E90:E95)</f>
        <v>5787.8499999999995</v>
      </c>
      <c r="F96" s="78"/>
      <c r="G96" s="111">
        <f t="shared" si="16"/>
        <v>0</v>
      </c>
      <c r="H96" s="77"/>
      <c r="I96" s="159">
        <f t="shared" si="17"/>
        <v>0</v>
      </c>
      <c r="J96" s="59">
        <f>C96-BS!C23</f>
        <v>0</v>
      </c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95"/>
      <c r="BB96" s="96"/>
      <c r="BC96" s="96"/>
      <c r="BD96" s="96"/>
      <c r="BE96" s="96"/>
      <c r="BF96" s="96"/>
      <c r="BG96" s="96"/>
      <c r="BH96" s="96"/>
      <c r="BI96" s="96"/>
      <c r="BJ96" s="96"/>
      <c r="BK96" s="97"/>
      <c r="BL96" s="95"/>
      <c r="BM96" s="96"/>
      <c r="BN96" s="95"/>
      <c r="BO96" s="96"/>
      <c r="BP96" s="95"/>
      <c r="BQ96" s="96"/>
      <c r="BR96" s="95"/>
      <c r="BS96" s="98"/>
      <c r="BT96" s="96"/>
      <c r="BU96" s="96"/>
      <c r="BV96" s="95"/>
      <c r="BW96" s="98"/>
      <c r="BX96" s="96"/>
      <c r="BY96" s="96"/>
      <c r="BZ96" s="95"/>
      <c r="CA96" s="98"/>
      <c r="CB96" s="96"/>
      <c r="CC96" s="96"/>
      <c r="CD96" s="95"/>
      <c r="CE96" s="98"/>
      <c r="CF96" s="99"/>
      <c r="CG96" s="95"/>
      <c r="CH96" s="96"/>
      <c r="CI96" s="96"/>
      <c r="CJ96" s="98"/>
    </row>
    <row r="97" spans="1:88" ht="15" customHeight="1">
      <c r="A97" s="178"/>
      <c r="B97" s="181"/>
      <c r="C97" s="92"/>
      <c r="D97" s="78"/>
      <c r="E97" s="92"/>
      <c r="F97" s="78"/>
      <c r="G97" s="92"/>
      <c r="H97" s="77"/>
      <c r="I97" s="1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95"/>
      <c r="BB97" s="96"/>
      <c r="BC97" s="96"/>
      <c r="BD97" s="96"/>
      <c r="BE97" s="96"/>
      <c r="BF97" s="96"/>
      <c r="BG97" s="96"/>
      <c r="BH97" s="96"/>
      <c r="BI97" s="96"/>
      <c r="BJ97" s="96"/>
      <c r="BK97" s="97"/>
      <c r="BL97" s="95"/>
      <c r="BM97" s="96"/>
      <c r="BN97" s="95"/>
      <c r="BO97" s="96"/>
      <c r="BP97" s="95"/>
      <c r="BQ97" s="96"/>
      <c r="BR97" s="95"/>
      <c r="BS97" s="98"/>
      <c r="BT97" s="96"/>
      <c r="BU97" s="96"/>
      <c r="BV97" s="95"/>
      <c r="BW97" s="98"/>
      <c r="BX97" s="96"/>
      <c r="BY97" s="96"/>
      <c r="BZ97" s="95"/>
      <c r="CA97" s="98"/>
      <c r="CB97" s="96"/>
      <c r="CC97" s="96"/>
      <c r="CD97" s="95"/>
      <c r="CE97" s="98"/>
      <c r="CF97" s="99"/>
      <c r="CG97" s="95"/>
      <c r="CH97" s="96"/>
      <c r="CI97" s="96"/>
      <c r="CJ97" s="98"/>
    </row>
    <row r="98" spans="1:88" ht="15" customHeight="1">
      <c r="A98" s="124" t="s">
        <v>235</v>
      </c>
      <c r="B98" s="124"/>
      <c r="C98" s="92"/>
      <c r="D98" s="94"/>
      <c r="E98" s="92" t="s">
        <v>2</v>
      </c>
      <c r="F98" s="94"/>
      <c r="G98" s="92"/>
      <c r="H98" s="93"/>
      <c r="I98" s="144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95"/>
      <c r="BB98" s="96"/>
      <c r="BC98" s="96"/>
      <c r="BD98" s="96"/>
      <c r="BE98" s="96"/>
      <c r="BF98" s="96"/>
      <c r="BG98" s="96"/>
      <c r="BH98" s="96"/>
      <c r="BI98" s="96"/>
      <c r="BJ98" s="96"/>
      <c r="BK98" s="97"/>
      <c r="BL98" s="95"/>
      <c r="BM98" s="96"/>
      <c r="BN98" s="95"/>
      <c r="BO98" s="96"/>
      <c r="BP98" s="95"/>
      <c r="BQ98" s="96"/>
      <c r="BR98" s="95"/>
      <c r="BS98" s="98"/>
      <c r="BT98" s="96"/>
      <c r="BU98" s="96"/>
      <c r="BV98" s="95"/>
      <c r="BW98" s="98"/>
      <c r="BX98" s="96"/>
      <c r="BY98" s="96"/>
      <c r="BZ98" s="95"/>
      <c r="CA98" s="98"/>
      <c r="CB98" s="96"/>
      <c r="CC98" s="96"/>
      <c r="CD98" s="95"/>
      <c r="CE98" s="98"/>
      <c r="CF98" s="99"/>
      <c r="CG98" s="95"/>
      <c r="CH98" s="96"/>
      <c r="CI98" s="96"/>
      <c r="CJ98" s="98"/>
    </row>
    <row r="99" spans="1:88" ht="12" customHeight="1">
      <c r="A99" s="110"/>
      <c r="B99" s="106" t="s">
        <v>236</v>
      </c>
      <c r="C99" s="102">
        <f>_xll.ACC(DB,_xll.ArrayDPT($BA99:$BJ99),_xll.ArrayCOA($BL99:$CE99),YR,PRD,_xll.ArrayDIM($CG99:$CJ99))</f>
        <v>5626.17</v>
      </c>
      <c r="D99" s="104"/>
      <c r="E99" s="102">
        <f>_xll.ACC(DB,_xll.ArrayDPT($BA99:$BJ99),_xll.ArrayCOA($BL99:$CE99),YR,PRD-1,_xll.ArrayDIM($CG99:$CJ99))</f>
        <v>5626.17</v>
      </c>
      <c r="F99" s="104"/>
      <c r="G99" s="102">
        <f t="shared" ref="G99:G112" si="18">C99-E99</f>
        <v>0</v>
      </c>
      <c r="H99" s="107"/>
      <c r="I99" s="156">
        <f t="shared" ref="I99:I112" si="19">IF(G99=0,0,(G99*100/$G$112))</f>
        <v>0</v>
      </c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95"/>
      <c r="BB99" s="96"/>
      <c r="BC99" s="96"/>
      <c r="BD99" s="96"/>
      <c r="BE99" s="96"/>
      <c r="BF99" s="96"/>
      <c r="BG99" s="96"/>
      <c r="BH99" s="96"/>
      <c r="BI99" s="96"/>
      <c r="BJ99" s="96"/>
      <c r="BK99" s="97"/>
      <c r="BL99" s="95" t="s">
        <v>237</v>
      </c>
      <c r="BM99" s="96" t="s">
        <v>237</v>
      </c>
      <c r="BN99" s="95"/>
      <c r="BO99" s="96"/>
      <c r="BP99" s="95"/>
      <c r="BQ99" s="96"/>
      <c r="BR99" s="95"/>
      <c r="BS99" s="98"/>
      <c r="BT99" s="96"/>
      <c r="BU99" s="96"/>
      <c r="BV99" s="95"/>
      <c r="BW99" s="98"/>
      <c r="BX99" s="96"/>
      <c r="BY99" s="96"/>
      <c r="BZ99" s="95"/>
      <c r="CA99" s="98"/>
      <c r="CB99" s="96"/>
      <c r="CC99" s="96"/>
      <c r="CD99" s="95"/>
      <c r="CE99" s="98"/>
      <c r="CF99" s="99"/>
      <c r="CG99" s="95"/>
      <c r="CH99" s="96"/>
      <c r="CI99" s="96"/>
      <c r="CJ99" s="98"/>
    </row>
    <row r="100" spans="1:88" ht="12" customHeight="1">
      <c r="A100" s="110"/>
      <c r="B100" s="106" t="s">
        <v>238</v>
      </c>
      <c r="C100" s="102">
        <f>_xll.ACC(DB,_xll.ArrayDPT($BA100:$BJ100),_xll.ArrayCOA($BL100:$CE100),YR,PRD,_xll.ArrayDIM($CG100:$CJ100))</f>
        <v>0</v>
      </c>
      <c r="D100" s="104"/>
      <c r="E100" s="102">
        <f>_xll.ACC(DB,_xll.ArrayDPT($BA100:$BJ100),_xll.ArrayCOA($BL100:$CE100),YR,PRD-1,_xll.ArrayDIM($CG100:$CJ100))</f>
        <v>0</v>
      </c>
      <c r="F100" s="104"/>
      <c r="G100" s="102">
        <f t="shared" si="18"/>
        <v>0</v>
      </c>
      <c r="H100" s="107"/>
      <c r="I100" s="156">
        <f t="shared" si="19"/>
        <v>0</v>
      </c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95"/>
      <c r="BB100" s="96"/>
      <c r="BC100" s="96"/>
      <c r="BD100" s="96"/>
      <c r="BE100" s="96"/>
      <c r="BF100" s="96"/>
      <c r="BG100" s="96"/>
      <c r="BH100" s="96"/>
      <c r="BI100" s="96"/>
      <c r="BJ100" s="96"/>
      <c r="BK100" s="97"/>
      <c r="BL100" s="95" t="s">
        <v>239</v>
      </c>
      <c r="BM100" s="96" t="s">
        <v>239</v>
      </c>
      <c r="BN100" s="95"/>
      <c r="BO100" s="96"/>
      <c r="BP100" s="95"/>
      <c r="BQ100" s="96"/>
      <c r="BR100" s="95"/>
      <c r="BS100" s="98"/>
      <c r="BT100" s="96"/>
      <c r="BU100" s="96"/>
      <c r="BV100" s="95"/>
      <c r="BW100" s="98"/>
      <c r="BX100" s="96"/>
      <c r="BY100" s="96"/>
      <c r="BZ100" s="95"/>
      <c r="CA100" s="98"/>
      <c r="CB100" s="96"/>
      <c r="CC100" s="96"/>
      <c r="CD100" s="95"/>
      <c r="CE100" s="98"/>
      <c r="CF100" s="99"/>
      <c r="CG100" s="95"/>
      <c r="CH100" s="96"/>
      <c r="CI100" s="96"/>
      <c r="CJ100" s="98"/>
    </row>
    <row r="101" spans="1:88" ht="12" customHeight="1">
      <c r="A101" s="110"/>
      <c r="B101" s="106" t="s">
        <v>240</v>
      </c>
      <c r="C101" s="102">
        <f>_xll.ACC(DB,_xll.ArrayDPT($BA101:$BJ101),_xll.ArrayCOA($BL101:$CE101),YR,PRD,_xll.ArrayDIM($CG101:$CJ101))</f>
        <v>4018.69</v>
      </c>
      <c r="D101" s="104"/>
      <c r="E101" s="102">
        <f>_xll.ACC(DB,_xll.ArrayDPT($BA101:$BJ101),_xll.ArrayCOA($BL101:$CE101),YR,PRD-1,_xll.ArrayDIM($CG101:$CJ101))</f>
        <v>4018.69</v>
      </c>
      <c r="F101" s="104"/>
      <c r="G101" s="102">
        <f t="shared" si="18"/>
        <v>0</v>
      </c>
      <c r="H101" s="107"/>
      <c r="I101" s="156">
        <f t="shared" si="19"/>
        <v>0</v>
      </c>
      <c r="J101" s="60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A101" s="114"/>
      <c r="AB101" s="114"/>
      <c r="AC101" s="114"/>
      <c r="AD101" s="114"/>
      <c r="AE101" s="114"/>
      <c r="AF101" s="114"/>
      <c r="AG101" s="114"/>
      <c r="AH101" s="114"/>
      <c r="AI101" s="114"/>
      <c r="AJ101" s="114"/>
      <c r="AK101" s="114"/>
      <c r="AL101" s="114"/>
      <c r="AM101" s="114"/>
      <c r="AN101" s="114"/>
      <c r="AO101" s="114"/>
      <c r="AP101" s="114"/>
      <c r="AQ101" s="114"/>
      <c r="AR101" s="114"/>
      <c r="AS101" s="114"/>
      <c r="AT101" s="114"/>
      <c r="AU101" s="114"/>
      <c r="AV101" s="114"/>
      <c r="AW101" s="114"/>
      <c r="AX101" s="114"/>
      <c r="AY101" s="114"/>
      <c r="AZ101" s="114"/>
      <c r="BA101" s="95"/>
      <c r="BB101" s="96"/>
      <c r="BC101" s="96"/>
      <c r="BD101" s="96"/>
      <c r="BE101" s="96"/>
      <c r="BF101" s="96"/>
      <c r="BG101" s="96"/>
      <c r="BH101" s="96"/>
      <c r="BI101" s="96"/>
      <c r="BJ101" s="96"/>
      <c r="BK101" s="97"/>
      <c r="BL101" s="95" t="s">
        <v>241</v>
      </c>
      <c r="BM101" s="96" t="s">
        <v>241</v>
      </c>
      <c r="BN101" s="95"/>
      <c r="BO101" s="96"/>
      <c r="BP101" s="95"/>
      <c r="BQ101" s="96"/>
      <c r="BR101" s="95"/>
      <c r="BS101" s="98"/>
      <c r="BT101" s="96"/>
      <c r="BU101" s="96"/>
      <c r="BV101" s="95"/>
      <c r="BW101" s="98"/>
      <c r="BX101" s="96"/>
      <c r="BY101" s="96"/>
      <c r="BZ101" s="95"/>
      <c r="CA101" s="98"/>
      <c r="CB101" s="96"/>
      <c r="CC101" s="96"/>
      <c r="CD101" s="95"/>
      <c r="CE101" s="98"/>
      <c r="CF101" s="99"/>
      <c r="CG101" s="95"/>
      <c r="CH101" s="96"/>
      <c r="CI101" s="96"/>
      <c r="CJ101" s="98"/>
    </row>
    <row r="102" spans="1:88" ht="12" customHeight="1">
      <c r="A102" s="110"/>
      <c r="B102" s="106" t="s">
        <v>242</v>
      </c>
      <c r="C102" s="102">
        <f>_xll.ACC(DB,_xll.ArrayDPT($BA102:$BJ102),_xll.ArrayCOA($BL102:$CE102),YR,PRD,_xll.ArrayDIM($CG102:$CJ102))</f>
        <v>0</v>
      </c>
      <c r="D102" s="104"/>
      <c r="E102" s="102">
        <f>_xll.ACC(DB,_xll.ArrayDPT($BA102:$BJ102),_xll.ArrayCOA($BL102:$CE102),YR,PRD-1,_xll.ArrayDIM($CG102:$CJ102))</f>
        <v>0</v>
      </c>
      <c r="F102" s="104"/>
      <c r="G102" s="102">
        <f t="shared" si="18"/>
        <v>0</v>
      </c>
      <c r="H102" s="107"/>
      <c r="I102" s="156">
        <f t="shared" si="19"/>
        <v>0</v>
      </c>
      <c r="J102" s="60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4"/>
      <c r="AN102" s="114"/>
      <c r="AO102" s="114"/>
      <c r="AP102" s="114"/>
      <c r="AQ102" s="114"/>
      <c r="AR102" s="114"/>
      <c r="AS102" s="114"/>
      <c r="AT102" s="114"/>
      <c r="AU102" s="114"/>
      <c r="AV102" s="114"/>
      <c r="AW102" s="114"/>
      <c r="AX102" s="114"/>
      <c r="AY102" s="114"/>
      <c r="AZ102" s="114"/>
      <c r="BA102" s="95"/>
      <c r="BB102" s="96"/>
      <c r="BC102" s="96"/>
      <c r="BD102" s="96"/>
      <c r="BE102" s="96"/>
      <c r="BF102" s="96"/>
      <c r="BG102" s="96"/>
      <c r="BH102" s="96"/>
      <c r="BI102" s="96"/>
      <c r="BJ102" s="96"/>
      <c r="BK102" s="97"/>
      <c r="BL102" s="95"/>
      <c r="BM102" s="96"/>
      <c r="BN102" s="95"/>
      <c r="BO102" s="96"/>
      <c r="BP102" s="95"/>
      <c r="BQ102" s="96"/>
      <c r="BR102" s="95"/>
      <c r="BS102" s="98"/>
      <c r="BT102" s="96"/>
      <c r="BU102" s="96"/>
      <c r="BV102" s="95"/>
      <c r="BW102" s="98"/>
      <c r="BX102" s="96"/>
      <c r="BY102" s="96"/>
      <c r="BZ102" s="95"/>
      <c r="CA102" s="98"/>
      <c r="CB102" s="96"/>
      <c r="CC102" s="96"/>
      <c r="CD102" s="95"/>
      <c r="CE102" s="98"/>
      <c r="CF102" s="99"/>
      <c r="CG102" s="95"/>
      <c r="CH102" s="96"/>
      <c r="CI102" s="96"/>
      <c r="CJ102" s="98"/>
    </row>
    <row r="103" spans="1:88" ht="12" customHeight="1">
      <c r="A103" s="110"/>
      <c r="B103" s="106" t="s">
        <v>243</v>
      </c>
      <c r="C103" s="102">
        <f>_xll.ACC(DB,_xll.ArrayDPT($BA103:$BJ103),_xll.ArrayCOA($BL103:$CE103),YR,PRD,_xll.ArrayDIM($CG103:$CJ103))</f>
        <v>0</v>
      </c>
      <c r="D103" s="104"/>
      <c r="E103" s="102">
        <f>_xll.ACC(DB,_xll.ArrayDPT($BA103:$BJ103),_xll.ArrayCOA($BL103:$CE103),YR,PRD-1,_xll.ArrayDIM($CG103:$CJ103))</f>
        <v>0</v>
      </c>
      <c r="F103" s="104"/>
      <c r="G103" s="102">
        <f t="shared" si="18"/>
        <v>0</v>
      </c>
      <c r="H103" s="107"/>
      <c r="I103" s="156">
        <f t="shared" si="19"/>
        <v>0</v>
      </c>
      <c r="J103" s="60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A103" s="114"/>
      <c r="AB103" s="114"/>
      <c r="AC103" s="114"/>
      <c r="AD103" s="114"/>
      <c r="AE103" s="114"/>
      <c r="AF103" s="114"/>
      <c r="AG103" s="114"/>
      <c r="AH103" s="114"/>
      <c r="AI103" s="114"/>
      <c r="AJ103" s="114"/>
      <c r="AK103" s="114"/>
      <c r="AL103" s="114"/>
      <c r="AM103" s="114"/>
      <c r="AN103" s="114"/>
      <c r="AO103" s="114"/>
      <c r="AP103" s="114"/>
      <c r="AQ103" s="114"/>
      <c r="AR103" s="114"/>
      <c r="AS103" s="114"/>
      <c r="AT103" s="114"/>
      <c r="AU103" s="114"/>
      <c r="AV103" s="114"/>
      <c r="AW103" s="114"/>
      <c r="AX103" s="114"/>
      <c r="AY103" s="114"/>
      <c r="AZ103" s="114"/>
      <c r="BA103" s="95"/>
      <c r="BB103" s="96"/>
      <c r="BC103" s="96"/>
      <c r="BD103" s="96"/>
      <c r="BE103" s="96"/>
      <c r="BF103" s="96"/>
      <c r="BG103" s="96"/>
      <c r="BH103" s="96"/>
      <c r="BI103" s="96"/>
      <c r="BJ103" s="96"/>
      <c r="BK103" s="97"/>
      <c r="BL103" s="95"/>
      <c r="BM103" s="96"/>
      <c r="BN103" s="95"/>
      <c r="BO103" s="96"/>
      <c r="BP103" s="95"/>
      <c r="BQ103" s="96"/>
      <c r="BR103" s="95"/>
      <c r="BS103" s="98"/>
      <c r="BT103" s="96"/>
      <c r="BU103" s="96"/>
      <c r="BV103" s="95"/>
      <c r="BW103" s="98"/>
      <c r="BX103" s="96"/>
      <c r="BY103" s="96"/>
      <c r="BZ103" s="95"/>
      <c r="CA103" s="98"/>
      <c r="CB103" s="96"/>
      <c r="CC103" s="96"/>
      <c r="CD103" s="95"/>
      <c r="CE103" s="98"/>
      <c r="CF103" s="99"/>
      <c r="CG103" s="95"/>
      <c r="CH103" s="96"/>
      <c r="CI103" s="96"/>
      <c r="CJ103" s="98"/>
    </row>
    <row r="104" spans="1:88" ht="12" customHeight="1">
      <c r="A104" s="110"/>
      <c r="B104" s="155" t="s">
        <v>244</v>
      </c>
      <c r="C104" s="102">
        <f>_xll.ACC(DB,_xll.ArrayDPT($BA104:$BJ104),_xll.ArrayCOA($BL104:$CE104),YR,PRD,_xll.ArrayDIM($CG104:$CJ104))</f>
        <v>0</v>
      </c>
      <c r="D104" s="104"/>
      <c r="E104" s="102">
        <f>_xll.ACC(DB,_xll.ArrayDPT($BA104:$BJ104),_xll.ArrayCOA($BL104:$CE104),YR,PRD-1,_xll.ArrayDIM($CG104:$CJ104))</f>
        <v>0</v>
      </c>
      <c r="F104" s="104"/>
      <c r="G104" s="102">
        <f t="shared" si="18"/>
        <v>0</v>
      </c>
      <c r="H104" s="107"/>
      <c r="I104" s="156">
        <f t="shared" si="19"/>
        <v>0</v>
      </c>
      <c r="J104" s="60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  <c r="AA104" s="114"/>
      <c r="AB104" s="114"/>
      <c r="AC104" s="114"/>
      <c r="AD104" s="114"/>
      <c r="AE104" s="114"/>
      <c r="AF104" s="114"/>
      <c r="AG104" s="114"/>
      <c r="AH104" s="114"/>
      <c r="AI104" s="114"/>
      <c r="AJ104" s="114"/>
      <c r="AK104" s="114"/>
      <c r="AL104" s="114"/>
      <c r="AM104" s="114"/>
      <c r="AN104" s="114"/>
      <c r="AO104" s="114"/>
      <c r="AP104" s="114"/>
      <c r="AQ104" s="114"/>
      <c r="AR104" s="114"/>
      <c r="AS104" s="114"/>
      <c r="AT104" s="114"/>
      <c r="AU104" s="114"/>
      <c r="AV104" s="114"/>
      <c r="AW104" s="114"/>
      <c r="AX104" s="114"/>
      <c r="AY104" s="114"/>
      <c r="AZ104" s="114"/>
      <c r="BA104" s="95"/>
      <c r="BB104" s="96"/>
      <c r="BC104" s="96"/>
      <c r="BD104" s="96"/>
      <c r="BE104" s="96"/>
      <c r="BF104" s="96"/>
      <c r="BG104" s="96"/>
      <c r="BH104" s="96"/>
      <c r="BI104" s="96"/>
      <c r="BJ104" s="96"/>
      <c r="BK104" s="97"/>
      <c r="BL104" s="95"/>
      <c r="BM104" s="96"/>
      <c r="BN104" s="95"/>
      <c r="BO104" s="96"/>
      <c r="BP104" s="95"/>
      <c r="BQ104" s="96"/>
      <c r="BR104" s="95"/>
      <c r="BS104" s="98"/>
      <c r="BT104" s="96"/>
      <c r="BU104" s="96"/>
      <c r="BV104" s="95"/>
      <c r="BW104" s="98"/>
      <c r="BX104" s="96"/>
      <c r="BY104" s="96"/>
      <c r="BZ104" s="95"/>
      <c r="CA104" s="98"/>
      <c r="CB104" s="96"/>
      <c r="CC104" s="96"/>
      <c r="CD104" s="95"/>
      <c r="CE104" s="98"/>
      <c r="CF104" s="99"/>
      <c r="CG104" s="95"/>
      <c r="CH104" s="96"/>
      <c r="CI104" s="96"/>
      <c r="CJ104" s="98"/>
    </row>
    <row r="105" spans="1:88" ht="12" customHeight="1">
      <c r="A105" s="110"/>
      <c r="B105" s="155" t="s">
        <v>245</v>
      </c>
      <c r="C105" s="102">
        <f>_xll.ACC(DB,_xll.ArrayDPT($BA105:$BJ105),_xll.ArrayCOA($BL105:$CE105),YR,PRD,_xll.ArrayDIM($CG105:$CJ105))</f>
        <v>82844.47</v>
      </c>
      <c r="D105" s="104"/>
      <c r="E105" s="102">
        <f>_xll.ACC(DB,_xll.ArrayDPT($BA105:$BJ105),_xll.ArrayCOA($BL105:$CE105),YR,PRD-1,_xll.ArrayDIM($CG105:$CJ105))</f>
        <v>80696.47</v>
      </c>
      <c r="F105" s="104"/>
      <c r="G105" s="102">
        <f t="shared" si="18"/>
        <v>2148</v>
      </c>
      <c r="H105" s="107"/>
      <c r="I105" s="156">
        <f t="shared" si="19"/>
        <v>2.1257224289446599</v>
      </c>
      <c r="J105" s="60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  <c r="AA105" s="114"/>
      <c r="AB105" s="114"/>
      <c r="AC105" s="114"/>
      <c r="AD105" s="114"/>
      <c r="AE105" s="114"/>
      <c r="AF105" s="114"/>
      <c r="AG105" s="114"/>
      <c r="AH105" s="114"/>
      <c r="AI105" s="114"/>
      <c r="AJ105" s="114"/>
      <c r="AK105" s="114"/>
      <c r="AL105" s="114"/>
      <c r="AM105" s="114"/>
      <c r="AN105" s="114"/>
      <c r="AO105" s="114"/>
      <c r="AP105" s="114"/>
      <c r="AQ105" s="114"/>
      <c r="AR105" s="114"/>
      <c r="AS105" s="114"/>
      <c r="AT105" s="114"/>
      <c r="AU105" s="114"/>
      <c r="AV105" s="114"/>
      <c r="AW105" s="114"/>
      <c r="AX105" s="114"/>
      <c r="AY105" s="114"/>
      <c r="AZ105" s="114"/>
      <c r="BA105" s="95"/>
      <c r="BB105" s="96"/>
      <c r="BC105" s="96"/>
      <c r="BD105" s="96"/>
      <c r="BE105" s="96"/>
      <c r="BF105" s="96"/>
      <c r="BG105" s="96"/>
      <c r="BH105" s="96"/>
      <c r="BI105" s="96"/>
      <c r="BJ105" s="96"/>
      <c r="BK105" s="97"/>
      <c r="BL105" s="95" t="s">
        <v>246</v>
      </c>
      <c r="BM105" s="96" t="s">
        <v>246</v>
      </c>
      <c r="BN105" s="95"/>
      <c r="BO105" s="96"/>
      <c r="BP105" s="95"/>
      <c r="BQ105" s="96"/>
      <c r="BR105" s="95"/>
      <c r="BS105" s="98"/>
      <c r="BT105" s="96"/>
      <c r="BU105" s="96"/>
      <c r="BV105" s="95"/>
      <c r="BW105" s="98"/>
      <c r="BX105" s="96"/>
      <c r="BY105" s="96"/>
      <c r="BZ105" s="95"/>
      <c r="CA105" s="98"/>
      <c r="CB105" s="96"/>
      <c r="CC105" s="96"/>
      <c r="CD105" s="95"/>
      <c r="CE105" s="98"/>
      <c r="CF105" s="99"/>
      <c r="CG105" s="95"/>
      <c r="CH105" s="96"/>
      <c r="CI105" s="96"/>
      <c r="CJ105" s="98"/>
    </row>
    <row r="106" spans="1:88" ht="12" customHeight="1">
      <c r="A106" s="110"/>
      <c r="B106" s="106" t="s">
        <v>247</v>
      </c>
      <c r="C106" s="102">
        <f>_xll.ACC(DB,_xll.ArrayDPT($BA106:$BJ106),_xll.ArrayCOA($BL106:$CE106),YR,PRD,_xll.ArrayDIM($CG106:$CJ106))</f>
        <v>702565</v>
      </c>
      <c r="D106" s="104"/>
      <c r="E106" s="102">
        <f>_xll.ACC(DB,_xll.ArrayDPT($BA106:$BJ106),_xll.ArrayCOA($BL106:$CE106),YR,PRD-1,_xll.ArrayDIM($CG106:$CJ106))</f>
        <v>603665</v>
      </c>
      <c r="F106" s="104"/>
      <c r="G106" s="102">
        <f t="shared" si="18"/>
        <v>98900</v>
      </c>
      <c r="H106" s="107"/>
      <c r="I106" s="156">
        <f t="shared" si="19"/>
        <v>97.874277571055345</v>
      </c>
      <c r="J106" s="60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4"/>
      <c r="AD106" s="114"/>
      <c r="AE106" s="114"/>
      <c r="AF106" s="114"/>
      <c r="AG106" s="114"/>
      <c r="AH106" s="114"/>
      <c r="AI106" s="114"/>
      <c r="AJ106" s="114"/>
      <c r="AK106" s="114"/>
      <c r="AL106" s="114"/>
      <c r="AM106" s="114"/>
      <c r="AN106" s="114"/>
      <c r="AO106" s="114"/>
      <c r="AP106" s="114"/>
      <c r="AQ106" s="114"/>
      <c r="AR106" s="114"/>
      <c r="AS106" s="114"/>
      <c r="AT106" s="114"/>
      <c r="AU106" s="114"/>
      <c r="AV106" s="114"/>
      <c r="AW106" s="114"/>
      <c r="AX106" s="114"/>
      <c r="AY106" s="114"/>
      <c r="AZ106" s="114"/>
      <c r="BA106" s="95"/>
      <c r="BB106" s="96"/>
      <c r="BC106" s="96"/>
      <c r="BD106" s="96"/>
      <c r="BE106" s="96"/>
      <c r="BF106" s="96"/>
      <c r="BG106" s="96"/>
      <c r="BH106" s="96"/>
      <c r="BI106" s="96"/>
      <c r="BJ106" s="96"/>
      <c r="BK106" s="97"/>
      <c r="BL106" s="95" t="s">
        <v>248</v>
      </c>
      <c r="BM106" s="96" t="s">
        <v>248</v>
      </c>
      <c r="BN106" s="95"/>
      <c r="BO106" s="96"/>
      <c r="BP106" s="95"/>
      <c r="BQ106" s="96"/>
      <c r="BR106" s="95"/>
      <c r="BS106" s="98"/>
      <c r="BT106" s="96"/>
      <c r="BU106" s="96"/>
      <c r="BV106" s="95"/>
      <c r="BW106" s="98"/>
      <c r="BX106" s="96"/>
      <c r="BY106" s="96"/>
      <c r="BZ106" s="95"/>
      <c r="CA106" s="98"/>
      <c r="CB106" s="96"/>
      <c r="CC106" s="96"/>
      <c r="CD106" s="95"/>
      <c r="CE106" s="98"/>
      <c r="CF106" s="99"/>
      <c r="CG106" s="95"/>
      <c r="CH106" s="96"/>
      <c r="CI106" s="96"/>
      <c r="CJ106" s="98"/>
    </row>
    <row r="107" spans="1:88" ht="12" customHeight="1">
      <c r="A107" s="110"/>
      <c r="B107" s="106" t="s">
        <v>249</v>
      </c>
      <c r="C107" s="102">
        <f>_xll.ACC(DB,_xll.ArrayDPT($BA107:$BJ107),_xll.ArrayCOA($BL107:$CE107),YR,PRD,_xll.ArrayDIM($CG107:$CJ107))</f>
        <v>0</v>
      </c>
      <c r="D107" s="104"/>
      <c r="E107" s="102">
        <f>_xll.ACC(DB,_xll.ArrayDPT($BA107:$BJ107),_xll.ArrayCOA($BL107:$CE107),YR,PRD-1,_xll.ArrayDIM($CG107:$CJ107))</f>
        <v>0</v>
      </c>
      <c r="F107" s="104"/>
      <c r="G107" s="102">
        <f t="shared" si="18"/>
        <v>0</v>
      </c>
      <c r="H107" s="107"/>
      <c r="I107" s="156">
        <f t="shared" si="19"/>
        <v>0</v>
      </c>
      <c r="J107" s="60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  <c r="AD107" s="114"/>
      <c r="AE107" s="114"/>
      <c r="AF107" s="114"/>
      <c r="AG107" s="114"/>
      <c r="AH107" s="114"/>
      <c r="AI107" s="114"/>
      <c r="AJ107" s="114"/>
      <c r="AK107" s="114"/>
      <c r="AL107" s="114"/>
      <c r="AM107" s="114"/>
      <c r="AN107" s="114"/>
      <c r="AO107" s="114"/>
      <c r="AP107" s="114"/>
      <c r="AQ107" s="114"/>
      <c r="AR107" s="114"/>
      <c r="AS107" s="114"/>
      <c r="AT107" s="114"/>
      <c r="AU107" s="114"/>
      <c r="AV107" s="114"/>
      <c r="AW107" s="114"/>
      <c r="AX107" s="114"/>
      <c r="AY107" s="114"/>
      <c r="AZ107" s="114"/>
      <c r="BA107" s="95"/>
      <c r="BB107" s="96"/>
      <c r="BC107" s="96"/>
      <c r="BD107" s="96"/>
      <c r="BE107" s="96"/>
      <c r="BF107" s="96"/>
      <c r="BG107" s="96"/>
      <c r="BH107" s="96"/>
      <c r="BI107" s="96"/>
      <c r="BJ107" s="96"/>
      <c r="BK107" s="97"/>
      <c r="BL107" s="95" t="s">
        <v>250</v>
      </c>
      <c r="BM107" s="96" t="s">
        <v>250</v>
      </c>
      <c r="BN107" s="95"/>
      <c r="BO107" s="96"/>
      <c r="BP107" s="95"/>
      <c r="BQ107" s="96"/>
      <c r="BR107" s="95"/>
      <c r="BS107" s="98"/>
      <c r="BT107" s="96"/>
      <c r="BU107" s="96"/>
      <c r="BV107" s="95"/>
      <c r="BW107" s="98"/>
      <c r="BX107" s="96"/>
      <c r="BY107" s="96"/>
      <c r="BZ107" s="95"/>
      <c r="CA107" s="98"/>
      <c r="CB107" s="96"/>
      <c r="CC107" s="96"/>
      <c r="CD107" s="95"/>
      <c r="CE107" s="98"/>
      <c r="CF107" s="99"/>
      <c r="CG107" s="95"/>
      <c r="CH107" s="96"/>
      <c r="CI107" s="96"/>
      <c r="CJ107" s="98"/>
    </row>
    <row r="108" spans="1:88" ht="12" customHeight="1">
      <c r="A108" s="110"/>
      <c r="B108" s="106" t="s">
        <v>251</v>
      </c>
      <c r="C108" s="102">
        <f>_xll.ACC(DB,_xll.ArrayDPT($BA108:$BJ108),_xll.ArrayCOA($BL108:$CE108),YR,PRD,_xll.ArrayDIM($CG108:$CJ108))</f>
        <v>0</v>
      </c>
      <c r="D108" s="104"/>
      <c r="E108" s="102">
        <f>_xll.ACC(DB,_xll.ArrayDPT($BA108:$BJ108),_xll.ArrayCOA($BL108:$CE108),YR,PRD-1,_xll.ArrayDIM($CG108:$CJ108))</f>
        <v>0</v>
      </c>
      <c r="F108" s="104"/>
      <c r="G108" s="102">
        <f t="shared" si="18"/>
        <v>0</v>
      </c>
      <c r="H108" s="107"/>
      <c r="I108" s="156">
        <f t="shared" si="19"/>
        <v>0</v>
      </c>
      <c r="J108" s="60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A108" s="114"/>
      <c r="AB108" s="114"/>
      <c r="AC108" s="114"/>
      <c r="AD108" s="114"/>
      <c r="AE108" s="114"/>
      <c r="AF108" s="114"/>
      <c r="AG108" s="114"/>
      <c r="AH108" s="114"/>
      <c r="AI108" s="114"/>
      <c r="AJ108" s="114"/>
      <c r="AK108" s="114"/>
      <c r="AL108" s="114"/>
      <c r="AM108" s="114"/>
      <c r="AN108" s="114"/>
      <c r="AO108" s="114"/>
      <c r="AP108" s="114"/>
      <c r="AQ108" s="114"/>
      <c r="AR108" s="114"/>
      <c r="AS108" s="114"/>
      <c r="AT108" s="114"/>
      <c r="AU108" s="114"/>
      <c r="AV108" s="114"/>
      <c r="AW108" s="114"/>
      <c r="AX108" s="114"/>
      <c r="AY108" s="114"/>
      <c r="AZ108" s="114"/>
      <c r="BA108" s="95"/>
      <c r="BB108" s="96"/>
      <c r="BC108" s="96"/>
      <c r="BD108" s="96"/>
      <c r="BE108" s="96"/>
      <c r="BF108" s="96"/>
      <c r="BG108" s="96"/>
      <c r="BH108" s="96"/>
      <c r="BI108" s="96"/>
      <c r="BJ108" s="96"/>
      <c r="BK108" s="97"/>
      <c r="BL108" s="95"/>
      <c r="BM108" s="96"/>
      <c r="BN108" s="95"/>
      <c r="BO108" s="96"/>
      <c r="BP108" s="95"/>
      <c r="BQ108" s="96"/>
      <c r="BR108" s="95"/>
      <c r="BS108" s="98"/>
      <c r="BT108" s="96"/>
      <c r="BU108" s="96"/>
      <c r="BV108" s="95"/>
      <c r="BW108" s="98"/>
      <c r="BX108" s="96"/>
      <c r="BY108" s="96"/>
      <c r="BZ108" s="95"/>
      <c r="CA108" s="98"/>
      <c r="CB108" s="96"/>
      <c r="CC108" s="96"/>
      <c r="CD108" s="95"/>
      <c r="CE108" s="98"/>
      <c r="CF108" s="99"/>
      <c r="CG108" s="95"/>
      <c r="CH108" s="96"/>
      <c r="CI108" s="96"/>
      <c r="CJ108" s="98"/>
    </row>
    <row r="109" spans="1:88" ht="12" customHeight="1">
      <c r="A109" s="110"/>
      <c r="B109" s="106" t="s">
        <v>252</v>
      </c>
      <c r="C109" s="102">
        <f>_xll.ACC(DB,_xll.ArrayDPT($BA109:$BJ109),_xll.ArrayCOA($BL109:$CE109),YR,PRD,_xll.ArrayDIM($CG109:$CJ109))</f>
        <v>0</v>
      </c>
      <c r="D109" s="104"/>
      <c r="E109" s="102">
        <f>_xll.ACC(DB,_xll.ArrayDPT($BA109:$BJ109),_xll.ArrayCOA($BL109:$CE109),YR,PRD-1,_xll.ArrayDIM($CG109:$CJ109))</f>
        <v>0</v>
      </c>
      <c r="F109" s="104"/>
      <c r="G109" s="102">
        <f t="shared" si="18"/>
        <v>0</v>
      </c>
      <c r="H109" s="107"/>
      <c r="I109" s="156">
        <f t="shared" si="19"/>
        <v>0</v>
      </c>
      <c r="J109" s="60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  <c r="AD109" s="114"/>
      <c r="AE109" s="114"/>
      <c r="AF109" s="114"/>
      <c r="AG109" s="114"/>
      <c r="AH109" s="114"/>
      <c r="AI109" s="114"/>
      <c r="AJ109" s="114"/>
      <c r="AK109" s="114"/>
      <c r="AL109" s="114"/>
      <c r="AM109" s="114"/>
      <c r="AN109" s="114"/>
      <c r="AO109" s="114"/>
      <c r="AP109" s="114"/>
      <c r="AQ109" s="114"/>
      <c r="AR109" s="114"/>
      <c r="AS109" s="114"/>
      <c r="AT109" s="114"/>
      <c r="AU109" s="114"/>
      <c r="AV109" s="114"/>
      <c r="AW109" s="114"/>
      <c r="AX109" s="114"/>
      <c r="AY109" s="114"/>
      <c r="AZ109" s="114"/>
      <c r="BA109" s="95"/>
      <c r="BB109" s="96"/>
      <c r="BC109" s="96"/>
      <c r="BD109" s="96"/>
      <c r="BE109" s="96"/>
      <c r="BF109" s="96"/>
      <c r="BG109" s="96"/>
      <c r="BH109" s="96"/>
      <c r="BI109" s="96"/>
      <c r="BJ109" s="96"/>
      <c r="BK109" s="97"/>
      <c r="BL109" s="95"/>
      <c r="BM109" s="96"/>
      <c r="BN109" s="95"/>
      <c r="BO109" s="96"/>
      <c r="BP109" s="95"/>
      <c r="BQ109" s="96"/>
      <c r="BR109" s="95"/>
      <c r="BS109" s="98"/>
      <c r="BT109" s="96"/>
      <c r="BU109" s="96"/>
      <c r="BV109" s="95"/>
      <c r="BW109" s="98"/>
      <c r="BX109" s="96"/>
      <c r="BY109" s="96"/>
      <c r="BZ109" s="95"/>
      <c r="CA109" s="98"/>
      <c r="CB109" s="96"/>
      <c r="CC109" s="96"/>
      <c r="CD109" s="95"/>
      <c r="CE109" s="98"/>
      <c r="CF109" s="99"/>
      <c r="CG109" s="95"/>
      <c r="CH109" s="96"/>
      <c r="CI109" s="96"/>
      <c r="CJ109" s="98"/>
    </row>
    <row r="110" spans="1:88" ht="12" customHeight="1">
      <c r="A110" s="110"/>
      <c r="B110" s="106" t="s">
        <v>253</v>
      </c>
      <c r="C110" s="102">
        <f>_xll.ACC(DB,_xll.ArrayDPT($BA110:$BJ110),_xll.ArrayCOA($BL110:$CE110),YR,PRD,_xll.ArrayDIM($CG110:$CJ110))</f>
        <v>0</v>
      </c>
      <c r="D110" s="104"/>
      <c r="E110" s="102">
        <f>_xll.ACC(DB,_xll.ArrayDPT($BA110:$BJ110),_xll.ArrayCOA($BL110:$CE110),YR,PRD-1,_xll.ArrayDIM($CG110:$CJ110))</f>
        <v>0</v>
      </c>
      <c r="F110" s="104"/>
      <c r="G110" s="102">
        <f t="shared" si="18"/>
        <v>0</v>
      </c>
      <c r="H110" s="107"/>
      <c r="I110" s="156">
        <f t="shared" si="19"/>
        <v>0</v>
      </c>
      <c r="J110" s="60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A110" s="114"/>
      <c r="AB110" s="114"/>
      <c r="AC110" s="114"/>
      <c r="AD110" s="114"/>
      <c r="AE110" s="114"/>
      <c r="AF110" s="114"/>
      <c r="AG110" s="114"/>
      <c r="AH110" s="114"/>
      <c r="AI110" s="114"/>
      <c r="AJ110" s="114"/>
      <c r="AK110" s="114"/>
      <c r="AL110" s="114"/>
      <c r="AM110" s="114"/>
      <c r="AN110" s="114"/>
      <c r="AO110" s="114"/>
      <c r="AP110" s="114"/>
      <c r="AQ110" s="114"/>
      <c r="AR110" s="114"/>
      <c r="AS110" s="114"/>
      <c r="AT110" s="114"/>
      <c r="AU110" s="114"/>
      <c r="AV110" s="114"/>
      <c r="AW110" s="114"/>
      <c r="AX110" s="114"/>
      <c r="AY110" s="114"/>
      <c r="AZ110" s="114"/>
      <c r="BA110" s="95"/>
      <c r="BB110" s="96"/>
      <c r="BC110" s="96"/>
      <c r="BD110" s="96"/>
      <c r="BE110" s="96"/>
      <c r="BF110" s="96"/>
      <c r="BG110" s="96"/>
      <c r="BH110" s="96"/>
      <c r="BI110" s="96"/>
      <c r="BJ110" s="96"/>
      <c r="BK110" s="97"/>
      <c r="BL110" s="95"/>
      <c r="BM110" s="96"/>
      <c r="BN110" s="95"/>
      <c r="BO110" s="96"/>
      <c r="BP110" s="95"/>
      <c r="BQ110" s="96"/>
      <c r="BR110" s="95"/>
      <c r="BS110" s="98"/>
      <c r="BT110" s="96"/>
      <c r="BU110" s="96"/>
      <c r="BV110" s="95"/>
      <c r="BW110" s="98"/>
      <c r="BX110" s="96"/>
      <c r="BY110" s="96"/>
      <c r="BZ110" s="95"/>
      <c r="CA110" s="98"/>
      <c r="CB110" s="96"/>
      <c r="CC110" s="96"/>
      <c r="CD110" s="95"/>
      <c r="CE110" s="98"/>
      <c r="CF110" s="99"/>
      <c r="CG110" s="95"/>
      <c r="CH110" s="96"/>
      <c r="CI110" s="96"/>
      <c r="CJ110" s="98"/>
    </row>
    <row r="111" spans="1:88" ht="12" customHeight="1">
      <c r="A111" s="110"/>
      <c r="B111" s="106" t="s">
        <v>254</v>
      </c>
      <c r="C111" s="102">
        <f>_xll.ACC(DB,_xll.ArrayDPT($BA111:$BJ111),_xll.ArrayCOA($BL111:$CE111),YR,PRD,_xll.ArrayDIM($CG111:$CJ111))</f>
        <v>0</v>
      </c>
      <c r="D111" s="104"/>
      <c r="E111" s="102">
        <f>_xll.ACC(DB,_xll.ArrayDPT($BA111:$BJ111),_xll.ArrayCOA($BL111:$CE111),YR,PRD-1,_xll.ArrayDIM($CG111:$CJ111))</f>
        <v>0</v>
      </c>
      <c r="F111" s="104"/>
      <c r="G111" s="102">
        <f t="shared" si="18"/>
        <v>0</v>
      </c>
      <c r="H111" s="107"/>
      <c r="I111" s="156">
        <f t="shared" si="19"/>
        <v>0</v>
      </c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95"/>
      <c r="BB111" s="96"/>
      <c r="BC111" s="96"/>
      <c r="BD111" s="96"/>
      <c r="BE111" s="96"/>
      <c r="BF111" s="96"/>
      <c r="BG111" s="96"/>
      <c r="BH111" s="96"/>
      <c r="BI111" s="96"/>
      <c r="BJ111" s="96"/>
      <c r="BK111" s="97"/>
      <c r="BL111" s="95"/>
      <c r="BM111" s="96"/>
      <c r="BN111" s="95"/>
      <c r="BO111" s="96"/>
      <c r="BP111" s="95"/>
      <c r="BQ111" s="96"/>
      <c r="BR111" s="95"/>
      <c r="BS111" s="98"/>
      <c r="BT111" s="96"/>
      <c r="BU111" s="96"/>
      <c r="BV111" s="95"/>
      <c r="BW111" s="98"/>
      <c r="BX111" s="96"/>
      <c r="BY111" s="96"/>
      <c r="BZ111" s="95"/>
      <c r="CA111" s="98"/>
      <c r="CB111" s="96"/>
      <c r="CC111" s="96"/>
      <c r="CD111" s="95"/>
      <c r="CE111" s="98"/>
      <c r="CF111" s="99"/>
      <c r="CG111" s="95"/>
      <c r="CH111" s="96"/>
      <c r="CI111" s="96"/>
      <c r="CJ111" s="98"/>
    </row>
    <row r="112" spans="1:88" ht="15" customHeight="1">
      <c r="A112" s="101" t="s">
        <v>255</v>
      </c>
      <c r="B112" s="101"/>
      <c r="C112" s="111">
        <f>SUM(C99:C111)</f>
        <v>795054.33</v>
      </c>
      <c r="D112" s="78"/>
      <c r="E112" s="111">
        <f>SUM(E99:E111)</f>
        <v>694006.33</v>
      </c>
      <c r="F112" s="78"/>
      <c r="G112" s="111">
        <f t="shared" si="18"/>
        <v>101048</v>
      </c>
      <c r="H112" s="77"/>
      <c r="I112" s="159">
        <f t="shared" si="19"/>
        <v>100</v>
      </c>
      <c r="J112" s="179">
        <f>BS!C24-'BS-Support'!C112</f>
        <v>0</v>
      </c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95"/>
      <c r="BB112" s="96"/>
      <c r="BC112" s="96"/>
      <c r="BD112" s="96"/>
      <c r="BE112" s="96"/>
      <c r="BF112" s="96"/>
      <c r="BG112" s="96"/>
      <c r="BH112" s="96"/>
      <c r="BI112" s="96"/>
      <c r="BJ112" s="96"/>
      <c r="BK112" s="97"/>
      <c r="BL112" s="95"/>
      <c r="BM112" s="96"/>
      <c r="BN112" s="95"/>
      <c r="BO112" s="96"/>
      <c r="BP112" s="95"/>
      <c r="BQ112" s="96"/>
      <c r="BR112" s="95"/>
      <c r="BS112" s="98"/>
      <c r="BT112" s="96"/>
      <c r="BU112" s="96"/>
      <c r="BV112" s="95"/>
      <c r="BW112" s="98"/>
      <c r="BX112" s="96"/>
      <c r="BY112" s="96"/>
      <c r="BZ112" s="95"/>
      <c r="CA112" s="98"/>
      <c r="CB112" s="96"/>
      <c r="CC112" s="96"/>
      <c r="CD112" s="95"/>
      <c r="CE112" s="98"/>
      <c r="CF112" s="99"/>
      <c r="CG112" s="95"/>
      <c r="CH112" s="96"/>
      <c r="CI112" s="96"/>
      <c r="CJ112" s="98"/>
    </row>
    <row r="113" spans="1:88" ht="15" customHeight="1">
      <c r="A113" s="101"/>
      <c r="B113" s="106"/>
      <c r="C113" s="92"/>
      <c r="D113" s="94"/>
      <c r="E113" s="92"/>
      <c r="F113" s="94"/>
      <c r="G113" s="92"/>
      <c r="H113" s="112"/>
      <c r="I113" s="1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95"/>
      <c r="BB113" s="96"/>
      <c r="BC113" s="96"/>
      <c r="BD113" s="96"/>
      <c r="BE113" s="96"/>
      <c r="BF113" s="96"/>
      <c r="BG113" s="96"/>
      <c r="BH113" s="96"/>
      <c r="BI113" s="96"/>
      <c r="BJ113" s="96"/>
      <c r="BK113" s="97"/>
      <c r="BL113" s="95"/>
      <c r="BM113" s="96"/>
      <c r="BN113" s="95"/>
      <c r="BO113" s="96"/>
      <c r="BP113" s="95"/>
      <c r="BQ113" s="96"/>
      <c r="BR113" s="95"/>
      <c r="BS113" s="98"/>
      <c r="BT113" s="96"/>
      <c r="BU113" s="96"/>
      <c r="BV113" s="95"/>
      <c r="BW113" s="98"/>
      <c r="BX113" s="96"/>
      <c r="BY113" s="96"/>
      <c r="BZ113" s="95"/>
      <c r="CA113" s="98"/>
      <c r="CB113" s="96"/>
      <c r="CC113" s="96"/>
      <c r="CD113" s="95"/>
      <c r="CE113" s="98"/>
      <c r="CF113" s="99"/>
      <c r="CG113" s="95"/>
      <c r="CH113" s="96"/>
      <c r="CI113" s="96"/>
      <c r="CJ113" s="98"/>
    </row>
    <row r="114" spans="1:88" ht="15" customHeight="1">
      <c r="A114" s="178" t="s">
        <v>80</v>
      </c>
      <c r="B114" s="106"/>
      <c r="C114" s="102"/>
      <c r="D114" s="104"/>
      <c r="E114" s="102"/>
      <c r="F114" s="104"/>
      <c r="G114" s="102"/>
      <c r="H114" s="107"/>
      <c r="I114" s="153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95"/>
      <c r="BB114" s="96"/>
      <c r="BC114" s="96"/>
      <c r="BD114" s="96"/>
      <c r="BE114" s="96"/>
      <c r="BF114" s="96"/>
      <c r="BG114" s="96"/>
      <c r="BH114" s="96"/>
      <c r="BI114" s="96"/>
      <c r="BJ114" s="96"/>
      <c r="BK114" s="97"/>
      <c r="BL114" s="95"/>
      <c r="BM114" s="96"/>
      <c r="BN114" s="95"/>
      <c r="BO114" s="96"/>
      <c r="BP114" s="95"/>
      <c r="BQ114" s="96"/>
      <c r="BR114" s="95"/>
      <c r="BS114" s="98"/>
      <c r="BT114" s="96"/>
      <c r="BU114" s="96"/>
      <c r="BV114" s="95"/>
      <c r="BW114" s="98"/>
      <c r="BX114" s="96"/>
      <c r="BY114" s="96"/>
      <c r="BZ114" s="95"/>
      <c r="CA114" s="98"/>
      <c r="CB114" s="96"/>
      <c r="CC114" s="96"/>
      <c r="CD114" s="95"/>
      <c r="CE114" s="98"/>
      <c r="CF114" s="99"/>
      <c r="CG114" s="95"/>
      <c r="CH114" s="96"/>
      <c r="CI114" s="96"/>
      <c r="CJ114" s="98"/>
    </row>
    <row r="115" spans="1:88" ht="12" customHeight="1">
      <c r="A115" s="101"/>
      <c r="B115" s="101" t="s">
        <v>256</v>
      </c>
      <c r="C115" s="92"/>
      <c r="D115" s="94"/>
      <c r="E115" s="92"/>
      <c r="F115" s="94"/>
      <c r="G115" s="92"/>
      <c r="H115" s="112"/>
      <c r="I115" s="92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95"/>
      <c r="BB115" s="96"/>
      <c r="BC115" s="96"/>
      <c r="BD115" s="96"/>
      <c r="BE115" s="96"/>
      <c r="BF115" s="96"/>
      <c r="BG115" s="96"/>
      <c r="BH115" s="96"/>
      <c r="BI115" s="96"/>
      <c r="BJ115" s="96"/>
      <c r="BK115" s="97"/>
      <c r="BL115" s="95"/>
      <c r="BM115" s="96"/>
      <c r="BN115" s="95"/>
      <c r="BO115" s="96"/>
      <c r="BP115" s="95"/>
      <c r="BQ115" s="96"/>
      <c r="BR115" s="95"/>
      <c r="BS115" s="98"/>
      <c r="BT115" s="96"/>
      <c r="BU115" s="96"/>
      <c r="BV115" s="95"/>
      <c r="BW115" s="98"/>
      <c r="BX115" s="96"/>
      <c r="BY115" s="96"/>
      <c r="BZ115" s="95"/>
      <c r="CA115" s="98"/>
      <c r="CB115" s="96"/>
      <c r="CC115" s="96"/>
      <c r="CD115" s="95"/>
      <c r="CE115" s="98"/>
      <c r="CF115" s="99"/>
      <c r="CG115" s="95"/>
      <c r="CH115" s="96"/>
      <c r="CI115" s="96"/>
      <c r="CJ115" s="98"/>
    </row>
    <row r="116" spans="1:88" ht="12" customHeight="1">
      <c r="A116" s="101"/>
      <c r="B116" s="106" t="s">
        <v>257</v>
      </c>
      <c r="C116" s="102">
        <f>_xll.ACC(DB,_xll.ArrayDPT($BA116:$BJ116),_xll.ArrayCOA($BL116:$CE116),YR,PRD,_xll.ArrayDIM($CG116:$CJ116))</f>
        <v>903761.13</v>
      </c>
      <c r="D116" s="104"/>
      <c r="E116" s="102">
        <f t="array" ref="E116">_xll.ACC(DB,_xll.ArrayDPT($BA116:$BJ116),_xll.ArrayCOA($BL116:$CE116),YR,PRD-1,_xll.ArrayDIM($CG116:$CJ116))</f>
        <v>870167.13</v>
      </c>
      <c r="F116" s="94"/>
      <c r="G116" s="102">
        <f t="shared" ref="G116:G127" si="20">C116-E116</f>
        <v>33594</v>
      </c>
      <c r="H116" s="112"/>
      <c r="I116" s="156">
        <f t="shared" ref="I116:I127" si="21">IF(G116=0,0,(G116*100/$G$127))</f>
        <v>100</v>
      </c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95"/>
      <c r="BB116" s="96"/>
      <c r="BC116" s="96"/>
      <c r="BD116" s="96"/>
      <c r="BE116" s="96"/>
      <c r="BF116" s="96"/>
      <c r="BG116" s="96"/>
      <c r="BH116" s="96"/>
      <c r="BI116" s="96"/>
      <c r="BJ116" s="96"/>
      <c r="BK116" s="97"/>
      <c r="BL116" s="95" t="s">
        <v>258</v>
      </c>
      <c r="BM116" s="96" t="s">
        <v>258</v>
      </c>
      <c r="BN116" s="95"/>
      <c r="BO116" s="96"/>
      <c r="BP116" s="95"/>
      <c r="BQ116" s="96"/>
      <c r="BR116" s="95"/>
      <c r="BS116" s="98"/>
      <c r="BT116" s="96"/>
      <c r="BU116" s="96"/>
      <c r="BV116" s="95"/>
      <c r="BW116" s="98"/>
      <c r="BX116" s="96"/>
      <c r="BY116" s="96"/>
      <c r="BZ116" s="95"/>
      <c r="CA116" s="98"/>
      <c r="CB116" s="96"/>
      <c r="CC116" s="96"/>
      <c r="CD116" s="95"/>
      <c r="CE116" s="98"/>
      <c r="CF116" s="99"/>
      <c r="CG116" s="95"/>
      <c r="CH116" s="96"/>
      <c r="CI116" s="96"/>
      <c r="CJ116" s="98"/>
    </row>
    <row r="117" spans="1:88" ht="12" customHeight="1">
      <c r="A117" s="101"/>
      <c r="B117" s="106" t="s">
        <v>259</v>
      </c>
      <c r="C117" s="102">
        <f>_xll.ACC(DB,_xll.ArrayDPT($BA117:$BJ117),_xll.ArrayCOA($BL117:$CE117),YR,PRD,_xll.ArrayDIM($CG117:$CJ117))</f>
        <v>746530.88</v>
      </c>
      <c r="D117" s="104"/>
      <c r="E117" s="102">
        <f t="array" ref="E117">_xll.ACC(DB,_xll.ArrayDPT($BA117:$BJ117),_xll.ArrayCOA($BL117:$CE117),YR,PRD-1,_xll.ArrayDIM($CG117:$CJ117))</f>
        <v>746530.88</v>
      </c>
      <c r="F117" s="94"/>
      <c r="G117" s="102">
        <f t="shared" si="20"/>
        <v>0</v>
      </c>
      <c r="H117" s="112"/>
      <c r="I117" s="156">
        <f t="shared" si="21"/>
        <v>0</v>
      </c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95"/>
      <c r="BB117" s="96"/>
      <c r="BC117" s="96"/>
      <c r="BD117" s="96"/>
      <c r="BE117" s="96"/>
      <c r="BF117" s="96"/>
      <c r="BG117" s="96"/>
      <c r="BH117" s="96"/>
      <c r="BI117" s="96"/>
      <c r="BJ117" s="96"/>
      <c r="BK117" s="97"/>
      <c r="BL117" s="95" t="s">
        <v>260</v>
      </c>
      <c r="BM117" s="96" t="s">
        <v>260</v>
      </c>
      <c r="BN117" s="95"/>
      <c r="BO117" s="96"/>
      <c r="BP117" s="95"/>
      <c r="BQ117" s="96"/>
      <c r="BR117" s="95"/>
      <c r="BS117" s="98"/>
      <c r="BT117" s="96"/>
      <c r="BU117" s="96"/>
      <c r="BV117" s="95"/>
      <c r="BW117" s="98"/>
      <c r="BX117" s="96"/>
      <c r="BY117" s="96"/>
      <c r="BZ117" s="95"/>
      <c r="CA117" s="98"/>
      <c r="CB117" s="96"/>
      <c r="CC117" s="96"/>
      <c r="CD117" s="95"/>
      <c r="CE117" s="98"/>
      <c r="CF117" s="99"/>
      <c r="CG117" s="95"/>
      <c r="CH117" s="96"/>
      <c r="CI117" s="96"/>
      <c r="CJ117" s="98"/>
    </row>
    <row r="118" spans="1:88" ht="12" customHeight="1">
      <c r="A118" s="101"/>
      <c r="B118" s="106" t="s">
        <v>261</v>
      </c>
      <c r="C118" s="102">
        <f>_xll.ACC(DB,_xll.ArrayDPT($BA118:$BJ118),_xll.ArrayCOA($BL118:$CE118),YR,PRD,_xll.ArrayDIM($CG118:$CJ118))</f>
        <v>0</v>
      </c>
      <c r="D118" s="104"/>
      <c r="E118" s="102">
        <f>_xll.ACC(DB,_xll.ArrayDPT($BA118:$BJ118),_xll.ArrayCOA($BL118:$CE118),YR,PRD-1,_xll.ArrayDIM($CG118:$CJ118))</f>
        <v>0</v>
      </c>
      <c r="F118" s="94"/>
      <c r="G118" s="102">
        <f t="shared" si="20"/>
        <v>0</v>
      </c>
      <c r="H118" s="112"/>
      <c r="I118" s="156">
        <f t="shared" si="21"/>
        <v>0</v>
      </c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95"/>
      <c r="BB118" s="96"/>
      <c r="BC118" s="96"/>
      <c r="BD118" s="96"/>
      <c r="BE118" s="96"/>
      <c r="BF118" s="96"/>
      <c r="BG118" s="96"/>
      <c r="BH118" s="96"/>
      <c r="BI118" s="96"/>
      <c r="BJ118" s="96"/>
      <c r="BK118" s="97"/>
      <c r="BL118" s="95"/>
      <c r="BM118" s="96"/>
      <c r="BN118" s="95"/>
      <c r="BO118" s="96"/>
      <c r="BP118" s="95"/>
      <c r="BQ118" s="96"/>
      <c r="BR118" s="95"/>
      <c r="BS118" s="98"/>
      <c r="BT118" s="96"/>
      <c r="BU118" s="96"/>
      <c r="BV118" s="95"/>
      <c r="BW118" s="98"/>
      <c r="BX118" s="96"/>
      <c r="BY118" s="96"/>
      <c r="BZ118" s="95"/>
      <c r="CA118" s="98"/>
      <c r="CB118" s="96"/>
      <c r="CC118" s="96"/>
      <c r="CD118" s="95"/>
      <c r="CE118" s="98"/>
      <c r="CF118" s="99"/>
      <c r="CG118" s="95"/>
      <c r="CH118" s="96"/>
      <c r="CI118" s="96"/>
      <c r="CJ118" s="98"/>
    </row>
    <row r="119" spans="1:88" ht="12" customHeight="1">
      <c r="A119" s="101"/>
      <c r="B119" s="106" t="s">
        <v>262</v>
      </c>
      <c r="C119" s="102">
        <f>_xll.ACC(DB,_xll.ArrayDPT($BA119:$BJ119),_xll.ArrayCOA($BL119:$CE119),YR,PRD,_xll.ArrayDIM($CG119:$CJ119))</f>
        <v>66250</v>
      </c>
      <c r="D119" s="104"/>
      <c r="E119" s="102">
        <f>_xll.ACC(DB,_xll.ArrayDPT($BA119:$BJ119),_xll.ArrayCOA($BL119:$CE119),YR,PRD-1,_xll.ArrayDIM($CG119:$CJ119))</f>
        <v>66250</v>
      </c>
      <c r="F119" s="94"/>
      <c r="G119" s="102">
        <f t="shared" si="20"/>
        <v>0</v>
      </c>
      <c r="H119" s="112"/>
      <c r="I119" s="156">
        <f t="shared" si="21"/>
        <v>0</v>
      </c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95"/>
      <c r="BB119" s="96"/>
      <c r="BC119" s="96"/>
      <c r="BD119" s="96"/>
      <c r="BE119" s="96"/>
      <c r="BF119" s="96"/>
      <c r="BG119" s="96"/>
      <c r="BH119" s="96"/>
      <c r="BI119" s="96"/>
      <c r="BJ119" s="96"/>
      <c r="BK119" s="97"/>
      <c r="BL119" s="95" t="s">
        <v>263</v>
      </c>
      <c r="BM119" s="96" t="s">
        <v>263</v>
      </c>
      <c r="BN119" s="95"/>
      <c r="BO119" s="96"/>
      <c r="BP119" s="95"/>
      <c r="BQ119" s="96"/>
      <c r="BR119" s="95"/>
      <c r="BS119" s="98"/>
      <c r="BT119" s="96"/>
      <c r="BU119" s="96"/>
      <c r="BV119" s="95"/>
      <c r="BW119" s="98"/>
      <c r="BX119" s="96"/>
      <c r="BY119" s="96"/>
      <c r="BZ119" s="95"/>
      <c r="CA119" s="98"/>
      <c r="CB119" s="96"/>
      <c r="CC119" s="96"/>
      <c r="CD119" s="95"/>
      <c r="CE119" s="98"/>
      <c r="CF119" s="99"/>
      <c r="CG119" s="95"/>
      <c r="CH119" s="96"/>
      <c r="CI119" s="96"/>
      <c r="CJ119" s="98"/>
    </row>
    <row r="120" spans="1:88" ht="12" customHeight="1">
      <c r="A120" s="101"/>
      <c r="B120" s="106" t="s">
        <v>264</v>
      </c>
      <c r="C120" s="102">
        <f>_xll.ACC(DB,_xll.ArrayDPT($BA120:$BJ120),_xll.ArrayCOA($BL120:$CE120),YR,PRD,_xll.ArrayDIM($CG120:$CJ120))</f>
        <v>0</v>
      </c>
      <c r="D120" s="104"/>
      <c r="E120" s="102">
        <f>_xll.ACC(DB,_xll.ArrayDPT($BA120:$BJ120),_xll.ArrayCOA($BL120:$CE120),YR,PRD-1,_xll.ArrayDIM($CG120:$CJ120))</f>
        <v>0</v>
      </c>
      <c r="F120" s="94"/>
      <c r="G120" s="102">
        <f t="shared" si="20"/>
        <v>0</v>
      </c>
      <c r="H120" s="112"/>
      <c r="I120" s="156">
        <f t="shared" si="21"/>
        <v>0</v>
      </c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95"/>
      <c r="BB120" s="96"/>
      <c r="BC120" s="96"/>
      <c r="BD120" s="96"/>
      <c r="BE120" s="96"/>
      <c r="BF120" s="96"/>
      <c r="BG120" s="96"/>
      <c r="BH120" s="96"/>
      <c r="BI120" s="96"/>
      <c r="BJ120" s="96"/>
      <c r="BK120" s="97"/>
      <c r="BL120" s="95"/>
      <c r="BM120" s="96"/>
      <c r="BN120" s="95"/>
      <c r="BO120" s="96"/>
      <c r="BP120" s="95"/>
      <c r="BQ120" s="96"/>
      <c r="BR120" s="95"/>
      <c r="BS120" s="98"/>
      <c r="BT120" s="96"/>
      <c r="BU120" s="96"/>
      <c r="BV120" s="95"/>
      <c r="BW120" s="98"/>
      <c r="BX120" s="96"/>
      <c r="BY120" s="96"/>
      <c r="BZ120" s="95"/>
      <c r="CA120" s="98"/>
      <c r="CB120" s="96"/>
      <c r="CC120" s="96"/>
      <c r="CD120" s="95"/>
      <c r="CE120" s="98"/>
      <c r="CF120" s="99"/>
      <c r="CG120" s="95"/>
      <c r="CH120" s="96"/>
      <c r="CI120" s="96"/>
      <c r="CJ120" s="98"/>
    </row>
    <row r="121" spans="1:88" ht="12" customHeight="1">
      <c r="A121" s="101"/>
      <c r="B121" s="106" t="s">
        <v>265</v>
      </c>
      <c r="C121" s="102">
        <f>_xll.ACC(DB,_xll.ArrayDPT($BA121:$BJ121),_xll.ArrayCOA($BL121:$CE121),YR,PRD,_xll.ArrayDIM($CG121:$CJ121))</f>
        <v>251052</v>
      </c>
      <c r="D121" s="104"/>
      <c r="E121" s="102">
        <f>_xll.ACC(DB,_xll.ArrayDPT($BA121:$BJ121),_xll.ArrayCOA($BL121:$CE121),YR,PRD-1,_xll.ArrayDIM($CG121:$CJ121))</f>
        <v>251052</v>
      </c>
      <c r="F121" s="94"/>
      <c r="G121" s="102">
        <f t="shared" si="20"/>
        <v>0</v>
      </c>
      <c r="H121" s="112"/>
      <c r="I121" s="156">
        <f t="shared" si="21"/>
        <v>0</v>
      </c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95"/>
      <c r="BB121" s="96"/>
      <c r="BC121" s="96"/>
      <c r="BD121" s="96"/>
      <c r="BE121" s="96"/>
      <c r="BF121" s="96"/>
      <c r="BG121" s="96"/>
      <c r="BH121" s="96"/>
      <c r="BI121" s="96"/>
      <c r="BJ121" s="96"/>
      <c r="BK121" s="97"/>
      <c r="BL121" s="95" t="s">
        <v>266</v>
      </c>
      <c r="BM121" s="96" t="s">
        <v>266</v>
      </c>
      <c r="BN121" s="95"/>
      <c r="BO121" s="96"/>
      <c r="BP121" s="95"/>
      <c r="BQ121" s="96"/>
      <c r="BR121" s="95"/>
      <c r="BS121" s="98"/>
      <c r="BT121" s="96"/>
      <c r="BU121" s="96"/>
      <c r="BV121" s="95"/>
      <c r="BW121" s="98"/>
      <c r="BX121" s="96"/>
      <c r="BY121" s="96"/>
      <c r="BZ121" s="95"/>
      <c r="CA121" s="98"/>
      <c r="CB121" s="96"/>
      <c r="CC121" s="96"/>
      <c r="CD121" s="95"/>
      <c r="CE121" s="98"/>
      <c r="CF121" s="99"/>
      <c r="CG121" s="95"/>
      <c r="CH121" s="96"/>
      <c r="CI121" s="96"/>
      <c r="CJ121" s="98"/>
    </row>
    <row r="122" spans="1:88" ht="12" customHeight="1">
      <c r="A122" s="101"/>
      <c r="B122" s="106" t="s">
        <v>267</v>
      </c>
      <c r="C122" s="102">
        <f>_xll.ACC(DB,_xll.ArrayDPT($BA122:$BJ122),_xll.ArrayCOA($BL122:$CE122),YR,PRD,_xll.ArrayDIM($CG122:$CJ122))</f>
        <v>0</v>
      </c>
      <c r="D122" s="104"/>
      <c r="E122" s="102">
        <f>_xll.ACC(DB,_xll.ArrayDPT($BA122:$BJ122),_xll.ArrayCOA($BL122:$CE122),YR,PRD-1,_xll.ArrayDIM($CG122:$CJ122))</f>
        <v>0</v>
      </c>
      <c r="F122" s="94"/>
      <c r="G122" s="102">
        <f t="shared" si="20"/>
        <v>0</v>
      </c>
      <c r="H122" s="112"/>
      <c r="I122" s="156">
        <f t="shared" si="21"/>
        <v>0</v>
      </c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95"/>
      <c r="BB122" s="96"/>
      <c r="BC122" s="96"/>
      <c r="BD122" s="96"/>
      <c r="BE122" s="96"/>
      <c r="BF122" s="96"/>
      <c r="BG122" s="96"/>
      <c r="BH122" s="96"/>
      <c r="BI122" s="96"/>
      <c r="BJ122" s="96"/>
      <c r="BK122" s="97"/>
      <c r="BL122" s="95"/>
      <c r="BM122" s="96"/>
      <c r="BN122" s="95"/>
      <c r="BO122" s="96"/>
      <c r="BP122" s="95"/>
      <c r="BQ122" s="96"/>
      <c r="BR122" s="95"/>
      <c r="BS122" s="98"/>
      <c r="BT122" s="96"/>
      <c r="BU122" s="96"/>
      <c r="BV122" s="95"/>
      <c r="BW122" s="98"/>
      <c r="BX122" s="96"/>
      <c r="BY122" s="96"/>
      <c r="BZ122" s="95"/>
      <c r="CA122" s="98"/>
      <c r="CB122" s="96"/>
      <c r="CC122" s="96"/>
      <c r="CD122" s="95"/>
      <c r="CE122" s="98"/>
      <c r="CF122" s="99"/>
      <c r="CG122" s="95"/>
      <c r="CH122" s="96"/>
      <c r="CI122" s="96"/>
      <c r="CJ122" s="98"/>
    </row>
    <row r="123" spans="1:88" ht="12" customHeight="1">
      <c r="A123" s="101"/>
      <c r="B123" s="106" t="s">
        <v>268</v>
      </c>
      <c r="C123" s="102">
        <f>_xll.ACC(DB,_xll.ArrayDPT($BA123:$BJ123),_xll.ArrayCOA($BL123:$CE123),YR,PRD,_xll.ArrayDIM($CG123:$CJ123))</f>
        <v>0</v>
      </c>
      <c r="D123" s="104"/>
      <c r="E123" s="102">
        <f>_xll.ACC(DB,_xll.ArrayDPT($BA123:$BJ123),_xll.ArrayCOA($BL123:$CE123),YR,PRD-1,_xll.ArrayDIM($CG123:$CJ123))</f>
        <v>0</v>
      </c>
      <c r="F123" s="94"/>
      <c r="G123" s="102">
        <f t="shared" si="20"/>
        <v>0</v>
      </c>
      <c r="H123" s="112"/>
      <c r="I123" s="156">
        <f t="shared" si="21"/>
        <v>0</v>
      </c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95"/>
      <c r="BB123" s="96"/>
      <c r="BC123" s="96"/>
      <c r="BD123" s="96"/>
      <c r="BE123" s="96"/>
      <c r="BF123" s="96"/>
      <c r="BG123" s="96"/>
      <c r="BH123" s="96"/>
      <c r="BI123" s="96"/>
      <c r="BJ123" s="96"/>
      <c r="BK123" s="97"/>
      <c r="BL123" s="95"/>
      <c r="BM123" s="96"/>
      <c r="BN123" s="95"/>
      <c r="BO123" s="96"/>
      <c r="BP123" s="95"/>
      <c r="BQ123" s="96"/>
      <c r="BR123" s="95"/>
      <c r="BS123" s="98"/>
      <c r="BT123" s="96"/>
      <c r="BU123" s="96"/>
      <c r="BV123" s="95"/>
      <c r="BW123" s="98"/>
      <c r="BX123" s="96"/>
      <c r="BY123" s="96"/>
      <c r="BZ123" s="95"/>
      <c r="CA123" s="98"/>
      <c r="CB123" s="96"/>
      <c r="CC123" s="96"/>
      <c r="CD123" s="95"/>
      <c r="CE123" s="98"/>
      <c r="CF123" s="99"/>
      <c r="CG123" s="95"/>
      <c r="CH123" s="96"/>
      <c r="CI123" s="96"/>
      <c r="CJ123" s="98"/>
    </row>
    <row r="124" spans="1:88" ht="12" customHeight="1">
      <c r="A124" s="101"/>
      <c r="B124" s="106" t="s">
        <v>269</v>
      </c>
      <c r="C124" s="102">
        <f>_xll.ACC(DB,_xll.ArrayDPT($BA124:$BJ124),_xll.ArrayCOA($BL124:$CE124),YR,PRD,_xll.ArrayDIM($CG124:$CJ124))</f>
        <v>0</v>
      </c>
      <c r="D124" s="104"/>
      <c r="E124" s="102">
        <f>_xll.ACC(DB,_xll.ArrayDPT($BA124:$BJ124),_xll.ArrayCOA($BL124:$CE124),YR,PRD-1,_xll.ArrayDIM($CG124:$CJ124))</f>
        <v>0</v>
      </c>
      <c r="F124" s="94"/>
      <c r="G124" s="102">
        <f t="shared" si="20"/>
        <v>0</v>
      </c>
      <c r="H124" s="112"/>
      <c r="I124" s="156">
        <f t="shared" si="21"/>
        <v>0</v>
      </c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95"/>
      <c r="BB124" s="96"/>
      <c r="BC124" s="96"/>
      <c r="BD124" s="96"/>
      <c r="BE124" s="96"/>
      <c r="BF124" s="96"/>
      <c r="BG124" s="96"/>
      <c r="BH124" s="96"/>
      <c r="BI124" s="96"/>
      <c r="BJ124" s="96"/>
      <c r="BK124" s="97"/>
      <c r="BL124" s="95"/>
      <c r="BM124" s="96"/>
      <c r="BN124" s="95"/>
      <c r="BO124" s="96"/>
      <c r="BP124" s="95"/>
      <c r="BQ124" s="96"/>
      <c r="BR124" s="95"/>
      <c r="BS124" s="98"/>
      <c r="BT124" s="96"/>
      <c r="BU124" s="96"/>
      <c r="BV124" s="95"/>
      <c r="BW124" s="98"/>
      <c r="BX124" s="96"/>
      <c r="BY124" s="96"/>
      <c r="BZ124" s="95"/>
      <c r="CA124" s="98"/>
      <c r="CB124" s="96"/>
      <c r="CC124" s="96"/>
      <c r="CD124" s="95"/>
      <c r="CE124" s="98"/>
      <c r="CF124" s="99"/>
      <c r="CG124" s="95"/>
      <c r="CH124" s="96"/>
      <c r="CI124" s="96"/>
      <c r="CJ124" s="98"/>
    </row>
    <row r="125" spans="1:88" ht="12" customHeight="1">
      <c r="A125" s="101"/>
      <c r="B125" s="106" t="s">
        <v>270</v>
      </c>
      <c r="C125" s="102">
        <f>_xll.ACC(DB,_xll.ArrayDPT($BA125:$BJ125),_xll.ArrayCOA($BL125:$CE125),YR,PRD,_xll.ArrayDIM($CG125:$CJ125))</f>
        <v>0</v>
      </c>
      <c r="D125" s="104"/>
      <c r="E125" s="102">
        <f>_xll.ACC(DB,_xll.ArrayDPT($BA125:$BJ125),_xll.ArrayCOA($BL125:$CE125),YR,PRD-1,_xll.ArrayDIM($CG125:$CJ125))</f>
        <v>0</v>
      </c>
      <c r="F125" s="94"/>
      <c r="G125" s="102">
        <f t="shared" si="20"/>
        <v>0</v>
      </c>
      <c r="H125" s="112"/>
      <c r="I125" s="156">
        <f t="shared" si="21"/>
        <v>0</v>
      </c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95"/>
      <c r="BB125" s="96"/>
      <c r="BC125" s="96"/>
      <c r="BD125" s="96"/>
      <c r="BE125" s="96"/>
      <c r="BF125" s="96"/>
      <c r="BG125" s="96"/>
      <c r="BH125" s="96"/>
      <c r="BI125" s="96"/>
      <c r="BJ125" s="96"/>
      <c r="BK125" s="97"/>
      <c r="BL125" s="95"/>
      <c r="BM125" s="96"/>
      <c r="BN125" s="95"/>
      <c r="BO125" s="96"/>
      <c r="BP125" s="95"/>
      <c r="BQ125" s="96"/>
      <c r="BR125" s="95"/>
      <c r="BS125" s="98"/>
      <c r="BT125" s="96"/>
      <c r="BU125" s="96"/>
      <c r="BV125" s="95"/>
      <c r="BW125" s="98"/>
      <c r="BX125" s="96"/>
      <c r="BY125" s="96"/>
      <c r="BZ125" s="95"/>
      <c r="CA125" s="98"/>
      <c r="CB125" s="96"/>
      <c r="CC125" s="96"/>
      <c r="CD125" s="95"/>
      <c r="CE125" s="98"/>
      <c r="CF125" s="99"/>
      <c r="CG125" s="95"/>
      <c r="CH125" s="96"/>
      <c r="CI125" s="96"/>
      <c r="CJ125" s="98"/>
    </row>
    <row r="126" spans="1:88" ht="12" customHeight="1">
      <c r="A126" s="101"/>
      <c r="B126" s="106" t="s">
        <v>271</v>
      </c>
      <c r="C126" s="102">
        <f>_xll.ACC(DB,_xll.ArrayDPT($BA126:$BJ126),_xll.ArrayCOA($BL126:$CE126),YR,PRD,_xll.ArrayDIM($CG126:$CJ126))</f>
        <v>0</v>
      </c>
      <c r="D126" s="104"/>
      <c r="E126" s="102">
        <f>_xll.ACC(DB,_xll.ArrayDPT($BA126:$BJ126),_xll.ArrayCOA($BL126:$CE126),YR,PRD-1,_xll.ArrayDIM($CG126:$CJ126))</f>
        <v>0</v>
      </c>
      <c r="F126" s="94"/>
      <c r="G126" s="102">
        <f t="shared" si="20"/>
        <v>0</v>
      </c>
      <c r="H126" s="112"/>
      <c r="I126" s="156">
        <f t="shared" si="21"/>
        <v>0</v>
      </c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95"/>
      <c r="BB126" s="96"/>
      <c r="BC126" s="96"/>
      <c r="BD126" s="96"/>
      <c r="BE126" s="96"/>
      <c r="BF126" s="96"/>
      <c r="BG126" s="96"/>
      <c r="BH126" s="96"/>
      <c r="BI126" s="96"/>
      <c r="BJ126" s="96"/>
      <c r="BK126" s="97"/>
      <c r="BL126" s="95"/>
      <c r="BM126" s="96"/>
      <c r="BN126" s="95"/>
      <c r="BO126" s="96"/>
      <c r="BP126" s="95"/>
      <c r="BQ126" s="96"/>
      <c r="BR126" s="95"/>
      <c r="BS126" s="98"/>
      <c r="BT126" s="96"/>
      <c r="BU126" s="96"/>
      <c r="BV126" s="95"/>
      <c r="BW126" s="98"/>
      <c r="BX126" s="96"/>
      <c r="BY126" s="96"/>
      <c r="BZ126" s="95"/>
      <c r="CA126" s="98"/>
      <c r="CB126" s="96"/>
      <c r="CC126" s="96"/>
      <c r="CD126" s="95"/>
      <c r="CE126" s="98"/>
      <c r="CF126" s="99"/>
      <c r="CG126" s="95"/>
      <c r="CH126" s="96"/>
      <c r="CI126" s="96"/>
      <c r="CJ126" s="98"/>
    </row>
    <row r="127" spans="1:88" ht="15" customHeight="1">
      <c r="A127" s="101"/>
      <c r="B127" s="101" t="s">
        <v>272</v>
      </c>
      <c r="C127" s="130">
        <f>SUM(C116:C126)</f>
        <v>1967594.01</v>
      </c>
      <c r="D127" s="94"/>
      <c r="E127" s="130">
        <f>SUM(E116:E126)</f>
        <v>1934000.01</v>
      </c>
      <c r="F127" s="94"/>
      <c r="G127" s="130">
        <f t="shared" si="20"/>
        <v>33594</v>
      </c>
      <c r="H127" s="93"/>
      <c r="I127" s="158">
        <f t="shared" si="21"/>
        <v>100</v>
      </c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95"/>
      <c r="BB127" s="96"/>
      <c r="BC127" s="96"/>
      <c r="BD127" s="96"/>
      <c r="BE127" s="96"/>
      <c r="BF127" s="96"/>
      <c r="BG127" s="96"/>
      <c r="BH127" s="96"/>
      <c r="BI127" s="96"/>
      <c r="BJ127" s="96"/>
      <c r="BK127" s="97"/>
      <c r="BL127" s="95"/>
      <c r="BM127" s="96"/>
      <c r="BN127" s="95"/>
      <c r="BO127" s="96"/>
      <c r="BP127" s="95"/>
      <c r="BQ127" s="96"/>
      <c r="BR127" s="95"/>
      <c r="BS127" s="98"/>
      <c r="BT127" s="96"/>
      <c r="BU127" s="96"/>
      <c r="BV127" s="95"/>
      <c r="BW127" s="98"/>
      <c r="BX127" s="96"/>
      <c r="BY127" s="96"/>
      <c r="BZ127" s="95"/>
      <c r="CA127" s="98"/>
      <c r="CB127" s="96"/>
      <c r="CC127" s="96"/>
      <c r="CD127" s="95"/>
      <c r="CE127" s="98"/>
      <c r="CF127" s="99"/>
      <c r="CG127" s="95"/>
      <c r="CH127" s="96"/>
      <c r="CI127" s="96"/>
      <c r="CJ127" s="98"/>
    </row>
    <row r="128" spans="1:88" ht="10.5" customHeight="1">
      <c r="A128" s="101"/>
      <c r="B128" s="106"/>
      <c r="C128" s="92"/>
      <c r="D128" s="94"/>
      <c r="E128" s="92"/>
      <c r="F128" s="94"/>
      <c r="G128" s="92"/>
      <c r="H128" s="112"/>
      <c r="I128" s="1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95"/>
      <c r="BB128" s="96"/>
      <c r="BC128" s="96"/>
      <c r="BD128" s="96"/>
      <c r="BE128" s="96"/>
      <c r="BF128" s="96"/>
      <c r="BG128" s="96"/>
      <c r="BH128" s="96"/>
      <c r="BI128" s="96"/>
      <c r="BJ128" s="96"/>
      <c r="BK128" s="97"/>
      <c r="BL128" s="95"/>
      <c r="BM128" s="96"/>
      <c r="BN128" s="95"/>
      <c r="BO128" s="96"/>
      <c r="BP128" s="95"/>
      <c r="BQ128" s="96"/>
      <c r="BR128" s="95"/>
      <c r="BS128" s="98"/>
      <c r="BT128" s="96"/>
      <c r="BU128" s="96"/>
      <c r="BV128" s="95"/>
      <c r="BW128" s="98"/>
      <c r="BX128" s="96"/>
      <c r="BY128" s="96"/>
      <c r="BZ128" s="95"/>
      <c r="CA128" s="98"/>
      <c r="CB128" s="96"/>
      <c r="CC128" s="96"/>
      <c r="CD128" s="95"/>
      <c r="CE128" s="98"/>
      <c r="CF128" s="99"/>
      <c r="CG128" s="95"/>
      <c r="CH128" s="96"/>
      <c r="CI128" s="96"/>
      <c r="CJ128" s="98"/>
    </row>
    <row r="129" spans="1:88" ht="15" customHeight="1">
      <c r="A129" s="178"/>
      <c r="B129" s="178" t="s">
        <v>273</v>
      </c>
      <c r="C129" s="102"/>
      <c r="D129" s="104"/>
      <c r="E129" s="102"/>
      <c r="F129" s="104"/>
      <c r="G129" s="102"/>
      <c r="H129" s="107"/>
      <c r="I129" s="153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95"/>
      <c r="BB129" s="96"/>
      <c r="BC129" s="96"/>
      <c r="BD129" s="96"/>
      <c r="BE129" s="96"/>
      <c r="BF129" s="96"/>
      <c r="BG129" s="96"/>
      <c r="BH129" s="96"/>
      <c r="BI129" s="96"/>
      <c r="BJ129" s="96"/>
      <c r="BK129" s="97"/>
      <c r="BL129" s="95"/>
      <c r="BM129" s="96"/>
      <c r="BN129" s="95"/>
      <c r="BO129" s="96"/>
      <c r="BP129" s="95"/>
      <c r="BQ129" s="96"/>
      <c r="BR129" s="95"/>
      <c r="BS129" s="98"/>
      <c r="BT129" s="96"/>
      <c r="BU129" s="96"/>
      <c r="BV129" s="95"/>
      <c r="BW129" s="98"/>
      <c r="BX129" s="96"/>
      <c r="BY129" s="96"/>
      <c r="BZ129" s="95"/>
      <c r="CA129" s="98"/>
      <c r="CB129" s="96"/>
      <c r="CC129" s="96"/>
      <c r="CD129" s="95"/>
      <c r="CE129" s="98"/>
      <c r="CF129" s="99"/>
      <c r="CG129" s="95"/>
      <c r="CH129" s="96"/>
      <c r="CI129" s="96"/>
      <c r="CJ129" s="98"/>
    </row>
    <row r="130" spans="1:88" ht="12" customHeight="1">
      <c r="A130" s="110"/>
      <c r="B130" s="106" t="s">
        <v>274</v>
      </c>
      <c r="C130" s="102">
        <f>_xll.ACC(DB,_xll.ArrayDPT($BA130:$BJ130),_xll.ArrayCOA($BL130:$CE130),YR,PRD,_xll.ArrayDIM($CG130:$CJ130))</f>
        <v>10000</v>
      </c>
      <c r="D130" s="104"/>
      <c r="E130" s="102">
        <f>_xll.ACC(DB,_xll.ArrayDPT($BA130:$BJ130),_xll.ArrayCOA($BL130:$CE130),YR,PRD-1,_xll.ArrayDIM($CG130:$CJ130))</f>
        <v>10000</v>
      </c>
      <c r="F130" s="104"/>
      <c r="G130" s="102">
        <f t="shared" ref="G130:G137" si="22">C130-E130</f>
        <v>0</v>
      </c>
      <c r="H130" s="107"/>
      <c r="I130" s="156">
        <f t="shared" ref="I130:I137" si="23">IF(G130=0,0,(G130*100/$G$137))</f>
        <v>0</v>
      </c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95"/>
      <c r="BB130" s="96"/>
      <c r="BC130" s="96"/>
      <c r="BD130" s="96"/>
      <c r="BE130" s="96"/>
      <c r="BF130" s="96"/>
      <c r="BG130" s="96"/>
      <c r="BH130" s="96"/>
      <c r="BI130" s="96"/>
      <c r="BJ130" s="96"/>
      <c r="BK130" s="97"/>
      <c r="BL130" s="95" t="s">
        <v>275</v>
      </c>
      <c r="BM130" s="96" t="s">
        <v>275</v>
      </c>
      <c r="BN130" s="95"/>
      <c r="BO130" s="96"/>
      <c r="BP130" s="95"/>
      <c r="BQ130" s="96"/>
      <c r="BR130" s="95"/>
      <c r="BS130" s="98"/>
      <c r="BT130" s="96"/>
      <c r="BU130" s="96"/>
      <c r="BV130" s="95"/>
      <c r="BW130" s="98"/>
      <c r="BX130" s="96"/>
      <c r="BY130" s="96"/>
      <c r="BZ130" s="95"/>
      <c r="CA130" s="98"/>
      <c r="CB130" s="96"/>
      <c r="CC130" s="96"/>
      <c r="CD130" s="95"/>
      <c r="CE130" s="98"/>
      <c r="CF130" s="99"/>
      <c r="CG130" s="95"/>
      <c r="CH130" s="96"/>
      <c r="CI130" s="96"/>
      <c r="CJ130" s="98"/>
    </row>
    <row r="131" spans="1:88" ht="12" customHeight="1">
      <c r="A131" s="110"/>
      <c r="B131" s="106" t="s">
        <v>276</v>
      </c>
      <c r="C131" s="102">
        <f>_xll.ACC(DB,_xll.ArrayDPT($BA131:$BJ131),_xll.ArrayCOA($BL131:$CE131),YR,PRD,_xll.ArrayDIM($CG131:$CJ131))</f>
        <v>0</v>
      </c>
      <c r="D131" s="104"/>
      <c r="E131" s="102">
        <f>_xll.ACC(DB,_xll.ArrayDPT($BA131:$BJ131),_xll.ArrayCOA($BL131:$CE131),YR,PRD-1,_xll.ArrayDIM($CG131:$CJ131))</f>
        <v>0</v>
      </c>
      <c r="F131" s="104"/>
      <c r="G131" s="102">
        <f t="shared" si="22"/>
        <v>0</v>
      </c>
      <c r="H131" s="107"/>
      <c r="I131" s="156">
        <f t="shared" si="23"/>
        <v>0</v>
      </c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95"/>
      <c r="BB131" s="96"/>
      <c r="BC131" s="96"/>
      <c r="BD131" s="96"/>
      <c r="BE131" s="96"/>
      <c r="BF131" s="96"/>
      <c r="BG131" s="96"/>
      <c r="BH131" s="96"/>
      <c r="BI131" s="96"/>
      <c r="BJ131" s="96"/>
      <c r="BK131" s="97"/>
      <c r="BL131" s="95" t="s">
        <v>277</v>
      </c>
      <c r="BM131" s="96" t="s">
        <v>277</v>
      </c>
      <c r="BN131" s="95"/>
      <c r="BO131" s="96"/>
      <c r="BP131" s="95"/>
      <c r="BQ131" s="96"/>
      <c r="BR131" s="95"/>
      <c r="BS131" s="98"/>
      <c r="BT131" s="96"/>
      <c r="BU131" s="96"/>
      <c r="BV131" s="95"/>
      <c r="BW131" s="98"/>
      <c r="BX131" s="96"/>
      <c r="BY131" s="96"/>
      <c r="BZ131" s="95"/>
      <c r="CA131" s="98"/>
      <c r="CB131" s="96"/>
      <c r="CC131" s="96"/>
      <c r="CD131" s="95"/>
      <c r="CE131" s="98"/>
      <c r="CF131" s="99"/>
      <c r="CG131" s="95"/>
      <c r="CH131" s="96"/>
      <c r="CI131" s="96"/>
      <c r="CJ131" s="98"/>
    </row>
    <row r="132" spans="1:88" ht="12" customHeight="1">
      <c r="A132" s="110"/>
      <c r="B132" s="106" t="s">
        <v>278</v>
      </c>
      <c r="C132" s="102">
        <f>_xll.ACC(DB,_xll.ArrayDPT($BA132:$BJ132),_xll.ArrayCOA($BL132:$CE132),YR,PRD,_xll.ArrayDIM($CG132:$CJ132))</f>
        <v>0</v>
      </c>
      <c r="D132" s="104"/>
      <c r="E132" s="102">
        <f>_xll.ACC(DB,_xll.ArrayDPT($BA132:$BJ132),_xll.ArrayCOA($BL132:$CE132),YR,PRD-1,_xll.ArrayDIM($CG132:$CJ132))</f>
        <v>0</v>
      </c>
      <c r="F132" s="104"/>
      <c r="G132" s="102">
        <f t="shared" si="22"/>
        <v>0</v>
      </c>
      <c r="H132" s="107"/>
      <c r="I132" s="156">
        <f t="shared" si="23"/>
        <v>0</v>
      </c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95"/>
      <c r="BB132" s="96"/>
      <c r="BC132" s="96"/>
      <c r="BD132" s="96"/>
      <c r="BE132" s="96"/>
      <c r="BF132" s="96"/>
      <c r="BG132" s="96"/>
      <c r="BH132" s="96"/>
      <c r="BI132" s="96"/>
      <c r="BJ132" s="96"/>
      <c r="BK132" s="97"/>
      <c r="BL132" s="95" t="s">
        <v>279</v>
      </c>
      <c r="BM132" s="96" t="s">
        <v>279</v>
      </c>
      <c r="BN132" s="95"/>
      <c r="BO132" s="96"/>
      <c r="BP132" s="95"/>
      <c r="BQ132" s="96"/>
      <c r="BR132" s="95"/>
      <c r="BS132" s="98"/>
      <c r="BT132" s="96"/>
      <c r="BU132" s="96"/>
      <c r="BV132" s="95"/>
      <c r="BW132" s="98"/>
      <c r="BX132" s="96"/>
      <c r="BY132" s="96"/>
      <c r="BZ132" s="95"/>
      <c r="CA132" s="98"/>
      <c r="CB132" s="96"/>
      <c r="CC132" s="96"/>
      <c r="CD132" s="95"/>
      <c r="CE132" s="98"/>
      <c r="CF132" s="99"/>
      <c r="CG132" s="95"/>
      <c r="CH132" s="96"/>
      <c r="CI132" s="96"/>
      <c r="CJ132" s="98"/>
    </row>
    <row r="133" spans="1:88" ht="12" customHeight="1">
      <c r="A133" s="79"/>
      <c r="B133" s="106" t="s">
        <v>280</v>
      </c>
      <c r="C133" s="102">
        <f>_xll.ACC(DB,_xll.ArrayDPT($BA133:$BJ133),_xll.ArrayCOA($BL133:$CE133),YR,PRD,_xll.ArrayDIM($CG133:$CJ133))</f>
        <v>0</v>
      </c>
      <c r="D133" s="173"/>
      <c r="E133" s="102">
        <f>_xll.ACC(DB,_xll.ArrayDPT($BA133:$BJ133),_xll.ArrayCOA($BL133:$CE133),YR,PRD-1,_xll.ArrayDIM($CG133:$CJ133))</f>
        <v>0</v>
      </c>
      <c r="F133" s="173"/>
      <c r="G133" s="102">
        <f t="shared" si="22"/>
        <v>0</v>
      </c>
      <c r="H133" s="107"/>
      <c r="I133" s="156">
        <f t="shared" si="23"/>
        <v>0</v>
      </c>
      <c r="J133" s="60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14"/>
      <c r="AH133" s="114"/>
      <c r="AI133" s="114"/>
      <c r="AJ133" s="114"/>
      <c r="AK133" s="114"/>
      <c r="AL133" s="114"/>
      <c r="AM133" s="114"/>
      <c r="AN133" s="114"/>
      <c r="AO133" s="114"/>
      <c r="AP133" s="114"/>
      <c r="AQ133" s="114"/>
      <c r="AR133" s="114"/>
      <c r="AS133" s="114"/>
      <c r="AT133" s="114"/>
      <c r="AU133" s="114"/>
      <c r="AV133" s="114"/>
      <c r="AW133" s="114"/>
      <c r="AX133" s="114"/>
      <c r="AY133" s="114"/>
      <c r="AZ133" s="114"/>
      <c r="BA133" s="95"/>
      <c r="BB133" s="96"/>
      <c r="BC133" s="96"/>
      <c r="BD133" s="96"/>
      <c r="BE133" s="96"/>
      <c r="BF133" s="96"/>
      <c r="BG133" s="96"/>
      <c r="BH133" s="96"/>
      <c r="BI133" s="96"/>
      <c r="BJ133" s="96"/>
      <c r="BK133" s="97"/>
      <c r="BL133" s="95" t="s">
        <v>281</v>
      </c>
      <c r="BM133" s="96" t="s">
        <v>281</v>
      </c>
      <c r="BN133" s="95"/>
      <c r="BO133" s="96"/>
      <c r="BP133" s="95"/>
      <c r="BQ133" s="96"/>
      <c r="BR133" s="95"/>
      <c r="BS133" s="98"/>
      <c r="BT133" s="96"/>
      <c r="BU133" s="96"/>
      <c r="BV133" s="95"/>
      <c r="BW133" s="98"/>
      <c r="BX133" s="96"/>
      <c r="BY133" s="96"/>
      <c r="BZ133" s="95"/>
      <c r="CA133" s="98"/>
      <c r="CB133" s="96"/>
      <c r="CC133" s="96"/>
      <c r="CD133" s="95"/>
      <c r="CE133" s="98"/>
      <c r="CF133" s="99"/>
      <c r="CG133" s="95"/>
      <c r="CH133" s="96"/>
      <c r="CI133" s="96"/>
      <c r="CJ133" s="98"/>
    </row>
    <row r="134" spans="1:88" ht="12" customHeight="1">
      <c r="A134" s="79"/>
      <c r="B134" s="106" t="s">
        <v>282</v>
      </c>
      <c r="C134" s="102">
        <f>_xll.ACC(DB,_xll.ArrayDPT($BA134:$BJ134),_xll.ArrayCOA($BL134:$CE134),YR,PRD,_xll.ArrayDIM($CG134:$CJ134))</f>
        <v>3028.04</v>
      </c>
      <c r="D134" s="173"/>
      <c r="E134" s="102">
        <f>_xll.ACC(DB,_xll.ArrayDPT($BA134:$BJ134),_xll.ArrayCOA($BL134:$CE134),YR,PRD-1,_xll.ArrayDIM($CG134:$CJ134))</f>
        <v>3028.04</v>
      </c>
      <c r="F134" s="173"/>
      <c r="G134" s="102">
        <f t="shared" si="22"/>
        <v>0</v>
      </c>
      <c r="H134" s="107"/>
      <c r="I134" s="156">
        <f t="shared" si="23"/>
        <v>0</v>
      </c>
      <c r="J134" s="60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  <c r="AD134" s="114"/>
      <c r="AE134" s="114"/>
      <c r="AF134" s="114"/>
      <c r="AG134" s="114"/>
      <c r="AH134" s="114"/>
      <c r="AI134" s="114"/>
      <c r="AJ134" s="114"/>
      <c r="AK134" s="114"/>
      <c r="AL134" s="114"/>
      <c r="AM134" s="114"/>
      <c r="AN134" s="114"/>
      <c r="AO134" s="114"/>
      <c r="AP134" s="114"/>
      <c r="AQ134" s="114"/>
      <c r="AR134" s="114"/>
      <c r="AS134" s="114"/>
      <c r="AT134" s="114"/>
      <c r="AU134" s="114"/>
      <c r="AV134" s="114"/>
      <c r="AW134" s="114"/>
      <c r="AX134" s="114"/>
      <c r="AY134" s="114"/>
      <c r="AZ134" s="114"/>
      <c r="BA134" s="95"/>
      <c r="BB134" s="96"/>
      <c r="BC134" s="96"/>
      <c r="BD134" s="96"/>
      <c r="BE134" s="96"/>
      <c r="BF134" s="96"/>
      <c r="BG134" s="96"/>
      <c r="BH134" s="96"/>
      <c r="BI134" s="96"/>
      <c r="BJ134" s="96"/>
      <c r="BK134" s="97"/>
      <c r="BL134" s="95" t="s">
        <v>283</v>
      </c>
      <c r="BM134" s="96" t="s">
        <v>283</v>
      </c>
      <c r="BN134" s="95"/>
      <c r="BO134" s="96"/>
      <c r="BP134" s="95"/>
      <c r="BQ134" s="96"/>
      <c r="BR134" s="95"/>
      <c r="BS134" s="98"/>
      <c r="BT134" s="96"/>
      <c r="BU134" s="96"/>
      <c r="BV134" s="95"/>
      <c r="BW134" s="98"/>
      <c r="BX134" s="96"/>
      <c r="BY134" s="96"/>
      <c r="BZ134" s="95"/>
      <c r="CA134" s="98"/>
      <c r="CB134" s="96"/>
      <c r="CC134" s="96"/>
      <c r="CD134" s="95"/>
      <c r="CE134" s="98"/>
      <c r="CF134" s="99"/>
      <c r="CG134" s="95"/>
      <c r="CH134" s="96"/>
      <c r="CI134" s="96"/>
      <c r="CJ134" s="98"/>
    </row>
    <row r="135" spans="1:88" ht="12" customHeight="1">
      <c r="A135" s="79"/>
      <c r="B135" s="106" t="s">
        <v>284</v>
      </c>
      <c r="C135" s="102">
        <f>_xll.ACC(DB,_xll.ArrayDPT($BA135:$BJ135),_xll.ArrayCOA($BL135:$CE135),YR,PRD,_xll.ArrayDIM($CG135:$CJ135))</f>
        <v>90290.21</v>
      </c>
      <c r="D135" s="173"/>
      <c r="E135" s="102">
        <f>_xll.ACC(DB,_xll.ArrayDPT($BA135:$BJ135),_xll.ArrayCOA($BL135:$CE135),YR,PRD-1,_xll.ArrayDIM($CG135:$CJ135))</f>
        <v>119960.21</v>
      </c>
      <c r="F135" s="173"/>
      <c r="G135" s="102">
        <f t="shared" si="22"/>
        <v>-29670</v>
      </c>
      <c r="H135" s="107"/>
      <c r="I135" s="156">
        <f t="shared" si="23"/>
        <v>48.743223262690982</v>
      </c>
      <c r="J135" s="60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  <c r="AD135" s="114"/>
      <c r="AE135" s="114"/>
      <c r="AF135" s="114"/>
      <c r="AG135" s="114"/>
      <c r="AH135" s="114"/>
      <c r="AI135" s="114"/>
      <c r="AJ135" s="114"/>
      <c r="AK135" s="114"/>
      <c r="AL135" s="114"/>
      <c r="AM135" s="114"/>
      <c r="AN135" s="114"/>
      <c r="AO135" s="114"/>
      <c r="AP135" s="114"/>
      <c r="AQ135" s="114"/>
      <c r="AR135" s="114"/>
      <c r="AS135" s="114"/>
      <c r="AT135" s="114"/>
      <c r="AU135" s="114"/>
      <c r="AV135" s="114"/>
      <c r="AW135" s="114"/>
      <c r="AX135" s="114"/>
      <c r="AY135" s="114"/>
      <c r="AZ135" s="114"/>
      <c r="BA135" s="95"/>
      <c r="BB135" s="96"/>
      <c r="BC135" s="96"/>
      <c r="BD135" s="96"/>
      <c r="BE135" s="96"/>
      <c r="BF135" s="96"/>
      <c r="BG135" s="96"/>
      <c r="BH135" s="96"/>
      <c r="BI135" s="96"/>
      <c r="BJ135" s="96"/>
      <c r="BK135" s="97"/>
      <c r="BL135" s="95" t="s">
        <v>285</v>
      </c>
      <c r="BM135" s="96" t="s">
        <v>285</v>
      </c>
      <c r="BN135" s="95"/>
      <c r="BO135" s="96"/>
      <c r="BP135" s="95"/>
      <c r="BQ135" s="96"/>
      <c r="BR135" s="95"/>
      <c r="BS135" s="98"/>
      <c r="BT135" s="96"/>
      <c r="BU135" s="96"/>
      <c r="BV135" s="95"/>
      <c r="BW135" s="98"/>
      <c r="BX135" s="96"/>
      <c r="BY135" s="96"/>
      <c r="BZ135" s="95"/>
      <c r="CA135" s="98"/>
      <c r="CB135" s="96"/>
      <c r="CC135" s="96"/>
      <c r="CD135" s="95"/>
      <c r="CE135" s="98"/>
      <c r="CF135" s="99"/>
      <c r="CG135" s="95"/>
      <c r="CH135" s="96"/>
      <c r="CI135" s="96"/>
      <c r="CJ135" s="98"/>
    </row>
    <row r="136" spans="1:88" ht="12" customHeight="1">
      <c r="A136" s="79"/>
      <c r="B136" s="106" t="s">
        <v>286</v>
      </c>
      <c r="C136" s="102">
        <f>_xll.ACC(DB,_xll.ArrayDPT($BA136:$BJ136),_xll.ArrayCOA($BL136:$CE136),YR,PRD,_xll.ArrayDIM($CG136:$CJ136))</f>
        <v>-21232.25</v>
      </c>
      <c r="D136" s="173"/>
      <c r="E136" s="102">
        <f>_xll.ACC(DB,_xll.ArrayDPT($BA136:$BJ136),_xll.ArrayCOA($BL136:$CE136),YR,PRD-1,_xll.ArrayDIM($CG136:$CJ136))</f>
        <v>9967.75</v>
      </c>
      <c r="F136" s="173"/>
      <c r="G136" s="102">
        <f t="shared" si="22"/>
        <v>-31200</v>
      </c>
      <c r="H136" s="107"/>
      <c r="I136" s="156">
        <f t="shared" si="23"/>
        <v>51.256776737309018</v>
      </c>
      <c r="J136" s="60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  <c r="AD136" s="114"/>
      <c r="AE136" s="114"/>
      <c r="AF136" s="114"/>
      <c r="AG136" s="114"/>
      <c r="AH136" s="114"/>
      <c r="AI136" s="114"/>
      <c r="AJ136" s="114"/>
      <c r="AK136" s="114"/>
      <c r="AL136" s="114"/>
      <c r="AM136" s="114"/>
      <c r="AN136" s="114"/>
      <c r="AO136" s="114"/>
      <c r="AP136" s="114"/>
      <c r="AQ136" s="114"/>
      <c r="AR136" s="114"/>
      <c r="AS136" s="114"/>
      <c r="AT136" s="114"/>
      <c r="AU136" s="114"/>
      <c r="AV136" s="114"/>
      <c r="AW136" s="114"/>
      <c r="AX136" s="114"/>
      <c r="AY136" s="114"/>
      <c r="AZ136" s="114"/>
      <c r="BA136" s="95"/>
      <c r="BB136" s="96"/>
      <c r="BC136" s="96"/>
      <c r="BD136" s="96"/>
      <c r="BE136" s="96"/>
      <c r="BF136" s="96"/>
      <c r="BG136" s="96"/>
      <c r="BH136" s="96"/>
      <c r="BI136" s="96"/>
      <c r="BJ136" s="96"/>
      <c r="BK136" s="97"/>
      <c r="BL136" s="95" t="s">
        <v>287</v>
      </c>
      <c r="BM136" s="96" t="s">
        <v>287</v>
      </c>
      <c r="BN136" s="95"/>
      <c r="BO136" s="96"/>
      <c r="BP136" s="95"/>
      <c r="BQ136" s="96"/>
      <c r="BR136" s="95"/>
      <c r="BS136" s="98"/>
      <c r="BT136" s="96"/>
      <c r="BU136" s="96"/>
      <c r="BV136" s="95"/>
      <c r="BW136" s="98"/>
      <c r="BX136" s="96"/>
      <c r="BY136" s="96"/>
      <c r="BZ136" s="95"/>
      <c r="CA136" s="98"/>
      <c r="CB136" s="96"/>
      <c r="CC136" s="96"/>
      <c r="CD136" s="95"/>
      <c r="CE136" s="98"/>
      <c r="CF136" s="99"/>
      <c r="CG136" s="95"/>
      <c r="CH136" s="96"/>
      <c r="CI136" s="96"/>
      <c r="CJ136" s="98"/>
    </row>
    <row r="137" spans="1:88" ht="15" customHeight="1">
      <c r="A137" s="178"/>
      <c r="B137" s="178" t="s">
        <v>288</v>
      </c>
      <c r="C137" s="130">
        <f>SUM(C130:C136)</f>
        <v>82086</v>
      </c>
      <c r="D137" s="94"/>
      <c r="E137" s="130">
        <f>SUM(E130:E136)</f>
        <v>142956</v>
      </c>
      <c r="F137" s="94"/>
      <c r="G137" s="130">
        <f t="shared" si="22"/>
        <v>-60870</v>
      </c>
      <c r="H137" s="93"/>
      <c r="I137" s="158">
        <f t="shared" si="23"/>
        <v>100</v>
      </c>
      <c r="J137" s="60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  <c r="AF137" s="114"/>
      <c r="AG137" s="114"/>
      <c r="AH137" s="114"/>
      <c r="AI137" s="114"/>
      <c r="AJ137" s="114"/>
      <c r="AK137" s="114"/>
      <c r="AL137" s="114"/>
      <c r="AM137" s="114"/>
      <c r="AN137" s="114"/>
      <c r="AO137" s="114"/>
      <c r="AP137" s="114"/>
      <c r="AQ137" s="114"/>
      <c r="AR137" s="114"/>
      <c r="AS137" s="114"/>
      <c r="AT137" s="114"/>
      <c r="AU137" s="114"/>
      <c r="AV137" s="114"/>
      <c r="AW137" s="114"/>
      <c r="AX137" s="114"/>
      <c r="AY137" s="114"/>
      <c r="AZ137" s="114"/>
      <c r="BA137" s="95"/>
      <c r="BB137" s="96"/>
      <c r="BC137" s="96"/>
      <c r="BD137" s="96"/>
      <c r="BE137" s="96"/>
      <c r="BF137" s="96"/>
      <c r="BG137" s="96"/>
      <c r="BH137" s="96"/>
      <c r="BI137" s="96"/>
      <c r="BJ137" s="96"/>
      <c r="BK137" s="97"/>
      <c r="BL137" s="95"/>
      <c r="BM137" s="96"/>
      <c r="BN137" s="95"/>
      <c r="BO137" s="96"/>
      <c r="BP137" s="95"/>
      <c r="BQ137" s="96"/>
      <c r="BR137" s="95"/>
      <c r="BS137" s="98"/>
      <c r="BT137" s="96"/>
      <c r="BU137" s="96"/>
      <c r="BV137" s="95"/>
      <c r="BW137" s="98"/>
      <c r="BX137" s="96"/>
      <c r="BY137" s="96"/>
      <c r="BZ137" s="95"/>
      <c r="CA137" s="98"/>
      <c r="CB137" s="96"/>
      <c r="CC137" s="96"/>
      <c r="CD137" s="95"/>
      <c r="CE137" s="98"/>
      <c r="CF137" s="99"/>
      <c r="CG137" s="95"/>
      <c r="CH137" s="96"/>
      <c r="CI137" s="96"/>
      <c r="CJ137" s="98"/>
    </row>
    <row r="138" spans="1:88" ht="8.25" customHeight="1">
      <c r="A138" s="178"/>
      <c r="B138" s="178"/>
      <c r="C138" s="92"/>
      <c r="D138" s="94"/>
      <c r="E138" s="92"/>
      <c r="F138" s="94"/>
      <c r="G138" s="92"/>
      <c r="H138" s="93"/>
      <c r="I138" s="160"/>
      <c r="J138" s="60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4"/>
      <c r="AD138" s="114"/>
      <c r="AE138" s="114"/>
      <c r="AF138" s="114"/>
      <c r="AG138" s="114"/>
      <c r="AH138" s="114"/>
      <c r="AI138" s="114"/>
      <c r="AJ138" s="114"/>
      <c r="AK138" s="114"/>
      <c r="AL138" s="114"/>
      <c r="AM138" s="114"/>
      <c r="AN138" s="114"/>
      <c r="AO138" s="114"/>
      <c r="AP138" s="114"/>
      <c r="AQ138" s="114"/>
      <c r="AR138" s="114"/>
      <c r="AS138" s="114"/>
      <c r="AT138" s="114"/>
      <c r="AU138" s="114"/>
      <c r="AV138" s="114"/>
      <c r="AW138" s="114"/>
      <c r="AX138" s="114"/>
      <c r="AY138" s="114"/>
      <c r="AZ138" s="114"/>
      <c r="BA138" s="95"/>
      <c r="BB138" s="96"/>
      <c r="BC138" s="96"/>
      <c r="BD138" s="96"/>
      <c r="BE138" s="96"/>
      <c r="BF138" s="96"/>
      <c r="BG138" s="96"/>
      <c r="BH138" s="96"/>
      <c r="BI138" s="96"/>
      <c r="BJ138" s="96"/>
      <c r="BK138" s="97"/>
      <c r="BL138" s="95"/>
      <c r="BM138" s="96"/>
      <c r="BN138" s="95"/>
      <c r="BO138" s="96"/>
      <c r="BP138" s="95"/>
      <c r="BQ138" s="96"/>
      <c r="BR138" s="95"/>
      <c r="BS138" s="98"/>
      <c r="BT138" s="96"/>
      <c r="BU138" s="96"/>
      <c r="BV138" s="95"/>
      <c r="BW138" s="98"/>
      <c r="BX138" s="96"/>
      <c r="BY138" s="96"/>
      <c r="BZ138" s="95"/>
      <c r="CA138" s="98"/>
      <c r="CB138" s="96"/>
      <c r="CC138" s="96"/>
      <c r="CD138" s="95"/>
      <c r="CE138" s="98"/>
      <c r="CF138" s="99"/>
      <c r="CG138" s="95"/>
      <c r="CH138" s="96"/>
      <c r="CI138" s="96"/>
      <c r="CJ138" s="98"/>
    </row>
    <row r="139" spans="1:88" ht="15" customHeight="1">
      <c r="A139" s="182"/>
      <c r="B139" s="182" t="s">
        <v>289</v>
      </c>
      <c r="C139" s="183"/>
      <c r="D139" s="184"/>
      <c r="E139" s="183"/>
      <c r="F139" s="184"/>
      <c r="G139" s="183"/>
      <c r="H139" s="185"/>
      <c r="I139" s="186"/>
      <c r="J139" s="187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  <c r="AB139" s="188"/>
      <c r="AC139" s="188"/>
      <c r="AD139" s="188"/>
      <c r="AE139" s="188"/>
      <c r="AF139" s="188"/>
      <c r="AG139" s="188"/>
      <c r="AH139" s="188"/>
      <c r="AI139" s="188"/>
      <c r="AJ139" s="188"/>
      <c r="AK139" s="188"/>
      <c r="AL139" s="188"/>
      <c r="AM139" s="188"/>
      <c r="AN139" s="188"/>
      <c r="AO139" s="188"/>
      <c r="AP139" s="188"/>
      <c r="AQ139" s="188"/>
      <c r="AR139" s="188"/>
      <c r="AS139" s="188"/>
      <c r="AT139" s="188"/>
      <c r="AU139" s="188"/>
      <c r="AV139" s="188"/>
      <c r="AW139" s="188"/>
      <c r="AX139" s="188"/>
      <c r="AY139" s="188"/>
      <c r="AZ139" s="188"/>
      <c r="BA139" s="189"/>
      <c r="BB139" s="190"/>
      <c r="BC139" s="190"/>
      <c r="BD139" s="190"/>
      <c r="BE139" s="190"/>
      <c r="BF139" s="190"/>
      <c r="BG139" s="190"/>
      <c r="BH139" s="190"/>
      <c r="BI139" s="190"/>
      <c r="BJ139" s="190"/>
      <c r="BK139" s="191"/>
      <c r="BL139" s="189"/>
      <c r="BM139" s="190"/>
      <c r="BN139" s="189"/>
      <c r="BO139" s="190"/>
      <c r="BP139" s="189"/>
      <c r="BQ139" s="190"/>
      <c r="BR139" s="189"/>
      <c r="BS139" s="192"/>
      <c r="BT139" s="190"/>
      <c r="BU139" s="190"/>
      <c r="BV139" s="189"/>
      <c r="BW139" s="192"/>
      <c r="BX139" s="190"/>
      <c r="BY139" s="190"/>
      <c r="BZ139" s="189"/>
      <c r="CA139" s="192"/>
      <c r="CB139" s="190"/>
      <c r="CC139" s="190"/>
      <c r="CD139" s="189"/>
      <c r="CE139" s="192"/>
      <c r="CF139" s="193"/>
      <c r="CG139" s="189"/>
      <c r="CH139" s="190"/>
      <c r="CI139" s="190"/>
      <c r="CJ139" s="192"/>
    </row>
    <row r="140" spans="1:88" ht="15" customHeight="1">
      <c r="A140" s="182"/>
      <c r="B140" s="194" t="s">
        <v>290</v>
      </c>
      <c r="C140" s="195">
        <f>_xll.ACC(DB,_xll.ArrayDPT($BA140:$BJ140),_xll.ArrayCOA($BL140:$CE140),YR,PRD,_xll.ArrayDIM($CG140:$CJ140))</f>
        <v>0</v>
      </c>
      <c r="D140" s="184"/>
      <c r="E140" s="195">
        <f>_xll.ACC(DB,_xll.ArrayDPT($BA140:$BJ140),_xll.ArrayCOA($BL140:$CE140),YR,PRD-1,_xll.ArrayDIM($CG140:$CJ140))</f>
        <v>0</v>
      </c>
      <c r="F140" s="184"/>
      <c r="G140" s="196">
        <f t="shared" ref="G140:G150" si="24">C140-E140</f>
        <v>0</v>
      </c>
      <c r="H140" s="185"/>
      <c r="I140" s="186">
        <f t="shared" ref="I140:I150" si="25">IF(G140=0,0,(G140*100/$G$151))</f>
        <v>0</v>
      </c>
      <c r="J140" s="187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  <c r="AB140" s="188"/>
      <c r="AC140" s="188"/>
      <c r="AD140" s="188"/>
      <c r="AE140" s="188"/>
      <c r="AF140" s="188"/>
      <c r="AG140" s="188"/>
      <c r="AH140" s="188"/>
      <c r="AI140" s="188"/>
      <c r="AJ140" s="188"/>
      <c r="AK140" s="188"/>
      <c r="AL140" s="188"/>
      <c r="AM140" s="188"/>
      <c r="AN140" s="188"/>
      <c r="AO140" s="188"/>
      <c r="AP140" s="188"/>
      <c r="AQ140" s="188"/>
      <c r="AR140" s="188"/>
      <c r="AS140" s="188"/>
      <c r="AT140" s="188"/>
      <c r="AU140" s="188"/>
      <c r="AV140" s="188"/>
      <c r="AW140" s="188"/>
      <c r="AX140" s="188"/>
      <c r="AY140" s="188"/>
      <c r="AZ140" s="188"/>
      <c r="BA140" s="189"/>
      <c r="BB140" s="190"/>
      <c r="BC140" s="190"/>
      <c r="BD140" s="190"/>
      <c r="BE140" s="190"/>
      <c r="BF140" s="190"/>
      <c r="BG140" s="190"/>
      <c r="BH140" s="190"/>
      <c r="BI140" s="190"/>
      <c r="BJ140" s="190"/>
      <c r="BK140" s="191"/>
      <c r="BL140" s="189"/>
      <c r="BM140" s="190"/>
      <c r="BN140" s="189"/>
      <c r="BO140" s="190"/>
      <c r="BP140" s="189"/>
      <c r="BQ140" s="190"/>
      <c r="BR140" s="189"/>
      <c r="BS140" s="192"/>
      <c r="BT140" s="190"/>
      <c r="BU140" s="190"/>
      <c r="BV140" s="189"/>
      <c r="BW140" s="192"/>
      <c r="BX140" s="190"/>
      <c r="BY140" s="190"/>
      <c r="BZ140" s="189"/>
      <c r="CA140" s="192"/>
      <c r="CB140" s="190"/>
      <c r="CC140" s="190"/>
      <c r="CD140" s="189"/>
      <c r="CE140" s="192"/>
      <c r="CF140" s="193"/>
      <c r="CG140" s="189"/>
      <c r="CH140" s="190"/>
      <c r="CI140" s="190"/>
      <c r="CJ140" s="192"/>
    </row>
    <row r="141" spans="1:88" ht="15" customHeight="1">
      <c r="A141" s="182"/>
      <c r="B141" s="194" t="s">
        <v>291</v>
      </c>
      <c r="C141" s="195">
        <f>_xll.ACC(DB,_xll.ArrayDPT($BA141:$BJ141),_xll.ArrayCOA($BL141:$CE141),YR,PRD,_xll.ArrayDIM($CG141:$CJ141))</f>
        <v>0</v>
      </c>
      <c r="D141" s="184"/>
      <c r="E141" s="195">
        <f>_xll.ACC(DB,_xll.ArrayDPT($BA141:$BJ141),_xll.ArrayCOA($BL141:$CE141),YR,PRD-1,_xll.ArrayDIM($CG141:$CJ141))</f>
        <v>0</v>
      </c>
      <c r="F141" s="184"/>
      <c r="G141" s="183">
        <f t="shared" si="24"/>
        <v>0</v>
      </c>
      <c r="H141" s="185"/>
      <c r="I141" s="186">
        <f t="shared" si="25"/>
        <v>0</v>
      </c>
      <c r="J141" s="187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  <c r="AB141" s="188"/>
      <c r="AC141" s="188"/>
      <c r="AD141" s="188"/>
      <c r="AE141" s="188"/>
      <c r="AF141" s="188"/>
      <c r="AG141" s="188"/>
      <c r="AH141" s="188"/>
      <c r="AI141" s="188"/>
      <c r="AJ141" s="188"/>
      <c r="AK141" s="188"/>
      <c r="AL141" s="188"/>
      <c r="AM141" s="188"/>
      <c r="AN141" s="188"/>
      <c r="AO141" s="188"/>
      <c r="AP141" s="188"/>
      <c r="AQ141" s="188"/>
      <c r="AR141" s="188"/>
      <c r="AS141" s="188"/>
      <c r="AT141" s="188"/>
      <c r="AU141" s="188"/>
      <c r="AV141" s="188"/>
      <c r="AW141" s="188"/>
      <c r="AX141" s="188"/>
      <c r="AY141" s="188"/>
      <c r="AZ141" s="188"/>
      <c r="BA141" s="189"/>
      <c r="BB141" s="190"/>
      <c r="BC141" s="190"/>
      <c r="BD141" s="190"/>
      <c r="BE141" s="190"/>
      <c r="BF141" s="190"/>
      <c r="BG141" s="190"/>
      <c r="BH141" s="190"/>
      <c r="BI141" s="190"/>
      <c r="BJ141" s="190"/>
      <c r="BK141" s="191"/>
      <c r="BL141" s="189"/>
      <c r="BM141" s="190"/>
      <c r="BN141" s="189"/>
      <c r="BO141" s="190"/>
      <c r="BP141" s="189"/>
      <c r="BQ141" s="190"/>
      <c r="BR141" s="189"/>
      <c r="BS141" s="192"/>
      <c r="BT141" s="190"/>
      <c r="BU141" s="190"/>
      <c r="BV141" s="189"/>
      <c r="BW141" s="192"/>
      <c r="BX141" s="190"/>
      <c r="BY141" s="190"/>
      <c r="BZ141" s="189"/>
      <c r="CA141" s="192"/>
      <c r="CB141" s="190"/>
      <c r="CC141" s="190"/>
      <c r="CD141" s="189"/>
      <c r="CE141" s="192"/>
      <c r="CF141" s="193"/>
      <c r="CG141" s="189"/>
      <c r="CH141" s="190"/>
      <c r="CI141" s="190"/>
      <c r="CJ141" s="192"/>
    </row>
    <row r="142" spans="1:88" ht="15" customHeight="1">
      <c r="A142" s="182"/>
      <c r="B142" s="197" t="s">
        <v>292</v>
      </c>
      <c r="C142" s="195">
        <f>_xll.ACC(DB,_xll.ArrayDPT($BA142:$BJ142),_xll.ArrayCOA($BL142:$CE142),YR,PRD,_xll.ArrayDIM($CG142:$CJ142))</f>
        <v>0</v>
      </c>
      <c r="D142" s="184"/>
      <c r="E142" s="195">
        <f>_xll.ACC(DB,_xll.ArrayDPT($BA142:$BJ142),_xll.ArrayCOA($BL142:$CE142),YR,PRD-1,_xll.ArrayDIM($CG142:$CJ142))</f>
        <v>0</v>
      </c>
      <c r="F142" s="184"/>
      <c r="G142" s="183">
        <f t="shared" si="24"/>
        <v>0</v>
      </c>
      <c r="H142" s="185"/>
      <c r="I142" s="186">
        <f t="shared" si="25"/>
        <v>0</v>
      </c>
      <c r="J142" s="187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  <c r="AB142" s="188"/>
      <c r="AC142" s="188"/>
      <c r="AD142" s="188"/>
      <c r="AE142" s="188"/>
      <c r="AF142" s="188"/>
      <c r="AG142" s="188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  <c r="AX142" s="188"/>
      <c r="AY142" s="188"/>
      <c r="AZ142" s="188"/>
      <c r="BA142" s="189"/>
      <c r="BB142" s="190"/>
      <c r="BC142" s="190"/>
      <c r="BD142" s="190"/>
      <c r="BE142" s="190"/>
      <c r="BF142" s="190"/>
      <c r="BG142" s="190"/>
      <c r="BH142" s="190"/>
      <c r="BI142" s="190"/>
      <c r="BJ142" s="190"/>
      <c r="BK142" s="191"/>
      <c r="BL142" s="189"/>
      <c r="BM142" s="190"/>
      <c r="BN142" s="189"/>
      <c r="BO142" s="190"/>
      <c r="BP142" s="189"/>
      <c r="BQ142" s="190"/>
      <c r="BR142" s="189"/>
      <c r="BS142" s="192"/>
      <c r="BT142" s="190"/>
      <c r="BU142" s="190"/>
      <c r="BV142" s="189"/>
      <c r="BW142" s="192"/>
      <c r="BX142" s="190"/>
      <c r="BY142" s="190"/>
      <c r="BZ142" s="189"/>
      <c r="CA142" s="192"/>
      <c r="CB142" s="190"/>
      <c r="CC142" s="190"/>
      <c r="CD142" s="189"/>
      <c r="CE142" s="192"/>
      <c r="CF142" s="193"/>
      <c r="CG142" s="189"/>
      <c r="CH142" s="190"/>
      <c r="CI142" s="190"/>
      <c r="CJ142" s="192"/>
    </row>
    <row r="143" spans="1:88" ht="15" customHeight="1">
      <c r="A143" s="182"/>
      <c r="B143" s="197" t="s">
        <v>293</v>
      </c>
      <c r="C143" s="195">
        <f>_xll.ACC(DB,_xll.ArrayDPT($BA143:$BJ143),_xll.ArrayCOA($BL143:$CE143),YR,PRD,_xll.ArrayDIM($CG143:$CJ143))</f>
        <v>0</v>
      </c>
      <c r="D143" s="184"/>
      <c r="E143" s="195">
        <f>_xll.ACC(DB,_xll.ArrayDPT($BA143:$BJ143),_xll.ArrayCOA($BL143:$CE143),YR,PRD-1,_xll.ArrayDIM($CG143:$CJ143))</f>
        <v>0</v>
      </c>
      <c r="F143" s="184"/>
      <c r="G143" s="183">
        <f t="shared" si="24"/>
        <v>0</v>
      </c>
      <c r="H143" s="185"/>
      <c r="I143" s="186">
        <f t="shared" si="25"/>
        <v>0</v>
      </c>
      <c r="J143" s="187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  <c r="AB143" s="188"/>
      <c r="AC143" s="188"/>
      <c r="AD143" s="188"/>
      <c r="AE143" s="188"/>
      <c r="AF143" s="188"/>
      <c r="AG143" s="188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  <c r="AX143" s="188"/>
      <c r="AY143" s="188"/>
      <c r="AZ143" s="188"/>
      <c r="BA143" s="189"/>
      <c r="BB143" s="190"/>
      <c r="BC143" s="190"/>
      <c r="BD143" s="190"/>
      <c r="BE143" s="190"/>
      <c r="BF143" s="190"/>
      <c r="BG143" s="190"/>
      <c r="BH143" s="190"/>
      <c r="BI143" s="190"/>
      <c r="BJ143" s="190"/>
      <c r="BK143" s="191"/>
      <c r="BL143" s="189"/>
      <c r="BM143" s="190"/>
      <c r="BN143" s="189"/>
      <c r="BO143" s="190"/>
      <c r="BP143" s="189"/>
      <c r="BQ143" s="190"/>
      <c r="BR143" s="189"/>
      <c r="BS143" s="192"/>
      <c r="BT143" s="190"/>
      <c r="BU143" s="190"/>
      <c r="BV143" s="189"/>
      <c r="BW143" s="192"/>
      <c r="BX143" s="190"/>
      <c r="BY143" s="190"/>
      <c r="BZ143" s="189"/>
      <c r="CA143" s="192"/>
      <c r="CB143" s="190"/>
      <c r="CC143" s="190"/>
      <c r="CD143" s="189"/>
      <c r="CE143" s="192"/>
      <c r="CF143" s="193"/>
      <c r="CG143" s="189"/>
      <c r="CH143" s="190"/>
      <c r="CI143" s="190"/>
      <c r="CJ143" s="192"/>
    </row>
    <row r="144" spans="1:88" ht="15" customHeight="1">
      <c r="A144" s="182"/>
      <c r="B144" s="197" t="s">
        <v>294</v>
      </c>
      <c r="C144" s="195">
        <f>_xll.ACC(DB,_xll.ArrayDPT($BA144:$BJ144),_xll.ArrayCOA($BL144:$CE144),YR,PRD,_xll.ArrayDIM($CG144:$CJ144))</f>
        <v>0</v>
      </c>
      <c r="D144" s="184"/>
      <c r="E144" s="195">
        <f>_xll.ACC(DB,_xll.ArrayDPT($BA144:$BJ144),_xll.ArrayCOA($BL144:$CE144),YR,PRD-1,_xll.ArrayDIM($CG144:$CJ144))</f>
        <v>0</v>
      </c>
      <c r="F144" s="184"/>
      <c r="G144" s="183">
        <f t="shared" si="24"/>
        <v>0</v>
      </c>
      <c r="H144" s="185"/>
      <c r="I144" s="186">
        <f t="shared" si="25"/>
        <v>0</v>
      </c>
      <c r="J144" s="187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  <c r="AB144" s="188"/>
      <c r="AC144" s="188"/>
      <c r="AD144" s="188"/>
      <c r="AE144" s="188"/>
      <c r="AF144" s="188"/>
      <c r="AG144" s="188"/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  <c r="AV144" s="188"/>
      <c r="AW144" s="188"/>
      <c r="AX144" s="188"/>
      <c r="AY144" s="188"/>
      <c r="AZ144" s="188"/>
      <c r="BA144" s="189"/>
      <c r="BB144" s="190"/>
      <c r="BC144" s="190"/>
      <c r="BD144" s="190"/>
      <c r="BE144" s="190"/>
      <c r="BF144" s="190"/>
      <c r="BG144" s="190"/>
      <c r="BH144" s="190"/>
      <c r="BI144" s="190"/>
      <c r="BJ144" s="190"/>
      <c r="BK144" s="191"/>
      <c r="BL144" s="189"/>
      <c r="BM144" s="190"/>
      <c r="BN144" s="189"/>
      <c r="BO144" s="190"/>
      <c r="BP144" s="189"/>
      <c r="BQ144" s="190"/>
      <c r="BR144" s="189"/>
      <c r="BS144" s="192"/>
      <c r="BT144" s="190"/>
      <c r="BU144" s="190"/>
      <c r="BV144" s="189"/>
      <c r="BW144" s="192"/>
      <c r="BX144" s="190"/>
      <c r="BY144" s="190"/>
      <c r="BZ144" s="189"/>
      <c r="CA144" s="192"/>
      <c r="CB144" s="190"/>
      <c r="CC144" s="190"/>
      <c r="CD144" s="189"/>
      <c r="CE144" s="192"/>
      <c r="CF144" s="193"/>
      <c r="CG144" s="189"/>
      <c r="CH144" s="190"/>
      <c r="CI144" s="190"/>
      <c r="CJ144" s="192"/>
    </row>
    <row r="145" spans="1:88" ht="15" customHeight="1">
      <c r="A145" s="182"/>
      <c r="B145" s="198" t="s">
        <v>295</v>
      </c>
      <c r="C145" s="195">
        <f>_xll.ACC(DB,_xll.ArrayDPT($BA145:$BJ145),_xll.ArrayCOA($BL145:$CE145),YR,PRD,_xll.ArrayDIM($CG145:$CJ145))</f>
        <v>0</v>
      </c>
      <c r="D145" s="184"/>
      <c r="E145" s="195">
        <f>_xll.ACC(DB,_xll.ArrayDPT($BA145:$BJ145),_xll.ArrayCOA($BL145:$CE145),YR,PRD-1,_xll.ArrayDIM($CG145:$CJ145))</f>
        <v>0</v>
      </c>
      <c r="F145" s="184"/>
      <c r="G145" s="183">
        <f t="shared" si="24"/>
        <v>0</v>
      </c>
      <c r="H145" s="185"/>
      <c r="I145" s="186">
        <f t="shared" si="25"/>
        <v>0</v>
      </c>
      <c r="J145" s="187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8"/>
      <c r="AC145" s="188"/>
      <c r="AD145" s="188"/>
      <c r="AE145" s="188"/>
      <c r="AF145" s="188"/>
      <c r="AG145" s="188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  <c r="AX145" s="188"/>
      <c r="AY145" s="188"/>
      <c r="AZ145" s="188"/>
      <c r="BA145" s="189"/>
      <c r="BB145" s="190"/>
      <c r="BC145" s="190"/>
      <c r="BD145" s="190"/>
      <c r="BE145" s="190"/>
      <c r="BF145" s="190"/>
      <c r="BG145" s="190"/>
      <c r="BH145" s="190"/>
      <c r="BI145" s="190"/>
      <c r="BJ145" s="190"/>
      <c r="BK145" s="191"/>
      <c r="BL145" s="189"/>
      <c r="BM145" s="190"/>
      <c r="BN145" s="189"/>
      <c r="BO145" s="190"/>
      <c r="BP145" s="189"/>
      <c r="BQ145" s="190"/>
      <c r="BR145" s="189"/>
      <c r="BS145" s="192"/>
      <c r="BT145" s="190"/>
      <c r="BU145" s="190"/>
      <c r="BV145" s="189"/>
      <c r="BW145" s="192"/>
      <c r="BX145" s="190"/>
      <c r="BY145" s="190"/>
      <c r="BZ145" s="189"/>
      <c r="CA145" s="192"/>
      <c r="CB145" s="190"/>
      <c r="CC145" s="190"/>
      <c r="CD145" s="189"/>
      <c r="CE145" s="192"/>
      <c r="CF145" s="193"/>
      <c r="CG145" s="189"/>
      <c r="CH145" s="190"/>
      <c r="CI145" s="190"/>
      <c r="CJ145" s="192"/>
    </row>
    <row r="146" spans="1:88" ht="15" customHeight="1">
      <c r="A146" s="182"/>
      <c r="B146" s="198" t="s">
        <v>296</v>
      </c>
      <c r="C146" s="195">
        <f>_xll.ACC(DB,_xll.ArrayDPT($BA146:$BJ146),_xll.ArrayCOA($BL146:$CE146),YR,PRD,_xll.ArrayDIM($CG146:$CJ146))</f>
        <v>0</v>
      </c>
      <c r="D146" s="184"/>
      <c r="E146" s="195">
        <f>_xll.ACC(DB,_xll.ArrayDPT($BA146:$BJ146),_xll.ArrayCOA($BL146:$CE146),YR,PRD-1,_xll.ArrayDIM($CG146:$CJ146))</f>
        <v>0</v>
      </c>
      <c r="F146" s="184"/>
      <c r="G146" s="183">
        <f t="shared" si="24"/>
        <v>0</v>
      </c>
      <c r="H146" s="185"/>
      <c r="I146" s="186">
        <f t="shared" si="25"/>
        <v>0</v>
      </c>
      <c r="J146" s="187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  <c r="AB146" s="188"/>
      <c r="AC146" s="188"/>
      <c r="AD146" s="188"/>
      <c r="AE146" s="188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8"/>
      <c r="AV146" s="188"/>
      <c r="AW146" s="188"/>
      <c r="AX146" s="188"/>
      <c r="AY146" s="188"/>
      <c r="AZ146" s="188"/>
      <c r="BA146" s="189"/>
      <c r="BB146" s="190"/>
      <c r="BC146" s="190"/>
      <c r="BD146" s="190"/>
      <c r="BE146" s="190"/>
      <c r="BF146" s="190"/>
      <c r="BG146" s="190"/>
      <c r="BH146" s="190"/>
      <c r="BI146" s="190"/>
      <c r="BJ146" s="190"/>
      <c r="BK146" s="191"/>
      <c r="BL146" s="189"/>
      <c r="BM146" s="190"/>
      <c r="BN146" s="189"/>
      <c r="BO146" s="190"/>
      <c r="BP146" s="189"/>
      <c r="BQ146" s="190"/>
      <c r="BR146" s="189"/>
      <c r="BS146" s="192"/>
      <c r="BT146" s="190"/>
      <c r="BU146" s="190"/>
      <c r="BV146" s="189"/>
      <c r="BW146" s="192"/>
      <c r="BX146" s="190"/>
      <c r="BY146" s="190"/>
      <c r="BZ146" s="189"/>
      <c r="CA146" s="192"/>
      <c r="CB146" s="190"/>
      <c r="CC146" s="190"/>
      <c r="CD146" s="189"/>
      <c r="CE146" s="192"/>
      <c r="CF146" s="193"/>
      <c r="CG146" s="189"/>
      <c r="CH146" s="190"/>
      <c r="CI146" s="190"/>
      <c r="CJ146" s="192"/>
    </row>
    <row r="147" spans="1:88" ht="15" customHeight="1">
      <c r="A147" s="182"/>
      <c r="B147" s="197" t="s">
        <v>297</v>
      </c>
      <c r="C147" s="195">
        <f>_xll.ACC(DB,_xll.ArrayDPT($BA147:$BJ147),_xll.ArrayCOA($BL147:$CE147),YR,PRD,_xll.ArrayDIM($CG147:$CJ147))</f>
        <v>0</v>
      </c>
      <c r="D147" s="184"/>
      <c r="E147" s="195">
        <f>_xll.ACC(DB,_xll.ArrayDPT($BA147:$BJ147),_xll.ArrayCOA($BL147:$CE147),YR,PRD-1,_xll.ArrayDIM($CG147:$CJ147))</f>
        <v>0</v>
      </c>
      <c r="F147" s="184"/>
      <c r="G147" s="183">
        <f t="shared" si="24"/>
        <v>0</v>
      </c>
      <c r="H147" s="185"/>
      <c r="I147" s="186">
        <f t="shared" si="25"/>
        <v>0</v>
      </c>
      <c r="J147" s="187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  <c r="AB147" s="188"/>
      <c r="AC147" s="188"/>
      <c r="AD147" s="188"/>
      <c r="AE147" s="188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  <c r="AR147" s="188"/>
      <c r="AS147" s="188"/>
      <c r="AT147" s="188"/>
      <c r="AU147" s="188"/>
      <c r="AV147" s="188"/>
      <c r="AW147" s="188"/>
      <c r="AX147" s="188"/>
      <c r="AY147" s="188"/>
      <c r="AZ147" s="188"/>
      <c r="BA147" s="189"/>
      <c r="BB147" s="190"/>
      <c r="BC147" s="190"/>
      <c r="BD147" s="190"/>
      <c r="BE147" s="190"/>
      <c r="BF147" s="190"/>
      <c r="BG147" s="190"/>
      <c r="BH147" s="190"/>
      <c r="BI147" s="190"/>
      <c r="BJ147" s="190"/>
      <c r="BK147" s="191"/>
      <c r="BL147" s="189"/>
      <c r="BM147" s="190"/>
      <c r="BN147" s="189"/>
      <c r="BO147" s="190"/>
      <c r="BP147" s="189"/>
      <c r="BQ147" s="190"/>
      <c r="BR147" s="189"/>
      <c r="BS147" s="192"/>
      <c r="BT147" s="190"/>
      <c r="BU147" s="190"/>
      <c r="BV147" s="189"/>
      <c r="BW147" s="192"/>
      <c r="BX147" s="190"/>
      <c r="BY147" s="190"/>
      <c r="BZ147" s="189"/>
      <c r="CA147" s="192"/>
      <c r="CB147" s="190"/>
      <c r="CC147" s="190"/>
      <c r="CD147" s="189"/>
      <c r="CE147" s="192"/>
      <c r="CF147" s="193"/>
      <c r="CG147" s="189"/>
      <c r="CH147" s="190"/>
      <c r="CI147" s="190"/>
      <c r="CJ147" s="192"/>
    </row>
    <row r="148" spans="1:88" ht="15" customHeight="1">
      <c r="A148" s="182"/>
      <c r="B148" s="197" t="s">
        <v>298</v>
      </c>
      <c r="C148" s="195">
        <f>_xll.ACC(DB,_xll.ArrayDPT($BA148:$BJ148),_xll.ArrayCOA($BL148:$CE148),YR,PRD,_xll.ArrayDIM($CG148:$CJ148))</f>
        <v>0</v>
      </c>
      <c r="D148" s="184"/>
      <c r="E148" s="195">
        <f>_xll.ACC(DB,_xll.ArrayDPT($BA148:$BJ148),_xll.ArrayCOA($BL148:$CE148),YR,PRD-1,_xll.ArrayDIM($CG148:$CJ148))</f>
        <v>0</v>
      </c>
      <c r="F148" s="184"/>
      <c r="G148" s="183">
        <f t="shared" si="24"/>
        <v>0</v>
      </c>
      <c r="H148" s="185"/>
      <c r="I148" s="186">
        <f t="shared" si="25"/>
        <v>0</v>
      </c>
      <c r="J148" s="187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  <c r="AB148" s="188"/>
      <c r="AC148" s="188"/>
      <c r="AD148" s="188"/>
      <c r="AE148" s="188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  <c r="AR148" s="188"/>
      <c r="AS148" s="188"/>
      <c r="AT148" s="188"/>
      <c r="AU148" s="188"/>
      <c r="AV148" s="188"/>
      <c r="AW148" s="188"/>
      <c r="AX148" s="188"/>
      <c r="AY148" s="188"/>
      <c r="AZ148" s="188"/>
      <c r="BA148" s="189"/>
      <c r="BB148" s="190"/>
      <c r="BC148" s="190"/>
      <c r="BD148" s="190"/>
      <c r="BE148" s="190"/>
      <c r="BF148" s="190"/>
      <c r="BG148" s="190"/>
      <c r="BH148" s="190"/>
      <c r="BI148" s="190"/>
      <c r="BJ148" s="190"/>
      <c r="BK148" s="191"/>
      <c r="BL148" s="189"/>
      <c r="BM148" s="190"/>
      <c r="BN148" s="189"/>
      <c r="BO148" s="190"/>
      <c r="BP148" s="189"/>
      <c r="BQ148" s="190"/>
      <c r="BR148" s="189"/>
      <c r="BS148" s="192"/>
      <c r="BT148" s="190"/>
      <c r="BU148" s="190"/>
      <c r="BV148" s="189"/>
      <c r="BW148" s="192"/>
      <c r="BX148" s="190"/>
      <c r="BY148" s="190"/>
      <c r="BZ148" s="189"/>
      <c r="CA148" s="192"/>
      <c r="CB148" s="190"/>
      <c r="CC148" s="190"/>
      <c r="CD148" s="189"/>
      <c r="CE148" s="192"/>
      <c r="CF148" s="193"/>
      <c r="CG148" s="189"/>
      <c r="CH148" s="190"/>
      <c r="CI148" s="190"/>
      <c r="CJ148" s="192"/>
    </row>
    <row r="149" spans="1:88" ht="15" customHeight="1">
      <c r="A149" s="182"/>
      <c r="B149" s="197" t="s">
        <v>299</v>
      </c>
      <c r="C149" s="195">
        <f>_xll.ACC(DB,_xll.ArrayDPT($BA149:$BJ149),_xll.ArrayCOA($BL149:$CE149),YR,PRD,_xll.ArrayDIM($CG149:$CJ149))</f>
        <v>0</v>
      </c>
      <c r="D149" s="184"/>
      <c r="E149" s="195">
        <f>_xll.ACC(DB,_xll.ArrayDPT($BA149:$BJ149),_xll.ArrayCOA($BL149:$CE149),YR,PRD-1,_xll.ArrayDIM($CG149:$CJ149))</f>
        <v>0</v>
      </c>
      <c r="F149" s="184"/>
      <c r="G149" s="183">
        <f t="shared" si="24"/>
        <v>0</v>
      </c>
      <c r="H149" s="185"/>
      <c r="I149" s="186">
        <f t="shared" si="25"/>
        <v>0</v>
      </c>
      <c r="J149" s="187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  <c r="AB149" s="188"/>
      <c r="AC149" s="188"/>
      <c r="AD149" s="188"/>
      <c r="AE149" s="188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88"/>
      <c r="AW149" s="188"/>
      <c r="AX149" s="188"/>
      <c r="AY149" s="188"/>
      <c r="AZ149" s="188"/>
      <c r="BA149" s="189"/>
      <c r="BB149" s="190"/>
      <c r="BC149" s="190"/>
      <c r="BD149" s="190"/>
      <c r="BE149" s="190"/>
      <c r="BF149" s="190"/>
      <c r="BG149" s="190"/>
      <c r="BH149" s="190"/>
      <c r="BI149" s="190"/>
      <c r="BJ149" s="190"/>
      <c r="BK149" s="191"/>
      <c r="BL149" s="189"/>
      <c r="BM149" s="190"/>
      <c r="BN149" s="189"/>
      <c r="BO149" s="190"/>
      <c r="BP149" s="189"/>
      <c r="BQ149" s="190"/>
      <c r="BR149" s="189"/>
      <c r="BS149" s="192"/>
      <c r="BT149" s="190"/>
      <c r="BU149" s="190"/>
      <c r="BV149" s="189"/>
      <c r="BW149" s="192"/>
      <c r="BX149" s="190"/>
      <c r="BY149" s="190"/>
      <c r="BZ149" s="189"/>
      <c r="CA149" s="192"/>
      <c r="CB149" s="190"/>
      <c r="CC149" s="190"/>
      <c r="CD149" s="189"/>
      <c r="CE149" s="192"/>
      <c r="CF149" s="193"/>
      <c r="CG149" s="189"/>
      <c r="CH149" s="190"/>
      <c r="CI149" s="190"/>
      <c r="CJ149" s="192"/>
    </row>
    <row r="150" spans="1:88" ht="15" customHeight="1">
      <c r="A150" s="182"/>
      <c r="B150" s="194" t="s">
        <v>300</v>
      </c>
      <c r="C150" s="195">
        <f>_xll.ACC(DB,_xll.ArrayDPT($BA150:$BJ150),_xll.ArrayCOA($BL150:$CE150),YR,PRD,_xll.ArrayDIM($CG150:$CJ150))</f>
        <v>0</v>
      </c>
      <c r="D150" s="184"/>
      <c r="E150" s="195">
        <f>_xll.ACC(DB,_xll.ArrayDPT($BA150:$BJ150),_xll.ArrayCOA($BL150:$CE150),YR,PRD-1,_xll.ArrayDIM($CG150:$CJ150))</f>
        <v>0</v>
      </c>
      <c r="F150" s="184"/>
      <c r="G150" s="183">
        <f t="shared" si="24"/>
        <v>0</v>
      </c>
      <c r="H150" s="185"/>
      <c r="I150" s="186">
        <f t="shared" si="25"/>
        <v>0</v>
      </c>
      <c r="J150" s="187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  <c r="AB150" s="188"/>
      <c r="AC150" s="188"/>
      <c r="AD150" s="188"/>
      <c r="AE150" s="188"/>
      <c r="AF150" s="188"/>
      <c r="AG150" s="188"/>
      <c r="AH150" s="188"/>
      <c r="AI150" s="188"/>
      <c r="AJ150" s="188"/>
      <c r="AK150" s="188"/>
      <c r="AL150" s="188"/>
      <c r="AM150" s="188"/>
      <c r="AN150" s="188"/>
      <c r="AO150" s="188"/>
      <c r="AP150" s="188"/>
      <c r="AQ150" s="188"/>
      <c r="AR150" s="188"/>
      <c r="AS150" s="188"/>
      <c r="AT150" s="188"/>
      <c r="AU150" s="188"/>
      <c r="AV150" s="188"/>
      <c r="AW150" s="188"/>
      <c r="AX150" s="188"/>
      <c r="AY150" s="188"/>
      <c r="AZ150" s="188"/>
      <c r="BA150" s="189"/>
      <c r="BB150" s="190"/>
      <c r="BC150" s="190"/>
      <c r="BD150" s="190"/>
      <c r="BE150" s="190"/>
      <c r="BF150" s="190"/>
      <c r="BG150" s="190"/>
      <c r="BH150" s="190"/>
      <c r="BI150" s="190"/>
      <c r="BJ150" s="190"/>
      <c r="BK150" s="191"/>
      <c r="BL150" s="189"/>
      <c r="BM150" s="190"/>
      <c r="BN150" s="189"/>
      <c r="BO150" s="190"/>
      <c r="BP150" s="189"/>
      <c r="BQ150" s="190"/>
      <c r="BR150" s="189"/>
      <c r="BS150" s="192"/>
      <c r="BT150" s="190"/>
      <c r="BU150" s="190"/>
      <c r="BV150" s="189"/>
      <c r="BW150" s="192"/>
      <c r="BX150" s="190"/>
      <c r="BY150" s="190"/>
      <c r="BZ150" s="189"/>
      <c r="CA150" s="192"/>
      <c r="CB150" s="190"/>
      <c r="CC150" s="190"/>
      <c r="CD150" s="189"/>
      <c r="CE150" s="192"/>
      <c r="CF150" s="193"/>
      <c r="CG150" s="189"/>
      <c r="CH150" s="190"/>
      <c r="CI150" s="190"/>
      <c r="CJ150" s="192"/>
    </row>
    <row r="151" spans="1:88" ht="15" customHeight="1">
      <c r="A151" s="182" t="s">
        <v>301</v>
      </c>
      <c r="B151" s="188"/>
      <c r="C151" s="199">
        <f>SUM(C140:C150)</f>
        <v>0</v>
      </c>
      <c r="D151" s="184"/>
      <c r="E151" s="199">
        <f>SUM(E140:E150)</f>
        <v>0</v>
      </c>
      <c r="F151" s="184"/>
      <c r="G151" s="199">
        <f>SUM(G140:G150)</f>
        <v>0</v>
      </c>
      <c r="H151" s="185"/>
      <c r="I151" s="200">
        <f>SUM(I140:I150)</f>
        <v>0</v>
      </c>
      <c r="J151" s="187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  <c r="AB151" s="188"/>
      <c r="AC151" s="188"/>
      <c r="AD151" s="188"/>
      <c r="AE151" s="188"/>
      <c r="AF151" s="188"/>
      <c r="AG151" s="188"/>
      <c r="AH151" s="188"/>
      <c r="AI151" s="188"/>
      <c r="AJ151" s="188"/>
      <c r="AK151" s="188"/>
      <c r="AL151" s="188"/>
      <c r="AM151" s="188"/>
      <c r="AN151" s="188"/>
      <c r="AO151" s="188"/>
      <c r="AP151" s="188"/>
      <c r="AQ151" s="188"/>
      <c r="AR151" s="188"/>
      <c r="AS151" s="188"/>
      <c r="AT151" s="188"/>
      <c r="AU151" s="188"/>
      <c r="AV151" s="188"/>
      <c r="AW151" s="188"/>
      <c r="AX151" s="188"/>
      <c r="AY151" s="188"/>
      <c r="AZ151" s="188"/>
      <c r="BA151" s="189"/>
      <c r="BB151" s="190"/>
      <c r="BC151" s="190"/>
      <c r="BD151" s="190"/>
      <c r="BE151" s="190"/>
      <c r="BF151" s="190"/>
      <c r="BG151" s="190"/>
      <c r="BH151" s="190"/>
      <c r="BI151" s="190"/>
      <c r="BJ151" s="190"/>
      <c r="BK151" s="191"/>
      <c r="BL151" s="189"/>
      <c r="BM151" s="190"/>
      <c r="BN151" s="189"/>
      <c r="BO151" s="190"/>
      <c r="BP151" s="189"/>
      <c r="BQ151" s="190"/>
      <c r="BR151" s="189"/>
      <c r="BS151" s="192"/>
      <c r="BT151" s="190"/>
      <c r="BU151" s="190"/>
      <c r="BV151" s="189"/>
      <c r="BW151" s="192"/>
      <c r="BX151" s="190"/>
      <c r="BY151" s="190"/>
      <c r="BZ151" s="189"/>
      <c r="CA151" s="192"/>
      <c r="CB151" s="190"/>
      <c r="CC151" s="190"/>
      <c r="CD151" s="189"/>
      <c r="CE151" s="192"/>
      <c r="CF151" s="193"/>
      <c r="CG151" s="189"/>
      <c r="CH151" s="190"/>
      <c r="CI151" s="190"/>
      <c r="CJ151" s="192"/>
    </row>
    <row r="152" spans="1:88" ht="15" customHeight="1">
      <c r="A152" s="178"/>
      <c r="B152" s="60" t="s">
        <v>302</v>
      </c>
      <c r="C152" s="102">
        <f>_xll.ACC(DB,_xll.ArrayDPT($BA152:$BJ152),_xll.ArrayCOA($BL152:$CE152),YR,PRD,_xll.ArrayDIM($CG152:$CJ152))</f>
        <v>0</v>
      </c>
      <c r="D152" s="94"/>
      <c r="E152" s="102">
        <f>_xll.ACC(DB,_xll.ArrayDPT($BA152:$BJ152),_xll.ArrayCOA($BL152:$CE152),YR-1,PRD,_xll.ArrayDIM($CG152:$CJ152))</f>
        <v>0</v>
      </c>
      <c r="F152" s="94"/>
      <c r="G152" s="92">
        <f t="shared" ref="G152:G171" si="26">C152-E152</f>
        <v>0</v>
      </c>
      <c r="H152" s="93"/>
      <c r="I152" s="156"/>
      <c r="J152" s="60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  <c r="AA152" s="114"/>
      <c r="AB152" s="114"/>
      <c r="AC152" s="114"/>
      <c r="AD152" s="114"/>
      <c r="AE152" s="114"/>
      <c r="AF152" s="114"/>
      <c r="AG152" s="114"/>
      <c r="AH152" s="114"/>
      <c r="AI152" s="114"/>
      <c r="AJ152" s="114"/>
      <c r="AK152" s="114"/>
      <c r="AL152" s="114"/>
      <c r="AM152" s="114"/>
      <c r="AN152" s="114"/>
      <c r="AO152" s="114"/>
      <c r="AP152" s="114"/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95"/>
      <c r="BB152" s="96"/>
      <c r="BC152" s="96"/>
      <c r="BD152" s="96"/>
      <c r="BE152" s="96"/>
      <c r="BF152" s="96"/>
      <c r="BG152" s="96"/>
      <c r="BH152" s="96"/>
      <c r="BI152" s="96"/>
      <c r="BJ152" s="96"/>
      <c r="BK152" s="97"/>
      <c r="BL152" s="95"/>
      <c r="BM152" s="96"/>
      <c r="BN152" s="95"/>
      <c r="BO152" s="96"/>
      <c r="BP152" s="95"/>
      <c r="BQ152" s="96"/>
      <c r="BR152" s="95"/>
      <c r="BS152" s="98"/>
      <c r="BT152" s="96"/>
      <c r="BU152" s="96"/>
      <c r="BV152" s="95"/>
      <c r="BW152" s="98"/>
      <c r="BX152" s="96"/>
      <c r="BY152" s="96"/>
      <c r="BZ152" s="95"/>
      <c r="CA152" s="98"/>
      <c r="CB152" s="96"/>
      <c r="CC152" s="96"/>
      <c r="CD152" s="95"/>
      <c r="CE152" s="98"/>
      <c r="CF152" s="99"/>
      <c r="CG152" s="95"/>
      <c r="CH152" s="96"/>
      <c r="CI152" s="96"/>
      <c r="CJ152" s="98"/>
    </row>
    <row r="153" spans="1:88" ht="15" customHeight="1">
      <c r="A153" s="178"/>
      <c r="B153" s="106" t="s">
        <v>303</v>
      </c>
      <c r="C153" s="102">
        <f>_xll.ACC(DB,_xll.ArrayDPT($BA153:$BJ153),_xll.ArrayCOA($BL153:$CE153),YR,PRD,_xll.ArrayDIM($CG153:$CJ153))</f>
        <v>4891.8999999999996</v>
      </c>
      <c r="D153" s="94"/>
      <c r="E153" s="102">
        <f>_xll.ACC(DB,_xll.ArrayDPT($BA153:$BJ153),_xll.ArrayCOA($BL153:$CE153),YR,PRD-1,_xll.ArrayDIM($CG153:$CJ153))</f>
        <v>4891.8999999999996</v>
      </c>
      <c r="F153" s="94"/>
      <c r="G153" s="92">
        <f t="shared" si="26"/>
        <v>0</v>
      </c>
      <c r="H153" s="93"/>
      <c r="I153" s="160"/>
      <c r="J153" s="60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  <c r="AA153" s="114"/>
      <c r="AB153" s="114"/>
      <c r="AC153" s="114"/>
      <c r="AD153" s="114"/>
      <c r="AE153" s="114"/>
      <c r="AF153" s="114"/>
      <c r="AG153" s="114"/>
      <c r="AH153" s="114"/>
      <c r="AI153" s="114"/>
      <c r="AJ153" s="114"/>
      <c r="AK153" s="114"/>
      <c r="AL153" s="114"/>
      <c r="AM153" s="114"/>
      <c r="AN153" s="114"/>
      <c r="AO153" s="114"/>
      <c r="AP153" s="114"/>
      <c r="AQ153" s="114"/>
      <c r="AR153" s="114"/>
      <c r="AS153" s="114"/>
      <c r="AT153" s="114"/>
      <c r="AU153" s="114"/>
      <c r="AV153" s="114"/>
      <c r="AW153" s="114"/>
      <c r="AX153" s="114"/>
      <c r="AY153" s="114"/>
      <c r="AZ153" s="114"/>
      <c r="BA153" s="95"/>
      <c r="BB153" s="96"/>
      <c r="BC153" s="96"/>
      <c r="BD153" s="96"/>
      <c r="BE153" s="96"/>
      <c r="BF153" s="96"/>
      <c r="BG153" s="96"/>
      <c r="BH153" s="96"/>
      <c r="BI153" s="96"/>
      <c r="BJ153" s="96"/>
      <c r="BK153" s="97"/>
      <c r="BL153" s="95" t="s">
        <v>304</v>
      </c>
      <c r="BM153" s="96" t="s">
        <v>304</v>
      </c>
      <c r="BN153" s="95"/>
      <c r="BO153" s="96"/>
      <c r="BP153" s="95"/>
      <c r="BQ153" s="96"/>
      <c r="BR153" s="95"/>
      <c r="BS153" s="98"/>
      <c r="BT153" s="96"/>
      <c r="BU153" s="96"/>
      <c r="BV153" s="95"/>
      <c r="BW153" s="98"/>
      <c r="BX153" s="96"/>
      <c r="BY153" s="96"/>
      <c r="BZ153" s="95"/>
      <c r="CA153" s="98"/>
      <c r="CB153" s="96"/>
      <c r="CC153" s="96"/>
      <c r="CD153" s="95"/>
      <c r="CE153" s="98"/>
      <c r="CF153" s="99"/>
      <c r="CG153" s="95"/>
      <c r="CH153" s="96"/>
      <c r="CI153" s="96"/>
      <c r="CJ153" s="98"/>
    </row>
    <row r="154" spans="1:88" ht="15" customHeight="1">
      <c r="A154" s="178"/>
      <c r="B154" s="106" t="s">
        <v>305</v>
      </c>
      <c r="C154" s="102">
        <f>_xll.ACC(DB,_xll.ArrayDPT($BA154:$BJ154),_xll.ArrayCOA($BL154:$CE154),YR,PRD,_xll.ArrayDIM($CG154:$CJ154))</f>
        <v>143019.54999999999</v>
      </c>
      <c r="D154" s="94"/>
      <c r="E154" s="102">
        <f>_xll.ACC(DB,_xll.ArrayDPT($BA154:$BJ154),_xll.ArrayCOA($BL154:$CE154),YR,PRD-1,_xll.ArrayDIM($CG154:$CJ154))</f>
        <v>143019.54999999999</v>
      </c>
      <c r="F154" s="94"/>
      <c r="G154" s="92">
        <f t="shared" si="26"/>
        <v>0</v>
      </c>
      <c r="H154" s="93"/>
      <c r="I154" s="160"/>
      <c r="J154" s="60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  <c r="AA154" s="114"/>
      <c r="AB154" s="114"/>
      <c r="AC154" s="114"/>
      <c r="AD154" s="114"/>
      <c r="AE154" s="114"/>
      <c r="AF154" s="114"/>
      <c r="AG154" s="114"/>
      <c r="AH154" s="114"/>
      <c r="AI154" s="114"/>
      <c r="AJ154" s="114"/>
      <c r="AK154" s="114"/>
      <c r="AL154" s="114"/>
      <c r="AM154" s="114"/>
      <c r="AN154" s="114"/>
      <c r="AO154" s="114"/>
      <c r="AP154" s="114"/>
      <c r="AQ154" s="114"/>
      <c r="AR154" s="114"/>
      <c r="AS154" s="114"/>
      <c r="AT154" s="114"/>
      <c r="AU154" s="114"/>
      <c r="AV154" s="114"/>
      <c r="AW154" s="114"/>
      <c r="AX154" s="114"/>
      <c r="AY154" s="114"/>
      <c r="AZ154" s="114"/>
      <c r="BA154" s="95"/>
      <c r="BB154" s="96"/>
      <c r="BC154" s="96"/>
      <c r="BD154" s="96"/>
      <c r="BE154" s="96"/>
      <c r="BF154" s="96"/>
      <c r="BG154" s="96"/>
      <c r="BH154" s="96"/>
      <c r="BI154" s="96"/>
      <c r="BJ154" s="96"/>
      <c r="BK154" s="97"/>
      <c r="BL154" s="95" t="s">
        <v>306</v>
      </c>
      <c r="BM154" s="96" t="s">
        <v>306</v>
      </c>
      <c r="BN154" s="95"/>
      <c r="BO154" s="96"/>
      <c r="BP154" s="95"/>
      <c r="BQ154" s="96"/>
      <c r="BR154" s="95"/>
      <c r="BS154" s="98"/>
      <c r="BT154" s="96"/>
      <c r="BU154" s="96"/>
      <c r="BV154" s="95"/>
      <c r="BW154" s="98"/>
      <c r="BX154" s="96"/>
      <c r="BY154" s="96"/>
      <c r="BZ154" s="95"/>
      <c r="CA154" s="98"/>
      <c r="CB154" s="96"/>
      <c r="CC154" s="96"/>
      <c r="CD154" s="95"/>
      <c r="CE154" s="98"/>
      <c r="CF154" s="99"/>
      <c r="CG154" s="95"/>
      <c r="CH154" s="96"/>
      <c r="CI154" s="96"/>
      <c r="CJ154" s="98"/>
    </row>
    <row r="155" spans="1:88" ht="15" customHeight="1">
      <c r="A155" s="178"/>
      <c r="B155" s="106" t="s">
        <v>307</v>
      </c>
      <c r="C155" s="102">
        <f>_xll.ACC(DB,_xll.ArrayDPT($BA155:$BJ155),_xll.ArrayCOA($BL155:$CE155),YR,PRD,_xll.ArrayDIM($CG155:$CJ155))</f>
        <v>114777.48</v>
      </c>
      <c r="D155" s="94"/>
      <c r="E155" s="102">
        <f>_xll.ACC(DB,_xll.ArrayDPT($BA155:$BJ155),_xll.ArrayCOA($BL155:$CE155),YR,PRD-1,_xll.ArrayDIM($CG155:$CJ155))</f>
        <v>114777.48</v>
      </c>
      <c r="F155" s="94"/>
      <c r="G155" s="92">
        <f t="shared" si="26"/>
        <v>0</v>
      </c>
      <c r="H155" s="93"/>
      <c r="I155" s="160"/>
      <c r="J155" s="60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  <c r="AD155" s="114"/>
      <c r="AE155" s="114"/>
      <c r="AF155" s="114"/>
      <c r="AG155" s="114"/>
      <c r="AH155" s="114"/>
      <c r="AI155" s="114"/>
      <c r="AJ155" s="114"/>
      <c r="AK155" s="114"/>
      <c r="AL155" s="114"/>
      <c r="AM155" s="114"/>
      <c r="AN155" s="114"/>
      <c r="AO155" s="114"/>
      <c r="AP155" s="114"/>
      <c r="AQ155" s="114"/>
      <c r="AR155" s="114"/>
      <c r="AS155" s="114"/>
      <c r="AT155" s="114"/>
      <c r="AU155" s="114"/>
      <c r="AV155" s="114"/>
      <c r="AW155" s="114"/>
      <c r="AX155" s="114"/>
      <c r="AY155" s="114"/>
      <c r="AZ155" s="114"/>
      <c r="BA155" s="95"/>
      <c r="BB155" s="96"/>
      <c r="BC155" s="96"/>
      <c r="BD155" s="96"/>
      <c r="BE155" s="96"/>
      <c r="BF155" s="96"/>
      <c r="BG155" s="96"/>
      <c r="BH155" s="96"/>
      <c r="BI155" s="96"/>
      <c r="BJ155" s="96"/>
      <c r="BK155" s="97"/>
      <c r="BL155" s="95" t="s">
        <v>308</v>
      </c>
      <c r="BM155" s="96" t="s">
        <v>308</v>
      </c>
      <c r="BN155" s="95"/>
      <c r="BO155" s="96"/>
      <c r="BP155" s="95"/>
      <c r="BQ155" s="96"/>
      <c r="BR155" s="95"/>
      <c r="BS155" s="98"/>
      <c r="BT155" s="96"/>
      <c r="BU155" s="96"/>
      <c r="BV155" s="95"/>
      <c r="BW155" s="98"/>
      <c r="BX155" s="96"/>
      <c r="BY155" s="96"/>
      <c r="BZ155" s="95"/>
      <c r="CA155" s="98"/>
      <c r="CB155" s="96"/>
      <c r="CC155" s="96"/>
      <c r="CD155" s="95"/>
      <c r="CE155" s="98"/>
      <c r="CF155" s="99"/>
      <c r="CG155" s="95"/>
      <c r="CH155" s="96"/>
      <c r="CI155" s="96"/>
      <c r="CJ155" s="98"/>
    </row>
    <row r="156" spans="1:88" ht="15" customHeight="1">
      <c r="A156" s="178"/>
      <c r="B156" s="106" t="s">
        <v>309</v>
      </c>
      <c r="C156" s="102">
        <f>_xll.ACC(DB,_xll.ArrayDPT($BA156:$BJ156),_xll.ArrayCOA($BL156:$CE156),YR,PRD,_xll.ArrayDIM($CG156:$CJ156))</f>
        <v>9964.08</v>
      </c>
      <c r="D156" s="94"/>
      <c r="E156" s="102">
        <f>_xll.ACC(DB,_xll.ArrayDPT($BA156:$BJ156),_xll.ArrayCOA($BL156:$CE156),YR,PRD-1,_xll.ArrayDIM($CG156:$CJ156))</f>
        <v>9964.08</v>
      </c>
      <c r="F156" s="94"/>
      <c r="G156" s="92">
        <f t="shared" si="26"/>
        <v>0</v>
      </c>
      <c r="H156" s="93"/>
      <c r="I156" s="160"/>
      <c r="J156" s="60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  <c r="AC156" s="114"/>
      <c r="AD156" s="114"/>
      <c r="AE156" s="114"/>
      <c r="AF156" s="114"/>
      <c r="AG156" s="114"/>
      <c r="AH156" s="114"/>
      <c r="AI156" s="114"/>
      <c r="AJ156" s="114"/>
      <c r="AK156" s="114"/>
      <c r="AL156" s="114"/>
      <c r="AM156" s="114"/>
      <c r="AN156" s="114"/>
      <c r="AO156" s="114"/>
      <c r="AP156" s="114"/>
      <c r="AQ156" s="114"/>
      <c r="AR156" s="114"/>
      <c r="AS156" s="114"/>
      <c r="AT156" s="114"/>
      <c r="AU156" s="114"/>
      <c r="AV156" s="114"/>
      <c r="AW156" s="114"/>
      <c r="AX156" s="114"/>
      <c r="AY156" s="114"/>
      <c r="AZ156" s="114"/>
      <c r="BA156" s="95"/>
      <c r="BB156" s="96"/>
      <c r="BC156" s="96"/>
      <c r="BD156" s="96"/>
      <c r="BE156" s="96"/>
      <c r="BF156" s="96"/>
      <c r="BG156" s="96"/>
      <c r="BH156" s="96"/>
      <c r="BI156" s="96"/>
      <c r="BJ156" s="96"/>
      <c r="BK156" s="97"/>
      <c r="BL156" s="95" t="s">
        <v>310</v>
      </c>
      <c r="BM156" s="96" t="s">
        <v>310</v>
      </c>
      <c r="BN156" s="95"/>
      <c r="BO156" s="96"/>
      <c r="BP156" s="95"/>
      <c r="BQ156" s="96"/>
      <c r="BR156" s="95"/>
      <c r="BS156" s="98"/>
      <c r="BT156" s="96"/>
      <c r="BU156" s="96"/>
      <c r="BV156" s="95"/>
      <c r="BW156" s="98"/>
      <c r="BX156" s="96"/>
      <c r="BY156" s="96"/>
      <c r="BZ156" s="95"/>
      <c r="CA156" s="98"/>
      <c r="CB156" s="96"/>
      <c r="CC156" s="96"/>
      <c r="CD156" s="95"/>
      <c r="CE156" s="98"/>
      <c r="CF156" s="99"/>
      <c r="CG156" s="95"/>
      <c r="CH156" s="96"/>
      <c r="CI156" s="96"/>
      <c r="CJ156" s="98"/>
    </row>
    <row r="157" spans="1:88" ht="15" customHeight="1">
      <c r="A157" s="178"/>
      <c r="B157" s="106" t="s">
        <v>311</v>
      </c>
      <c r="C157" s="102">
        <f>_xll.ACC(DB,_xll.ArrayDPT($BA157:$BJ157),_xll.ArrayCOA($BL157:$CE157),YR,PRD,_xll.ArrayDIM($CG157:$CJ157))</f>
        <v>14681.23</v>
      </c>
      <c r="D157" s="94"/>
      <c r="E157" s="102">
        <f>_xll.ACC(DB,_xll.ArrayDPT($BA157:$BJ157),_xll.ArrayCOA($BL157:$CE157),YR,PRD-1,_xll.ArrayDIM($CG157:$CJ157))</f>
        <v>14681.23</v>
      </c>
      <c r="F157" s="94"/>
      <c r="G157" s="92">
        <f t="shared" si="26"/>
        <v>0</v>
      </c>
      <c r="H157" s="93"/>
      <c r="I157" s="160"/>
      <c r="J157" s="60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  <c r="AA157" s="114"/>
      <c r="AB157" s="114"/>
      <c r="AC157" s="114"/>
      <c r="AD157" s="114"/>
      <c r="AE157" s="114"/>
      <c r="AF157" s="114"/>
      <c r="AG157" s="114"/>
      <c r="AH157" s="114"/>
      <c r="AI157" s="114"/>
      <c r="AJ157" s="114"/>
      <c r="AK157" s="114"/>
      <c r="AL157" s="114"/>
      <c r="AM157" s="114"/>
      <c r="AN157" s="114"/>
      <c r="AO157" s="114"/>
      <c r="AP157" s="114"/>
      <c r="AQ157" s="114"/>
      <c r="AR157" s="114"/>
      <c r="AS157" s="114"/>
      <c r="AT157" s="114"/>
      <c r="AU157" s="114"/>
      <c r="AV157" s="114"/>
      <c r="AW157" s="114"/>
      <c r="AX157" s="114"/>
      <c r="AY157" s="114"/>
      <c r="AZ157" s="114"/>
      <c r="BA157" s="95"/>
      <c r="BB157" s="96"/>
      <c r="BC157" s="96"/>
      <c r="BD157" s="96"/>
      <c r="BE157" s="96"/>
      <c r="BF157" s="96"/>
      <c r="BG157" s="96"/>
      <c r="BH157" s="96"/>
      <c r="BI157" s="96"/>
      <c r="BJ157" s="96"/>
      <c r="BK157" s="97"/>
      <c r="BL157" s="95" t="s">
        <v>312</v>
      </c>
      <c r="BM157" s="96" t="s">
        <v>312</v>
      </c>
      <c r="BN157" s="95"/>
      <c r="BO157" s="96"/>
      <c r="BP157" s="95"/>
      <c r="BQ157" s="96"/>
      <c r="BR157" s="95"/>
      <c r="BS157" s="98"/>
      <c r="BT157" s="96"/>
      <c r="BU157" s="96"/>
      <c r="BV157" s="95"/>
      <c r="BW157" s="98"/>
      <c r="BX157" s="96"/>
      <c r="BY157" s="96"/>
      <c r="BZ157" s="95"/>
      <c r="CA157" s="98"/>
      <c r="CB157" s="96"/>
      <c r="CC157" s="96"/>
      <c r="CD157" s="95"/>
      <c r="CE157" s="98"/>
      <c r="CF157" s="99"/>
      <c r="CG157" s="95"/>
      <c r="CH157" s="96"/>
      <c r="CI157" s="96"/>
      <c r="CJ157" s="98"/>
    </row>
    <row r="158" spans="1:88" ht="15" customHeight="1">
      <c r="A158" s="178"/>
      <c r="B158" s="106" t="s">
        <v>313</v>
      </c>
      <c r="C158" s="102">
        <f>_xll.ACC(DB,_xll.ArrayDPT($BA158:$BJ158),_xll.ArrayCOA($BL158:$CE158),YR,PRD,_xll.ArrayDIM($CG158:$CJ158))</f>
        <v>5006.3</v>
      </c>
      <c r="D158" s="94"/>
      <c r="E158" s="102">
        <f>_xll.ACC(DB,_xll.ArrayDPT($BA158:$BJ158),_xll.ArrayCOA($BL158:$CE158),YR,PRD-1,_xll.ArrayDIM($CG158:$CJ158))</f>
        <v>5006.3</v>
      </c>
      <c r="F158" s="94"/>
      <c r="G158" s="92">
        <f t="shared" si="26"/>
        <v>0</v>
      </c>
      <c r="H158" s="93"/>
      <c r="I158" s="160"/>
      <c r="J158" s="60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  <c r="AA158" s="114"/>
      <c r="AB158" s="114"/>
      <c r="AC158" s="114"/>
      <c r="AD158" s="114"/>
      <c r="AE158" s="114"/>
      <c r="AF158" s="114"/>
      <c r="AG158" s="114"/>
      <c r="AH158" s="114"/>
      <c r="AI158" s="114"/>
      <c r="AJ158" s="114"/>
      <c r="AK158" s="114"/>
      <c r="AL158" s="114"/>
      <c r="AM158" s="114"/>
      <c r="AN158" s="114"/>
      <c r="AO158" s="114"/>
      <c r="AP158" s="114"/>
      <c r="AQ158" s="114"/>
      <c r="AR158" s="114"/>
      <c r="AS158" s="114"/>
      <c r="AT158" s="114"/>
      <c r="AU158" s="114"/>
      <c r="AV158" s="114"/>
      <c r="AW158" s="114"/>
      <c r="AX158" s="114"/>
      <c r="AY158" s="114"/>
      <c r="AZ158" s="114"/>
      <c r="BA158" s="95"/>
      <c r="BB158" s="96"/>
      <c r="BC158" s="96"/>
      <c r="BD158" s="96"/>
      <c r="BE158" s="96"/>
      <c r="BF158" s="96"/>
      <c r="BG158" s="96"/>
      <c r="BH158" s="96"/>
      <c r="BI158" s="96"/>
      <c r="BJ158" s="96"/>
      <c r="BK158" s="97"/>
      <c r="BL158" s="95" t="s">
        <v>314</v>
      </c>
      <c r="BM158" s="96" t="s">
        <v>314</v>
      </c>
      <c r="BN158" s="95"/>
      <c r="BO158" s="96"/>
      <c r="BP158" s="95"/>
      <c r="BQ158" s="96"/>
      <c r="BR158" s="95"/>
      <c r="BS158" s="98"/>
      <c r="BT158" s="96"/>
      <c r="BU158" s="96"/>
      <c r="BV158" s="95"/>
      <c r="BW158" s="98"/>
      <c r="BX158" s="96"/>
      <c r="BY158" s="96"/>
      <c r="BZ158" s="95"/>
      <c r="CA158" s="98"/>
      <c r="CB158" s="96"/>
      <c r="CC158" s="96"/>
      <c r="CD158" s="95"/>
      <c r="CE158" s="98"/>
      <c r="CF158" s="99"/>
      <c r="CG158" s="95"/>
      <c r="CH158" s="96"/>
      <c r="CI158" s="96"/>
      <c r="CJ158" s="98"/>
    </row>
    <row r="159" spans="1:88" ht="15" customHeight="1">
      <c r="A159" s="178"/>
      <c r="B159" s="106" t="s">
        <v>315</v>
      </c>
      <c r="C159" s="102">
        <f>_xll.ACC(DB,_xll.ArrayDPT($BA159:$BJ159),_xll.ArrayCOA($BL159:$CE159),YR,PRD,_xll.ArrayDIM($CG159:$CJ159))</f>
        <v>77854.259999999995</v>
      </c>
      <c r="D159" s="94"/>
      <c r="E159" s="102">
        <f>_xll.ACC(DB,_xll.ArrayDPT($BA159:$BJ159),_xll.ArrayCOA($BL159:$CE159),YR,PRD-1,_xll.ArrayDIM($CG159:$CJ159))</f>
        <v>77854.259999999995</v>
      </c>
      <c r="F159" s="94"/>
      <c r="G159" s="92">
        <f t="shared" si="26"/>
        <v>0</v>
      </c>
      <c r="H159" s="93"/>
      <c r="I159" s="160"/>
      <c r="J159" s="60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  <c r="AA159" s="114"/>
      <c r="AB159" s="114"/>
      <c r="AC159" s="114"/>
      <c r="AD159" s="114"/>
      <c r="AE159" s="114"/>
      <c r="AF159" s="114"/>
      <c r="AG159" s="114"/>
      <c r="AH159" s="114"/>
      <c r="AI159" s="114"/>
      <c r="AJ159" s="114"/>
      <c r="AK159" s="114"/>
      <c r="AL159" s="114"/>
      <c r="AM159" s="114"/>
      <c r="AN159" s="114"/>
      <c r="AO159" s="114"/>
      <c r="AP159" s="114"/>
      <c r="AQ159" s="114"/>
      <c r="AR159" s="114"/>
      <c r="AS159" s="114"/>
      <c r="AT159" s="114"/>
      <c r="AU159" s="114"/>
      <c r="AV159" s="114"/>
      <c r="AW159" s="114"/>
      <c r="AX159" s="114"/>
      <c r="AY159" s="114"/>
      <c r="AZ159" s="114"/>
      <c r="BA159" s="95"/>
      <c r="BB159" s="96"/>
      <c r="BC159" s="96"/>
      <c r="BD159" s="96"/>
      <c r="BE159" s="96"/>
      <c r="BF159" s="96"/>
      <c r="BG159" s="96"/>
      <c r="BH159" s="96"/>
      <c r="BI159" s="96"/>
      <c r="BJ159" s="96"/>
      <c r="BK159" s="97"/>
      <c r="BL159" s="95" t="s">
        <v>316</v>
      </c>
      <c r="BM159" s="96" t="s">
        <v>316</v>
      </c>
      <c r="BN159" s="95"/>
      <c r="BO159" s="96"/>
      <c r="BP159" s="95"/>
      <c r="BQ159" s="96"/>
      <c r="BR159" s="95"/>
      <c r="BS159" s="98"/>
      <c r="BT159" s="96"/>
      <c r="BU159" s="96"/>
      <c r="BV159" s="95"/>
      <c r="BW159" s="98"/>
      <c r="BX159" s="96"/>
      <c r="BY159" s="96"/>
      <c r="BZ159" s="95"/>
      <c r="CA159" s="98"/>
      <c r="CB159" s="96"/>
      <c r="CC159" s="96"/>
      <c r="CD159" s="95"/>
      <c r="CE159" s="98"/>
      <c r="CF159" s="99"/>
      <c r="CG159" s="95"/>
      <c r="CH159" s="96"/>
      <c r="CI159" s="96"/>
      <c r="CJ159" s="98"/>
    </row>
    <row r="160" spans="1:88" ht="15" customHeight="1">
      <c r="A160" s="178"/>
      <c r="B160" s="106" t="s">
        <v>317</v>
      </c>
      <c r="C160" s="102">
        <f>_xll.ACC(DB,_xll.ArrayDPT($BA160:$BJ160),_xll.ArrayCOA($BL160:$CE160),YR,PRD,_xll.ArrayDIM($CG160:$CJ160))</f>
        <v>19765.14</v>
      </c>
      <c r="D160" s="94"/>
      <c r="E160" s="102">
        <f>_xll.ACC(DB,_xll.ArrayDPT($BA160:$BJ160),_xll.ArrayCOA($BL160:$CE160),YR,PRD-1,_xll.ArrayDIM($CG160:$CJ160))</f>
        <v>19765.14</v>
      </c>
      <c r="F160" s="94"/>
      <c r="G160" s="92">
        <f t="shared" si="26"/>
        <v>0</v>
      </c>
      <c r="H160" s="93"/>
      <c r="I160" s="160"/>
      <c r="J160" s="60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  <c r="AA160" s="114"/>
      <c r="AB160" s="114"/>
      <c r="AC160" s="114"/>
      <c r="AD160" s="114"/>
      <c r="AE160" s="114"/>
      <c r="AF160" s="114"/>
      <c r="AG160" s="114"/>
      <c r="AH160" s="114"/>
      <c r="AI160" s="114"/>
      <c r="AJ160" s="114"/>
      <c r="AK160" s="114"/>
      <c r="AL160" s="114"/>
      <c r="AM160" s="114"/>
      <c r="AN160" s="114"/>
      <c r="AO160" s="114"/>
      <c r="AP160" s="114"/>
      <c r="AQ160" s="114"/>
      <c r="AR160" s="114"/>
      <c r="AS160" s="114"/>
      <c r="AT160" s="114"/>
      <c r="AU160" s="114"/>
      <c r="AV160" s="114"/>
      <c r="AW160" s="114"/>
      <c r="AX160" s="114"/>
      <c r="AY160" s="114"/>
      <c r="AZ160" s="114"/>
      <c r="BA160" s="95"/>
      <c r="BB160" s="96"/>
      <c r="BC160" s="96"/>
      <c r="BD160" s="96"/>
      <c r="BE160" s="96"/>
      <c r="BF160" s="96"/>
      <c r="BG160" s="96"/>
      <c r="BH160" s="96"/>
      <c r="BI160" s="96"/>
      <c r="BJ160" s="96"/>
      <c r="BK160" s="97"/>
      <c r="BL160" s="95" t="s">
        <v>318</v>
      </c>
      <c r="BM160" s="96" t="s">
        <v>318</v>
      </c>
      <c r="BN160" s="95"/>
      <c r="BO160" s="96"/>
      <c r="BP160" s="95"/>
      <c r="BQ160" s="96"/>
      <c r="BR160" s="95"/>
      <c r="BS160" s="98"/>
      <c r="BT160" s="96"/>
      <c r="BU160" s="96"/>
      <c r="BV160" s="95"/>
      <c r="BW160" s="98"/>
      <c r="BX160" s="96"/>
      <c r="BY160" s="96"/>
      <c r="BZ160" s="95"/>
      <c r="CA160" s="98"/>
      <c r="CB160" s="96"/>
      <c r="CC160" s="96"/>
      <c r="CD160" s="95"/>
      <c r="CE160" s="98"/>
      <c r="CF160" s="99"/>
      <c r="CG160" s="95"/>
      <c r="CH160" s="96"/>
      <c r="CI160" s="96"/>
      <c r="CJ160" s="98"/>
    </row>
    <row r="161" spans="1:88" ht="15" customHeight="1">
      <c r="A161" s="178"/>
      <c r="B161" s="106" t="s">
        <v>319</v>
      </c>
      <c r="C161" s="102">
        <f>_xll.ACC(DB,_xll.ArrayDPT($BA161:$BJ161),_xll.ArrayCOA($BL161:$CE161),YR,PRD,_xll.ArrayDIM($CG161:$CJ161))</f>
        <v>216355.88</v>
      </c>
      <c r="D161" s="94"/>
      <c r="E161" s="102">
        <f>_xll.ACC(DB,_xll.ArrayDPT($BA161:$BJ161),_xll.ArrayCOA($BL161:$CE161),YR,PRD-1,_xll.ArrayDIM($CG161:$CJ161))</f>
        <v>216355.88</v>
      </c>
      <c r="F161" s="94"/>
      <c r="G161" s="92">
        <f t="shared" si="26"/>
        <v>0</v>
      </c>
      <c r="H161" s="93"/>
      <c r="I161" s="160"/>
      <c r="J161" s="60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  <c r="AA161" s="114"/>
      <c r="AB161" s="114"/>
      <c r="AC161" s="114"/>
      <c r="AD161" s="114"/>
      <c r="AE161" s="114"/>
      <c r="AF161" s="114"/>
      <c r="AG161" s="114"/>
      <c r="AH161" s="114"/>
      <c r="AI161" s="114"/>
      <c r="AJ161" s="114"/>
      <c r="AK161" s="114"/>
      <c r="AL161" s="114"/>
      <c r="AM161" s="114"/>
      <c r="AN161" s="114"/>
      <c r="AO161" s="114"/>
      <c r="AP161" s="114"/>
      <c r="AQ161" s="114"/>
      <c r="AR161" s="114"/>
      <c r="AS161" s="114"/>
      <c r="AT161" s="114"/>
      <c r="AU161" s="114"/>
      <c r="AV161" s="114"/>
      <c r="AW161" s="114"/>
      <c r="AX161" s="114"/>
      <c r="AY161" s="114"/>
      <c r="AZ161" s="114"/>
      <c r="BA161" s="95"/>
      <c r="BB161" s="96"/>
      <c r="BC161" s="96"/>
      <c r="BD161" s="96"/>
      <c r="BE161" s="96"/>
      <c r="BF161" s="96"/>
      <c r="BG161" s="96"/>
      <c r="BH161" s="96"/>
      <c r="BI161" s="96"/>
      <c r="BJ161" s="96"/>
      <c r="BK161" s="97"/>
      <c r="BL161" s="95" t="s">
        <v>320</v>
      </c>
      <c r="BM161" s="96" t="s">
        <v>320</v>
      </c>
      <c r="BN161" s="95"/>
      <c r="BO161" s="96"/>
      <c r="BP161" s="95"/>
      <c r="BQ161" s="96"/>
      <c r="BR161" s="95"/>
      <c r="BS161" s="98"/>
      <c r="BT161" s="96"/>
      <c r="BU161" s="96"/>
      <c r="BV161" s="95"/>
      <c r="BW161" s="98"/>
      <c r="BX161" s="96"/>
      <c r="BY161" s="96"/>
      <c r="BZ161" s="95"/>
      <c r="CA161" s="98"/>
      <c r="CB161" s="96"/>
      <c r="CC161" s="96"/>
      <c r="CD161" s="95"/>
      <c r="CE161" s="98"/>
      <c r="CF161" s="99"/>
      <c r="CG161" s="95"/>
      <c r="CH161" s="96"/>
      <c r="CI161" s="96"/>
      <c r="CJ161" s="98"/>
    </row>
    <row r="162" spans="1:88" ht="15" customHeight="1">
      <c r="A162" s="178"/>
      <c r="B162" s="106" t="s">
        <v>321</v>
      </c>
      <c r="C162" s="102">
        <f>_xll.ACC(DB,_xll.ArrayDPT($BA162:$BJ162),_xll.ArrayCOA($BL162:$CE162),YR,PRD,_xll.ArrayDIM($CG162:$CJ162))</f>
        <v>3692.35</v>
      </c>
      <c r="D162" s="94"/>
      <c r="E162" s="102">
        <f>_xll.ACC(DB,_xll.ArrayDPT($BA162:$BJ162),_xll.ArrayCOA($BL162:$CE162),YR,PRD-1,_xll.ArrayDIM($CG162:$CJ162))</f>
        <v>3692.35</v>
      </c>
      <c r="F162" s="94"/>
      <c r="G162" s="92">
        <f t="shared" si="26"/>
        <v>0</v>
      </c>
      <c r="H162" s="93"/>
      <c r="I162" s="160"/>
      <c r="J162" s="60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  <c r="AA162" s="114"/>
      <c r="AB162" s="114"/>
      <c r="AC162" s="114"/>
      <c r="AD162" s="114"/>
      <c r="AE162" s="114"/>
      <c r="AF162" s="114"/>
      <c r="AG162" s="114"/>
      <c r="AH162" s="114"/>
      <c r="AI162" s="114"/>
      <c r="AJ162" s="114"/>
      <c r="AK162" s="114"/>
      <c r="AL162" s="114"/>
      <c r="AM162" s="114"/>
      <c r="AN162" s="114"/>
      <c r="AO162" s="114"/>
      <c r="AP162" s="114"/>
      <c r="AQ162" s="114"/>
      <c r="AR162" s="114"/>
      <c r="AS162" s="114"/>
      <c r="AT162" s="114"/>
      <c r="AU162" s="114"/>
      <c r="AV162" s="114"/>
      <c r="AW162" s="114"/>
      <c r="AX162" s="114"/>
      <c r="AY162" s="114"/>
      <c r="AZ162" s="114"/>
      <c r="BA162" s="95"/>
      <c r="BB162" s="96"/>
      <c r="BC162" s="96"/>
      <c r="BD162" s="96"/>
      <c r="BE162" s="96"/>
      <c r="BF162" s="96"/>
      <c r="BG162" s="96"/>
      <c r="BH162" s="96"/>
      <c r="BI162" s="96"/>
      <c r="BJ162" s="96"/>
      <c r="BK162" s="97"/>
      <c r="BL162" s="95" t="s">
        <v>322</v>
      </c>
      <c r="BM162" s="96" t="s">
        <v>322</v>
      </c>
      <c r="BN162" s="95"/>
      <c r="BO162" s="96"/>
      <c r="BP162" s="95"/>
      <c r="BQ162" s="96"/>
      <c r="BR162" s="95"/>
      <c r="BS162" s="98"/>
      <c r="BT162" s="96"/>
      <c r="BU162" s="96"/>
      <c r="BV162" s="95"/>
      <c r="BW162" s="98"/>
      <c r="BX162" s="96"/>
      <c r="BY162" s="96"/>
      <c r="BZ162" s="95"/>
      <c r="CA162" s="98"/>
      <c r="CB162" s="96"/>
      <c r="CC162" s="96"/>
      <c r="CD162" s="95"/>
      <c r="CE162" s="98"/>
      <c r="CF162" s="99"/>
      <c r="CG162" s="95"/>
      <c r="CH162" s="96"/>
      <c r="CI162" s="96"/>
      <c r="CJ162" s="98"/>
    </row>
    <row r="163" spans="1:88" ht="15" customHeight="1">
      <c r="A163" s="178"/>
      <c r="B163" s="106" t="s">
        <v>323</v>
      </c>
      <c r="C163" s="102">
        <f>_xll.ACC(DB,_xll.ArrayDPT($BA163:$BJ163),_xll.ArrayCOA($BL163:$CE163),YR,PRD,_xll.ArrayDIM($CG163:$CJ163))</f>
        <v>1649435.12</v>
      </c>
      <c r="D163" s="94"/>
      <c r="E163" s="102">
        <f>_xll.ACC(DB,_xll.ArrayDPT($BA163:$BJ163),_xll.ArrayCOA($BL163:$CE163),YR,PRD-1,_xll.ArrayDIM($CG163:$CJ163))</f>
        <v>1649435.12</v>
      </c>
      <c r="F163" s="94"/>
      <c r="G163" s="92">
        <f t="shared" si="26"/>
        <v>0</v>
      </c>
      <c r="H163" s="93"/>
      <c r="I163" s="160"/>
      <c r="J163" s="60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  <c r="AA163" s="114"/>
      <c r="AB163" s="114"/>
      <c r="AC163" s="114"/>
      <c r="AD163" s="114"/>
      <c r="AE163" s="114"/>
      <c r="AF163" s="114"/>
      <c r="AG163" s="114"/>
      <c r="AH163" s="114"/>
      <c r="AI163" s="114"/>
      <c r="AJ163" s="114"/>
      <c r="AK163" s="114"/>
      <c r="AL163" s="114"/>
      <c r="AM163" s="114"/>
      <c r="AN163" s="114"/>
      <c r="AO163" s="114"/>
      <c r="AP163" s="114"/>
      <c r="AQ163" s="114"/>
      <c r="AR163" s="114"/>
      <c r="AS163" s="114"/>
      <c r="AT163" s="114"/>
      <c r="AU163" s="114"/>
      <c r="AV163" s="114"/>
      <c r="AW163" s="114"/>
      <c r="AX163" s="114"/>
      <c r="AY163" s="114"/>
      <c r="AZ163" s="114"/>
      <c r="BA163" s="95"/>
      <c r="BB163" s="96"/>
      <c r="BC163" s="96"/>
      <c r="BD163" s="96"/>
      <c r="BE163" s="96"/>
      <c r="BF163" s="96"/>
      <c r="BG163" s="96"/>
      <c r="BH163" s="96"/>
      <c r="BI163" s="96"/>
      <c r="BJ163" s="96"/>
      <c r="BK163" s="97"/>
      <c r="BL163" s="95" t="s">
        <v>324</v>
      </c>
      <c r="BM163" s="96" t="s">
        <v>324</v>
      </c>
      <c r="BN163" s="95"/>
      <c r="BO163" s="96"/>
      <c r="BP163" s="95"/>
      <c r="BQ163" s="96"/>
      <c r="BR163" s="95"/>
      <c r="BS163" s="98"/>
      <c r="BT163" s="96"/>
      <c r="BU163" s="96"/>
      <c r="BV163" s="95"/>
      <c r="BW163" s="98"/>
      <c r="BX163" s="96"/>
      <c r="BY163" s="96"/>
      <c r="BZ163" s="95"/>
      <c r="CA163" s="98"/>
      <c r="CB163" s="96"/>
      <c r="CC163" s="96"/>
      <c r="CD163" s="95"/>
      <c r="CE163" s="98"/>
      <c r="CF163" s="99"/>
      <c r="CG163" s="95"/>
      <c r="CH163" s="96"/>
      <c r="CI163" s="96"/>
      <c r="CJ163" s="98"/>
    </row>
    <row r="164" spans="1:88" ht="15" customHeight="1">
      <c r="A164" s="178"/>
      <c r="B164" s="106" t="s">
        <v>325</v>
      </c>
      <c r="C164" s="102">
        <f>_xll.ACC(DB,_xll.ArrayDPT($BA164:$BJ164),_xll.ArrayCOA($BL164:$CE164),YR,PRD,_xll.ArrayDIM($CG164:$CJ164))</f>
        <v>4024.47</v>
      </c>
      <c r="D164" s="94"/>
      <c r="E164" s="102">
        <f>_xll.ACC(DB,_xll.ArrayDPT($BA164:$BJ164),_xll.ArrayCOA($BL164:$CE164),YR,PRD-1,_xll.ArrayDIM($CG164:$CJ164))</f>
        <v>4024.47</v>
      </c>
      <c r="F164" s="94"/>
      <c r="G164" s="92">
        <f t="shared" si="26"/>
        <v>0</v>
      </c>
      <c r="H164" s="93"/>
      <c r="I164" s="160"/>
      <c r="J164" s="60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  <c r="AA164" s="114"/>
      <c r="AB164" s="114"/>
      <c r="AC164" s="114"/>
      <c r="AD164" s="114"/>
      <c r="AE164" s="114"/>
      <c r="AF164" s="114"/>
      <c r="AG164" s="114"/>
      <c r="AH164" s="114"/>
      <c r="AI164" s="114"/>
      <c r="AJ164" s="114"/>
      <c r="AK164" s="114"/>
      <c r="AL164" s="114"/>
      <c r="AM164" s="114"/>
      <c r="AN164" s="114"/>
      <c r="AO164" s="114"/>
      <c r="AP164" s="114"/>
      <c r="AQ164" s="114"/>
      <c r="AR164" s="114"/>
      <c r="AS164" s="114"/>
      <c r="AT164" s="114"/>
      <c r="AU164" s="114"/>
      <c r="AV164" s="114"/>
      <c r="AW164" s="114"/>
      <c r="AX164" s="114"/>
      <c r="AY164" s="114"/>
      <c r="AZ164" s="114"/>
      <c r="BA164" s="95"/>
      <c r="BB164" s="96"/>
      <c r="BC164" s="96"/>
      <c r="BD164" s="96"/>
      <c r="BE164" s="96"/>
      <c r="BF164" s="96"/>
      <c r="BG164" s="96"/>
      <c r="BH164" s="96"/>
      <c r="BI164" s="96"/>
      <c r="BJ164" s="96"/>
      <c r="BK164" s="97"/>
      <c r="BL164" s="95" t="s">
        <v>326</v>
      </c>
      <c r="BM164" s="96" t="s">
        <v>326</v>
      </c>
      <c r="BN164" s="95"/>
      <c r="BO164" s="96"/>
      <c r="BP164" s="95"/>
      <c r="BQ164" s="96"/>
      <c r="BR164" s="95"/>
      <c r="BS164" s="98"/>
      <c r="BT164" s="96"/>
      <c r="BU164" s="96"/>
      <c r="BV164" s="95"/>
      <c r="BW164" s="98"/>
      <c r="BX164" s="96"/>
      <c r="BY164" s="96"/>
      <c r="BZ164" s="95"/>
      <c r="CA164" s="98"/>
      <c r="CB164" s="96"/>
      <c r="CC164" s="96"/>
      <c r="CD164" s="95"/>
      <c r="CE164" s="98"/>
      <c r="CF164" s="99"/>
      <c r="CG164" s="95"/>
      <c r="CH164" s="96"/>
      <c r="CI164" s="96"/>
      <c r="CJ164" s="98"/>
    </row>
    <row r="165" spans="1:88" ht="15" customHeight="1">
      <c r="A165" s="178"/>
      <c r="B165" s="106" t="s">
        <v>327</v>
      </c>
      <c r="C165" s="102">
        <f>_xll.ACC(DB,_xll.ArrayDPT($BA165:$BJ165),_xll.ArrayCOA($BL165:$CE165),YR,PRD,_xll.ArrayDIM($CG165:$CJ165))</f>
        <v>12994.05</v>
      </c>
      <c r="D165" s="94"/>
      <c r="E165" s="102">
        <f>_xll.ACC(DB,_xll.ArrayDPT($BA165:$BJ165),_xll.ArrayCOA($BL165:$CE165),YR,PRD-1,_xll.ArrayDIM($CG165:$CJ165))</f>
        <v>12994.05</v>
      </c>
      <c r="F165" s="94"/>
      <c r="G165" s="92">
        <f t="shared" si="26"/>
        <v>0</v>
      </c>
      <c r="H165" s="93"/>
      <c r="I165" s="160"/>
      <c r="J165" s="60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4"/>
      <c r="AC165" s="114"/>
      <c r="AD165" s="114"/>
      <c r="AE165" s="114"/>
      <c r="AF165" s="114"/>
      <c r="AG165" s="114"/>
      <c r="AH165" s="114"/>
      <c r="AI165" s="114"/>
      <c r="AJ165" s="114"/>
      <c r="AK165" s="114"/>
      <c r="AL165" s="114"/>
      <c r="AM165" s="114"/>
      <c r="AN165" s="114"/>
      <c r="AO165" s="114"/>
      <c r="AP165" s="114"/>
      <c r="AQ165" s="114"/>
      <c r="AR165" s="114"/>
      <c r="AS165" s="114"/>
      <c r="AT165" s="114"/>
      <c r="AU165" s="114"/>
      <c r="AV165" s="114"/>
      <c r="AW165" s="114"/>
      <c r="AX165" s="114"/>
      <c r="AY165" s="114"/>
      <c r="AZ165" s="114"/>
      <c r="BA165" s="95"/>
      <c r="BB165" s="96"/>
      <c r="BC165" s="96"/>
      <c r="BD165" s="96"/>
      <c r="BE165" s="96"/>
      <c r="BF165" s="96"/>
      <c r="BG165" s="96"/>
      <c r="BH165" s="96"/>
      <c r="BI165" s="96"/>
      <c r="BJ165" s="96"/>
      <c r="BK165" s="97"/>
      <c r="BL165" s="95" t="s">
        <v>328</v>
      </c>
      <c r="BM165" s="96" t="s">
        <v>328</v>
      </c>
      <c r="BN165" s="95"/>
      <c r="BO165" s="96"/>
      <c r="BP165" s="95"/>
      <c r="BQ165" s="96"/>
      <c r="BR165" s="95"/>
      <c r="BS165" s="98"/>
      <c r="BT165" s="96"/>
      <c r="BU165" s="96"/>
      <c r="BV165" s="95"/>
      <c r="BW165" s="98"/>
      <c r="BX165" s="96"/>
      <c r="BY165" s="96"/>
      <c r="BZ165" s="95"/>
      <c r="CA165" s="98"/>
      <c r="CB165" s="96"/>
      <c r="CC165" s="96"/>
      <c r="CD165" s="95"/>
      <c r="CE165" s="98"/>
      <c r="CF165" s="99"/>
      <c r="CG165" s="95"/>
      <c r="CH165" s="96"/>
      <c r="CI165" s="96"/>
      <c r="CJ165" s="98"/>
    </row>
    <row r="166" spans="1:88" ht="15" customHeight="1">
      <c r="A166" s="178"/>
      <c r="B166" s="106" t="s">
        <v>329</v>
      </c>
      <c r="C166" s="102">
        <f>_xll.ACC(DB,_xll.ArrayDPT($BA166:$BJ166),_xll.ArrayCOA($BL166:$CE166),YR,PRD,_xll.ArrayDIM($CG166:$CJ166))</f>
        <v>-1706.03</v>
      </c>
      <c r="D166" s="94"/>
      <c r="E166" s="102">
        <f>_xll.ACC(DB,_xll.ArrayDPT($BA166:$BJ166),_xll.ArrayCOA($BL166:$CE166),YR,PRD-1,_xll.ArrayDIM($CG166:$CJ166))</f>
        <v>-1706.03</v>
      </c>
      <c r="F166" s="94"/>
      <c r="G166" s="92">
        <f t="shared" si="26"/>
        <v>0</v>
      </c>
      <c r="H166" s="93"/>
      <c r="I166" s="160"/>
      <c r="J166" s="60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/>
      <c r="AD166" s="114"/>
      <c r="AE166" s="114"/>
      <c r="AF166" s="114"/>
      <c r="AG166" s="114"/>
      <c r="AH166" s="114"/>
      <c r="AI166" s="114"/>
      <c r="AJ166" s="114"/>
      <c r="AK166" s="114"/>
      <c r="AL166" s="114"/>
      <c r="AM166" s="114"/>
      <c r="AN166" s="114"/>
      <c r="AO166" s="114"/>
      <c r="AP166" s="114"/>
      <c r="AQ166" s="114"/>
      <c r="AR166" s="114"/>
      <c r="AS166" s="114"/>
      <c r="AT166" s="114"/>
      <c r="AU166" s="114"/>
      <c r="AV166" s="114"/>
      <c r="AW166" s="114"/>
      <c r="AX166" s="114"/>
      <c r="AY166" s="114"/>
      <c r="AZ166" s="114"/>
      <c r="BA166" s="95"/>
      <c r="BB166" s="96"/>
      <c r="BC166" s="96"/>
      <c r="BD166" s="96"/>
      <c r="BE166" s="96"/>
      <c r="BF166" s="96"/>
      <c r="BG166" s="96"/>
      <c r="BH166" s="96"/>
      <c r="BI166" s="96"/>
      <c r="BJ166" s="96"/>
      <c r="BK166" s="97"/>
      <c r="BL166" s="95" t="s">
        <v>330</v>
      </c>
      <c r="BM166" s="96" t="s">
        <v>330</v>
      </c>
      <c r="BN166" s="95"/>
      <c r="BO166" s="96"/>
      <c r="BP166" s="95"/>
      <c r="BQ166" s="96"/>
      <c r="BR166" s="95"/>
      <c r="BS166" s="98"/>
      <c r="BT166" s="96"/>
      <c r="BU166" s="96"/>
      <c r="BV166" s="95"/>
      <c r="BW166" s="98"/>
      <c r="BX166" s="96"/>
      <c r="BY166" s="96"/>
      <c r="BZ166" s="95"/>
      <c r="CA166" s="98"/>
      <c r="CB166" s="96"/>
      <c r="CC166" s="96"/>
      <c r="CD166" s="95"/>
      <c r="CE166" s="98"/>
      <c r="CF166" s="99"/>
      <c r="CG166" s="95"/>
      <c r="CH166" s="96"/>
      <c r="CI166" s="96"/>
      <c r="CJ166" s="98"/>
    </row>
    <row r="167" spans="1:88" ht="15" customHeight="1">
      <c r="A167" s="178"/>
      <c r="B167" s="106" t="s">
        <v>331</v>
      </c>
      <c r="C167" s="102">
        <f>_xll.ACC(DB,_xll.ArrayDPT($BA167:$BJ167),_xll.ArrayCOA($BL167:$CE167),YR,PRD,_xll.ArrayDIM($CG167:$CJ167))</f>
        <v>-11218.03</v>
      </c>
      <c r="D167" s="94"/>
      <c r="E167" s="102">
        <f>_xll.ACC(DB,_xll.ArrayDPT($BA167:$BJ167),_xll.ArrayCOA($BL167:$CE167),YR,PRD-1,_xll.ArrayDIM($CG167:$CJ167))</f>
        <v>-11218.03</v>
      </c>
      <c r="F167" s="94"/>
      <c r="G167" s="92">
        <f t="shared" si="26"/>
        <v>0</v>
      </c>
      <c r="H167" s="93"/>
      <c r="I167" s="160"/>
      <c r="J167" s="60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4"/>
      <c r="AC167" s="114"/>
      <c r="AD167" s="114"/>
      <c r="AE167" s="114"/>
      <c r="AF167" s="114"/>
      <c r="AG167" s="114"/>
      <c r="AH167" s="114"/>
      <c r="AI167" s="114"/>
      <c r="AJ167" s="114"/>
      <c r="AK167" s="114"/>
      <c r="AL167" s="114"/>
      <c r="AM167" s="114"/>
      <c r="AN167" s="114"/>
      <c r="AO167" s="114"/>
      <c r="AP167" s="114"/>
      <c r="AQ167" s="114"/>
      <c r="AR167" s="114"/>
      <c r="AS167" s="114"/>
      <c r="AT167" s="114"/>
      <c r="AU167" s="114"/>
      <c r="AV167" s="114"/>
      <c r="AW167" s="114"/>
      <c r="AX167" s="114"/>
      <c r="AY167" s="114"/>
      <c r="AZ167" s="114"/>
      <c r="BA167" s="95"/>
      <c r="BB167" s="96"/>
      <c r="BC167" s="96"/>
      <c r="BD167" s="96"/>
      <c r="BE167" s="96"/>
      <c r="BF167" s="96"/>
      <c r="BG167" s="96"/>
      <c r="BH167" s="96"/>
      <c r="BI167" s="96"/>
      <c r="BJ167" s="96"/>
      <c r="BK167" s="97"/>
      <c r="BL167" s="95" t="s">
        <v>332</v>
      </c>
      <c r="BM167" s="96" t="s">
        <v>332</v>
      </c>
      <c r="BN167" s="95"/>
      <c r="BO167" s="96"/>
      <c r="BP167" s="95"/>
      <c r="BQ167" s="96"/>
      <c r="BR167" s="95"/>
      <c r="BS167" s="98"/>
      <c r="BT167" s="96"/>
      <c r="BU167" s="96"/>
      <c r="BV167" s="95"/>
      <c r="BW167" s="98"/>
      <c r="BX167" s="96"/>
      <c r="BY167" s="96"/>
      <c r="BZ167" s="95"/>
      <c r="CA167" s="98"/>
      <c r="CB167" s="96"/>
      <c r="CC167" s="96"/>
      <c r="CD167" s="95"/>
      <c r="CE167" s="98"/>
      <c r="CF167" s="99"/>
      <c r="CG167" s="95"/>
      <c r="CH167" s="96"/>
      <c r="CI167" s="96"/>
      <c r="CJ167" s="98"/>
    </row>
    <row r="168" spans="1:88" ht="15" customHeight="1">
      <c r="A168" s="178"/>
      <c r="B168" s="106" t="s">
        <v>333</v>
      </c>
      <c r="C168" s="102">
        <f>_xll.ACC(DB,_xll.ArrayDPT($BA168:$BJ168),_xll.ArrayCOA($BL168:$CE168),YR,PRD,_xll.ArrayDIM($CG168:$CJ168))</f>
        <v>-192.72</v>
      </c>
      <c r="D168" s="94"/>
      <c r="E168" s="102">
        <f>_xll.ACC(DB,_xll.ArrayDPT($BA168:$BJ168),_xll.ArrayCOA($BL168:$CE168),YR,PRD-1,_xll.ArrayDIM($CG168:$CJ168))</f>
        <v>-192.72</v>
      </c>
      <c r="F168" s="94"/>
      <c r="G168" s="92">
        <f t="shared" si="26"/>
        <v>0</v>
      </c>
      <c r="H168" s="93"/>
      <c r="I168" s="160"/>
      <c r="J168" s="60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  <c r="AC168" s="114"/>
      <c r="AD168" s="114"/>
      <c r="AE168" s="114"/>
      <c r="AF168" s="114"/>
      <c r="AG168" s="114"/>
      <c r="AH168" s="114"/>
      <c r="AI168" s="114"/>
      <c r="AJ168" s="114"/>
      <c r="AK168" s="114"/>
      <c r="AL168" s="114"/>
      <c r="AM168" s="114"/>
      <c r="AN168" s="114"/>
      <c r="AO168" s="114"/>
      <c r="AP168" s="114"/>
      <c r="AQ168" s="114"/>
      <c r="AR168" s="114"/>
      <c r="AS168" s="114"/>
      <c r="AT168" s="114"/>
      <c r="AU168" s="114"/>
      <c r="AV168" s="114"/>
      <c r="AW168" s="114"/>
      <c r="AX168" s="114"/>
      <c r="AY168" s="114"/>
      <c r="AZ168" s="114"/>
      <c r="BA168" s="95"/>
      <c r="BB168" s="96"/>
      <c r="BC168" s="96"/>
      <c r="BD168" s="96"/>
      <c r="BE168" s="96"/>
      <c r="BF168" s="96"/>
      <c r="BG168" s="96"/>
      <c r="BH168" s="96"/>
      <c r="BI168" s="96"/>
      <c r="BJ168" s="96"/>
      <c r="BK168" s="97"/>
      <c r="BL168" s="95" t="s">
        <v>334</v>
      </c>
      <c r="BM168" s="96" t="s">
        <v>334</v>
      </c>
      <c r="BN168" s="95"/>
      <c r="BO168" s="96"/>
      <c r="BP168" s="95"/>
      <c r="BQ168" s="96"/>
      <c r="BR168" s="95"/>
      <c r="BS168" s="98"/>
      <c r="BT168" s="96"/>
      <c r="BU168" s="96"/>
      <c r="BV168" s="95"/>
      <c r="BW168" s="98"/>
      <c r="BX168" s="96"/>
      <c r="BY168" s="96"/>
      <c r="BZ168" s="95"/>
      <c r="CA168" s="98"/>
      <c r="CB168" s="96"/>
      <c r="CC168" s="96"/>
      <c r="CD168" s="95"/>
      <c r="CE168" s="98"/>
      <c r="CF168" s="99"/>
      <c r="CG168" s="95"/>
      <c r="CH168" s="96"/>
      <c r="CI168" s="96"/>
      <c r="CJ168" s="98"/>
    </row>
    <row r="169" spans="1:88" ht="15" customHeight="1">
      <c r="A169" s="178"/>
      <c r="B169" s="106" t="s">
        <v>335</v>
      </c>
      <c r="C169" s="102">
        <f>_xll.ACC(DB,_xll.ArrayDPT($BA169:$BJ169),_xll.ArrayCOA($BL169:$CE169),YR,PRD,_xll.ArrayDIM($CG169:$CJ169))</f>
        <v>-6945.2</v>
      </c>
      <c r="D169" s="94"/>
      <c r="E169" s="102">
        <f>_xll.ACC(DB,_xll.ArrayDPT($BA169:$BJ169),_xll.ArrayCOA($BL169:$CE169),YR,PRD-1,_xll.ArrayDIM($CG169:$CJ169))</f>
        <v>-6945.2</v>
      </c>
      <c r="F169" s="94"/>
      <c r="G169" s="92">
        <f t="shared" si="26"/>
        <v>0</v>
      </c>
      <c r="H169" s="93"/>
      <c r="I169" s="160"/>
      <c r="J169" s="60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  <c r="AA169" s="114"/>
      <c r="AB169" s="114"/>
      <c r="AC169" s="114"/>
      <c r="AD169" s="114"/>
      <c r="AE169" s="114"/>
      <c r="AF169" s="114"/>
      <c r="AG169" s="114"/>
      <c r="AH169" s="114"/>
      <c r="AI169" s="114"/>
      <c r="AJ169" s="114"/>
      <c r="AK169" s="114"/>
      <c r="AL169" s="114"/>
      <c r="AM169" s="114"/>
      <c r="AN169" s="114"/>
      <c r="AO169" s="114"/>
      <c r="AP169" s="114"/>
      <c r="AQ169" s="114"/>
      <c r="AR169" s="114"/>
      <c r="AS169" s="114"/>
      <c r="AT169" s="114"/>
      <c r="AU169" s="114"/>
      <c r="AV169" s="114"/>
      <c r="AW169" s="114"/>
      <c r="AX169" s="114"/>
      <c r="AY169" s="114"/>
      <c r="AZ169" s="114"/>
      <c r="BA169" s="95"/>
      <c r="BB169" s="96"/>
      <c r="BC169" s="96"/>
      <c r="BD169" s="96"/>
      <c r="BE169" s="96"/>
      <c r="BF169" s="96"/>
      <c r="BG169" s="96"/>
      <c r="BH169" s="96"/>
      <c r="BI169" s="96"/>
      <c r="BJ169" s="96"/>
      <c r="BK169" s="97"/>
      <c r="BL169" s="95" t="s">
        <v>336</v>
      </c>
      <c r="BM169" s="96" t="s">
        <v>336</v>
      </c>
      <c r="BN169" s="95"/>
      <c r="BO169" s="96"/>
      <c r="BP169" s="95"/>
      <c r="BQ169" s="96"/>
      <c r="BR169" s="95"/>
      <c r="BS169" s="98"/>
      <c r="BT169" s="96"/>
      <c r="BU169" s="96"/>
      <c r="BV169" s="95"/>
      <c r="BW169" s="98"/>
      <c r="BX169" s="96"/>
      <c r="BY169" s="96"/>
      <c r="BZ169" s="95"/>
      <c r="CA169" s="98"/>
      <c r="CB169" s="96"/>
      <c r="CC169" s="96"/>
      <c r="CD169" s="95"/>
      <c r="CE169" s="98"/>
      <c r="CF169" s="99"/>
      <c r="CG169" s="95"/>
      <c r="CH169" s="96"/>
      <c r="CI169" s="96"/>
      <c r="CJ169" s="98"/>
    </row>
    <row r="170" spans="1:88" ht="15" customHeight="1">
      <c r="A170" s="178"/>
      <c r="B170" s="106" t="s">
        <v>337</v>
      </c>
      <c r="C170" s="102">
        <f>_xll.ACC(DB,_xll.ArrayDPT($BA170:$BJ170),_xll.ArrayCOA($BL170:$CE170),YR,PRD,_xll.ArrayDIM($CG170:$CJ170))</f>
        <v>-251589.98</v>
      </c>
      <c r="D170" s="94"/>
      <c r="E170" s="102">
        <f>_xll.ACC(DB,_xll.ArrayDPT($BA170:$BJ170),_xll.ArrayCOA($BL170:$CE170),YR,PRD-1,_xll.ArrayDIM($CG170:$CJ170))</f>
        <v>-251589.98</v>
      </c>
      <c r="F170" s="94"/>
      <c r="G170" s="92">
        <f t="shared" si="26"/>
        <v>0</v>
      </c>
      <c r="H170" s="93"/>
      <c r="I170" s="160"/>
      <c r="J170" s="60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  <c r="AD170" s="114"/>
      <c r="AE170" s="114"/>
      <c r="AF170" s="114"/>
      <c r="AG170" s="114"/>
      <c r="AH170" s="114"/>
      <c r="AI170" s="114"/>
      <c r="AJ170" s="114"/>
      <c r="AK170" s="114"/>
      <c r="AL170" s="114"/>
      <c r="AM170" s="114"/>
      <c r="AN170" s="114"/>
      <c r="AO170" s="114"/>
      <c r="AP170" s="114"/>
      <c r="AQ170" s="114"/>
      <c r="AR170" s="114"/>
      <c r="AS170" s="114"/>
      <c r="AT170" s="114"/>
      <c r="AU170" s="114"/>
      <c r="AV170" s="114"/>
      <c r="AW170" s="114"/>
      <c r="AX170" s="114"/>
      <c r="AY170" s="114"/>
      <c r="AZ170" s="114"/>
      <c r="BA170" s="95"/>
      <c r="BB170" s="96"/>
      <c r="BC170" s="96"/>
      <c r="BD170" s="96"/>
      <c r="BE170" s="96"/>
      <c r="BF170" s="96"/>
      <c r="BG170" s="96"/>
      <c r="BH170" s="96"/>
      <c r="BI170" s="96"/>
      <c r="BJ170" s="96"/>
      <c r="BK170" s="97"/>
      <c r="BL170" s="95" t="s">
        <v>338</v>
      </c>
      <c r="BM170" s="96" t="s">
        <v>338</v>
      </c>
      <c r="BN170" s="95"/>
      <c r="BO170" s="96"/>
      <c r="BP170" s="95"/>
      <c r="BQ170" s="96"/>
      <c r="BR170" s="95"/>
      <c r="BS170" s="98"/>
      <c r="BT170" s="96"/>
      <c r="BU170" s="96"/>
      <c r="BV170" s="95"/>
      <c r="BW170" s="98"/>
      <c r="BX170" s="96"/>
      <c r="BY170" s="96"/>
      <c r="BZ170" s="95"/>
      <c r="CA170" s="98"/>
      <c r="CB170" s="96"/>
      <c r="CC170" s="96"/>
      <c r="CD170" s="95"/>
      <c r="CE170" s="98"/>
      <c r="CF170" s="99"/>
      <c r="CG170" s="95"/>
      <c r="CH170" s="96"/>
      <c r="CI170" s="96"/>
      <c r="CJ170" s="98"/>
    </row>
    <row r="171" spans="1:88" ht="15" customHeight="1">
      <c r="A171" s="178"/>
      <c r="B171" s="106" t="s">
        <v>339</v>
      </c>
      <c r="C171" s="102">
        <f>_xll.ACC(DB,_xll.ArrayDPT($BA171:$BJ171),_xll.ArrayCOA($BL171:$CE171),YR,PRD,_xll.ArrayDIM($CG171:$CJ171))</f>
        <v>-112242.55</v>
      </c>
      <c r="D171" s="94"/>
      <c r="E171" s="102">
        <f>_xll.ACC(DB,_xll.ArrayDPT($BA171:$BJ171),_xll.ArrayCOA($BL171:$CE171),YR,PRD-1,_xll.ArrayDIM($CG171:$CJ171))</f>
        <v>-112242.55</v>
      </c>
      <c r="F171" s="94"/>
      <c r="G171" s="92">
        <f t="shared" si="26"/>
        <v>0</v>
      </c>
      <c r="H171" s="93"/>
      <c r="I171" s="160"/>
      <c r="J171" s="60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  <c r="AD171" s="114"/>
      <c r="AE171" s="114"/>
      <c r="AF171" s="114"/>
      <c r="AG171" s="114"/>
      <c r="AH171" s="114"/>
      <c r="AI171" s="114"/>
      <c r="AJ171" s="114"/>
      <c r="AK171" s="114"/>
      <c r="AL171" s="114"/>
      <c r="AM171" s="114"/>
      <c r="AN171" s="114"/>
      <c r="AO171" s="114"/>
      <c r="AP171" s="114"/>
      <c r="AQ171" s="114"/>
      <c r="AR171" s="114"/>
      <c r="AS171" s="114"/>
      <c r="AT171" s="114"/>
      <c r="AU171" s="114"/>
      <c r="AV171" s="114"/>
      <c r="AW171" s="114"/>
      <c r="AX171" s="114"/>
      <c r="AY171" s="114"/>
      <c r="AZ171" s="114"/>
      <c r="BA171" s="95"/>
      <c r="BB171" s="96"/>
      <c r="BC171" s="96"/>
      <c r="BD171" s="96"/>
      <c r="BE171" s="96"/>
      <c r="BF171" s="96"/>
      <c r="BG171" s="96"/>
      <c r="BH171" s="96"/>
      <c r="BI171" s="96"/>
      <c r="BJ171" s="96"/>
      <c r="BK171" s="97"/>
      <c r="BL171" s="95" t="s">
        <v>340</v>
      </c>
      <c r="BM171" s="96" t="s">
        <v>340</v>
      </c>
      <c r="BN171" s="95"/>
      <c r="BO171" s="96"/>
      <c r="BP171" s="95"/>
      <c r="BQ171" s="96"/>
      <c r="BR171" s="95"/>
      <c r="BS171" s="98"/>
      <c r="BT171" s="96"/>
      <c r="BU171" s="96"/>
      <c r="BV171" s="95"/>
      <c r="BW171" s="98"/>
      <c r="BX171" s="96"/>
      <c r="BY171" s="96"/>
      <c r="BZ171" s="95"/>
      <c r="CA171" s="98"/>
      <c r="CB171" s="96"/>
      <c r="CC171" s="96"/>
      <c r="CD171" s="95"/>
      <c r="CE171" s="98"/>
      <c r="CF171" s="99"/>
      <c r="CG171" s="95"/>
      <c r="CH171" s="96"/>
      <c r="CI171" s="96"/>
      <c r="CJ171" s="98"/>
    </row>
    <row r="172" spans="1:88" ht="15" customHeight="1">
      <c r="A172" s="178" t="s">
        <v>341</v>
      </c>
      <c r="B172" s="114"/>
      <c r="C172" s="111">
        <f>SUM(C152:C171)</f>
        <v>1892567.3</v>
      </c>
      <c r="D172" s="94"/>
      <c r="E172" s="111">
        <f>SUM(E151:E171)</f>
        <v>1892567.3</v>
      </c>
      <c r="F172" s="94"/>
      <c r="G172" s="111">
        <f>SUM(G151:G171)</f>
        <v>0</v>
      </c>
      <c r="H172" s="93"/>
      <c r="I172" s="201">
        <f>SUM(I151:I171)</f>
        <v>0</v>
      </c>
      <c r="J172" s="60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4"/>
      <c r="AC172" s="114"/>
      <c r="AD172" s="114"/>
      <c r="AE172" s="114"/>
      <c r="AF172" s="114"/>
      <c r="AG172" s="114"/>
      <c r="AH172" s="114"/>
      <c r="AI172" s="114"/>
      <c r="AJ172" s="114"/>
      <c r="AK172" s="114"/>
      <c r="AL172" s="114"/>
      <c r="AM172" s="114"/>
      <c r="AN172" s="114"/>
      <c r="AO172" s="114"/>
      <c r="AP172" s="114"/>
      <c r="AQ172" s="114"/>
      <c r="AR172" s="114"/>
      <c r="AS172" s="114"/>
      <c r="AT172" s="114"/>
      <c r="AU172" s="114"/>
      <c r="AV172" s="114"/>
      <c r="AW172" s="114"/>
      <c r="AX172" s="114"/>
      <c r="AY172" s="114"/>
      <c r="AZ172" s="114"/>
      <c r="BA172" s="95"/>
      <c r="BB172" s="96"/>
      <c r="BC172" s="96"/>
      <c r="BD172" s="96"/>
      <c r="BE172" s="96"/>
      <c r="BF172" s="96"/>
      <c r="BG172" s="96"/>
      <c r="BH172" s="96"/>
      <c r="BI172" s="96"/>
      <c r="BJ172" s="96"/>
      <c r="BK172" s="97"/>
      <c r="BL172" s="95"/>
      <c r="BM172" s="96"/>
      <c r="BN172" s="95"/>
      <c r="BO172" s="96"/>
      <c r="BP172" s="95"/>
      <c r="BQ172" s="96"/>
      <c r="BR172" s="95"/>
      <c r="BS172" s="98"/>
      <c r="BT172" s="96"/>
      <c r="BU172" s="96"/>
      <c r="BV172" s="95"/>
      <c r="BW172" s="98"/>
      <c r="BX172" s="96"/>
      <c r="BY172" s="96"/>
      <c r="BZ172" s="95"/>
      <c r="CA172" s="98"/>
      <c r="CB172" s="96"/>
      <c r="CC172" s="96"/>
      <c r="CD172" s="95"/>
      <c r="CE172" s="98"/>
      <c r="CF172" s="99"/>
      <c r="CG172" s="95"/>
      <c r="CH172" s="96"/>
      <c r="CI172" s="96"/>
      <c r="CJ172" s="98"/>
    </row>
    <row r="173" spans="1:88" ht="15" customHeight="1">
      <c r="A173" s="178"/>
      <c r="B173" s="60" t="s">
        <v>342</v>
      </c>
      <c r="C173" s="102">
        <f>_xll.ACC(DB,_xll.ArrayDPT($BA173:$BJ173),_xll.ArrayCOA($BL173:$CE173),YR,PRD,_xll.ArrayDIM($CG173:$CJ173))</f>
        <v>0</v>
      </c>
      <c r="D173" s="94"/>
      <c r="E173" s="202">
        <f>_xll.ACC(DB,_xll.ArrayDPT($BA173:$BJ173),_xll.ArrayCOA($BL173:$CE173),YR-1,PRD,_xll.ArrayDIM($CG173:$CJ173))</f>
        <v>0</v>
      </c>
      <c r="F173" s="94"/>
      <c r="G173" s="202">
        <f t="shared" ref="G173:G174" si="27">C173-E173</f>
        <v>0</v>
      </c>
      <c r="H173" s="93"/>
      <c r="I173" s="203"/>
      <c r="J173" s="60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  <c r="AA173" s="114"/>
      <c r="AB173" s="114"/>
      <c r="AC173" s="114"/>
      <c r="AD173" s="114"/>
      <c r="AE173" s="114"/>
      <c r="AF173" s="114"/>
      <c r="AG173" s="114"/>
      <c r="AH173" s="114"/>
      <c r="AI173" s="114"/>
      <c r="AJ173" s="114"/>
      <c r="AK173" s="114"/>
      <c r="AL173" s="114"/>
      <c r="AM173" s="114"/>
      <c r="AN173" s="114"/>
      <c r="AO173" s="114"/>
      <c r="AP173" s="114"/>
      <c r="AQ173" s="114"/>
      <c r="AR173" s="114"/>
      <c r="AS173" s="114"/>
      <c r="AT173" s="114"/>
      <c r="AU173" s="114"/>
      <c r="AV173" s="114"/>
      <c r="AW173" s="114"/>
      <c r="AX173" s="114"/>
      <c r="AY173" s="114"/>
      <c r="AZ173" s="114"/>
      <c r="BA173" s="95"/>
      <c r="BB173" s="96"/>
      <c r="BC173" s="96"/>
      <c r="BD173" s="96"/>
      <c r="BE173" s="96"/>
      <c r="BF173" s="96"/>
      <c r="BG173" s="96"/>
      <c r="BH173" s="96"/>
      <c r="BI173" s="96"/>
      <c r="BJ173" s="96"/>
      <c r="BK173" s="97"/>
      <c r="BL173" s="95"/>
      <c r="BM173" s="96"/>
      <c r="BN173" s="95"/>
      <c r="BO173" s="96"/>
      <c r="BP173" s="95"/>
      <c r="BQ173" s="96"/>
      <c r="BR173" s="95"/>
      <c r="BS173" s="98"/>
      <c r="BT173" s="96"/>
      <c r="BU173" s="96"/>
      <c r="BV173" s="95"/>
      <c r="BW173" s="98"/>
      <c r="BX173" s="96"/>
      <c r="BY173" s="96"/>
      <c r="BZ173" s="95"/>
      <c r="CA173" s="98"/>
      <c r="CB173" s="96"/>
      <c r="CC173" s="96"/>
      <c r="CD173" s="95"/>
      <c r="CE173" s="98"/>
      <c r="CF173" s="99"/>
      <c r="CG173" s="95"/>
      <c r="CH173" s="96"/>
      <c r="CI173" s="96"/>
      <c r="CJ173" s="98"/>
    </row>
    <row r="174" spans="1:88" ht="15" customHeight="1">
      <c r="A174" s="178" t="s">
        <v>343</v>
      </c>
      <c r="B174" s="106"/>
      <c r="C174" s="111">
        <f>C127+C137</f>
        <v>2049680.01</v>
      </c>
      <c r="D174" s="94"/>
      <c r="E174" s="204">
        <f>E127+E137</f>
        <v>2076956.01</v>
      </c>
      <c r="F174" s="94"/>
      <c r="G174" s="204">
        <f t="shared" si="27"/>
        <v>-27276</v>
      </c>
      <c r="H174" s="127"/>
      <c r="I174" s="205">
        <f>IF(G174=0,0,(G174*100/$G$174))</f>
        <v>100</v>
      </c>
      <c r="J174" s="179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  <c r="AA174" s="114"/>
      <c r="AB174" s="114"/>
      <c r="AC174" s="114"/>
      <c r="AD174" s="114"/>
      <c r="AE174" s="114"/>
      <c r="AF174" s="114"/>
      <c r="AG174" s="114"/>
      <c r="AH174" s="114"/>
      <c r="AI174" s="114"/>
      <c r="AJ174" s="114"/>
      <c r="AK174" s="114"/>
      <c r="AL174" s="114"/>
      <c r="AM174" s="114"/>
      <c r="AN174" s="114"/>
      <c r="AO174" s="114"/>
      <c r="AP174" s="114"/>
      <c r="AQ174" s="114"/>
      <c r="AR174" s="114"/>
      <c r="AS174" s="114"/>
      <c r="AT174" s="114"/>
      <c r="AU174" s="114"/>
      <c r="AV174" s="114"/>
      <c r="AW174" s="114"/>
      <c r="AX174" s="114"/>
      <c r="AY174" s="114"/>
      <c r="AZ174" s="114"/>
      <c r="BA174" s="95"/>
      <c r="BB174" s="96"/>
      <c r="BC174" s="96"/>
      <c r="BD174" s="96"/>
      <c r="BE174" s="96"/>
      <c r="BF174" s="96"/>
      <c r="BG174" s="96"/>
      <c r="BH174" s="96"/>
      <c r="BI174" s="96"/>
      <c r="BJ174" s="96"/>
      <c r="BK174" s="97"/>
      <c r="BL174" s="95"/>
      <c r="BM174" s="96"/>
      <c r="BN174" s="95"/>
      <c r="BO174" s="96"/>
      <c r="BP174" s="95"/>
      <c r="BQ174" s="96"/>
      <c r="BR174" s="95"/>
      <c r="BS174" s="98"/>
      <c r="BT174" s="96"/>
      <c r="BU174" s="96"/>
      <c r="BV174" s="95"/>
      <c r="BW174" s="98"/>
      <c r="BX174" s="96"/>
      <c r="BY174" s="96"/>
      <c r="BZ174" s="95"/>
      <c r="CA174" s="98"/>
      <c r="CB174" s="96"/>
      <c r="CC174" s="96"/>
      <c r="CD174" s="95"/>
      <c r="CE174" s="98"/>
      <c r="CF174" s="99"/>
      <c r="CG174" s="95"/>
      <c r="CH174" s="96"/>
      <c r="CI174" s="96"/>
      <c r="CJ174" s="98"/>
    </row>
    <row r="175" spans="1:88" ht="15" customHeight="1">
      <c r="A175" s="178"/>
      <c r="B175" s="106"/>
      <c r="C175" s="92"/>
      <c r="D175" s="94"/>
      <c r="E175" s="92"/>
      <c r="F175" s="94"/>
      <c r="G175" s="92"/>
      <c r="H175" s="127"/>
      <c r="I175" s="160"/>
      <c r="J175" s="60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  <c r="AA175" s="114"/>
      <c r="AB175" s="114"/>
      <c r="AC175" s="114"/>
      <c r="AD175" s="114"/>
      <c r="AE175" s="114"/>
      <c r="AF175" s="114"/>
      <c r="AG175" s="114"/>
      <c r="AH175" s="114"/>
      <c r="AI175" s="114"/>
      <c r="AJ175" s="114"/>
      <c r="AK175" s="114"/>
      <c r="AL175" s="114"/>
      <c r="AM175" s="114"/>
      <c r="AN175" s="114"/>
      <c r="AO175" s="114"/>
      <c r="AP175" s="114"/>
      <c r="AQ175" s="114"/>
      <c r="AR175" s="114"/>
      <c r="AS175" s="114"/>
      <c r="AT175" s="114"/>
      <c r="AU175" s="114"/>
      <c r="AV175" s="114"/>
      <c r="AW175" s="114"/>
      <c r="AX175" s="114"/>
      <c r="AY175" s="114"/>
      <c r="AZ175" s="114"/>
      <c r="BA175" s="95"/>
      <c r="BB175" s="96"/>
      <c r="BC175" s="96"/>
      <c r="BD175" s="96"/>
      <c r="BE175" s="96"/>
      <c r="BF175" s="96"/>
      <c r="BG175" s="96"/>
      <c r="BH175" s="96"/>
      <c r="BI175" s="96"/>
      <c r="BJ175" s="96"/>
      <c r="BK175" s="97"/>
      <c r="BL175" s="95"/>
      <c r="BM175" s="96"/>
      <c r="BN175" s="95"/>
      <c r="BO175" s="96"/>
      <c r="BP175" s="95"/>
      <c r="BQ175" s="96"/>
      <c r="BR175" s="95"/>
      <c r="BS175" s="98"/>
      <c r="BT175" s="96"/>
      <c r="BU175" s="96"/>
      <c r="BV175" s="95"/>
      <c r="BW175" s="98"/>
      <c r="BX175" s="96"/>
      <c r="BY175" s="96"/>
      <c r="BZ175" s="95"/>
      <c r="CA175" s="98"/>
      <c r="CB175" s="96"/>
      <c r="CC175" s="96"/>
      <c r="CD175" s="95"/>
      <c r="CE175" s="98"/>
      <c r="CF175" s="99"/>
      <c r="CG175" s="95"/>
      <c r="CH175" s="96"/>
      <c r="CI175" s="96"/>
      <c r="CJ175" s="98"/>
    </row>
    <row r="176" spans="1:88" ht="15" customHeight="1">
      <c r="A176" s="178" t="s">
        <v>344</v>
      </c>
      <c r="B176" s="106"/>
      <c r="C176" s="102"/>
      <c r="D176" s="104"/>
      <c r="E176" s="102"/>
      <c r="F176" s="104"/>
      <c r="G176" s="102"/>
      <c r="H176" s="117"/>
      <c r="I176" s="153"/>
      <c r="J176" s="60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  <c r="AA176" s="114"/>
      <c r="AB176" s="114"/>
      <c r="AC176" s="114"/>
      <c r="AD176" s="114"/>
      <c r="AE176" s="114"/>
      <c r="AF176" s="114"/>
      <c r="AG176" s="114"/>
      <c r="AH176" s="114"/>
      <c r="AI176" s="114"/>
      <c r="AJ176" s="114"/>
      <c r="AK176" s="114"/>
      <c r="AL176" s="114"/>
      <c r="AM176" s="114"/>
      <c r="AN176" s="114"/>
      <c r="AO176" s="114"/>
      <c r="AP176" s="114"/>
      <c r="AQ176" s="114"/>
      <c r="AR176" s="114"/>
      <c r="AS176" s="114"/>
      <c r="AT176" s="114"/>
      <c r="AU176" s="114"/>
      <c r="AV176" s="114"/>
      <c r="AW176" s="114"/>
      <c r="AX176" s="114"/>
      <c r="AY176" s="114"/>
      <c r="AZ176" s="114"/>
      <c r="BA176" s="95"/>
      <c r="BB176" s="96"/>
      <c r="BC176" s="96"/>
      <c r="BD176" s="96"/>
      <c r="BE176" s="96"/>
      <c r="BF176" s="96"/>
      <c r="BG176" s="96"/>
      <c r="BH176" s="96"/>
      <c r="BI176" s="96"/>
      <c r="BJ176" s="96"/>
      <c r="BK176" s="97"/>
      <c r="BL176" s="95"/>
      <c r="BM176" s="96"/>
      <c r="BN176" s="95"/>
      <c r="BO176" s="96"/>
      <c r="BP176" s="95"/>
      <c r="BQ176" s="96"/>
      <c r="BR176" s="95"/>
      <c r="BS176" s="98"/>
      <c r="BT176" s="96"/>
      <c r="BU176" s="96"/>
      <c r="BV176" s="95"/>
      <c r="BW176" s="98"/>
      <c r="BX176" s="96"/>
      <c r="BY176" s="96"/>
      <c r="BZ176" s="95"/>
      <c r="CA176" s="98"/>
      <c r="CB176" s="96"/>
      <c r="CC176" s="96"/>
      <c r="CD176" s="95"/>
      <c r="CE176" s="98"/>
      <c r="CF176" s="99"/>
      <c r="CG176" s="95"/>
      <c r="CH176" s="96"/>
      <c r="CI176" s="96"/>
      <c r="CJ176" s="98"/>
    </row>
    <row r="177" spans="1:88" ht="12" customHeight="1">
      <c r="A177" s="110"/>
      <c r="B177" s="106" t="s">
        <v>345</v>
      </c>
      <c r="C177" s="102">
        <f>_xll.ACC(DB,_xll.ArrayDPT($BA177:$BJ177),_xll.ArrayCOA($BL177:$CE177),YR,PRD,_xll.ArrayDIM($CG177:$CJ177))</f>
        <v>232185.61</v>
      </c>
      <c r="D177" s="104"/>
      <c r="E177" s="102">
        <f>_xll.ACC(DB,_xll.ArrayDPT($BA177:$BJ177),_xll.ArrayCOA($BL177:$CE177),YR,PRD-1,_xll.ArrayDIM($CG177:$CJ177))</f>
        <v>232185.61</v>
      </c>
      <c r="F177" s="104"/>
      <c r="G177" s="102">
        <f t="shared" ref="G177:G204" si="28">C177-E177</f>
        <v>0</v>
      </c>
      <c r="H177" s="117"/>
      <c r="I177" s="156">
        <f t="shared" ref="I177:I202" si="29">IF(G177=0,0,(G177*100/$G$202))</f>
        <v>0</v>
      </c>
      <c r="J177" s="60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  <c r="AA177" s="114"/>
      <c r="AB177" s="114"/>
      <c r="AC177" s="114"/>
      <c r="AD177" s="114"/>
      <c r="AE177" s="114"/>
      <c r="AF177" s="114"/>
      <c r="AG177" s="114"/>
      <c r="AH177" s="114"/>
      <c r="AI177" s="114"/>
      <c r="AJ177" s="114"/>
      <c r="AK177" s="114"/>
      <c r="AL177" s="114"/>
      <c r="AM177" s="114"/>
      <c r="AN177" s="114"/>
      <c r="AO177" s="114"/>
      <c r="AP177" s="114"/>
      <c r="AQ177" s="114"/>
      <c r="AR177" s="114"/>
      <c r="AS177" s="114"/>
      <c r="AT177" s="114"/>
      <c r="AU177" s="114"/>
      <c r="AV177" s="114"/>
      <c r="AW177" s="114"/>
      <c r="AX177" s="114"/>
      <c r="AY177" s="114"/>
      <c r="AZ177" s="114"/>
      <c r="BA177" s="95"/>
      <c r="BB177" s="96"/>
      <c r="BC177" s="96"/>
      <c r="BD177" s="96"/>
      <c r="BE177" s="96"/>
      <c r="BF177" s="96"/>
      <c r="BG177" s="96"/>
      <c r="BH177" s="96"/>
      <c r="BI177" s="96"/>
      <c r="BJ177" s="96"/>
      <c r="BK177" s="97"/>
      <c r="BL177" s="95" t="s">
        <v>346</v>
      </c>
      <c r="BM177" s="96" t="s">
        <v>346</v>
      </c>
      <c r="BN177" s="95"/>
      <c r="BO177" s="96"/>
      <c r="BP177" s="95"/>
      <c r="BQ177" s="96"/>
      <c r="BR177" s="95"/>
      <c r="BS177" s="98"/>
      <c r="BT177" s="96"/>
      <c r="BU177" s="96"/>
      <c r="BV177" s="95"/>
      <c r="BW177" s="98"/>
      <c r="BX177" s="96"/>
      <c r="BY177" s="96"/>
      <c r="BZ177" s="95"/>
      <c r="CA177" s="98"/>
      <c r="CB177" s="96"/>
      <c r="CC177" s="96"/>
      <c r="CD177" s="95"/>
      <c r="CE177" s="98"/>
      <c r="CF177" s="99"/>
      <c r="CG177" s="95"/>
      <c r="CH177" s="96"/>
      <c r="CI177" s="96"/>
      <c r="CJ177" s="98"/>
    </row>
    <row r="178" spans="1:88" ht="11.25" customHeight="1">
      <c r="A178" s="181"/>
      <c r="B178" s="106" t="s">
        <v>347</v>
      </c>
      <c r="C178" s="102">
        <f>_xll.ACC(DB,_xll.ArrayDPT($BA178:$BJ178),_xll.ArrayCOA($BL178:$CE178),YR,PRD,_xll.ArrayDIM($CG178:$CJ178))</f>
        <v>187611.21</v>
      </c>
      <c r="D178" s="104"/>
      <c r="E178" s="102">
        <f>_xll.ACC(DB,_xll.ArrayDPT($BA178:$BJ178),_xll.ArrayCOA($BL178:$CE178),YR,PRD-1,_xll.ArrayDIM($CG178:$CJ178))</f>
        <v>187611.21</v>
      </c>
      <c r="F178" s="104"/>
      <c r="G178" s="102">
        <f t="shared" si="28"/>
        <v>0</v>
      </c>
      <c r="H178" s="107"/>
      <c r="I178" s="156">
        <f t="shared" si="29"/>
        <v>0</v>
      </c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95"/>
      <c r="BB178" s="96"/>
      <c r="BC178" s="96"/>
      <c r="BD178" s="96"/>
      <c r="BE178" s="96"/>
      <c r="BF178" s="96"/>
      <c r="BG178" s="96"/>
      <c r="BH178" s="96"/>
      <c r="BI178" s="96"/>
      <c r="BJ178" s="96"/>
      <c r="BK178" s="97"/>
      <c r="BL178" s="95" t="s">
        <v>348</v>
      </c>
      <c r="BM178" s="96" t="s">
        <v>348</v>
      </c>
      <c r="BN178" s="95"/>
      <c r="BO178" s="96"/>
      <c r="BP178" s="95"/>
      <c r="BQ178" s="96"/>
      <c r="BR178" s="95"/>
      <c r="BS178" s="98"/>
      <c r="BT178" s="96"/>
      <c r="BU178" s="96"/>
      <c r="BV178" s="95"/>
      <c r="BW178" s="98"/>
      <c r="BX178" s="96"/>
      <c r="BY178" s="96"/>
      <c r="BZ178" s="95"/>
      <c r="CA178" s="98"/>
      <c r="CB178" s="96"/>
      <c r="CC178" s="96"/>
      <c r="CD178" s="95"/>
      <c r="CE178" s="98"/>
      <c r="CF178" s="99"/>
      <c r="CG178" s="95"/>
      <c r="CH178" s="96"/>
      <c r="CI178" s="96"/>
      <c r="CJ178" s="98"/>
    </row>
    <row r="179" spans="1:88" ht="11.25" customHeight="1">
      <c r="A179" s="110"/>
      <c r="B179" s="106" t="s">
        <v>349</v>
      </c>
      <c r="C179" s="102">
        <f>_xll.ACC(DB,_xll.ArrayDPT($BA179:$BJ179),_xll.ArrayCOA($BL179:$CE179),YR,PRD,_xll.ArrayDIM($CG179:$CJ179))</f>
        <v>126300</v>
      </c>
      <c r="D179" s="104"/>
      <c r="E179" s="102">
        <f>_xll.ACC(DB,_xll.ArrayDPT($BA179:$BJ179),_xll.ArrayCOA($BL179:$CE179),YR,PRD-1,_xll.ArrayDIM($CG179:$CJ179))</f>
        <v>51300</v>
      </c>
      <c r="F179" s="104"/>
      <c r="G179" s="102">
        <f t="shared" si="28"/>
        <v>75000</v>
      </c>
      <c r="H179" s="117"/>
      <c r="I179" s="156">
        <f t="shared" si="29"/>
        <v>57.593517089417269</v>
      </c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95"/>
      <c r="BB179" s="96"/>
      <c r="BC179" s="96"/>
      <c r="BD179" s="96"/>
      <c r="BE179" s="96"/>
      <c r="BF179" s="96"/>
      <c r="BG179" s="96"/>
      <c r="BH179" s="96"/>
      <c r="BI179" s="96"/>
      <c r="BJ179" s="96"/>
      <c r="BK179" s="97"/>
      <c r="BL179" s="95" t="s">
        <v>350</v>
      </c>
      <c r="BM179" s="96" t="s">
        <v>350</v>
      </c>
      <c r="BN179" s="95"/>
      <c r="BO179" s="96"/>
      <c r="BP179" s="95"/>
      <c r="BQ179" s="96"/>
      <c r="BR179" s="95"/>
      <c r="BS179" s="98"/>
      <c r="BT179" s="96"/>
      <c r="BU179" s="96"/>
      <c r="BV179" s="95"/>
      <c r="BW179" s="98"/>
      <c r="BX179" s="96"/>
      <c r="BY179" s="96"/>
      <c r="BZ179" s="95"/>
      <c r="CA179" s="98"/>
      <c r="CB179" s="96"/>
      <c r="CC179" s="96"/>
      <c r="CD179" s="95"/>
      <c r="CE179" s="98"/>
      <c r="CF179" s="99"/>
      <c r="CG179" s="95"/>
      <c r="CH179" s="96"/>
      <c r="CI179" s="96"/>
      <c r="CJ179" s="98"/>
    </row>
    <row r="180" spans="1:88" ht="11.25" customHeight="1">
      <c r="A180" s="110"/>
      <c r="B180" s="106" t="s">
        <v>351</v>
      </c>
      <c r="C180" s="102">
        <f>_xll.ACC(DB,_xll.ArrayDPT($BA180:$BJ180),_xll.ArrayCOA($BL180:$CE180),YR,PRD,_xll.ArrayDIM($CG180:$CJ180))</f>
        <v>16794.39</v>
      </c>
      <c r="D180" s="104"/>
      <c r="E180" s="102">
        <f>_xll.ACC(DB,_xll.ArrayDPT($BA180:$BJ180),_xll.ArrayCOA($BL180:$CE180),YR,PRD-1,_xll.ArrayDIM($CG180:$CJ180))</f>
        <v>16794.39</v>
      </c>
      <c r="F180" s="104"/>
      <c r="G180" s="102">
        <f t="shared" si="28"/>
        <v>0</v>
      </c>
      <c r="H180" s="117"/>
      <c r="I180" s="156">
        <f t="shared" si="29"/>
        <v>0</v>
      </c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95"/>
      <c r="BB180" s="96"/>
      <c r="BC180" s="96"/>
      <c r="BD180" s="96"/>
      <c r="BE180" s="96"/>
      <c r="BF180" s="96"/>
      <c r="BG180" s="96"/>
      <c r="BH180" s="96"/>
      <c r="BI180" s="96"/>
      <c r="BJ180" s="96"/>
      <c r="BK180" s="97"/>
      <c r="BL180" s="95" t="s">
        <v>352</v>
      </c>
      <c r="BM180" s="96" t="s">
        <v>352</v>
      </c>
      <c r="BN180" s="95"/>
      <c r="BO180" s="96"/>
      <c r="BP180" s="95"/>
      <c r="BQ180" s="96"/>
      <c r="BR180" s="95"/>
      <c r="BS180" s="98"/>
      <c r="BT180" s="96"/>
      <c r="BU180" s="96"/>
      <c r="BV180" s="95"/>
      <c r="BW180" s="98"/>
      <c r="BX180" s="96"/>
      <c r="BY180" s="96"/>
      <c r="BZ180" s="95"/>
      <c r="CA180" s="98"/>
      <c r="CB180" s="96"/>
      <c r="CC180" s="96"/>
      <c r="CD180" s="95"/>
      <c r="CE180" s="98"/>
      <c r="CF180" s="99"/>
      <c r="CG180" s="95"/>
      <c r="CH180" s="96"/>
      <c r="CI180" s="96"/>
      <c r="CJ180" s="98"/>
    </row>
    <row r="181" spans="1:88" ht="11.25" customHeight="1">
      <c r="A181" s="110"/>
      <c r="B181" s="106" t="s">
        <v>353</v>
      </c>
      <c r="C181" s="102">
        <f>_xll.ACC(DB,_xll.ArrayDPT($BA181:$BJ181),_xll.ArrayCOA($BL181:$CE181),YR,PRD,_xll.ArrayDIM($CG181:$CJ181))</f>
        <v>68780.800000000003</v>
      </c>
      <c r="D181" s="104"/>
      <c r="E181" s="102">
        <f>_xll.ACC(DB,_xll.ArrayDPT($BA181:$BJ181),_xll.ArrayCOA($BL181:$CE181),YR,PRD-1,_xll.ArrayDIM($CG181:$CJ181))</f>
        <v>68780.800000000003</v>
      </c>
      <c r="F181" s="104"/>
      <c r="G181" s="102">
        <f t="shared" si="28"/>
        <v>0</v>
      </c>
      <c r="H181" s="117"/>
      <c r="I181" s="156">
        <f t="shared" si="29"/>
        <v>0</v>
      </c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95"/>
      <c r="BB181" s="96"/>
      <c r="BC181" s="96"/>
      <c r="BD181" s="96"/>
      <c r="BE181" s="96"/>
      <c r="BF181" s="96"/>
      <c r="BG181" s="96"/>
      <c r="BH181" s="96"/>
      <c r="BI181" s="96"/>
      <c r="BJ181" s="96"/>
      <c r="BK181" s="97"/>
      <c r="BL181" s="95" t="s">
        <v>354</v>
      </c>
      <c r="BM181" s="96" t="s">
        <v>354</v>
      </c>
      <c r="BN181" s="95"/>
      <c r="BO181" s="96"/>
      <c r="BP181" s="95"/>
      <c r="BQ181" s="96"/>
      <c r="BR181" s="95"/>
      <c r="BS181" s="98"/>
      <c r="BT181" s="96"/>
      <c r="BU181" s="96"/>
      <c r="BV181" s="95"/>
      <c r="BW181" s="98"/>
      <c r="BX181" s="96"/>
      <c r="BY181" s="96"/>
      <c r="BZ181" s="95"/>
      <c r="CA181" s="98"/>
      <c r="CB181" s="96"/>
      <c r="CC181" s="96"/>
      <c r="CD181" s="95"/>
      <c r="CE181" s="98"/>
      <c r="CF181" s="99"/>
      <c r="CG181" s="95"/>
      <c r="CH181" s="96"/>
      <c r="CI181" s="96"/>
      <c r="CJ181" s="98"/>
    </row>
    <row r="182" spans="1:88" ht="11.25" customHeight="1">
      <c r="A182" s="110"/>
      <c r="B182" s="106" t="s">
        <v>355</v>
      </c>
      <c r="C182" s="102">
        <f>_xll.ACC(DB,_xll.ArrayDPT($BA182:$BJ182),_xll.ArrayCOA($BL182:$CE182),YR,PRD,_xll.ArrayDIM($CG182:$CJ182))</f>
        <v>205314.71</v>
      </c>
      <c r="D182" s="104"/>
      <c r="E182" s="102">
        <f>_xll.ACC(DB,_xll.ArrayDPT($BA182:$BJ182),_xll.ArrayCOA($BL182:$CE182),YR,PRD-1,_xll.ArrayDIM($CG182:$CJ182))</f>
        <v>187814.71</v>
      </c>
      <c r="F182" s="104"/>
      <c r="G182" s="102">
        <f t="shared" si="28"/>
        <v>17500</v>
      </c>
      <c r="H182" s="117"/>
      <c r="I182" s="156">
        <f t="shared" si="29"/>
        <v>13.438487320864029</v>
      </c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95"/>
      <c r="BB182" s="96"/>
      <c r="BC182" s="96"/>
      <c r="BD182" s="96"/>
      <c r="BE182" s="96"/>
      <c r="BF182" s="96"/>
      <c r="BG182" s="96"/>
      <c r="BH182" s="96"/>
      <c r="BI182" s="96"/>
      <c r="BJ182" s="96"/>
      <c r="BK182" s="97"/>
      <c r="BL182" s="95" t="s">
        <v>356</v>
      </c>
      <c r="BM182" s="96" t="s">
        <v>356</v>
      </c>
      <c r="BN182" s="95"/>
      <c r="BO182" s="96"/>
      <c r="BP182" s="95"/>
      <c r="BQ182" s="96"/>
      <c r="BR182" s="95"/>
      <c r="BS182" s="98"/>
      <c r="BT182" s="96"/>
      <c r="BU182" s="96"/>
      <c r="BV182" s="95"/>
      <c r="BW182" s="98"/>
      <c r="BX182" s="96"/>
      <c r="BY182" s="96"/>
      <c r="BZ182" s="95"/>
      <c r="CA182" s="98"/>
      <c r="CB182" s="96"/>
      <c r="CC182" s="96"/>
      <c r="CD182" s="95"/>
      <c r="CE182" s="98"/>
      <c r="CF182" s="99"/>
      <c r="CG182" s="95"/>
      <c r="CH182" s="96"/>
      <c r="CI182" s="96"/>
      <c r="CJ182" s="98"/>
    </row>
    <row r="183" spans="1:88" ht="11.25" customHeight="1">
      <c r="A183" s="110"/>
      <c r="B183" s="106" t="s">
        <v>357</v>
      </c>
      <c r="C183" s="102">
        <f>_xll.ACC(DB,_xll.ArrayDPT($BA183:$BJ183),_xll.ArrayCOA($BL183:$CE183),YR,PRD,_xll.ArrayDIM($CG183:$CJ183))</f>
        <v>245841.32</v>
      </c>
      <c r="D183" s="104"/>
      <c r="E183" s="102">
        <f>_xll.ACC(DB,_xll.ArrayDPT($BA183:$BJ183),_xll.ArrayCOA($BL183:$CE183),YR,PRD-1,_xll.ArrayDIM($CG183:$CJ183))</f>
        <v>240061.32</v>
      </c>
      <c r="F183" s="104"/>
      <c r="G183" s="102">
        <f t="shared" si="28"/>
        <v>5780</v>
      </c>
      <c r="H183" s="117"/>
      <c r="I183" s="156">
        <f t="shared" si="29"/>
        <v>4.4385403836910911</v>
      </c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95"/>
      <c r="BB183" s="96"/>
      <c r="BC183" s="96"/>
      <c r="BD183" s="96"/>
      <c r="BE183" s="96"/>
      <c r="BF183" s="96"/>
      <c r="BG183" s="96"/>
      <c r="BH183" s="96"/>
      <c r="BI183" s="96"/>
      <c r="BJ183" s="96"/>
      <c r="BK183" s="97"/>
      <c r="BL183" s="95" t="s">
        <v>358</v>
      </c>
      <c r="BM183" s="96" t="s">
        <v>358</v>
      </c>
      <c r="BN183" s="95"/>
      <c r="BO183" s="96"/>
      <c r="BP183" s="95"/>
      <c r="BQ183" s="96"/>
      <c r="BR183" s="95"/>
      <c r="BS183" s="98"/>
      <c r="BT183" s="96"/>
      <c r="BU183" s="96"/>
      <c r="BV183" s="95"/>
      <c r="BW183" s="98"/>
      <c r="BX183" s="96"/>
      <c r="BY183" s="96"/>
      <c r="BZ183" s="95"/>
      <c r="CA183" s="98"/>
      <c r="CB183" s="96"/>
      <c r="CC183" s="96"/>
      <c r="CD183" s="95"/>
      <c r="CE183" s="98"/>
      <c r="CF183" s="99"/>
      <c r="CG183" s="95"/>
      <c r="CH183" s="96"/>
      <c r="CI183" s="96"/>
      <c r="CJ183" s="98"/>
    </row>
    <row r="184" spans="1:88" ht="11.25" customHeight="1">
      <c r="A184" s="110"/>
      <c r="B184" s="106" t="s">
        <v>359</v>
      </c>
      <c r="C184" s="102">
        <f>_xll.ACC(DB,_xll.ArrayDPT($BA184:$BJ184),_xll.ArrayCOA($BL184:$CE184),YR,PRD,_xll.ArrayDIM($CG184:$CJ184))</f>
        <v>1075088.79</v>
      </c>
      <c r="D184" s="104"/>
      <c r="E184" s="102">
        <f>_xll.ACC(DB,_xll.ArrayDPT($BA184:$BJ184),_xll.ArrayCOA($BL184:$CE184),YR,PRD-1,_xll.ArrayDIM($CG184:$CJ184))</f>
        <v>1051088.79</v>
      </c>
      <c r="F184" s="104"/>
      <c r="G184" s="102">
        <f t="shared" si="28"/>
        <v>24000</v>
      </c>
      <c r="H184" s="117"/>
      <c r="I184" s="156">
        <f t="shared" si="29"/>
        <v>18.429925468613526</v>
      </c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95"/>
      <c r="BB184" s="96"/>
      <c r="BC184" s="96"/>
      <c r="BD184" s="96"/>
      <c r="BE184" s="96"/>
      <c r="BF184" s="96"/>
      <c r="BG184" s="96"/>
      <c r="BH184" s="96"/>
      <c r="BI184" s="96"/>
      <c r="BJ184" s="96"/>
      <c r="BK184" s="97"/>
      <c r="BL184" s="95" t="s">
        <v>360</v>
      </c>
      <c r="BM184" s="96" t="s">
        <v>360</v>
      </c>
      <c r="BN184" s="95"/>
      <c r="BO184" s="96"/>
      <c r="BP184" s="95"/>
      <c r="BQ184" s="96"/>
      <c r="BR184" s="95"/>
      <c r="BS184" s="98"/>
      <c r="BT184" s="96"/>
      <c r="BU184" s="96"/>
      <c r="BV184" s="95"/>
      <c r="BW184" s="98"/>
      <c r="BX184" s="96"/>
      <c r="BY184" s="96"/>
      <c r="BZ184" s="95"/>
      <c r="CA184" s="98"/>
      <c r="CB184" s="96"/>
      <c r="CC184" s="96"/>
      <c r="CD184" s="95"/>
      <c r="CE184" s="98"/>
      <c r="CF184" s="99"/>
      <c r="CG184" s="95"/>
      <c r="CH184" s="96"/>
      <c r="CI184" s="96"/>
      <c r="CJ184" s="98"/>
    </row>
    <row r="185" spans="1:88" ht="11.25" customHeight="1">
      <c r="A185" s="110"/>
      <c r="B185" s="106" t="s">
        <v>361</v>
      </c>
      <c r="C185" s="102">
        <f>_xll.ACC(DB,_xll.ArrayDPT($BA185:$BJ185),_xll.ArrayCOA($BL185:$CE185),YR,PRD,_xll.ArrayDIM($CG185:$CJ185))</f>
        <v>58354.7</v>
      </c>
      <c r="D185" s="104"/>
      <c r="E185" s="102">
        <f>_xll.ACC(DB,_xll.ArrayDPT($BA185:$BJ185),_xll.ArrayCOA($BL185:$CE185),YR,PRD-1,_xll.ArrayDIM($CG185:$CJ185))</f>
        <v>58354.7</v>
      </c>
      <c r="F185" s="104"/>
      <c r="G185" s="102">
        <f t="shared" si="28"/>
        <v>0</v>
      </c>
      <c r="H185" s="117"/>
      <c r="I185" s="156">
        <f t="shared" si="29"/>
        <v>0</v>
      </c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95"/>
      <c r="BB185" s="96"/>
      <c r="BC185" s="96"/>
      <c r="BD185" s="96"/>
      <c r="BE185" s="96"/>
      <c r="BF185" s="96"/>
      <c r="BG185" s="96"/>
      <c r="BH185" s="96"/>
      <c r="BI185" s="96"/>
      <c r="BJ185" s="96"/>
      <c r="BK185" s="97"/>
      <c r="BL185" s="95" t="s">
        <v>362</v>
      </c>
      <c r="BM185" s="96" t="s">
        <v>362</v>
      </c>
      <c r="BN185" s="95"/>
      <c r="BO185" s="96"/>
      <c r="BP185" s="95"/>
      <c r="BQ185" s="96"/>
      <c r="BR185" s="95"/>
      <c r="BS185" s="98"/>
      <c r="BT185" s="96"/>
      <c r="BU185" s="96"/>
      <c r="BV185" s="95"/>
      <c r="BW185" s="98"/>
      <c r="BX185" s="96"/>
      <c r="BY185" s="96"/>
      <c r="BZ185" s="95"/>
      <c r="CA185" s="98"/>
      <c r="CB185" s="96"/>
      <c r="CC185" s="96"/>
      <c r="CD185" s="95"/>
      <c r="CE185" s="98"/>
      <c r="CF185" s="99"/>
      <c r="CG185" s="95"/>
      <c r="CH185" s="96"/>
      <c r="CI185" s="96"/>
      <c r="CJ185" s="98"/>
    </row>
    <row r="186" spans="1:88" ht="11.25" customHeight="1">
      <c r="A186" s="110"/>
      <c r="B186" s="106" t="s">
        <v>363</v>
      </c>
      <c r="C186" s="102">
        <f>_xll.ACC(DB,_xll.ArrayDPT($BA186:$BJ186),_xll.ArrayCOA($BL186:$CE186),YR,PRD,_xll.ArrayDIM($CG186:$CJ186))</f>
        <v>15700</v>
      </c>
      <c r="D186" s="104"/>
      <c r="E186" s="102">
        <f>_xll.ACC(DB,_xll.ArrayDPT($BA186:$BJ186),_xll.ArrayCOA($BL186:$CE186),YR,PRD-1,_xll.ArrayDIM($CG186:$CJ186))</f>
        <v>15700</v>
      </c>
      <c r="F186" s="104"/>
      <c r="G186" s="102">
        <f t="shared" si="28"/>
        <v>0</v>
      </c>
      <c r="H186" s="117"/>
      <c r="I186" s="156">
        <f t="shared" si="29"/>
        <v>0</v>
      </c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95"/>
      <c r="BB186" s="96"/>
      <c r="BC186" s="96"/>
      <c r="BD186" s="96"/>
      <c r="BE186" s="96"/>
      <c r="BF186" s="96"/>
      <c r="BG186" s="96"/>
      <c r="BH186" s="96"/>
      <c r="BI186" s="96"/>
      <c r="BJ186" s="96"/>
      <c r="BK186" s="97"/>
      <c r="BL186" s="95" t="s">
        <v>364</v>
      </c>
      <c r="BM186" s="96" t="s">
        <v>364</v>
      </c>
      <c r="BN186" s="95"/>
      <c r="BO186" s="96"/>
      <c r="BP186" s="95"/>
      <c r="BQ186" s="96"/>
      <c r="BR186" s="95"/>
      <c r="BS186" s="98"/>
      <c r="BT186" s="96"/>
      <c r="BU186" s="96"/>
      <c r="BV186" s="95"/>
      <c r="BW186" s="98"/>
      <c r="BX186" s="96"/>
      <c r="BY186" s="96"/>
      <c r="BZ186" s="95"/>
      <c r="CA186" s="98"/>
      <c r="CB186" s="96"/>
      <c r="CC186" s="96"/>
      <c r="CD186" s="95"/>
      <c r="CE186" s="98"/>
      <c r="CF186" s="99"/>
      <c r="CG186" s="95"/>
      <c r="CH186" s="96"/>
      <c r="CI186" s="96"/>
      <c r="CJ186" s="98"/>
    </row>
    <row r="187" spans="1:88" ht="11.25" customHeight="1">
      <c r="A187" s="110"/>
      <c r="B187" s="106" t="s">
        <v>365</v>
      </c>
      <c r="C187" s="102">
        <f>_xll.ACC(DB,_xll.ArrayDPT($BA187:$BJ187),_xll.ArrayCOA($BL187:$CE187),YR,PRD,_xll.ArrayDIM($CG187:$CJ187))</f>
        <v>46165.42</v>
      </c>
      <c r="D187" s="104"/>
      <c r="E187" s="102">
        <f>_xll.ACC(DB,_xll.ArrayDPT($BA187:$BJ187),_xll.ArrayCOA($BL187:$CE187),YR,PRD-1,_xll.ArrayDIM($CG187:$CJ187))</f>
        <v>38222.43</v>
      </c>
      <c r="F187" s="104"/>
      <c r="G187" s="102">
        <f t="shared" si="28"/>
        <v>7942.989999999998</v>
      </c>
      <c r="H187" s="117"/>
      <c r="I187" s="156">
        <f t="shared" si="29"/>
        <v>6.0995297374142714</v>
      </c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95"/>
      <c r="BB187" s="96"/>
      <c r="BC187" s="96"/>
      <c r="BD187" s="96"/>
      <c r="BE187" s="96"/>
      <c r="BF187" s="96"/>
      <c r="BG187" s="96"/>
      <c r="BH187" s="96"/>
      <c r="BI187" s="96"/>
      <c r="BJ187" s="96"/>
      <c r="BK187" s="97"/>
      <c r="BL187" s="95" t="s">
        <v>366</v>
      </c>
      <c r="BM187" s="96" t="s">
        <v>366</v>
      </c>
      <c r="BN187" s="95"/>
      <c r="BO187" s="96"/>
      <c r="BP187" s="95"/>
      <c r="BQ187" s="96"/>
      <c r="BR187" s="95"/>
      <c r="BS187" s="98"/>
      <c r="BT187" s="96"/>
      <c r="BU187" s="96"/>
      <c r="BV187" s="95"/>
      <c r="BW187" s="98"/>
      <c r="BX187" s="96"/>
      <c r="BY187" s="96"/>
      <c r="BZ187" s="95"/>
      <c r="CA187" s="98"/>
      <c r="CB187" s="96"/>
      <c r="CC187" s="96"/>
      <c r="CD187" s="95"/>
      <c r="CE187" s="98"/>
      <c r="CF187" s="99"/>
      <c r="CG187" s="95"/>
      <c r="CH187" s="96"/>
      <c r="CI187" s="96"/>
      <c r="CJ187" s="98"/>
    </row>
    <row r="188" spans="1:88" ht="11.25" customHeight="1">
      <c r="A188" s="110"/>
      <c r="B188" s="106" t="s">
        <v>367</v>
      </c>
      <c r="C188" s="102">
        <f>_xll.ACC(DB,_xll.ArrayDPT($BA188:$BJ188),_xll.ArrayCOA($BL188:$CE188),YR,PRD,_xll.ArrayDIM($CG188:$CJ188))</f>
        <v>47000</v>
      </c>
      <c r="D188" s="104"/>
      <c r="E188" s="102">
        <f>_xll.ACC(DB,_xll.ArrayDPT($BA188:$BJ188),_xll.ArrayCOA($BL188:$CE188),YR,PRD-1,_xll.ArrayDIM($CG188:$CJ188))</f>
        <v>47000</v>
      </c>
      <c r="F188" s="104"/>
      <c r="G188" s="102">
        <f t="shared" si="28"/>
        <v>0</v>
      </c>
      <c r="H188" s="117"/>
      <c r="I188" s="156">
        <f t="shared" si="29"/>
        <v>0</v>
      </c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95"/>
      <c r="BB188" s="96"/>
      <c r="BC188" s="96"/>
      <c r="BD188" s="96"/>
      <c r="BE188" s="96"/>
      <c r="BF188" s="96"/>
      <c r="BG188" s="96"/>
      <c r="BH188" s="96"/>
      <c r="BI188" s="96"/>
      <c r="BJ188" s="96"/>
      <c r="BK188" s="97"/>
      <c r="BL188" s="95" t="s">
        <v>368</v>
      </c>
      <c r="BM188" s="96" t="s">
        <v>368</v>
      </c>
      <c r="BN188" s="95"/>
      <c r="BO188" s="96"/>
      <c r="BP188" s="95"/>
      <c r="BQ188" s="96"/>
      <c r="BR188" s="95"/>
      <c r="BS188" s="98"/>
      <c r="BT188" s="96"/>
      <c r="BU188" s="96"/>
      <c r="BV188" s="95"/>
      <c r="BW188" s="98"/>
      <c r="BX188" s="96"/>
      <c r="BY188" s="96"/>
      <c r="BZ188" s="95"/>
      <c r="CA188" s="98"/>
      <c r="CB188" s="96"/>
      <c r="CC188" s="96"/>
      <c r="CD188" s="95"/>
      <c r="CE188" s="98"/>
      <c r="CF188" s="99"/>
      <c r="CG188" s="95"/>
      <c r="CH188" s="96"/>
      <c r="CI188" s="96"/>
      <c r="CJ188" s="98"/>
    </row>
    <row r="189" spans="1:88" ht="11.25" customHeight="1">
      <c r="A189" s="110"/>
      <c r="B189" s="106" t="s">
        <v>369</v>
      </c>
      <c r="C189" s="102">
        <f>_xll.ACC(DB,_xll.ArrayDPT($BA189:$BJ189),_xll.ArrayCOA($BL189:$CE189),YR,PRD,_xll.ArrayDIM($CG189:$CJ189))</f>
        <v>99907.02</v>
      </c>
      <c r="D189" s="104"/>
      <c r="E189" s="102">
        <f>_xll.ACC(DB,_xll.ArrayDPT($BA189:$BJ189),_xll.ArrayCOA($BL189:$CE189),YR,PRD-1,_xll.ArrayDIM($CG189:$CJ189))</f>
        <v>99907.02</v>
      </c>
      <c r="F189" s="104"/>
      <c r="G189" s="102">
        <f t="shared" si="28"/>
        <v>0</v>
      </c>
      <c r="H189" s="117"/>
      <c r="I189" s="156">
        <f t="shared" si="29"/>
        <v>0</v>
      </c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95"/>
      <c r="BB189" s="96"/>
      <c r="BC189" s="96"/>
      <c r="BD189" s="96"/>
      <c r="BE189" s="96"/>
      <c r="BF189" s="96"/>
      <c r="BG189" s="96"/>
      <c r="BH189" s="96"/>
      <c r="BI189" s="96"/>
      <c r="BJ189" s="96"/>
      <c r="BK189" s="97"/>
      <c r="BL189" s="95" t="s">
        <v>370</v>
      </c>
      <c r="BM189" s="96" t="s">
        <v>370</v>
      </c>
      <c r="BN189" s="95"/>
      <c r="BO189" s="96"/>
      <c r="BP189" s="95"/>
      <c r="BQ189" s="96"/>
      <c r="BR189" s="95"/>
      <c r="BS189" s="98"/>
      <c r="BT189" s="96"/>
      <c r="BU189" s="96"/>
      <c r="BV189" s="95"/>
      <c r="BW189" s="98"/>
      <c r="BX189" s="96"/>
      <c r="BY189" s="96"/>
      <c r="BZ189" s="95"/>
      <c r="CA189" s="98"/>
      <c r="CB189" s="96"/>
      <c r="CC189" s="96"/>
      <c r="CD189" s="95"/>
      <c r="CE189" s="98"/>
      <c r="CF189" s="99"/>
      <c r="CG189" s="95"/>
      <c r="CH189" s="96"/>
      <c r="CI189" s="96"/>
      <c r="CJ189" s="98"/>
    </row>
    <row r="190" spans="1:88" ht="11.25" customHeight="1">
      <c r="A190" s="110"/>
      <c r="B190" s="106" t="s">
        <v>371</v>
      </c>
      <c r="C190" s="102">
        <f>_xll.ACC(DB,_xll.ArrayDPT($BA190:$BJ190),_xll.ArrayCOA($BL190:$CE190),YR,PRD,_xll.ArrayDIM($CG190:$CJ190))</f>
        <v>8871</v>
      </c>
      <c r="D190" s="104"/>
      <c r="E190" s="102">
        <f>_xll.ACC(DB,_xll.ArrayDPT($BA190:$BJ190),_xll.ArrayCOA($BL190:$CE190),YR,PRD-1,_xll.ArrayDIM($CG190:$CJ190))</f>
        <v>8871</v>
      </c>
      <c r="F190" s="104"/>
      <c r="G190" s="102">
        <f t="shared" si="28"/>
        <v>0</v>
      </c>
      <c r="H190" s="117"/>
      <c r="I190" s="156">
        <f t="shared" si="29"/>
        <v>0</v>
      </c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95"/>
      <c r="BB190" s="96"/>
      <c r="BC190" s="96"/>
      <c r="BD190" s="96"/>
      <c r="BE190" s="96"/>
      <c r="BF190" s="96"/>
      <c r="BG190" s="96"/>
      <c r="BH190" s="96"/>
      <c r="BI190" s="96"/>
      <c r="BJ190" s="96"/>
      <c r="BK190" s="97"/>
      <c r="BL190" s="95" t="s">
        <v>372</v>
      </c>
      <c r="BM190" s="96" t="s">
        <v>372</v>
      </c>
      <c r="BN190" s="95"/>
      <c r="BO190" s="96"/>
      <c r="BP190" s="95"/>
      <c r="BQ190" s="96"/>
      <c r="BR190" s="95"/>
      <c r="BS190" s="98"/>
      <c r="BT190" s="96"/>
      <c r="BU190" s="96"/>
      <c r="BV190" s="95"/>
      <c r="BW190" s="98"/>
      <c r="BX190" s="96"/>
      <c r="BY190" s="96"/>
      <c r="BZ190" s="95"/>
      <c r="CA190" s="98"/>
      <c r="CB190" s="96"/>
      <c r="CC190" s="96"/>
      <c r="CD190" s="95"/>
      <c r="CE190" s="98"/>
      <c r="CF190" s="99"/>
      <c r="CG190" s="95"/>
      <c r="CH190" s="96"/>
      <c r="CI190" s="96"/>
      <c r="CJ190" s="98"/>
    </row>
    <row r="191" spans="1:88" ht="11.25" customHeight="1">
      <c r="A191" s="110"/>
      <c r="B191" s="106" t="s">
        <v>373</v>
      </c>
      <c r="C191" s="102">
        <f>_xll.ACC(DB,_xll.ArrayDPT($BA191:$BJ191),_xll.ArrayCOA($BL191:$CE191),YR,PRD,_xll.ArrayDIM($CG191:$CJ191))</f>
        <v>510413.69</v>
      </c>
      <c r="D191" s="104"/>
      <c r="E191" s="102">
        <f>_xll.ACC(DB,_xll.ArrayDPT($BA191:$BJ191),_xll.ArrayCOA($BL191:$CE191),YR,PRD-1,_xll.ArrayDIM($CG191:$CJ191))</f>
        <v>510413.69</v>
      </c>
      <c r="F191" s="104"/>
      <c r="G191" s="102">
        <f t="shared" si="28"/>
        <v>0</v>
      </c>
      <c r="H191" s="117"/>
      <c r="I191" s="156">
        <f t="shared" si="29"/>
        <v>0</v>
      </c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95"/>
      <c r="BB191" s="96"/>
      <c r="BC191" s="96"/>
      <c r="BD191" s="96"/>
      <c r="BE191" s="96"/>
      <c r="BF191" s="96"/>
      <c r="BG191" s="96"/>
      <c r="BH191" s="96"/>
      <c r="BI191" s="96"/>
      <c r="BJ191" s="96"/>
      <c r="BK191" s="97"/>
      <c r="BL191" s="95" t="s">
        <v>374</v>
      </c>
      <c r="BM191" s="96" t="s">
        <v>374</v>
      </c>
      <c r="BN191" s="95"/>
      <c r="BO191" s="96"/>
      <c r="BP191" s="95"/>
      <c r="BQ191" s="96"/>
      <c r="BR191" s="95"/>
      <c r="BS191" s="98"/>
      <c r="BT191" s="96"/>
      <c r="BU191" s="96"/>
      <c r="BV191" s="95"/>
      <c r="BW191" s="98"/>
      <c r="BX191" s="96"/>
      <c r="BY191" s="96"/>
      <c r="BZ191" s="95"/>
      <c r="CA191" s="98"/>
      <c r="CB191" s="96"/>
      <c r="CC191" s="96"/>
      <c r="CD191" s="95"/>
      <c r="CE191" s="98"/>
      <c r="CF191" s="99"/>
      <c r="CG191" s="95"/>
      <c r="CH191" s="96"/>
      <c r="CI191" s="96"/>
      <c r="CJ191" s="98"/>
    </row>
    <row r="192" spans="1:88" ht="11.25" customHeight="1">
      <c r="A192" s="110"/>
      <c r="B192" s="106" t="s">
        <v>375</v>
      </c>
      <c r="C192" s="102">
        <f>_xll.ACC(DB,_xll.ArrayDPT($BA192:$BJ192),_xll.ArrayCOA($BL192:$CE192),YR,PRD,_xll.ArrayDIM($CG192:$CJ192))</f>
        <v>290</v>
      </c>
      <c r="D192" s="104"/>
      <c r="E192" s="102">
        <f>_xll.ACC(DB,_xll.ArrayDPT($BA192:$BJ192),_xll.ArrayCOA($BL192:$CE192),YR,PRD-1,_xll.ArrayDIM($CG192:$CJ192))</f>
        <v>290</v>
      </c>
      <c r="F192" s="104"/>
      <c r="G192" s="102">
        <f t="shared" si="28"/>
        <v>0</v>
      </c>
      <c r="H192" s="117"/>
      <c r="I192" s="156">
        <f t="shared" si="29"/>
        <v>0</v>
      </c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95"/>
      <c r="BB192" s="96"/>
      <c r="BC192" s="96"/>
      <c r="BD192" s="96"/>
      <c r="BE192" s="96"/>
      <c r="BF192" s="96"/>
      <c r="BG192" s="96"/>
      <c r="BH192" s="96"/>
      <c r="BI192" s="96"/>
      <c r="BJ192" s="96"/>
      <c r="BK192" s="97"/>
      <c r="BL192" s="95" t="s">
        <v>376</v>
      </c>
      <c r="BM192" s="96" t="s">
        <v>376</v>
      </c>
      <c r="BN192" s="95"/>
      <c r="BO192" s="96"/>
      <c r="BP192" s="95"/>
      <c r="BQ192" s="96"/>
      <c r="BR192" s="95"/>
      <c r="BS192" s="98"/>
      <c r="BT192" s="96"/>
      <c r="BU192" s="96"/>
      <c r="BV192" s="95"/>
      <c r="BW192" s="98"/>
      <c r="BX192" s="96"/>
      <c r="BY192" s="96"/>
      <c r="BZ192" s="95"/>
      <c r="CA192" s="98"/>
      <c r="CB192" s="96"/>
      <c r="CC192" s="96"/>
      <c r="CD192" s="95"/>
      <c r="CE192" s="98"/>
      <c r="CF192" s="99"/>
      <c r="CG192" s="95"/>
      <c r="CH192" s="96"/>
      <c r="CI192" s="96"/>
      <c r="CJ192" s="98"/>
    </row>
    <row r="193" spans="1:88" ht="11.25" customHeight="1">
      <c r="A193" s="110"/>
      <c r="B193" s="106" t="s">
        <v>377</v>
      </c>
      <c r="C193" s="102">
        <f>_xll.ACC(DB,_xll.ArrayDPT($BA193:$BJ193),_xll.ArrayCOA($BL193:$CE193),YR,PRD,_xll.ArrayDIM($CG193:$CJ193))</f>
        <v>10186.92</v>
      </c>
      <c r="D193" s="104"/>
      <c r="E193" s="102">
        <f>_xll.ACC(DB,_xll.ArrayDPT($BA193:$BJ193),_xll.ArrayCOA($BL193:$CE193),YR,PRD-1,_xll.ArrayDIM($CG193:$CJ193))</f>
        <v>10186.92</v>
      </c>
      <c r="F193" s="104"/>
      <c r="G193" s="102">
        <f t="shared" si="28"/>
        <v>0</v>
      </c>
      <c r="H193" s="117"/>
      <c r="I193" s="156">
        <f t="shared" si="29"/>
        <v>0</v>
      </c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95"/>
      <c r="BB193" s="96"/>
      <c r="BC193" s="96"/>
      <c r="BD193" s="96"/>
      <c r="BE193" s="96"/>
      <c r="BF193" s="96"/>
      <c r="BG193" s="96"/>
      <c r="BH193" s="96"/>
      <c r="BI193" s="96"/>
      <c r="BJ193" s="96"/>
      <c r="BK193" s="97"/>
      <c r="BL193" s="95" t="s">
        <v>378</v>
      </c>
      <c r="BM193" s="96" t="s">
        <v>378</v>
      </c>
      <c r="BN193" s="95"/>
      <c r="BO193" s="96"/>
      <c r="BP193" s="95"/>
      <c r="BQ193" s="96"/>
      <c r="BR193" s="95"/>
      <c r="BS193" s="98"/>
      <c r="BT193" s="96"/>
      <c r="BU193" s="96"/>
      <c r="BV193" s="95"/>
      <c r="BW193" s="98"/>
      <c r="BX193" s="96"/>
      <c r="BY193" s="96"/>
      <c r="BZ193" s="95"/>
      <c r="CA193" s="98"/>
      <c r="CB193" s="96"/>
      <c r="CC193" s="96"/>
      <c r="CD193" s="95"/>
      <c r="CE193" s="98"/>
      <c r="CF193" s="99"/>
      <c r="CG193" s="95"/>
      <c r="CH193" s="96"/>
      <c r="CI193" s="96"/>
      <c r="CJ193" s="98"/>
    </row>
    <row r="194" spans="1:88" ht="11.25" customHeight="1">
      <c r="A194" s="110"/>
      <c r="B194" s="106" t="s">
        <v>379</v>
      </c>
      <c r="C194" s="102">
        <f>_xll.ACC(DB,_xll.ArrayDPT($BA194:$BJ194),_xll.ArrayCOA($BL194:$CE194),YR,PRD,_xll.ArrayDIM($CG194:$CJ194))</f>
        <v>3728.97</v>
      </c>
      <c r="D194" s="104"/>
      <c r="E194" s="102">
        <f>_xll.ACC(DB,_xll.ArrayDPT($BA194:$BJ194),_xll.ArrayCOA($BL194:$CE194),YR,PRD-1,_xll.ArrayDIM($CG194:$CJ194))</f>
        <v>3728.97</v>
      </c>
      <c r="F194" s="104"/>
      <c r="G194" s="102">
        <f t="shared" si="28"/>
        <v>0</v>
      </c>
      <c r="H194" s="117"/>
      <c r="I194" s="156">
        <f t="shared" si="29"/>
        <v>0</v>
      </c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95"/>
      <c r="BB194" s="96"/>
      <c r="BC194" s="96"/>
      <c r="BD194" s="96"/>
      <c r="BE194" s="96"/>
      <c r="BF194" s="96"/>
      <c r="BG194" s="96"/>
      <c r="BH194" s="96"/>
      <c r="BI194" s="96"/>
      <c r="BJ194" s="96"/>
      <c r="BK194" s="97"/>
      <c r="BL194" s="95" t="s">
        <v>380</v>
      </c>
      <c r="BM194" s="96" t="s">
        <v>380</v>
      </c>
      <c r="BN194" s="95"/>
      <c r="BO194" s="96"/>
      <c r="BP194" s="95"/>
      <c r="BQ194" s="96"/>
      <c r="BR194" s="95"/>
      <c r="BS194" s="98"/>
      <c r="BT194" s="96"/>
      <c r="BU194" s="96"/>
      <c r="BV194" s="95"/>
      <c r="BW194" s="98"/>
      <c r="BX194" s="96"/>
      <c r="BY194" s="96"/>
      <c r="BZ194" s="95"/>
      <c r="CA194" s="98"/>
      <c r="CB194" s="96"/>
      <c r="CC194" s="96"/>
      <c r="CD194" s="95"/>
      <c r="CE194" s="98"/>
      <c r="CF194" s="99"/>
      <c r="CG194" s="95"/>
      <c r="CH194" s="96"/>
      <c r="CI194" s="96"/>
      <c r="CJ194" s="98"/>
    </row>
    <row r="195" spans="1:88" ht="11.25" customHeight="1">
      <c r="A195" s="110"/>
      <c r="B195" s="106" t="s">
        <v>381</v>
      </c>
      <c r="C195" s="102">
        <f>_xll.ACC(DB,_xll.ArrayDPT($BA195:$BJ195),_xll.ArrayCOA($BL195:$CE195),YR,PRD,_xll.ArrayDIM($CG195:$CJ195))</f>
        <v>0</v>
      </c>
      <c r="D195" s="104"/>
      <c r="E195" s="102">
        <f>_xll.ACC(DB,_xll.ArrayDPT($BA195:$BJ195),_xll.ArrayCOA($BL195:$CE195),YR,PRD-1,_xll.ArrayDIM($CG195:$CJ195))</f>
        <v>0</v>
      </c>
      <c r="F195" s="104"/>
      <c r="G195" s="102">
        <f t="shared" si="28"/>
        <v>0</v>
      </c>
      <c r="H195" s="117"/>
      <c r="I195" s="156">
        <f t="shared" si="29"/>
        <v>0</v>
      </c>
      <c r="J195" s="60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4"/>
      <c r="AV195" s="114"/>
      <c r="AW195" s="114"/>
      <c r="AX195" s="114"/>
      <c r="AY195" s="114"/>
      <c r="AZ195" s="114"/>
      <c r="BA195" s="95"/>
      <c r="BB195" s="96"/>
      <c r="BC195" s="96"/>
      <c r="BD195" s="96"/>
      <c r="BE195" s="96"/>
      <c r="BF195" s="96"/>
      <c r="BG195" s="96"/>
      <c r="BH195" s="96"/>
      <c r="BI195" s="96"/>
      <c r="BJ195" s="96"/>
      <c r="BK195" s="97"/>
      <c r="BL195" s="95" t="s">
        <v>382</v>
      </c>
      <c r="BM195" s="96" t="s">
        <v>382</v>
      </c>
      <c r="BN195" s="95"/>
      <c r="BO195" s="96"/>
      <c r="BP195" s="95"/>
      <c r="BQ195" s="96"/>
      <c r="BR195" s="95"/>
      <c r="BS195" s="98"/>
      <c r="BT195" s="96"/>
      <c r="BU195" s="96"/>
      <c r="BV195" s="95"/>
      <c r="BW195" s="98"/>
      <c r="BX195" s="96"/>
      <c r="BY195" s="96"/>
      <c r="BZ195" s="95"/>
      <c r="CA195" s="98"/>
      <c r="CB195" s="96"/>
      <c r="CC195" s="96"/>
      <c r="CD195" s="95"/>
      <c r="CE195" s="98"/>
      <c r="CF195" s="99"/>
      <c r="CG195" s="95"/>
      <c r="CH195" s="96"/>
      <c r="CI195" s="96"/>
      <c r="CJ195" s="98"/>
    </row>
    <row r="196" spans="1:88" ht="11.25" customHeight="1">
      <c r="A196" s="110"/>
      <c r="B196" s="106" t="s">
        <v>383</v>
      </c>
      <c r="C196" s="102">
        <f>_xll.ACC(DB,_xll.ArrayDPT($BA196:$BJ196),_xll.ArrayCOA($BL196:$CE196),YR,PRD,_xll.ArrayDIM($CG196:$CJ196))</f>
        <v>0</v>
      </c>
      <c r="D196" s="104"/>
      <c r="E196" s="102">
        <f>_xll.ACC(DB,_xll.ArrayDPT($BA196:$BJ196),_xll.ArrayCOA($BL196:$CE196),YR,PRD-1,_xll.ArrayDIM($CG196:$CJ196))</f>
        <v>0</v>
      </c>
      <c r="F196" s="104"/>
      <c r="G196" s="102">
        <f t="shared" si="28"/>
        <v>0</v>
      </c>
      <c r="H196" s="117"/>
      <c r="I196" s="156">
        <f t="shared" si="29"/>
        <v>0</v>
      </c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95"/>
      <c r="BB196" s="96"/>
      <c r="BC196" s="96"/>
      <c r="BD196" s="96"/>
      <c r="BE196" s="96"/>
      <c r="BF196" s="96"/>
      <c r="BG196" s="96"/>
      <c r="BH196" s="96"/>
      <c r="BI196" s="96"/>
      <c r="BJ196" s="96"/>
      <c r="BK196" s="97"/>
      <c r="BL196" s="95" t="s">
        <v>384</v>
      </c>
      <c r="BM196" s="96" t="s">
        <v>384</v>
      </c>
      <c r="BN196" s="95"/>
      <c r="BO196" s="96"/>
      <c r="BP196" s="95"/>
      <c r="BQ196" s="96"/>
      <c r="BR196" s="95"/>
      <c r="BS196" s="98"/>
      <c r="BT196" s="96"/>
      <c r="BU196" s="96"/>
      <c r="BV196" s="95"/>
      <c r="BW196" s="98"/>
      <c r="BX196" s="96"/>
      <c r="BY196" s="96"/>
      <c r="BZ196" s="95"/>
      <c r="CA196" s="98"/>
      <c r="CB196" s="96"/>
      <c r="CC196" s="96"/>
      <c r="CD196" s="95"/>
      <c r="CE196" s="98"/>
      <c r="CF196" s="99"/>
      <c r="CG196" s="95"/>
      <c r="CH196" s="96"/>
      <c r="CI196" s="96"/>
      <c r="CJ196" s="98"/>
    </row>
    <row r="197" spans="1:88" ht="11.25" customHeight="1">
      <c r="A197" s="110"/>
      <c r="B197" s="106" t="s">
        <v>385</v>
      </c>
      <c r="C197" s="102">
        <f>_xll.ACC(DB,_xll.ArrayDPT($BA197:$BJ197),_xll.ArrayCOA($BL197:$CE197),YR,PRD,_xll.ArrayDIM($CG197:$CJ197))</f>
        <v>0</v>
      </c>
      <c r="D197" s="104"/>
      <c r="E197" s="102">
        <f>_xll.ACC(DB,_xll.ArrayDPT($BA197:$BJ197),_xll.ArrayCOA($BL197:$CE197),YR,PRD-1,_xll.ArrayDIM($CG197:$CJ197))</f>
        <v>0</v>
      </c>
      <c r="F197" s="104"/>
      <c r="G197" s="102">
        <f t="shared" si="28"/>
        <v>0</v>
      </c>
      <c r="H197" s="117"/>
      <c r="I197" s="156">
        <f t="shared" si="29"/>
        <v>0</v>
      </c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95"/>
      <c r="BB197" s="96"/>
      <c r="BC197" s="96"/>
      <c r="BD197" s="96"/>
      <c r="BE197" s="96"/>
      <c r="BF197" s="96"/>
      <c r="BG197" s="96"/>
      <c r="BH197" s="96"/>
      <c r="BI197" s="96"/>
      <c r="BJ197" s="96"/>
      <c r="BK197" s="97"/>
      <c r="BL197" s="95" t="s">
        <v>386</v>
      </c>
      <c r="BM197" s="96" t="s">
        <v>386</v>
      </c>
      <c r="BN197" s="95"/>
      <c r="BO197" s="96"/>
      <c r="BP197" s="95"/>
      <c r="BQ197" s="96"/>
      <c r="BR197" s="95"/>
      <c r="BS197" s="98"/>
      <c r="BT197" s="96"/>
      <c r="BU197" s="96"/>
      <c r="BV197" s="95"/>
      <c r="BW197" s="98"/>
      <c r="BX197" s="96"/>
      <c r="BY197" s="96"/>
      <c r="BZ197" s="95"/>
      <c r="CA197" s="98"/>
      <c r="CB197" s="96"/>
      <c r="CC197" s="96"/>
      <c r="CD197" s="95"/>
      <c r="CE197" s="98"/>
      <c r="CF197" s="99"/>
      <c r="CG197" s="95"/>
      <c r="CH197" s="96"/>
      <c r="CI197" s="96"/>
      <c r="CJ197" s="98"/>
    </row>
    <row r="198" spans="1:88" ht="11.25" customHeight="1">
      <c r="A198" s="110"/>
      <c r="B198" s="106" t="s">
        <v>387</v>
      </c>
      <c r="C198" s="102">
        <f>_xll.ACC(DB,_xll.ArrayDPT($BA198:$BJ198),_xll.ArrayCOA($BL198:$CE198),YR,PRD,_xll.ArrayDIM($CG198:$CJ198))</f>
        <v>0</v>
      </c>
      <c r="D198" s="104"/>
      <c r="E198" s="102">
        <f>_xll.ACC(DB,_xll.ArrayDPT($BA198:$BJ198),_xll.ArrayCOA($BL198:$CE198),YR,PRD-1,_xll.ArrayDIM($CG198:$CJ198))</f>
        <v>0</v>
      </c>
      <c r="F198" s="104"/>
      <c r="G198" s="102">
        <f t="shared" si="28"/>
        <v>0</v>
      </c>
      <c r="H198" s="117"/>
      <c r="I198" s="156">
        <f t="shared" si="29"/>
        <v>0</v>
      </c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95"/>
      <c r="BB198" s="96"/>
      <c r="BC198" s="96"/>
      <c r="BD198" s="96"/>
      <c r="BE198" s="96"/>
      <c r="BF198" s="96"/>
      <c r="BG198" s="96"/>
      <c r="BH198" s="96"/>
      <c r="BI198" s="96"/>
      <c r="BJ198" s="96"/>
      <c r="BK198" s="97"/>
      <c r="BL198" s="95" t="s">
        <v>388</v>
      </c>
      <c r="BM198" s="96" t="s">
        <v>388</v>
      </c>
      <c r="BN198" s="95"/>
      <c r="BO198" s="96"/>
      <c r="BP198" s="95"/>
      <c r="BQ198" s="96"/>
      <c r="BR198" s="95"/>
      <c r="BS198" s="98"/>
      <c r="BT198" s="96"/>
      <c r="BU198" s="96"/>
      <c r="BV198" s="95"/>
      <c r="BW198" s="98"/>
      <c r="BX198" s="96"/>
      <c r="BY198" s="96"/>
      <c r="BZ198" s="95"/>
      <c r="CA198" s="98"/>
      <c r="CB198" s="96"/>
      <c r="CC198" s="96"/>
      <c r="CD198" s="95"/>
      <c r="CE198" s="98"/>
      <c r="CF198" s="99"/>
      <c r="CG198" s="95"/>
      <c r="CH198" s="96"/>
      <c r="CI198" s="96"/>
      <c r="CJ198" s="98"/>
    </row>
    <row r="199" spans="1:88" ht="11.25" customHeight="1">
      <c r="A199" s="110"/>
      <c r="B199" s="106" t="s">
        <v>389</v>
      </c>
      <c r="C199" s="102">
        <f>_xll.ACC(DB,_xll.ArrayDPT($BA199:$BJ199),_xll.ArrayCOA($BL199:$CE199),YR,PRD,_xll.ArrayDIM($CG199:$CJ199))</f>
        <v>0</v>
      </c>
      <c r="D199" s="104"/>
      <c r="E199" s="102">
        <f>_xll.ACC(DB,_xll.ArrayDPT($BA199:$BJ199),_xll.ArrayCOA($BL199:$CE199),YR,PRD-1,_xll.ArrayDIM($CG199:$CJ199))</f>
        <v>0</v>
      </c>
      <c r="F199" s="104"/>
      <c r="G199" s="102">
        <f t="shared" si="28"/>
        <v>0</v>
      </c>
      <c r="H199" s="117"/>
      <c r="I199" s="156">
        <f t="shared" si="29"/>
        <v>0</v>
      </c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95"/>
      <c r="BB199" s="96"/>
      <c r="BC199" s="96"/>
      <c r="BD199" s="96"/>
      <c r="BE199" s="96"/>
      <c r="BF199" s="96"/>
      <c r="BG199" s="96"/>
      <c r="BH199" s="96"/>
      <c r="BI199" s="96"/>
      <c r="BJ199" s="96"/>
      <c r="BK199" s="97"/>
      <c r="BL199" s="95" t="s">
        <v>390</v>
      </c>
      <c r="BM199" s="96" t="s">
        <v>390</v>
      </c>
      <c r="BN199" s="95"/>
      <c r="BO199" s="96"/>
      <c r="BP199" s="95"/>
      <c r="BQ199" s="96"/>
      <c r="BR199" s="95"/>
      <c r="BS199" s="98"/>
      <c r="BT199" s="96"/>
      <c r="BU199" s="96"/>
      <c r="BV199" s="95"/>
      <c r="BW199" s="98"/>
      <c r="BX199" s="96"/>
      <c r="BY199" s="96"/>
      <c r="BZ199" s="95"/>
      <c r="CA199" s="98"/>
      <c r="CB199" s="96"/>
      <c r="CC199" s="96"/>
      <c r="CD199" s="95"/>
      <c r="CE199" s="98"/>
      <c r="CF199" s="99"/>
      <c r="CG199" s="95"/>
      <c r="CH199" s="96"/>
      <c r="CI199" s="96"/>
      <c r="CJ199" s="98"/>
    </row>
    <row r="200" spans="1:88" ht="11.25" customHeight="1">
      <c r="A200" s="110"/>
      <c r="B200" s="106" t="s">
        <v>391</v>
      </c>
      <c r="C200" s="102">
        <f>_xll.ACC(DB,_xll.ArrayDPT($BA200:$BJ200),_xll.ArrayCOA($BL200:$CE200),YR,PRD,_xll.ArrayDIM($CG200:$CJ200))</f>
        <v>7840.19</v>
      </c>
      <c r="D200" s="104"/>
      <c r="E200" s="102">
        <f>_xll.ACC(DB,_xll.ArrayDPT($BA200:$BJ200),_xll.ArrayCOA($BL200:$CE200),YR,PRD-1,_xll.ArrayDIM($CG200:$CJ200))</f>
        <v>7840.19</v>
      </c>
      <c r="F200" s="104"/>
      <c r="G200" s="102">
        <f t="shared" si="28"/>
        <v>0</v>
      </c>
      <c r="H200" s="117"/>
      <c r="I200" s="156">
        <f t="shared" si="29"/>
        <v>0</v>
      </c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95"/>
      <c r="BB200" s="96"/>
      <c r="BC200" s="96"/>
      <c r="BD200" s="96"/>
      <c r="BE200" s="96"/>
      <c r="BF200" s="96"/>
      <c r="BG200" s="96"/>
      <c r="BH200" s="96"/>
      <c r="BI200" s="96"/>
      <c r="BJ200" s="96"/>
      <c r="BK200" s="97"/>
      <c r="BL200" s="95" t="s">
        <v>392</v>
      </c>
      <c r="BM200" s="96" t="s">
        <v>392</v>
      </c>
      <c r="BN200" s="95"/>
      <c r="BO200" s="96"/>
      <c r="BP200" s="95"/>
      <c r="BQ200" s="96"/>
      <c r="BR200" s="95"/>
      <c r="BS200" s="98"/>
      <c r="BT200" s="96"/>
      <c r="BU200" s="96"/>
      <c r="BV200" s="95"/>
      <c r="BW200" s="98"/>
      <c r="BX200" s="96"/>
      <c r="BY200" s="96"/>
      <c r="BZ200" s="95"/>
      <c r="CA200" s="98"/>
      <c r="CB200" s="96"/>
      <c r="CC200" s="96"/>
      <c r="CD200" s="95"/>
      <c r="CE200" s="98"/>
      <c r="CF200" s="99"/>
      <c r="CG200" s="95"/>
      <c r="CH200" s="96"/>
      <c r="CI200" s="96"/>
      <c r="CJ200" s="98"/>
    </row>
    <row r="201" spans="1:88" ht="11.25" customHeight="1">
      <c r="A201" s="110"/>
      <c r="B201" s="106" t="s">
        <v>393</v>
      </c>
      <c r="C201" s="102">
        <f>_xll.ACC(DB,_xll.ArrayDPT($BA201:$BJ201),_xll.ArrayCOA($BL201:$CE201),YR,PRD,_xll.ArrayDIM($CG201:$CJ201))</f>
        <v>75200</v>
      </c>
      <c r="D201" s="104"/>
      <c r="E201" s="102">
        <f>_xll.ACC(DB,_xll.ArrayDPT($BA201:$BJ201),_xll.ArrayCOA($BL201:$CE201),YR,PRD-1,_xll.ArrayDIM($CG201:$CJ201))</f>
        <v>75200</v>
      </c>
      <c r="F201" s="104"/>
      <c r="G201" s="102">
        <f t="shared" si="28"/>
        <v>0</v>
      </c>
      <c r="H201" s="117"/>
      <c r="I201" s="156">
        <f t="shared" si="29"/>
        <v>0</v>
      </c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95"/>
      <c r="BB201" s="96"/>
      <c r="BC201" s="96"/>
      <c r="BD201" s="96"/>
      <c r="BE201" s="96"/>
      <c r="BF201" s="96"/>
      <c r="BG201" s="96"/>
      <c r="BH201" s="96"/>
      <c r="BI201" s="96"/>
      <c r="BJ201" s="96"/>
      <c r="BK201" s="97"/>
      <c r="BL201" s="95" t="s">
        <v>394</v>
      </c>
      <c r="BM201" s="96" t="s">
        <v>394</v>
      </c>
      <c r="BN201" s="95"/>
      <c r="BO201" s="96"/>
      <c r="BP201" s="95"/>
      <c r="BQ201" s="96"/>
      <c r="BR201" s="95"/>
      <c r="BS201" s="98"/>
      <c r="BT201" s="96"/>
      <c r="BU201" s="96"/>
      <c r="BV201" s="95"/>
      <c r="BW201" s="98"/>
      <c r="BX201" s="96"/>
      <c r="BY201" s="96"/>
      <c r="BZ201" s="95"/>
      <c r="CA201" s="98"/>
      <c r="CB201" s="96"/>
      <c r="CC201" s="96"/>
      <c r="CD201" s="95"/>
      <c r="CE201" s="98"/>
      <c r="CF201" s="99"/>
      <c r="CG201" s="95"/>
      <c r="CH201" s="96"/>
      <c r="CI201" s="96"/>
      <c r="CJ201" s="98"/>
    </row>
    <row r="202" spans="1:88" ht="15" customHeight="1">
      <c r="A202" s="178" t="s">
        <v>395</v>
      </c>
      <c r="B202" s="106"/>
      <c r="C202" s="111">
        <f>SUM(C177:C201)</f>
        <v>3041574.74</v>
      </c>
      <c r="D202" s="94"/>
      <c r="E202" s="111">
        <f>SUM(E177:E201)</f>
        <v>2911351.7500000005</v>
      </c>
      <c r="F202" s="94"/>
      <c r="G202" s="111">
        <f t="shared" si="28"/>
        <v>130222.98999999976</v>
      </c>
      <c r="H202" s="112"/>
      <c r="I202" s="159">
        <f t="shared" si="29"/>
        <v>100</v>
      </c>
      <c r="J202" s="59">
        <f>C202-BS!C35</f>
        <v>0</v>
      </c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95"/>
      <c r="BB202" s="96"/>
      <c r="BC202" s="96"/>
      <c r="BD202" s="96"/>
      <c r="BE202" s="96"/>
      <c r="BF202" s="96"/>
      <c r="BG202" s="96"/>
      <c r="BH202" s="96"/>
      <c r="BI202" s="96"/>
      <c r="BJ202" s="96"/>
      <c r="BK202" s="97"/>
      <c r="BL202" s="95"/>
      <c r="BM202" s="96"/>
      <c r="BN202" s="95"/>
      <c r="BO202" s="96"/>
      <c r="BP202" s="95"/>
      <c r="BQ202" s="96"/>
      <c r="BR202" s="95"/>
      <c r="BS202" s="98"/>
      <c r="BT202" s="96"/>
      <c r="BU202" s="96"/>
      <c r="BV202" s="95"/>
      <c r="BW202" s="98"/>
      <c r="BX202" s="96"/>
      <c r="BY202" s="96"/>
      <c r="BZ202" s="95"/>
      <c r="CA202" s="98"/>
      <c r="CB202" s="96"/>
      <c r="CC202" s="96"/>
      <c r="CD202" s="95"/>
      <c r="CE202" s="98"/>
      <c r="CF202" s="99"/>
      <c r="CG202" s="95"/>
      <c r="CH202" s="96"/>
      <c r="CI202" s="96"/>
      <c r="CJ202" s="98"/>
    </row>
    <row r="203" spans="1:88" ht="15" customHeight="1">
      <c r="A203" s="121"/>
      <c r="B203" s="121" t="s">
        <v>396</v>
      </c>
      <c r="C203" s="102">
        <f>_xll.ACC(DB,_xll.ArrayDPT($BA203:$BJ203),_xll.ArrayCOA($BL203:$CE203),YR,PRD,_xll.ArrayDIM($CG203:$CJ203))</f>
        <v>0</v>
      </c>
      <c r="D203" s="164"/>
      <c r="E203" s="102">
        <f>_xll.ACC(DB,_xll.ArrayDPT($BA203:$BJ203),_xll.ArrayCOA($BL203:$CE203),YR-1,PRD,_xll.ArrayDIM($CG203:$CJ203))</f>
        <v>0</v>
      </c>
      <c r="F203" s="104"/>
      <c r="G203" s="102">
        <f t="shared" si="28"/>
        <v>0</v>
      </c>
      <c r="H203" s="107"/>
      <c r="I203" s="156">
        <f>IF(G203=0,0,(G203*100/G204))</f>
        <v>0</v>
      </c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95"/>
      <c r="BB203" s="96"/>
      <c r="BC203" s="96"/>
      <c r="BD203" s="96"/>
      <c r="BE203" s="96"/>
      <c r="BF203" s="96"/>
      <c r="BG203" s="96"/>
      <c r="BH203" s="96"/>
      <c r="BI203" s="96"/>
      <c r="BJ203" s="96"/>
      <c r="BK203" s="97"/>
      <c r="BL203" s="95"/>
      <c r="BM203" s="96"/>
      <c r="BN203" s="95"/>
      <c r="BO203" s="96"/>
      <c r="BP203" s="95"/>
      <c r="BQ203" s="96"/>
      <c r="BR203" s="95"/>
      <c r="BS203" s="98"/>
      <c r="BT203" s="96"/>
      <c r="BU203" s="96"/>
      <c r="BV203" s="95"/>
      <c r="BW203" s="98"/>
      <c r="BX203" s="96"/>
      <c r="BY203" s="96"/>
      <c r="BZ203" s="95"/>
      <c r="CA203" s="98"/>
      <c r="CB203" s="96"/>
      <c r="CC203" s="96"/>
      <c r="CD203" s="95"/>
      <c r="CE203" s="98"/>
      <c r="CF203" s="99"/>
      <c r="CG203" s="95"/>
      <c r="CH203" s="96"/>
      <c r="CI203" s="96"/>
      <c r="CJ203" s="98"/>
    </row>
    <row r="204" spans="1:88" ht="15" customHeight="1">
      <c r="A204" s="178" t="s">
        <v>397</v>
      </c>
      <c r="B204" s="101"/>
      <c r="C204" s="111">
        <f>+C202+C203</f>
        <v>3041574.74</v>
      </c>
      <c r="D204" s="94"/>
      <c r="E204" s="111">
        <f>+E202+E203</f>
        <v>2911351.7500000005</v>
      </c>
      <c r="F204" s="94"/>
      <c r="G204" s="111">
        <f t="shared" si="28"/>
        <v>130222.98999999976</v>
      </c>
      <c r="H204" s="127"/>
      <c r="I204" s="159">
        <f>IF(G204=0,0,(G204*100/G204))</f>
        <v>100</v>
      </c>
      <c r="J204" s="60"/>
      <c r="K204" s="114"/>
      <c r="L204" s="128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  <c r="AA204" s="114"/>
      <c r="AB204" s="114"/>
      <c r="AC204" s="114"/>
      <c r="AD204" s="114"/>
      <c r="AE204" s="114"/>
      <c r="AF204" s="114"/>
      <c r="AG204" s="114"/>
      <c r="AH204" s="114"/>
      <c r="AI204" s="114"/>
      <c r="AJ204" s="114"/>
      <c r="AK204" s="114"/>
      <c r="AL204" s="114"/>
      <c r="AM204" s="114"/>
      <c r="AN204" s="114"/>
      <c r="AO204" s="114"/>
      <c r="AP204" s="114"/>
      <c r="AQ204" s="114"/>
      <c r="AR204" s="114"/>
      <c r="AS204" s="114"/>
      <c r="AT204" s="114"/>
      <c r="AU204" s="114"/>
      <c r="AV204" s="114"/>
      <c r="AW204" s="114"/>
      <c r="AX204" s="114"/>
      <c r="AY204" s="114"/>
      <c r="AZ204" s="114"/>
      <c r="BA204" s="95"/>
      <c r="BB204" s="96"/>
      <c r="BC204" s="96"/>
      <c r="BD204" s="96"/>
      <c r="BE204" s="96"/>
      <c r="BF204" s="96"/>
      <c r="BG204" s="96"/>
      <c r="BH204" s="96"/>
      <c r="BI204" s="96"/>
      <c r="BJ204" s="96"/>
      <c r="BK204" s="97"/>
      <c r="BL204" s="95"/>
      <c r="BM204" s="96"/>
      <c r="BN204" s="95"/>
      <c r="BO204" s="96"/>
      <c r="BP204" s="95"/>
      <c r="BQ204" s="96"/>
      <c r="BR204" s="95"/>
      <c r="BS204" s="98"/>
      <c r="BT204" s="96"/>
      <c r="BU204" s="96"/>
      <c r="BV204" s="95"/>
      <c r="BW204" s="98"/>
      <c r="BX204" s="96"/>
      <c r="BY204" s="96"/>
      <c r="BZ204" s="95"/>
      <c r="CA204" s="98"/>
      <c r="CB204" s="96"/>
      <c r="CC204" s="96"/>
      <c r="CD204" s="95"/>
      <c r="CE204" s="98"/>
      <c r="CF204" s="99"/>
      <c r="CG204" s="95"/>
      <c r="CH204" s="96"/>
      <c r="CI204" s="96"/>
      <c r="CJ204" s="98"/>
    </row>
    <row r="205" spans="1:88" ht="11.25" customHeight="1">
      <c r="A205" s="178"/>
      <c r="B205" s="206"/>
      <c r="C205" s="92"/>
      <c r="D205" s="104"/>
      <c r="E205" s="92"/>
      <c r="F205" s="104"/>
      <c r="G205" s="207"/>
      <c r="H205" s="58"/>
      <c r="I205" s="208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95"/>
      <c r="BB205" s="96"/>
      <c r="BC205" s="96"/>
      <c r="BD205" s="96"/>
      <c r="BE205" s="96"/>
      <c r="BF205" s="96"/>
      <c r="BG205" s="96"/>
      <c r="BH205" s="96"/>
      <c r="BI205" s="96"/>
      <c r="BJ205" s="96"/>
      <c r="BK205" s="97"/>
      <c r="BL205" s="95"/>
      <c r="BM205" s="96"/>
      <c r="BN205" s="95"/>
      <c r="BO205" s="96"/>
      <c r="BP205" s="95"/>
      <c r="BQ205" s="96"/>
      <c r="BR205" s="95"/>
      <c r="BS205" s="98"/>
      <c r="BT205" s="96"/>
      <c r="BU205" s="96"/>
      <c r="BV205" s="95"/>
      <c r="BW205" s="98"/>
      <c r="BX205" s="96"/>
      <c r="BY205" s="96"/>
      <c r="BZ205" s="95"/>
      <c r="CA205" s="98"/>
      <c r="CB205" s="96"/>
      <c r="CC205" s="96"/>
      <c r="CD205" s="95"/>
      <c r="CE205" s="98"/>
      <c r="CF205" s="99"/>
      <c r="CG205" s="95"/>
      <c r="CH205" s="96"/>
      <c r="CI205" s="96"/>
      <c r="CJ205" s="98"/>
    </row>
    <row r="206" spans="1:88" ht="11.25" customHeight="1">
      <c r="A206" s="110"/>
      <c r="B206" s="206"/>
      <c r="C206" s="149">
        <f>C31+C44+C62+C84+C96+C112+C174+C204</f>
        <v>46007897.069999985</v>
      </c>
      <c r="D206" s="93"/>
      <c r="E206" s="149">
        <f>E31+E44+E62+E84+E96+E112+E174+E204</f>
        <v>40608528.460000038</v>
      </c>
      <c r="F206" s="93"/>
      <c r="G206" s="149">
        <f>G31+G44+G62+G84+G96+G112+G174+G204</f>
        <v>5399368.6099999454</v>
      </c>
      <c r="H206" s="103"/>
      <c r="I206" s="209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95"/>
      <c r="BB206" s="96"/>
      <c r="BC206" s="96"/>
      <c r="BD206" s="96"/>
      <c r="BE206" s="96"/>
      <c r="BF206" s="96"/>
      <c r="BG206" s="96"/>
      <c r="BH206" s="96"/>
      <c r="BI206" s="96"/>
      <c r="BJ206" s="96"/>
      <c r="BK206" s="97"/>
      <c r="BL206" s="95"/>
      <c r="BM206" s="96"/>
      <c r="BN206" s="95"/>
      <c r="BO206" s="96"/>
      <c r="BP206" s="95"/>
      <c r="BQ206" s="96"/>
      <c r="BR206" s="95"/>
      <c r="BS206" s="98"/>
      <c r="BT206" s="96"/>
      <c r="BU206" s="96"/>
      <c r="BV206" s="95"/>
      <c r="BW206" s="98"/>
      <c r="BX206" s="96"/>
      <c r="BY206" s="96"/>
      <c r="BZ206" s="95"/>
      <c r="CA206" s="98"/>
      <c r="CB206" s="96"/>
      <c r="CC206" s="96"/>
      <c r="CD206" s="95"/>
      <c r="CE206" s="98"/>
      <c r="CF206" s="99"/>
      <c r="CG206" s="95"/>
      <c r="CH206" s="96"/>
      <c r="CI206" s="96"/>
      <c r="CJ206" s="98"/>
    </row>
    <row r="207" spans="1:88" ht="11.25" customHeight="1">
      <c r="A207" s="178"/>
      <c r="B207" s="206"/>
      <c r="C207" s="92"/>
      <c r="D207" s="104"/>
      <c r="E207" s="92"/>
      <c r="F207" s="104"/>
      <c r="G207" s="207"/>
      <c r="H207" s="58"/>
      <c r="I207" s="208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95"/>
      <c r="BB207" s="96"/>
      <c r="BC207" s="96"/>
      <c r="BD207" s="96"/>
      <c r="BE207" s="96"/>
      <c r="BF207" s="96"/>
      <c r="BG207" s="96"/>
      <c r="BH207" s="96"/>
      <c r="BI207" s="96"/>
      <c r="BJ207" s="96"/>
      <c r="BK207" s="97"/>
      <c r="BL207" s="95"/>
      <c r="BM207" s="96"/>
      <c r="BN207" s="95"/>
      <c r="BO207" s="96"/>
      <c r="BP207" s="95"/>
      <c r="BQ207" s="96"/>
      <c r="BR207" s="95"/>
      <c r="BS207" s="98"/>
      <c r="BT207" s="96"/>
      <c r="BU207" s="96"/>
      <c r="BV207" s="95"/>
      <c r="BW207" s="98"/>
      <c r="BX207" s="96"/>
      <c r="BY207" s="96"/>
      <c r="BZ207" s="95"/>
      <c r="CA207" s="98"/>
      <c r="CB207" s="96"/>
      <c r="CC207" s="96"/>
      <c r="CD207" s="95"/>
      <c r="CE207" s="98"/>
      <c r="CF207" s="99"/>
      <c r="CG207" s="95"/>
      <c r="CH207" s="96"/>
      <c r="CI207" s="96"/>
      <c r="CJ207" s="98"/>
    </row>
    <row r="208" spans="1:88" ht="11.25" customHeight="1">
      <c r="A208" s="178" t="s">
        <v>398</v>
      </c>
      <c r="B208" s="206"/>
      <c r="C208" s="92"/>
      <c r="D208" s="104"/>
      <c r="E208" s="92"/>
      <c r="F208" s="104"/>
      <c r="G208" s="207"/>
      <c r="H208" s="58"/>
      <c r="I208" s="208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95"/>
      <c r="BB208" s="96"/>
      <c r="BC208" s="96"/>
      <c r="BD208" s="96"/>
      <c r="BE208" s="96"/>
      <c r="BF208" s="96"/>
      <c r="BG208" s="96"/>
      <c r="BH208" s="96"/>
      <c r="BI208" s="96"/>
      <c r="BJ208" s="96"/>
      <c r="BK208" s="97"/>
      <c r="BL208" s="95"/>
      <c r="BM208" s="96"/>
      <c r="BN208" s="95"/>
      <c r="BO208" s="96"/>
      <c r="BP208" s="95"/>
      <c r="BQ208" s="96"/>
      <c r="BR208" s="95"/>
      <c r="BS208" s="98"/>
      <c r="BT208" s="96"/>
      <c r="BU208" s="96"/>
      <c r="BV208" s="95"/>
      <c r="BW208" s="98"/>
      <c r="BX208" s="96"/>
      <c r="BY208" s="96"/>
      <c r="BZ208" s="95"/>
      <c r="CA208" s="98"/>
      <c r="CB208" s="96"/>
      <c r="CC208" s="96"/>
      <c r="CD208" s="95"/>
      <c r="CE208" s="98"/>
      <c r="CF208" s="99"/>
      <c r="CG208" s="95"/>
      <c r="CH208" s="96"/>
      <c r="CI208" s="96"/>
      <c r="CJ208" s="98"/>
    </row>
    <row r="209" spans="1:88" ht="11.25" customHeight="1">
      <c r="A209" s="178" t="s">
        <v>91</v>
      </c>
      <c r="B209" s="206"/>
      <c r="C209" s="92"/>
      <c r="D209" s="104"/>
      <c r="E209" s="92"/>
      <c r="F209" s="104"/>
      <c r="G209" s="207"/>
      <c r="H209" s="58"/>
      <c r="I209" s="208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95"/>
      <c r="BB209" s="96"/>
      <c r="BC209" s="96"/>
      <c r="BD209" s="96"/>
      <c r="BE209" s="96"/>
      <c r="BF209" s="96"/>
      <c r="BG209" s="96"/>
      <c r="BH209" s="96"/>
      <c r="BI209" s="96"/>
      <c r="BJ209" s="96"/>
      <c r="BK209" s="97"/>
      <c r="BL209" s="95"/>
      <c r="BM209" s="96"/>
      <c r="BN209" s="95"/>
      <c r="BO209" s="96"/>
      <c r="BP209" s="95"/>
      <c r="BQ209" s="96"/>
      <c r="BR209" s="95"/>
      <c r="BS209" s="98"/>
      <c r="BT209" s="96"/>
      <c r="BU209" s="96"/>
      <c r="BV209" s="95"/>
      <c r="BW209" s="98"/>
      <c r="BX209" s="96"/>
      <c r="BY209" s="96"/>
      <c r="BZ209" s="95"/>
      <c r="CA209" s="98"/>
      <c r="CB209" s="96"/>
      <c r="CC209" s="96"/>
      <c r="CD209" s="95"/>
      <c r="CE209" s="98"/>
      <c r="CF209" s="99"/>
      <c r="CG209" s="95"/>
      <c r="CH209" s="96"/>
      <c r="CI209" s="96"/>
      <c r="CJ209" s="98"/>
    </row>
    <row r="210" spans="1:88" ht="11.25" customHeight="1">
      <c r="A210" s="178"/>
      <c r="B210" s="210" t="s">
        <v>399</v>
      </c>
      <c r="C210" s="92"/>
      <c r="D210" s="104"/>
      <c r="E210" s="92"/>
      <c r="F210" s="104"/>
      <c r="G210" s="207"/>
      <c r="H210" s="58"/>
      <c r="I210" s="208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95"/>
      <c r="BB210" s="96"/>
      <c r="BC210" s="96"/>
      <c r="BD210" s="96"/>
      <c r="BE210" s="96"/>
      <c r="BF210" s="96"/>
      <c r="BG210" s="96"/>
      <c r="BH210" s="96"/>
      <c r="BI210" s="96"/>
      <c r="BJ210" s="96"/>
      <c r="BK210" s="97"/>
      <c r="BL210" s="95"/>
      <c r="BM210" s="96"/>
      <c r="BN210" s="95"/>
      <c r="BO210" s="96"/>
      <c r="BP210" s="95"/>
      <c r="BQ210" s="96"/>
      <c r="BR210" s="95"/>
      <c r="BS210" s="98"/>
      <c r="BT210" s="96"/>
      <c r="BU210" s="96"/>
      <c r="BV210" s="95"/>
      <c r="BW210" s="98"/>
      <c r="BX210" s="96"/>
      <c r="BY210" s="96"/>
      <c r="BZ210" s="95"/>
      <c r="CA210" s="98"/>
      <c r="CB210" s="96"/>
      <c r="CC210" s="96"/>
      <c r="CD210" s="95"/>
      <c r="CE210" s="98"/>
      <c r="CF210" s="99"/>
      <c r="CG210" s="95"/>
      <c r="CH210" s="96"/>
      <c r="CI210" s="96"/>
      <c r="CJ210" s="98"/>
    </row>
    <row r="211" spans="1:88" ht="12.75" customHeight="1">
      <c r="A211" s="55"/>
      <c r="B211" s="56" t="s">
        <v>400</v>
      </c>
      <c r="C211" s="102">
        <f>_xll.ACC(DB,_xll.ArrayDPT($BA211:$BJ211),_xll.ArrayCOA($BL211:$CE211),YR,PRD,_xll.ArrayDIM($CG211:$CJ211))</f>
        <v>-2985829.81</v>
      </c>
      <c r="D211" s="104"/>
      <c r="E211" s="102">
        <f>_xll.ACC(DB,_xll.ArrayDPT($BA211:$BJ211),_xll.ArrayCOA($BL211:$CE211),YR,PRD-1,_xll.ArrayDIM($CG211:$CJ211))</f>
        <v>-2914867.53</v>
      </c>
      <c r="F211" s="59"/>
      <c r="G211" s="57">
        <f t="shared" ref="G211:G215" si="30">C211-E211</f>
        <v>-70962.280000000261</v>
      </c>
      <c r="H211" s="58"/>
      <c r="I211" s="156">
        <f t="shared" ref="I211:I212" si="31">IF(G211=0,0,(G211*100/$G$215))</f>
        <v>100</v>
      </c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95"/>
      <c r="BB211" s="96"/>
      <c r="BC211" s="96"/>
      <c r="BD211" s="96"/>
      <c r="BE211" s="96"/>
      <c r="BF211" s="96"/>
      <c r="BG211" s="96"/>
      <c r="BH211" s="96"/>
      <c r="BI211" s="96"/>
      <c r="BJ211" s="96"/>
      <c r="BK211" s="97"/>
      <c r="BL211" s="95" t="s">
        <v>401</v>
      </c>
      <c r="BM211" s="96" t="s">
        <v>401</v>
      </c>
      <c r="BN211" s="95"/>
      <c r="BO211" s="96"/>
      <c r="BP211" s="95"/>
      <c r="BQ211" s="96"/>
      <c r="BR211" s="95"/>
      <c r="BS211" s="98"/>
      <c r="BT211" s="96"/>
      <c r="BU211" s="96"/>
      <c r="BV211" s="95"/>
      <c r="BW211" s="98"/>
      <c r="BX211" s="96"/>
      <c r="BY211" s="96"/>
      <c r="BZ211" s="95"/>
      <c r="CA211" s="98"/>
      <c r="CB211" s="96"/>
      <c r="CC211" s="96"/>
      <c r="CD211" s="95"/>
      <c r="CE211" s="98"/>
      <c r="CF211" s="99"/>
      <c r="CG211" s="95"/>
      <c r="CH211" s="96"/>
      <c r="CI211" s="96"/>
      <c r="CJ211" s="98"/>
    </row>
    <row r="212" spans="1:88" ht="12.75" customHeight="1">
      <c r="A212" s="55"/>
      <c r="B212" s="56" t="s">
        <v>402</v>
      </c>
      <c r="C212" s="102">
        <f>_xll.ACC(DB,_xll.ArrayDPT($BA212:$BJ212),_xll.ArrayCOA($BL212:$CE212),YR,PRD,_xll.ArrayDIM($CG212:$CJ212))</f>
        <v>0</v>
      </c>
      <c r="D212" s="104"/>
      <c r="E212" s="102">
        <f>_xll.ACC(DB,_xll.ArrayDPT($BA212:$BJ212),_xll.ArrayCOA($BL212:$CE212),YR,PRD-1,_xll.ArrayDIM($CG212:$CJ212))</f>
        <v>0</v>
      </c>
      <c r="F212" s="59"/>
      <c r="G212" s="57">
        <f t="shared" si="30"/>
        <v>0</v>
      </c>
      <c r="H212" s="58"/>
      <c r="I212" s="156">
        <f t="shared" si="31"/>
        <v>0</v>
      </c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95"/>
      <c r="BB212" s="96"/>
      <c r="BC212" s="96"/>
      <c r="BD212" s="96"/>
      <c r="BE212" s="96"/>
      <c r="BF212" s="96"/>
      <c r="BG212" s="96"/>
      <c r="BH212" s="96"/>
      <c r="BI212" s="96"/>
      <c r="BJ212" s="96"/>
      <c r="BK212" s="97"/>
      <c r="BL212" s="95"/>
      <c r="BM212" s="96"/>
      <c r="BN212" s="95"/>
      <c r="BO212" s="96"/>
      <c r="BP212" s="95"/>
      <c r="BQ212" s="96"/>
      <c r="BR212" s="95"/>
      <c r="BS212" s="98"/>
      <c r="BT212" s="96"/>
      <c r="BU212" s="96"/>
      <c r="BV212" s="95"/>
      <c r="BW212" s="98"/>
      <c r="BX212" s="96"/>
      <c r="BY212" s="96"/>
      <c r="BZ212" s="95"/>
      <c r="CA212" s="98"/>
      <c r="CB212" s="96"/>
      <c r="CC212" s="96"/>
      <c r="CD212" s="95"/>
      <c r="CE212" s="98"/>
      <c r="CF212" s="99"/>
      <c r="CG212" s="95"/>
      <c r="CH212" s="96"/>
      <c r="CI212" s="96"/>
      <c r="CJ212" s="98"/>
    </row>
    <row r="213" spans="1:88" ht="12.75" customHeight="1">
      <c r="A213" s="55"/>
      <c r="B213" s="56" t="s">
        <v>403</v>
      </c>
      <c r="C213" s="102">
        <f>_xll.ACC(DB,_xll.ArrayDPT($BA213:$BJ213),_xll.ArrayCOA($BL213:$CE213),YR,PRD,_xll.ArrayDIM($CG213:$CJ213))</f>
        <v>0</v>
      </c>
      <c r="D213" s="104"/>
      <c r="E213" s="102">
        <f>_xll.ACC(DB,_xll.ArrayDPT($BA213:$BJ213),_xll.ArrayCOA($BL213:$CE213),YR,PRD-1,_xll.ArrayDIM($CG213:$CJ213))</f>
        <v>0</v>
      </c>
      <c r="F213" s="59"/>
      <c r="G213" s="57">
        <f t="shared" si="30"/>
        <v>0</v>
      </c>
      <c r="H213" s="58"/>
      <c r="I213" s="156">
        <f t="shared" ref="I213:I215" si="32">IF(G213=0,0,(G213*100/$G$279))</f>
        <v>0</v>
      </c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95"/>
      <c r="BB213" s="96"/>
      <c r="BC213" s="96"/>
      <c r="BD213" s="96"/>
      <c r="BE213" s="96"/>
      <c r="BF213" s="96"/>
      <c r="BG213" s="96"/>
      <c r="BH213" s="96"/>
      <c r="BI213" s="96"/>
      <c r="BJ213" s="96"/>
      <c r="BK213" s="97"/>
      <c r="BL213" s="95"/>
      <c r="BM213" s="96"/>
      <c r="BN213" s="95"/>
      <c r="BO213" s="96"/>
      <c r="BP213" s="95"/>
      <c r="BQ213" s="96"/>
      <c r="BR213" s="95"/>
      <c r="BS213" s="98"/>
      <c r="BT213" s="96"/>
      <c r="BU213" s="96"/>
      <c r="BV213" s="95"/>
      <c r="BW213" s="98"/>
      <c r="BX213" s="96"/>
      <c r="BY213" s="96"/>
      <c r="BZ213" s="95"/>
      <c r="CA213" s="98"/>
      <c r="CB213" s="96"/>
      <c r="CC213" s="96"/>
      <c r="CD213" s="95"/>
      <c r="CE213" s="98"/>
      <c r="CF213" s="99"/>
      <c r="CG213" s="95"/>
      <c r="CH213" s="96"/>
      <c r="CI213" s="96"/>
      <c r="CJ213" s="98"/>
    </row>
    <row r="214" spans="1:88" ht="12.75" customHeight="1">
      <c r="A214" s="55"/>
      <c r="B214" s="56" t="s">
        <v>404</v>
      </c>
      <c r="C214" s="102">
        <f>_xll.ACC(DB,_xll.ArrayDPT($BA214:$BJ214),_xll.ArrayCOA($BL214:$CE214),YR,PRD,_xll.ArrayDIM($CG214:$CJ214))</f>
        <v>0</v>
      </c>
      <c r="D214" s="104"/>
      <c r="E214" s="102">
        <f>_xll.ACC(DB,_xll.ArrayDPT($BA214:$BJ214),_xll.ArrayCOA($BL214:$CE214),YR,PRD-1,_xll.ArrayDIM($CG214:$CJ214))</f>
        <v>0</v>
      </c>
      <c r="F214" s="59"/>
      <c r="G214" s="57">
        <f t="shared" si="30"/>
        <v>0</v>
      </c>
      <c r="H214" s="58"/>
      <c r="I214" s="156">
        <f t="shared" si="32"/>
        <v>0</v>
      </c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95"/>
      <c r="BB214" s="96"/>
      <c r="BC214" s="96"/>
      <c r="BD214" s="96"/>
      <c r="BE214" s="96"/>
      <c r="BF214" s="96"/>
      <c r="BG214" s="96"/>
      <c r="BH214" s="96"/>
      <c r="BI214" s="96"/>
      <c r="BJ214" s="96"/>
      <c r="BK214" s="97"/>
      <c r="BL214" s="95"/>
      <c r="BM214" s="96"/>
      <c r="BN214" s="95"/>
      <c r="BO214" s="96"/>
      <c r="BP214" s="95"/>
      <c r="BQ214" s="96"/>
      <c r="BR214" s="95"/>
      <c r="BS214" s="98"/>
      <c r="BT214" s="96"/>
      <c r="BU214" s="96"/>
      <c r="BV214" s="95"/>
      <c r="BW214" s="98"/>
      <c r="BX214" s="96"/>
      <c r="BY214" s="96"/>
      <c r="BZ214" s="95"/>
      <c r="CA214" s="98"/>
      <c r="CB214" s="96"/>
      <c r="CC214" s="96"/>
      <c r="CD214" s="95"/>
      <c r="CE214" s="98"/>
      <c r="CF214" s="99"/>
      <c r="CG214" s="95"/>
      <c r="CH214" s="96"/>
      <c r="CI214" s="96"/>
      <c r="CJ214" s="98"/>
    </row>
    <row r="215" spans="1:88" ht="12" customHeight="1">
      <c r="A215" s="178"/>
      <c r="B215" s="178" t="s">
        <v>405</v>
      </c>
      <c r="C215" s="111">
        <f>SUM(C211:C214)</f>
        <v>-2985829.81</v>
      </c>
      <c r="D215" s="104"/>
      <c r="E215" s="111">
        <f>SUM(E211:E214)</f>
        <v>-2914867.53</v>
      </c>
      <c r="F215" s="104"/>
      <c r="G215" s="111">
        <f t="shared" si="30"/>
        <v>-70962.280000000261</v>
      </c>
      <c r="H215" s="103"/>
      <c r="I215" s="159">
        <f t="shared" si="32"/>
        <v>-5.7633722610252489</v>
      </c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95"/>
      <c r="BB215" s="96"/>
      <c r="BC215" s="96"/>
      <c r="BD215" s="96"/>
      <c r="BE215" s="96"/>
      <c r="BF215" s="96"/>
      <c r="BG215" s="96"/>
      <c r="BH215" s="96"/>
      <c r="BI215" s="96"/>
      <c r="BJ215" s="96"/>
      <c r="BK215" s="97"/>
      <c r="BL215" s="95"/>
      <c r="BM215" s="96"/>
      <c r="BN215" s="95"/>
      <c r="BO215" s="96"/>
      <c r="BP215" s="95"/>
      <c r="BQ215" s="96"/>
      <c r="BR215" s="95"/>
      <c r="BS215" s="98"/>
      <c r="BT215" s="96"/>
      <c r="BU215" s="96"/>
      <c r="BV215" s="95"/>
      <c r="BW215" s="98"/>
      <c r="BX215" s="96"/>
      <c r="BY215" s="96"/>
      <c r="BZ215" s="95"/>
      <c r="CA215" s="98"/>
      <c r="CB215" s="96"/>
      <c r="CC215" s="96"/>
      <c r="CD215" s="95"/>
      <c r="CE215" s="98"/>
      <c r="CF215" s="99"/>
      <c r="CG215" s="95"/>
      <c r="CH215" s="96"/>
      <c r="CI215" s="96"/>
      <c r="CJ215" s="98"/>
    </row>
    <row r="216" spans="1:88" ht="12" customHeight="1">
      <c r="A216" s="178"/>
      <c r="B216" s="178"/>
      <c r="C216" s="92"/>
      <c r="D216" s="104"/>
      <c r="E216" s="92"/>
      <c r="F216" s="104"/>
      <c r="G216" s="92"/>
      <c r="H216" s="103"/>
      <c r="I216" s="1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95"/>
      <c r="BB216" s="96"/>
      <c r="BC216" s="96"/>
      <c r="BD216" s="96"/>
      <c r="BE216" s="96"/>
      <c r="BF216" s="96"/>
      <c r="BG216" s="96"/>
      <c r="BH216" s="96"/>
      <c r="BI216" s="96"/>
      <c r="BJ216" s="96"/>
      <c r="BK216" s="97"/>
      <c r="BL216" s="95"/>
      <c r="BM216" s="96"/>
      <c r="BN216" s="95"/>
      <c r="BO216" s="96"/>
      <c r="BP216" s="95"/>
      <c r="BQ216" s="96"/>
      <c r="BR216" s="95"/>
      <c r="BS216" s="98"/>
      <c r="BT216" s="96"/>
      <c r="BU216" s="96"/>
      <c r="BV216" s="95"/>
      <c r="BW216" s="98"/>
      <c r="BX216" s="96"/>
      <c r="BY216" s="96"/>
      <c r="BZ216" s="95"/>
      <c r="CA216" s="98"/>
      <c r="CB216" s="96"/>
      <c r="CC216" s="96"/>
      <c r="CD216" s="95"/>
      <c r="CE216" s="98"/>
      <c r="CF216" s="99"/>
      <c r="CG216" s="95"/>
      <c r="CH216" s="96"/>
      <c r="CI216" s="96"/>
      <c r="CJ216" s="98"/>
    </row>
    <row r="217" spans="1:88" ht="12" customHeight="1">
      <c r="A217" s="178"/>
      <c r="B217" s="178" t="s">
        <v>93</v>
      </c>
      <c r="C217" s="102">
        <f>_xll.ACC(DB,_xll.ArrayDPT($BA217:$BJ217),_xll.ArrayCOA($BL217:$CE217),YR,PRD,_xll.ArrayDIM($CG217:$CJ217))</f>
        <v>0</v>
      </c>
      <c r="D217" s="104"/>
      <c r="E217" s="102">
        <f>_xll.ACC(DB,_xll.ArrayDPT($BA217:$BJ217),_xll.ArrayCOA($BL217:$CE217),YR,PRD-1,_xll.ArrayDIM($CG217:$CJ217))</f>
        <v>0</v>
      </c>
      <c r="F217" s="104"/>
      <c r="G217" s="92">
        <f>C217-E217</f>
        <v>0</v>
      </c>
      <c r="H217" s="103"/>
      <c r="I217" s="156">
        <f>IF(G217=0,0,(G217*100/$G$226))</f>
        <v>0</v>
      </c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95"/>
      <c r="BB217" s="96"/>
      <c r="BC217" s="96"/>
      <c r="BD217" s="96"/>
      <c r="BE217" s="96"/>
      <c r="BF217" s="96"/>
      <c r="BG217" s="96"/>
      <c r="BH217" s="96"/>
      <c r="BI217" s="96"/>
      <c r="BJ217" s="96"/>
      <c r="BK217" s="97"/>
      <c r="BL217" s="95"/>
      <c r="BM217" s="96"/>
      <c r="BN217" s="95"/>
      <c r="BO217" s="96"/>
      <c r="BP217" s="95"/>
      <c r="BQ217" s="96"/>
      <c r="BR217" s="95"/>
      <c r="BS217" s="98"/>
      <c r="BT217" s="96"/>
      <c r="BU217" s="96"/>
      <c r="BV217" s="95"/>
      <c r="BW217" s="98"/>
      <c r="BX217" s="96"/>
      <c r="BY217" s="96"/>
      <c r="BZ217" s="95"/>
      <c r="CA217" s="98"/>
      <c r="CB217" s="96"/>
      <c r="CC217" s="96"/>
      <c r="CD217" s="95"/>
      <c r="CE217" s="98"/>
      <c r="CF217" s="99"/>
      <c r="CG217" s="95"/>
      <c r="CH217" s="96"/>
      <c r="CI217" s="96"/>
      <c r="CJ217" s="98"/>
    </row>
    <row r="218" spans="1:88" ht="13.5" customHeight="1">
      <c r="A218" s="178"/>
      <c r="B218" s="178" t="s">
        <v>406</v>
      </c>
      <c r="C218" s="102"/>
      <c r="D218" s="104"/>
      <c r="E218" s="102"/>
      <c r="F218" s="104"/>
      <c r="G218" s="102"/>
      <c r="H218" s="103"/>
      <c r="I218" s="156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95"/>
      <c r="BB218" s="96"/>
      <c r="BC218" s="96"/>
      <c r="BD218" s="96"/>
      <c r="BE218" s="96"/>
      <c r="BF218" s="96"/>
      <c r="BG218" s="96"/>
      <c r="BH218" s="96"/>
      <c r="BI218" s="96"/>
      <c r="BJ218" s="96"/>
      <c r="BK218" s="97"/>
      <c r="BL218" s="95"/>
      <c r="BM218" s="96"/>
      <c r="BN218" s="95"/>
      <c r="BO218" s="96"/>
      <c r="BP218" s="95"/>
      <c r="BQ218" s="96"/>
      <c r="BR218" s="95"/>
      <c r="BS218" s="98"/>
      <c r="BT218" s="96"/>
      <c r="BU218" s="96"/>
      <c r="BV218" s="95"/>
      <c r="BW218" s="98"/>
      <c r="BX218" s="96"/>
      <c r="BY218" s="96"/>
      <c r="BZ218" s="95"/>
      <c r="CA218" s="98"/>
      <c r="CB218" s="96"/>
      <c r="CC218" s="96"/>
      <c r="CD218" s="95"/>
      <c r="CE218" s="98"/>
      <c r="CF218" s="99"/>
      <c r="CG218" s="95"/>
      <c r="CH218" s="96"/>
      <c r="CI218" s="96"/>
      <c r="CJ218" s="98"/>
    </row>
    <row r="219" spans="1:88" ht="13.5" customHeight="1">
      <c r="A219" s="178"/>
      <c r="B219" s="181" t="s">
        <v>407</v>
      </c>
      <c r="C219" s="102">
        <f>_xll.ACC(DB,_xll.ArrayDPT($BA219:$BJ219),_xll.ArrayCOA($BL219:$CE219),YR,PRD,_xll.ArrayDIM($CG219:$CJ219))</f>
        <v>568.05999999999995</v>
      </c>
      <c r="D219" s="104"/>
      <c r="E219" s="102">
        <f>_xll.ACC(DB,_xll.ArrayDPT($BA219:$BJ219),_xll.ArrayCOA($BL219:$CE219),YR,PRD-1,_xll.ArrayDIM($CG219:$CJ219))</f>
        <v>568.05999999999995</v>
      </c>
      <c r="F219" s="104"/>
      <c r="G219" s="92">
        <f t="shared" ref="G219:G226" si="33">C219-E219</f>
        <v>0</v>
      </c>
      <c r="H219" s="103"/>
      <c r="I219" s="156">
        <f t="shared" ref="I219:I225" si="34">IF(G219=0,0,(G219*100/$G$226))</f>
        <v>0</v>
      </c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95"/>
      <c r="BB219" s="96"/>
      <c r="BC219" s="96"/>
      <c r="BD219" s="96"/>
      <c r="BE219" s="96"/>
      <c r="BF219" s="96"/>
      <c r="BG219" s="96"/>
      <c r="BH219" s="96"/>
      <c r="BI219" s="96"/>
      <c r="BJ219" s="96"/>
      <c r="BK219" s="97"/>
      <c r="BL219" s="95" t="s">
        <v>408</v>
      </c>
      <c r="BM219" s="96" t="s">
        <v>408</v>
      </c>
      <c r="BN219" s="95"/>
      <c r="BO219" s="96"/>
      <c r="BP219" s="95"/>
      <c r="BQ219" s="96"/>
      <c r="BR219" s="95"/>
      <c r="BS219" s="98"/>
      <c r="BT219" s="96"/>
      <c r="BU219" s="96"/>
      <c r="BV219" s="95"/>
      <c r="BW219" s="98"/>
      <c r="BX219" s="96"/>
      <c r="BY219" s="96"/>
      <c r="BZ219" s="95"/>
      <c r="CA219" s="98"/>
      <c r="CB219" s="96"/>
      <c r="CC219" s="96"/>
      <c r="CD219" s="95"/>
      <c r="CE219" s="98"/>
      <c r="CF219" s="99"/>
      <c r="CG219" s="95"/>
      <c r="CH219" s="96"/>
      <c r="CI219" s="96"/>
      <c r="CJ219" s="98"/>
    </row>
    <row r="220" spans="1:88" ht="13.5" customHeight="1">
      <c r="A220" s="178"/>
      <c r="B220" s="181" t="s">
        <v>409</v>
      </c>
      <c r="C220" s="102">
        <f>_xll.ACC(DB,_xll.ArrayDPT($BA220:$BJ220),_xll.ArrayCOA($BL220:$CE220),YR,PRD,_xll.ArrayDIM($CG220:$CJ220))</f>
        <v>0</v>
      </c>
      <c r="D220" s="104"/>
      <c r="E220" s="102">
        <f>_xll.ACC(DB,_xll.ArrayDPT($BA220:$BJ220),_xll.ArrayCOA($BL220:$CE220),YR,PRD-1,_xll.ArrayDIM($CG220:$CJ220))</f>
        <v>0</v>
      </c>
      <c r="F220" s="104"/>
      <c r="G220" s="92">
        <f t="shared" si="33"/>
        <v>0</v>
      </c>
      <c r="H220" s="103"/>
      <c r="I220" s="156">
        <f t="shared" si="34"/>
        <v>0</v>
      </c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95"/>
      <c r="BB220" s="96"/>
      <c r="BC220" s="96"/>
      <c r="BD220" s="96"/>
      <c r="BE220" s="96"/>
      <c r="BF220" s="96"/>
      <c r="BG220" s="96"/>
      <c r="BH220" s="96"/>
      <c r="BI220" s="96"/>
      <c r="BJ220" s="96"/>
      <c r="BK220" s="97"/>
      <c r="BL220" s="95"/>
      <c r="BM220" s="96"/>
      <c r="BN220" s="95"/>
      <c r="BO220" s="96"/>
      <c r="BP220" s="95"/>
      <c r="BQ220" s="96"/>
      <c r="BR220" s="95"/>
      <c r="BS220" s="98"/>
      <c r="BT220" s="96"/>
      <c r="BU220" s="96"/>
      <c r="BV220" s="95"/>
      <c r="BW220" s="98"/>
      <c r="BX220" s="96"/>
      <c r="BY220" s="96"/>
      <c r="BZ220" s="95"/>
      <c r="CA220" s="98"/>
      <c r="CB220" s="96"/>
      <c r="CC220" s="96"/>
      <c r="CD220" s="95"/>
      <c r="CE220" s="98"/>
      <c r="CF220" s="99"/>
      <c r="CG220" s="95"/>
      <c r="CH220" s="96"/>
      <c r="CI220" s="96"/>
      <c r="CJ220" s="98"/>
    </row>
    <row r="221" spans="1:88" ht="13.5" customHeight="1">
      <c r="A221" s="178"/>
      <c r="B221" s="181" t="s">
        <v>410</v>
      </c>
      <c r="C221" s="102">
        <f>_xll.ACC(DB,_xll.ArrayDPT($BA221:$BJ221),_xll.ArrayCOA($BL221:$CE221),YR,PRD,_xll.ArrayDIM($CG221:$CJ221))</f>
        <v>0</v>
      </c>
      <c r="D221" s="104"/>
      <c r="E221" s="102">
        <f>_xll.ACC(DB,_xll.ArrayDPT($BA221:$BJ221),_xll.ArrayCOA($BL221:$CE221),YR,PRD-1,_xll.ArrayDIM($CG221:$CJ221))</f>
        <v>0</v>
      </c>
      <c r="F221" s="104"/>
      <c r="G221" s="92">
        <f t="shared" si="33"/>
        <v>0</v>
      </c>
      <c r="H221" s="103"/>
      <c r="I221" s="156">
        <f t="shared" si="34"/>
        <v>0</v>
      </c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95"/>
      <c r="BB221" s="96"/>
      <c r="BC221" s="96"/>
      <c r="BD221" s="96"/>
      <c r="BE221" s="96"/>
      <c r="BF221" s="96"/>
      <c r="BG221" s="96"/>
      <c r="BH221" s="96"/>
      <c r="BI221" s="96"/>
      <c r="BJ221" s="96"/>
      <c r="BK221" s="97"/>
      <c r="BL221" s="95"/>
      <c r="BM221" s="96"/>
      <c r="BN221" s="95"/>
      <c r="BO221" s="96"/>
      <c r="BP221" s="95"/>
      <c r="BQ221" s="96"/>
      <c r="BR221" s="95"/>
      <c r="BS221" s="98"/>
      <c r="BT221" s="96"/>
      <c r="BU221" s="96"/>
      <c r="BV221" s="95"/>
      <c r="BW221" s="98"/>
      <c r="BX221" s="96"/>
      <c r="BY221" s="96"/>
      <c r="BZ221" s="95"/>
      <c r="CA221" s="98"/>
      <c r="CB221" s="96"/>
      <c r="CC221" s="96"/>
      <c r="CD221" s="95"/>
      <c r="CE221" s="98"/>
      <c r="CF221" s="99"/>
      <c r="CG221" s="95"/>
      <c r="CH221" s="96"/>
      <c r="CI221" s="96"/>
      <c r="CJ221" s="98"/>
    </row>
    <row r="222" spans="1:88" ht="13.5" customHeight="1">
      <c r="A222" s="178"/>
      <c r="B222" s="181" t="s">
        <v>411</v>
      </c>
      <c r="C222" s="102">
        <f>_xll.ACC(DB,_xll.ArrayDPT($BA222:$BJ222),_xll.ArrayCOA($BL222:$CE222),YR,PRD,_xll.ArrayDIM($CG222:$CJ222))</f>
        <v>0</v>
      </c>
      <c r="D222" s="104"/>
      <c r="E222" s="102">
        <f>_xll.ACC(DB,_xll.ArrayDPT($BA222:$BJ222),_xll.ArrayCOA($BL222:$CE222),YR,PRD-1,_xll.ArrayDIM($CG222:$CJ222))</f>
        <v>0</v>
      </c>
      <c r="F222" s="104"/>
      <c r="G222" s="92">
        <f t="shared" si="33"/>
        <v>0</v>
      </c>
      <c r="H222" s="103"/>
      <c r="I222" s="156">
        <f t="shared" si="34"/>
        <v>0</v>
      </c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95"/>
      <c r="BB222" s="96"/>
      <c r="BC222" s="96"/>
      <c r="BD222" s="96"/>
      <c r="BE222" s="96"/>
      <c r="BF222" s="96"/>
      <c r="BG222" s="96"/>
      <c r="BH222" s="96"/>
      <c r="BI222" s="96"/>
      <c r="BJ222" s="96"/>
      <c r="BK222" s="97"/>
      <c r="BL222" s="95"/>
      <c r="BM222" s="96"/>
      <c r="BN222" s="95"/>
      <c r="BO222" s="96"/>
      <c r="BP222" s="95"/>
      <c r="BQ222" s="96"/>
      <c r="BR222" s="95"/>
      <c r="BS222" s="98"/>
      <c r="BT222" s="96"/>
      <c r="BU222" s="96"/>
      <c r="BV222" s="95"/>
      <c r="BW222" s="98"/>
      <c r="BX222" s="96"/>
      <c r="BY222" s="96"/>
      <c r="BZ222" s="95"/>
      <c r="CA222" s="98"/>
      <c r="CB222" s="96"/>
      <c r="CC222" s="96"/>
      <c r="CD222" s="95"/>
      <c r="CE222" s="98"/>
      <c r="CF222" s="99"/>
      <c r="CG222" s="95"/>
      <c r="CH222" s="96"/>
      <c r="CI222" s="96"/>
      <c r="CJ222" s="98"/>
    </row>
    <row r="223" spans="1:88" ht="13.5" customHeight="1">
      <c r="A223" s="178"/>
      <c r="B223" s="181" t="s">
        <v>412</v>
      </c>
      <c r="C223" s="102">
        <f>_xll.ACC(DB,_xll.ArrayDPT($BA223:$BJ223),_xll.ArrayCOA($BL223:$CE223),YR,PRD,_xll.ArrayDIM($CG223:$CJ223))</f>
        <v>0</v>
      </c>
      <c r="D223" s="104"/>
      <c r="E223" s="102">
        <f>_xll.ACC(DB,_xll.ArrayDPT($BA223:$BJ223),_xll.ArrayCOA($BL223:$CE223),YR,PRD-1,_xll.ArrayDIM($CG223:$CJ223))</f>
        <v>0</v>
      </c>
      <c r="F223" s="104"/>
      <c r="G223" s="92">
        <f t="shared" si="33"/>
        <v>0</v>
      </c>
      <c r="H223" s="103"/>
      <c r="I223" s="156">
        <f t="shared" si="34"/>
        <v>0</v>
      </c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95"/>
      <c r="BB223" s="96"/>
      <c r="BC223" s="96"/>
      <c r="BD223" s="96"/>
      <c r="BE223" s="96"/>
      <c r="BF223" s="96"/>
      <c r="BG223" s="96"/>
      <c r="BH223" s="96"/>
      <c r="BI223" s="96"/>
      <c r="BJ223" s="96"/>
      <c r="BK223" s="97"/>
      <c r="BL223" s="95"/>
      <c r="BM223" s="96"/>
      <c r="BN223" s="95"/>
      <c r="BO223" s="96"/>
      <c r="BP223" s="95"/>
      <c r="BQ223" s="96"/>
      <c r="BR223" s="95"/>
      <c r="BS223" s="98"/>
      <c r="BT223" s="96"/>
      <c r="BU223" s="96"/>
      <c r="BV223" s="95"/>
      <c r="BW223" s="98"/>
      <c r="BX223" s="96"/>
      <c r="BY223" s="96"/>
      <c r="BZ223" s="95"/>
      <c r="CA223" s="98"/>
      <c r="CB223" s="96"/>
      <c r="CC223" s="96"/>
      <c r="CD223" s="95"/>
      <c r="CE223" s="98"/>
      <c r="CF223" s="99"/>
      <c r="CG223" s="95"/>
      <c r="CH223" s="96"/>
      <c r="CI223" s="96"/>
      <c r="CJ223" s="98"/>
    </row>
    <row r="224" spans="1:88" ht="13.5" customHeight="1">
      <c r="A224" s="178"/>
      <c r="B224" s="181" t="s">
        <v>413</v>
      </c>
      <c r="C224" s="102">
        <f>_xll.ACC(DB,_xll.ArrayDPT($BA224:$BJ224),_xll.ArrayCOA($BL224:$CE224),YR,PRD,_xll.ArrayDIM($CG224:$CJ224))</f>
        <v>0</v>
      </c>
      <c r="D224" s="104"/>
      <c r="E224" s="102">
        <f>_xll.ACC(DB,_xll.ArrayDPT($BA224:$BJ224),_xll.ArrayCOA($BL224:$CE224),YR,PRD-1,_xll.ArrayDIM($CG224:$CJ224))</f>
        <v>0</v>
      </c>
      <c r="F224" s="104"/>
      <c r="G224" s="92">
        <f t="shared" si="33"/>
        <v>0</v>
      </c>
      <c r="H224" s="103"/>
      <c r="I224" s="156">
        <f t="shared" si="34"/>
        <v>0</v>
      </c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95"/>
      <c r="BB224" s="96"/>
      <c r="BC224" s="96"/>
      <c r="BD224" s="96"/>
      <c r="BE224" s="96"/>
      <c r="BF224" s="96"/>
      <c r="BG224" s="96"/>
      <c r="BH224" s="96"/>
      <c r="BI224" s="96"/>
      <c r="BJ224" s="96"/>
      <c r="BK224" s="97"/>
      <c r="BL224" s="95"/>
      <c r="BM224" s="96"/>
      <c r="BN224" s="95"/>
      <c r="BO224" s="96"/>
      <c r="BP224" s="95"/>
      <c r="BQ224" s="96"/>
      <c r="BR224" s="95"/>
      <c r="BS224" s="98"/>
      <c r="BT224" s="96"/>
      <c r="BU224" s="96"/>
      <c r="BV224" s="95"/>
      <c r="BW224" s="98"/>
      <c r="BX224" s="96"/>
      <c r="BY224" s="96"/>
      <c r="BZ224" s="95"/>
      <c r="CA224" s="98"/>
      <c r="CB224" s="96"/>
      <c r="CC224" s="96"/>
      <c r="CD224" s="95"/>
      <c r="CE224" s="98"/>
      <c r="CF224" s="99"/>
      <c r="CG224" s="95"/>
      <c r="CH224" s="96"/>
      <c r="CI224" s="96"/>
      <c r="CJ224" s="98"/>
    </row>
    <row r="225" spans="1:88" ht="11.25" customHeight="1">
      <c r="A225" s="110"/>
      <c r="B225" s="206" t="s">
        <v>414</v>
      </c>
      <c r="C225" s="102">
        <f>_xll.ACC(DB,_xll.ArrayDPT($BA225:$BJ225),_xll.ArrayCOA($BL225:$CE225),YR,PRD,_xll.ArrayDIM($CG225:$CJ225))</f>
        <v>0</v>
      </c>
      <c r="D225" s="104"/>
      <c r="E225" s="102">
        <f>_xll.ACC(DB,_xll.ArrayDPT($BA225:$BJ225),_xll.ArrayCOA($BL225:$CE225),YR,PRD-1,_xll.ArrayDIM($CG225:$CJ225))</f>
        <v>0</v>
      </c>
      <c r="F225" s="104"/>
      <c r="G225" s="102">
        <f t="shared" si="33"/>
        <v>0</v>
      </c>
      <c r="H225" s="103"/>
      <c r="I225" s="156">
        <f t="shared" si="34"/>
        <v>0</v>
      </c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95"/>
      <c r="BB225" s="96"/>
      <c r="BC225" s="96"/>
      <c r="BD225" s="96"/>
      <c r="BE225" s="96"/>
      <c r="BF225" s="96"/>
      <c r="BG225" s="96"/>
      <c r="BH225" s="96"/>
      <c r="BI225" s="96"/>
      <c r="BJ225" s="96"/>
      <c r="BK225" s="97"/>
      <c r="BL225" s="95"/>
      <c r="BM225" s="96"/>
      <c r="BN225" s="95"/>
      <c r="BO225" s="96"/>
      <c r="BP225" s="95"/>
      <c r="BQ225" s="96"/>
      <c r="BR225" s="95"/>
      <c r="BS225" s="98"/>
      <c r="BT225" s="96"/>
      <c r="BU225" s="96"/>
      <c r="BV225" s="95"/>
      <c r="BW225" s="98"/>
      <c r="BX225" s="96"/>
      <c r="BY225" s="96"/>
      <c r="BZ225" s="95"/>
      <c r="CA225" s="98"/>
      <c r="CB225" s="96"/>
      <c r="CC225" s="96"/>
      <c r="CD225" s="95"/>
      <c r="CE225" s="98"/>
      <c r="CF225" s="99"/>
      <c r="CG225" s="95"/>
      <c r="CH225" s="96"/>
      <c r="CI225" s="96"/>
      <c r="CJ225" s="98"/>
    </row>
    <row r="226" spans="1:88" ht="15" customHeight="1">
      <c r="A226" s="211"/>
      <c r="B226" s="211" t="s">
        <v>415</v>
      </c>
      <c r="C226" s="111">
        <f>SUM(C219:C225)</f>
        <v>568.05999999999995</v>
      </c>
      <c r="D226" s="104"/>
      <c r="E226" s="111">
        <f>SUM(E219:E225)</f>
        <v>568.05999999999995</v>
      </c>
      <c r="F226" s="212"/>
      <c r="G226" s="213">
        <f t="shared" si="33"/>
        <v>0</v>
      </c>
      <c r="H226" s="128"/>
      <c r="I226" s="159">
        <f>IF(G226=0,0,(G226*100/$G$279))</f>
        <v>0</v>
      </c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95"/>
      <c r="BB226" s="96"/>
      <c r="BC226" s="96"/>
      <c r="BD226" s="96"/>
      <c r="BE226" s="96"/>
      <c r="BF226" s="96"/>
      <c r="BG226" s="96"/>
      <c r="BH226" s="96"/>
      <c r="BI226" s="96"/>
      <c r="BJ226" s="96"/>
      <c r="BK226" s="97"/>
      <c r="BL226" s="95"/>
      <c r="BM226" s="96"/>
      <c r="BN226" s="95"/>
      <c r="BO226" s="96"/>
      <c r="BP226" s="95"/>
      <c r="BQ226" s="96"/>
      <c r="BR226" s="95"/>
      <c r="BS226" s="98"/>
      <c r="BT226" s="96"/>
      <c r="BU226" s="96"/>
      <c r="BV226" s="95"/>
      <c r="BW226" s="98"/>
      <c r="BX226" s="96"/>
      <c r="BY226" s="96"/>
      <c r="BZ226" s="95"/>
      <c r="CA226" s="98"/>
      <c r="CB226" s="96"/>
      <c r="CC226" s="96"/>
      <c r="CD226" s="95"/>
      <c r="CE226" s="98"/>
      <c r="CF226" s="99"/>
      <c r="CG226" s="95"/>
      <c r="CH226" s="96"/>
      <c r="CI226" s="96"/>
      <c r="CJ226" s="98"/>
    </row>
    <row r="227" spans="1:88" ht="11.25" customHeight="1">
      <c r="A227" s="110"/>
      <c r="B227" s="106"/>
      <c r="C227" s="102"/>
      <c r="D227" s="104"/>
      <c r="E227" s="102"/>
      <c r="F227" s="104"/>
      <c r="G227" s="57"/>
      <c r="H227" s="58"/>
      <c r="I227" s="156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95"/>
      <c r="BB227" s="96"/>
      <c r="BC227" s="96"/>
      <c r="BD227" s="96"/>
      <c r="BE227" s="96"/>
      <c r="BF227" s="96"/>
      <c r="BG227" s="96"/>
      <c r="BH227" s="96"/>
      <c r="BI227" s="96"/>
      <c r="BJ227" s="96"/>
      <c r="BK227" s="97"/>
      <c r="BL227" s="95"/>
      <c r="BM227" s="96"/>
      <c r="BN227" s="95"/>
      <c r="BO227" s="96"/>
      <c r="BP227" s="95"/>
      <c r="BQ227" s="96"/>
      <c r="BR227" s="95"/>
      <c r="BS227" s="98"/>
      <c r="BT227" s="96"/>
      <c r="BU227" s="96"/>
      <c r="BV227" s="95"/>
      <c r="BW227" s="98"/>
      <c r="BX227" s="96"/>
      <c r="BY227" s="96"/>
      <c r="BZ227" s="95"/>
      <c r="CA227" s="98"/>
      <c r="CB227" s="96"/>
      <c r="CC227" s="96"/>
      <c r="CD227" s="95"/>
      <c r="CE227" s="98"/>
      <c r="CF227" s="99"/>
      <c r="CG227" s="95"/>
      <c r="CH227" s="96"/>
      <c r="CI227" s="96"/>
      <c r="CJ227" s="98"/>
    </row>
    <row r="228" spans="1:88" ht="13.5" customHeight="1">
      <c r="A228" s="178"/>
      <c r="B228" s="178" t="s">
        <v>416</v>
      </c>
      <c r="C228" s="102"/>
      <c r="D228" s="104"/>
      <c r="E228" s="102"/>
      <c r="F228" s="104"/>
      <c r="G228" s="102"/>
      <c r="H228" s="103"/>
      <c r="I228" s="209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95"/>
      <c r="BB228" s="96"/>
      <c r="BC228" s="96"/>
      <c r="BD228" s="96"/>
      <c r="BE228" s="96"/>
      <c r="BF228" s="96"/>
      <c r="BG228" s="96"/>
      <c r="BH228" s="96"/>
      <c r="BI228" s="96"/>
      <c r="BJ228" s="96"/>
      <c r="BK228" s="97"/>
      <c r="BL228" s="95"/>
      <c r="BM228" s="96"/>
      <c r="BN228" s="95"/>
      <c r="BO228" s="96"/>
      <c r="BP228" s="95"/>
      <c r="BQ228" s="96"/>
      <c r="BR228" s="95"/>
      <c r="BS228" s="98"/>
      <c r="BT228" s="96"/>
      <c r="BU228" s="96"/>
      <c r="BV228" s="95"/>
      <c r="BW228" s="98"/>
      <c r="BX228" s="96"/>
      <c r="BY228" s="96"/>
      <c r="BZ228" s="95"/>
      <c r="CA228" s="98"/>
      <c r="CB228" s="96"/>
      <c r="CC228" s="96"/>
      <c r="CD228" s="95"/>
      <c r="CE228" s="98"/>
      <c r="CF228" s="99"/>
      <c r="CG228" s="95"/>
      <c r="CH228" s="96"/>
      <c r="CI228" s="96"/>
      <c r="CJ228" s="98"/>
    </row>
    <row r="229" spans="1:88" ht="12" customHeight="1">
      <c r="A229" s="168"/>
      <c r="B229" s="155" t="s">
        <v>417</v>
      </c>
      <c r="C229" s="102">
        <f>_xll.ACC(DB,_xll.ArrayDPT($BA229:$BJ229),_xll.ArrayCOA($BL229:$CE229),YR,PRD,_xll.ArrayDIM($CG229:$CJ229))</f>
        <v>-3306102.24</v>
      </c>
      <c r="D229" s="104"/>
      <c r="E229" s="102">
        <f>_xll.ACC(DB,_xll.ArrayDPT($BA229:$BJ229),_xll.ArrayCOA($BL229:$CE229),YR,PRD-1,_xll.ArrayDIM($CG229:$CJ229))</f>
        <v>-3212235.42</v>
      </c>
      <c r="F229" s="104"/>
      <c r="G229" s="102">
        <f t="shared" ref="G229:G242" si="35">C229-E229</f>
        <v>-93866.820000000298</v>
      </c>
      <c r="H229" s="107"/>
      <c r="I229" s="156">
        <f>IF(G229=0,0,(G229*100/$G$62))</f>
        <v>-1.0892251011587275</v>
      </c>
      <c r="J229" s="151"/>
      <c r="K229" s="60"/>
      <c r="L229" s="169"/>
      <c r="M229" s="60"/>
      <c r="N229" s="151"/>
      <c r="O229" s="60"/>
      <c r="P229" s="151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95"/>
      <c r="BB229" s="96"/>
      <c r="BC229" s="96"/>
      <c r="BD229" s="96"/>
      <c r="BE229" s="96"/>
      <c r="BF229" s="96"/>
      <c r="BG229" s="96"/>
      <c r="BH229" s="96"/>
      <c r="BI229" s="96"/>
      <c r="BJ229" s="96"/>
      <c r="BK229" s="97"/>
      <c r="BL229" s="95" t="s">
        <v>418</v>
      </c>
      <c r="BM229" s="96" t="s">
        <v>418</v>
      </c>
      <c r="BN229" s="95"/>
      <c r="BO229" s="96"/>
      <c r="BP229" s="95"/>
      <c r="BQ229" s="96"/>
      <c r="BR229" s="95"/>
      <c r="BS229" s="98"/>
      <c r="BT229" s="96"/>
      <c r="BU229" s="96"/>
      <c r="BV229" s="95"/>
      <c r="BW229" s="98"/>
      <c r="BX229" s="96"/>
      <c r="BY229" s="96"/>
      <c r="BZ229" s="95"/>
      <c r="CA229" s="98"/>
      <c r="CB229" s="96"/>
      <c r="CC229" s="96"/>
      <c r="CD229" s="95"/>
      <c r="CE229" s="98"/>
      <c r="CF229" s="99"/>
      <c r="CG229" s="95"/>
      <c r="CH229" s="96"/>
      <c r="CI229" s="96"/>
      <c r="CJ229" s="98"/>
    </row>
    <row r="230" spans="1:88" ht="12" customHeight="1">
      <c r="A230" s="110"/>
      <c r="B230" s="206" t="s">
        <v>419</v>
      </c>
      <c r="C230" s="102">
        <f>_xll.ACC(DB,_xll.ArrayDPT($BA230:$BJ230),_xll.ArrayCOA($BL230:$CE230),YR,PRD,_xll.ArrayDIM($CG230:$CJ230))</f>
        <v>16365474.08</v>
      </c>
      <c r="D230" s="104"/>
      <c r="E230" s="102">
        <f>_xll.ACC(DB,_xll.ArrayDPT($BA230:$BJ230),_xll.ArrayCOA($BL230:$CE230),YR,PRD-1,_xll.ArrayDIM($CG230:$CJ230))</f>
        <v>15713162.210000001</v>
      </c>
      <c r="F230" s="104"/>
      <c r="G230" s="102">
        <f t="shared" si="35"/>
        <v>652311.86999999918</v>
      </c>
      <c r="H230" s="103"/>
      <c r="I230" s="156">
        <f t="shared" ref="I230:I242" si="36">IF(G230=0,0,(G230*100/$G$242))</f>
        <v>122.42083576345462</v>
      </c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95"/>
      <c r="BB230" s="96"/>
      <c r="BC230" s="96"/>
      <c r="BD230" s="96"/>
      <c r="BE230" s="96"/>
      <c r="BF230" s="96"/>
      <c r="BG230" s="96"/>
      <c r="BH230" s="96"/>
      <c r="BI230" s="96"/>
      <c r="BJ230" s="96"/>
      <c r="BK230" s="97"/>
      <c r="BL230" s="95" t="s">
        <v>420</v>
      </c>
      <c r="BM230" s="96" t="s">
        <v>420</v>
      </c>
      <c r="BN230" s="95"/>
      <c r="BO230" s="96"/>
      <c r="BP230" s="95"/>
      <c r="BQ230" s="96"/>
      <c r="BR230" s="95"/>
      <c r="BS230" s="98"/>
      <c r="BT230" s="96"/>
      <c r="BU230" s="96"/>
      <c r="BV230" s="95"/>
      <c r="BW230" s="98"/>
      <c r="BX230" s="96"/>
      <c r="BY230" s="96"/>
      <c r="BZ230" s="95"/>
      <c r="CA230" s="98"/>
      <c r="CB230" s="96"/>
      <c r="CC230" s="96"/>
      <c r="CD230" s="95"/>
      <c r="CE230" s="98"/>
      <c r="CF230" s="99"/>
      <c r="CG230" s="95"/>
      <c r="CH230" s="96"/>
      <c r="CI230" s="96"/>
      <c r="CJ230" s="98"/>
    </row>
    <row r="231" spans="1:88" ht="12" customHeight="1">
      <c r="A231" s="110"/>
      <c r="B231" s="206" t="s">
        <v>421</v>
      </c>
      <c r="C231" s="102">
        <f>_xll.ACC(DB,_xll.ArrayDPT($BA231:$BJ231),_xll.ArrayCOA($BL231:$CE231),YR,PRD,_xll.ArrayDIM($CG231:$CJ231))</f>
        <v>0</v>
      </c>
      <c r="D231" s="104"/>
      <c r="E231" s="102">
        <f>_xll.ACC(DB,_xll.ArrayDPT($BA231:$BJ231),_xll.ArrayCOA($BL231:$CE231),YR,PRD-1,_xll.ArrayDIM($CG231:$CJ231))</f>
        <v>0</v>
      </c>
      <c r="F231" s="104"/>
      <c r="G231" s="102">
        <f t="shared" si="35"/>
        <v>0</v>
      </c>
      <c r="H231" s="103"/>
      <c r="I231" s="156">
        <f t="shared" si="36"/>
        <v>0</v>
      </c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95"/>
      <c r="BB231" s="96"/>
      <c r="BC231" s="96"/>
      <c r="BD231" s="96"/>
      <c r="BE231" s="96"/>
      <c r="BF231" s="96"/>
      <c r="BG231" s="96"/>
      <c r="BH231" s="96"/>
      <c r="BI231" s="96"/>
      <c r="BJ231" s="96"/>
      <c r="BK231" s="97"/>
      <c r="BL231" s="95"/>
      <c r="BM231" s="96"/>
      <c r="BN231" s="95"/>
      <c r="BO231" s="96"/>
      <c r="BP231" s="95"/>
      <c r="BQ231" s="96"/>
      <c r="BR231" s="95"/>
      <c r="BS231" s="98"/>
      <c r="BT231" s="96"/>
      <c r="BU231" s="96"/>
      <c r="BV231" s="95"/>
      <c r="BW231" s="98"/>
      <c r="BX231" s="96"/>
      <c r="BY231" s="96"/>
      <c r="BZ231" s="95"/>
      <c r="CA231" s="98"/>
      <c r="CB231" s="96"/>
      <c r="CC231" s="96"/>
      <c r="CD231" s="95"/>
      <c r="CE231" s="98"/>
      <c r="CF231" s="99"/>
      <c r="CG231" s="95"/>
      <c r="CH231" s="96"/>
      <c r="CI231" s="96"/>
      <c r="CJ231" s="98"/>
    </row>
    <row r="232" spans="1:88" ht="12" customHeight="1">
      <c r="A232" s="110"/>
      <c r="B232" s="206" t="s">
        <v>422</v>
      </c>
      <c r="C232" s="102">
        <f>_xll.ACC(DB,_xll.ArrayDPT($BA232:$BJ232),_xll.ArrayCOA($BL232:$CE232),YR,PRD,_xll.ArrayDIM($CG232:$CJ232))</f>
        <v>-41346.910000000003</v>
      </c>
      <c r="D232" s="104"/>
      <c r="E232" s="102">
        <f>_xll.ACC(DB,_xll.ArrayDPT($BA232:$BJ232),_xll.ArrayCOA($BL232:$CE232),YR,PRD-1,_xll.ArrayDIM($CG232:$CJ232))</f>
        <v>-41346.910000000003</v>
      </c>
      <c r="F232" s="104"/>
      <c r="G232" s="102">
        <f t="shared" si="35"/>
        <v>0</v>
      </c>
      <c r="H232" s="103"/>
      <c r="I232" s="156">
        <f t="shared" si="36"/>
        <v>0</v>
      </c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95"/>
      <c r="BB232" s="96"/>
      <c r="BC232" s="96"/>
      <c r="BD232" s="96"/>
      <c r="BE232" s="96"/>
      <c r="BF232" s="96"/>
      <c r="BG232" s="96"/>
      <c r="BH232" s="96"/>
      <c r="BI232" s="96"/>
      <c r="BJ232" s="96"/>
      <c r="BK232" s="97"/>
      <c r="BL232" s="95" t="s">
        <v>423</v>
      </c>
      <c r="BM232" s="96" t="s">
        <v>423</v>
      </c>
      <c r="BN232" s="95"/>
      <c r="BO232" s="96"/>
      <c r="BP232" s="95"/>
      <c r="BQ232" s="96"/>
      <c r="BR232" s="95"/>
      <c r="BS232" s="98"/>
      <c r="BT232" s="96"/>
      <c r="BU232" s="96"/>
      <c r="BV232" s="95"/>
      <c r="BW232" s="98"/>
      <c r="BX232" s="96"/>
      <c r="BY232" s="96"/>
      <c r="BZ232" s="95"/>
      <c r="CA232" s="98"/>
      <c r="CB232" s="96"/>
      <c r="CC232" s="96"/>
      <c r="CD232" s="95"/>
      <c r="CE232" s="98"/>
      <c r="CF232" s="99"/>
      <c r="CG232" s="95"/>
      <c r="CH232" s="96"/>
      <c r="CI232" s="96"/>
      <c r="CJ232" s="98"/>
    </row>
    <row r="233" spans="1:88" ht="12" customHeight="1">
      <c r="A233" s="110"/>
      <c r="B233" s="206" t="s">
        <v>424</v>
      </c>
      <c r="C233" s="102">
        <f>_xll.ACC(DB,_xll.ArrayDPT($BA233:$BJ233),_xll.ArrayCOA($BL233:$CE233),YR,PRD,_xll.ArrayDIM($CG233:$CJ233))</f>
        <v>-4070.42</v>
      </c>
      <c r="D233" s="104"/>
      <c r="E233" s="102">
        <f>_xll.ACC(DB,_xll.ArrayDPT($BA233:$BJ233),_xll.ArrayCOA($BL233:$CE233),YR,PRD-1,_xll.ArrayDIM($CG233:$CJ233))</f>
        <v>-4070.42</v>
      </c>
      <c r="F233" s="104"/>
      <c r="G233" s="102">
        <f t="shared" si="35"/>
        <v>0</v>
      </c>
      <c r="H233" s="103"/>
      <c r="I233" s="156">
        <f t="shared" si="36"/>
        <v>0</v>
      </c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95"/>
      <c r="BB233" s="96"/>
      <c r="BC233" s="96"/>
      <c r="BD233" s="96"/>
      <c r="BE233" s="96"/>
      <c r="BF233" s="96"/>
      <c r="BG233" s="96"/>
      <c r="BH233" s="96"/>
      <c r="BI233" s="96"/>
      <c r="BJ233" s="96"/>
      <c r="BK233" s="97"/>
      <c r="BL233" s="95" t="s">
        <v>425</v>
      </c>
      <c r="BM233" s="96" t="s">
        <v>425</v>
      </c>
      <c r="BN233" s="95"/>
      <c r="BO233" s="96"/>
      <c r="BP233" s="95"/>
      <c r="BQ233" s="96"/>
      <c r="BR233" s="95"/>
      <c r="BS233" s="98"/>
      <c r="BT233" s="96"/>
      <c r="BU233" s="96"/>
      <c r="BV233" s="95"/>
      <c r="BW233" s="98"/>
      <c r="BX233" s="96"/>
      <c r="BY233" s="96"/>
      <c r="BZ233" s="95"/>
      <c r="CA233" s="98"/>
      <c r="CB233" s="96"/>
      <c r="CC233" s="96"/>
      <c r="CD233" s="95"/>
      <c r="CE233" s="98"/>
      <c r="CF233" s="99"/>
      <c r="CG233" s="95"/>
      <c r="CH233" s="96"/>
      <c r="CI233" s="96"/>
      <c r="CJ233" s="98"/>
    </row>
    <row r="234" spans="1:88" ht="12" customHeight="1">
      <c r="A234" s="110"/>
      <c r="B234" s="206" t="s">
        <v>426</v>
      </c>
      <c r="C234" s="102">
        <f>_xll.ACC(DB,_xll.ArrayDPT($BA234:$BJ234),_xll.ArrayCOA($BL234:$CE234),YR,PRD,_xll.ArrayDIM($CG234:$CJ234))</f>
        <v>313428.03000000003</v>
      </c>
      <c r="D234" s="104"/>
      <c r="E234" s="102">
        <f>_xll.ACC(DB,_xll.ArrayDPT($BA234:$BJ234),_xll.ArrayCOA($BL234:$CE234),YR,PRD-1,_xll.ArrayDIM($CG234:$CJ234))</f>
        <v>302098.03000000003</v>
      </c>
      <c r="F234" s="104"/>
      <c r="G234" s="102">
        <f t="shared" si="35"/>
        <v>11330</v>
      </c>
      <c r="H234" s="103"/>
      <c r="I234" s="156">
        <f t="shared" si="36"/>
        <v>2.1263265824059627</v>
      </c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95"/>
      <c r="BB234" s="96"/>
      <c r="BC234" s="96"/>
      <c r="BD234" s="96"/>
      <c r="BE234" s="96"/>
      <c r="BF234" s="96"/>
      <c r="BG234" s="96"/>
      <c r="BH234" s="96"/>
      <c r="BI234" s="96"/>
      <c r="BJ234" s="96"/>
      <c r="BK234" s="97"/>
      <c r="BL234" s="95" t="s">
        <v>427</v>
      </c>
      <c r="BM234" s="96" t="s">
        <v>427</v>
      </c>
      <c r="BN234" s="95"/>
      <c r="BO234" s="96"/>
      <c r="BP234" s="95"/>
      <c r="BQ234" s="96"/>
      <c r="BR234" s="95"/>
      <c r="BS234" s="98"/>
      <c r="BT234" s="96"/>
      <c r="BU234" s="96"/>
      <c r="BV234" s="95"/>
      <c r="BW234" s="98"/>
      <c r="BX234" s="96"/>
      <c r="BY234" s="96"/>
      <c r="BZ234" s="95"/>
      <c r="CA234" s="98"/>
      <c r="CB234" s="96"/>
      <c r="CC234" s="96"/>
      <c r="CD234" s="95"/>
      <c r="CE234" s="98"/>
      <c r="CF234" s="99"/>
      <c r="CG234" s="95"/>
      <c r="CH234" s="96"/>
      <c r="CI234" s="96"/>
      <c r="CJ234" s="98"/>
    </row>
    <row r="235" spans="1:88" ht="12" customHeight="1">
      <c r="A235" s="110"/>
      <c r="B235" s="206" t="s">
        <v>428</v>
      </c>
      <c r="C235" s="102">
        <f>_xll.ACC(DB,_xll.ArrayDPT($BA235:$BJ235),_xll.ArrayCOA($BL235:$CE235),YR,PRD,_xll.ArrayDIM($CG235:$CJ235))</f>
        <v>-95647.42</v>
      </c>
      <c r="D235" s="104"/>
      <c r="E235" s="102">
        <f>_xll.ACC(DB,_xll.ArrayDPT($BA235:$BJ235),_xll.ArrayCOA($BL235:$CE235),YR,PRD-1,_xll.ArrayDIM($CG235:$CJ235))</f>
        <v>-93237.51</v>
      </c>
      <c r="F235" s="104"/>
      <c r="G235" s="102">
        <f t="shared" si="35"/>
        <v>-2409.9100000000035</v>
      </c>
      <c r="H235" s="103"/>
      <c r="I235" s="156">
        <f t="shared" si="36"/>
        <v>-0.45227322985048202</v>
      </c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95"/>
      <c r="BB235" s="96"/>
      <c r="BC235" s="96"/>
      <c r="BD235" s="96"/>
      <c r="BE235" s="96"/>
      <c r="BF235" s="96"/>
      <c r="BG235" s="96"/>
      <c r="BH235" s="96"/>
      <c r="BI235" s="96"/>
      <c r="BJ235" s="96"/>
      <c r="BK235" s="97"/>
      <c r="BL235" s="95" t="s">
        <v>429</v>
      </c>
      <c r="BM235" s="96" t="s">
        <v>429</v>
      </c>
      <c r="BN235" s="95" t="s">
        <v>430</v>
      </c>
      <c r="BO235" s="96" t="s">
        <v>430</v>
      </c>
      <c r="BP235" s="95"/>
      <c r="BQ235" s="96"/>
      <c r="BR235" s="95"/>
      <c r="BS235" s="98"/>
      <c r="BT235" s="96"/>
      <c r="BU235" s="96"/>
      <c r="BV235" s="95"/>
      <c r="BW235" s="98"/>
      <c r="BX235" s="96"/>
      <c r="BY235" s="96"/>
      <c r="BZ235" s="95"/>
      <c r="CA235" s="98"/>
      <c r="CB235" s="96"/>
      <c r="CC235" s="96"/>
      <c r="CD235" s="95"/>
      <c r="CE235" s="98"/>
      <c r="CF235" s="99"/>
      <c r="CG235" s="95"/>
      <c r="CH235" s="96"/>
      <c r="CI235" s="96"/>
      <c r="CJ235" s="98"/>
    </row>
    <row r="236" spans="1:88" ht="12" customHeight="1">
      <c r="A236" s="110"/>
      <c r="B236" s="206" t="s">
        <v>431</v>
      </c>
      <c r="C236" s="102">
        <f>_xll.ACC(DB,_xll.ArrayDPT($BA236:$BJ236),_xll.ArrayCOA($BL236:$CE236),YR,PRD,_xll.ArrayDIM($CG236:$CJ236))</f>
        <v>-48330.85</v>
      </c>
      <c r="D236" s="104"/>
      <c r="E236" s="102">
        <f>_xll.ACC(DB,_xll.ArrayDPT($BA236:$BJ236),_xll.ArrayCOA($BL236:$CE236),YR,PRD-1,_xll.ArrayDIM($CG236:$CJ236))</f>
        <v>-48330.85</v>
      </c>
      <c r="F236" s="104"/>
      <c r="G236" s="102">
        <f t="shared" si="35"/>
        <v>0</v>
      </c>
      <c r="H236" s="103"/>
      <c r="I236" s="156">
        <f t="shared" si="36"/>
        <v>0</v>
      </c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95"/>
      <c r="BB236" s="96"/>
      <c r="BC236" s="96"/>
      <c r="BD236" s="96"/>
      <c r="BE236" s="96"/>
      <c r="BF236" s="96"/>
      <c r="BG236" s="96"/>
      <c r="BH236" s="96"/>
      <c r="BI236" s="96"/>
      <c r="BJ236" s="96"/>
      <c r="BK236" s="97"/>
      <c r="BL236" s="95" t="s">
        <v>432</v>
      </c>
      <c r="BM236" s="96" t="s">
        <v>432</v>
      </c>
      <c r="BN236" s="95"/>
      <c r="BO236" s="96"/>
      <c r="BP236" s="95"/>
      <c r="BQ236" s="96"/>
      <c r="BR236" s="95"/>
      <c r="BS236" s="98"/>
      <c r="BT236" s="96"/>
      <c r="BU236" s="96"/>
      <c r="BV236" s="95"/>
      <c r="BW236" s="98"/>
      <c r="BX236" s="96"/>
      <c r="BY236" s="96"/>
      <c r="BZ236" s="95"/>
      <c r="CA236" s="98"/>
      <c r="CB236" s="96"/>
      <c r="CC236" s="96"/>
      <c r="CD236" s="95"/>
      <c r="CE236" s="98"/>
      <c r="CF236" s="99"/>
      <c r="CG236" s="95"/>
      <c r="CH236" s="96"/>
      <c r="CI236" s="96"/>
      <c r="CJ236" s="98"/>
    </row>
    <row r="237" spans="1:88" ht="12" customHeight="1">
      <c r="A237" s="110"/>
      <c r="B237" s="206" t="s">
        <v>433</v>
      </c>
      <c r="C237" s="102">
        <f>_xll.ACC(DB,_xll.ArrayDPT($BA237:$BJ237),_xll.ArrayCOA($BL237:$CE237),YR,PRD,_xll.ArrayDIM($CG237:$CJ237))</f>
        <v>0</v>
      </c>
      <c r="D237" s="104"/>
      <c r="E237" s="102">
        <f>_xll.ACC(DB,_xll.ArrayDPT($BA237:$BJ237),_xll.ArrayCOA($BL237:$CE237),YR,PRD-1,_xll.ArrayDIM($CG237:$CJ237))</f>
        <v>0</v>
      </c>
      <c r="F237" s="104"/>
      <c r="G237" s="102">
        <f t="shared" si="35"/>
        <v>0</v>
      </c>
      <c r="H237" s="103"/>
      <c r="I237" s="156">
        <f t="shared" si="36"/>
        <v>0</v>
      </c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95"/>
      <c r="BB237" s="96"/>
      <c r="BC237" s="96"/>
      <c r="BD237" s="96"/>
      <c r="BE237" s="96"/>
      <c r="BF237" s="96"/>
      <c r="BG237" s="96"/>
      <c r="BH237" s="96"/>
      <c r="BI237" s="96"/>
      <c r="BJ237" s="96"/>
      <c r="BK237" s="97"/>
      <c r="BL237" s="95"/>
      <c r="BM237" s="96"/>
      <c r="BN237" s="95"/>
      <c r="BO237" s="96"/>
      <c r="BP237" s="95"/>
      <c r="BQ237" s="96"/>
      <c r="BR237" s="95"/>
      <c r="BS237" s="98"/>
      <c r="BT237" s="96"/>
      <c r="BU237" s="96"/>
      <c r="BV237" s="95"/>
      <c r="BW237" s="98"/>
      <c r="BX237" s="96"/>
      <c r="BY237" s="96"/>
      <c r="BZ237" s="95"/>
      <c r="CA237" s="98"/>
      <c r="CB237" s="96"/>
      <c r="CC237" s="96"/>
      <c r="CD237" s="95"/>
      <c r="CE237" s="98"/>
      <c r="CF237" s="99"/>
      <c r="CG237" s="95"/>
      <c r="CH237" s="96"/>
      <c r="CI237" s="96"/>
      <c r="CJ237" s="98"/>
    </row>
    <row r="238" spans="1:88" ht="12" customHeight="1">
      <c r="A238" s="110"/>
      <c r="B238" s="206" t="s">
        <v>434</v>
      </c>
      <c r="C238" s="102">
        <f>_xll.ACC(DB,_xll.ArrayDPT($BA238:$BJ238),_xll.ArrayCOA($BL238:$CE238),YR,PRD,_xll.ArrayDIM($CG238:$CJ238))</f>
        <v>0</v>
      </c>
      <c r="D238" s="104"/>
      <c r="E238" s="102">
        <f>_xll.ACC(DB,_xll.ArrayDPT($BA238:$BJ238),_xll.ArrayCOA($BL238:$CE238),YR,PRD-1,_xll.ArrayDIM($CG238:$CJ238))</f>
        <v>0</v>
      </c>
      <c r="F238" s="104"/>
      <c r="G238" s="102">
        <f t="shared" si="35"/>
        <v>0</v>
      </c>
      <c r="H238" s="103"/>
      <c r="I238" s="156">
        <f t="shared" si="36"/>
        <v>0</v>
      </c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95"/>
      <c r="BB238" s="96"/>
      <c r="BC238" s="96"/>
      <c r="BD238" s="96"/>
      <c r="BE238" s="96"/>
      <c r="BF238" s="96"/>
      <c r="BG238" s="96"/>
      <c r="BH238" s="96"/>
      <c r="BI238" s="96"/>
      <c r="BJ238" s="96"/>
      <c r="BK238" s="97"/>
      <c r="BL238" s="95"/>
      <c r="BM238" s="96"/>
      <c r="BN238" s="95"/>
      <c r="BO238" s="96"/>
      <c r="BP238" s="95"/>
      <c r="BQ238" s="96"/>
      <c r="BR238" s="95"/>
      <c r="BS238" s="98"/>
      <c r="BT238" s="96"/>
      <c r="BU238" s="96"/>
      <c r="BV238" s="95"/>
      <c r="BW238" s="98"/>
      <c r="BX238" s="96"/>
      <c r="BY238" s="96"/>
      <c r="BZ238" s="95"/>
      <c r="CA238" s="98"/>
      <c r="CB238" s="96"/>
      <c r="CC238" s="96"/>
      <c r="CD238" s="95"/>
      <c r="CE238" s="98"/>
      <c r="CF238" s="99"/>
      <c r="CG238" s="95"/>
      <c r="CH238" s="96"/>
      <c r="CI238" s="96"/>
      <c r="CJ238" s="98"/>
    </row>
    <row r="239" spans="1:88" ht="12" customHeight="1">
      <c r="A239" s="110"/>
      <c r="B239" s="206" t="s">
        <v>435</v>
      </c>
      <c r="C239" s="102">
        <f>_xll.ACC(DB,_xll.ArrayDPT($BA239:$BJ239),_xll.ArrayCOA($BL239:$CE239),YR,PRD,_xll.ArrayDIM($CG239:$CJ239))</f>
        <v>0</v>
      </c>
      <c r="D239" s="104"/>
      <c r="E239" s="102">
        <f>_xll.ACC(DB,_xll.ArrayDPT($BA239:$BJ239),_xll.ArrayCOA($BL239:$CE239),YR,PRD-1,_xll.ArrayDIM($CG239:$CJ239))</f>
        <v>0</v>
      </c>
      <c r="F239" s="104"/>
      <c r="G239" s="102">
        <f t="shared" si="35"/>
        <v>0</v>
      </c>
      <c r="H239" s="103"/>
      <c r="I239" s="156">
        <f t="shared" si="36"/>
        <v>0</v>
      </c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95"/>
      <c r="BB239" s="96"/>
      <c r="BC239" s="96"/>
      <c r="BD239" s="96"/>
      <c r="BE239" s="96"/>
      <c r="BF239" s="96"/>
      <c r="BG239" s="96"/>
      <c r="BH239" s="96"/>
      <c r="BI239" s="96"/>
      <c r="BJ239" s="96"/>
      <c r="BK239" s="97"/>
      <c r="BL239" s="95"/>
      <c r="BM239" s="96"/>
      <c r="BN239" s="95"/>
      <c r="BO239" s="96"/>
      <c r="BP239" s="95"/>
      <c r="BQ239" s="96"/>
      <c r="BR239" s="95"/>
      <c r="BS239" s="98"/>
      <c r="BT239" s="96"/>
      <c r="BU239" s="96"/>
      <c r="BV239" s="95"/>
      <c r="BW239" s="98"/>
      <c r="BX239" s="96"/>
      <c r="BY239" s="96"/>
      <c r="BZ239" s="95"/>
      <c r="CA239" s="98"/>
      <c r="CB239" s="96"/>
      <c r="CC239" s="96"/>
      <c r="CD239" s="95"/>
      <c r="CE239" s="98"/>
      <c r="CF239" s="99"/>
      <c r="CG239" s="95"/>
      <c r="CH239" s="96"/>
      <c r="CI239" s="96"/>
      <c r="CJ239" s="98"/>
    </row>
    <row r="240" spans="1:88" ht="12" customHeight="1">
      <c r="A240" s="110"/>
      <c r="B240" s="206" t="s">
        <v>436</v>
      </c>
      <c r="C240" s="102">
        <f>_xll.ACC(DB,_xll.ArrayDPT($BA240:$BJ240),_xll.ArrayCOA($BL240:$CE240),YR,PRD,_xll.ArrayDIM($CG240:$CJ240))</f>
        <v>-965604.25</v>
      </c>
      <c r="D240" s="104"/>
      <c r="E240" s="102">
        <f>_xll.ACC(DB,_xll.ArrayDPT($BA240:$BJ240),_xll.ArrayCOA($BL240:$CE240),YR,PRD-1,_xll.ArrayDIM($CG240:$CJ240))</f>
        <v>-931082.94</v>
      </c>
      <c r="F240" s="104"/>
      <c r="G240" s="102">
        <f t="shared" si="35"/>
        <v>-34521.310000000056</v>
      </c>
      <c r="H240" s="103"/>
      <c r="I240" s="156">
        <f t="shared" si="36"/>
        <v>-6.4786918898920485</v>
      </c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95"/>
      <c r="BB240" s="96"/>
      <c r="BC240" s="96"/>
      <c r="BD240" s="96"/>
      <c r="BE240" s="96"/>
      <c r="BF240" s="96"/>
      <c r="BG240" s="96"/>
      <c r="BH240" s="96"/>
      <c r="BI240" s="96"/>
      <c r="BJ240" s="96"/>
      <c r="BK240" s="97"/>
      <c r="BL240" s="95" t="s">
        <v>437</v>
      </c>
      <c r="BM240" s="96" t="s">
        <v>437</v>
      </c>
      <c r="BN240" s="95"/>
      <c r="BO240" s="96"/>
      <c r="BP240" s="95"/>
      <c r="BQ240" s="96"/>
      <c r="BR240" s="95"/>
      <c r="BS240" s="98"/>
      <c r="BT240" s="96"/>
      <c r="BU240" s="96"/>
      <c r="BV240" s="95"/>
      <c r="BW240" s="98"/>
      <c r="BX240" s="96"/>
      <c r="BY240" s="96"/>
      <c r="BZ240" s="95"/>
      <c r="CA240" s="98"/>
      <c r="CB240" s="96"/>
      <c r="CC240" s="96"/>
      <c r="CD240" s="95"/>
      <c r="CE240" s="98"/>
      <c r="CF240" s="99"/>
      <c r="CG240" s="95"/>
      <c r="CH240" s="96"/>
      <c r="CI240" s="96"/>
      <c r="CJ240" s="98"/>
    </row>
    <row r="241" spans="1:88" ht="12" customHeight="1">
      <c r="A241" s="110"/>
      <c r="B241" s="206"/>
      <c r="C241" s="102">
        <f>_xll.ACC(DB,_xll.ArrayDPT($BA241:$BJ241),_xll.ArrayCOA($BL241:$CE241),YR,PRD,_xll.ArrayDIM($CG241:$CJ241))</f>
        <v>0</v>
      </c>
      <c r="D241" s="104"/>
      <c r="E241" s="102">
        <f>_xll.ACC(DB,_xll.ArrayDPT($BA241:$BJ241),_xll.ArrayCOA($BL241:$CE241),YR,PRD-1,_xll.ArrayDIM($CG241:$CJ241))</f>
        <v>0</v>
      </c>
      <c r="F241" s="104"/>
      <c r="G241" s="102">
        <f t="shared" si="35"/>
        <v>0</v>
      </c>
      <c r="H241" s="103"/>
      <c r="I241" s="156">
        <f t="shared" si="36"/>
        <v>0</v>
      </c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95"/>
      <c r="BB241" s="96"/>
      <c r="BC241" s="96"/>
      <c r="BD241" s="96"/>
      <c r="BE241" s="96"/>
      <c r="BF241" s="96"/>
      <c r="BG241" s="96"/>
      <c r="BH241" s="96"/>
      <c r="BI241" s="96"/>
      <c r="BJ241" s="96"/>
      <c r="BK241" s="97"/>
      <c r="BL241" s="95"/>
      <c r="BM241" s="96"/>
      <c r="BN241" s="95"/>
      <c r="BO241" s="96"/>
      <c r="BP241" s="95"/>
      <c r="BQ241" s="96"/>
      <c r="BR241" s="95"/>
      <c r="BS241" s="98"/>
      <c r="BT241" s="96"/>
      <c r="BU241" s="96"/>
      <c r="BV241" s="95"/>
      <c r="BW241" s="98"/>
      <c r="BX241" s="96"/>
      <c r="BY241" s="96"/>
      <c r="BZ241" s="95"/>
      <c r="CA241" s="98"/>
      <c r="CB241" s="96"/>
      <c r="CC241" s="96"/>
      <c r="CD241" s="95"/>
      <c r="CE241" s="98"/>
      <c r="CF241" s="99"/>
      <c r="CG241" s="95"/>
      <c r="CH241" s="96"/>
      <c r="CI241" s="96"/>
      <c r="CJ241" s="98"/>
    </row>
    <row r="242" spans="1:88" ht="14.25" customHeight="1">
      <c r="A242" s="178"/>
      <c r="B242" s="178" t="s">
        <v>438</v>
      </c>
      <c r="C242" s="111">
        <f>SUM(C229:C241)</f>
        <v>12217800.02</v>
      </c>
      <c r="D242" s="104"/>
      <c r="E242" s="111">
        <f>SUM(E229:E241)</f>
        <v>11684956.190000001</v>
      </c>
      <c r="F242" s="104"/>
      <c r="G242" s="111">
        <f t="shared" si="35"/>
        <v>532843.82999999821</v>
      </c>
      <c r="H242" s="103"/>
      <c r="I242" s="159">
        <f t="shared" si="36"/>
        <v>100</v>
      </c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95"/>
      <c r="BB242" s="96"/>
      <c r="BC242" s="96"/>
      <c r="BD242" s="96"/>
      <c r="BE242" s="96"/>
      <c r="BF242" s="96"/>
      <c r="BG242" s="96"/>
      <c r="BH242" s="96"/>
      <c r="BI242" s="96"/>
      <c r="BJ242" s="96"/>
      <c r="BK242" s="97"/>
      <c r="BL242" s="95"/>
      <c r="BM242" s="96"/>
      <c r="BN242" s="95"/>
      <c r="BO242" s="96"/>
      <c r="BP242" s="95"/>
      <c r="BQ242" s="96"/>
      <c r="BR242" s="95"/>
      <c r="BS242" s="98"/>
      <c r="BT242" s="96"/>
      <c r="BU242" s="96"/>
      <c r="BV242" s="95"/>
      <c r="BW242" s="98"/>
      <c r="BX242" s="96"/>
      <c r="BY242" s="96"/>
      <c r="BZ242" s="95"/>
      <c r="CA242" s="98"/>
      <c r="CB242" s="96"/>
      <c r="CC242" s="96"/>
      <c r="CD242" s="95"/>
      <c r="CE242" s="98"/>
      <c r="CF242" s="99"/>
      <c r="CG242" s="95"/>
      <c r="CH242" s="96"/>
      <c r="CI242" s="96"/>
      <c r="CJ242" s="98"/>
    </row>
    <row r="243" spans="1:88" ht="12" customHeight="1">
      <c r="A243" s="110"/>
      <c r="B243" s="206"/>
      <c r="C243" s="102"/>
      <c r="D243" s="104"/>
      <c r="E243" s="102"/>
      <c r="F243" s="104"/>
      <c r="G243" s="102"/>
      <c r="H243" s="103"/>
      <c r="I243" s="209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95"/>
      <c r="BB243" s="96"/>
      <c r="BC243" s="96"/>
      <c r="BD243" s="96"/>
      <c r="BE243" s="96"/>
      <c r="BF243" s="96"/>
      <c r="BG243" s="96"/>
      <c r="BH243" s="96"/>
      <c r="BI243" s="96"/>
      <c r="BJ243" s="96"/>
      <c r="BK243" s="97"/>
      <c r="BL243" s="95"/>
      <c r="BM243" s="96"/>
      <c r="BN243" s="95"/>
      <c r="BO243" s="96"/>
      <c r="BP243" s="95"/>
      <c r="BQ243" s="96"/>
      <c r="BR243" s="95"/>
      <c r="BS243" s="98"/>
      <c r="BT243" s="96"/>
      <c r="BU243" s="96"/>
      <c r="BV243" s="95"/>
      <c r="BW243" s="98"/>
      <c r="BX243" s="96"/>
      <c r="BY243" s="96"/>
      <c r="BZ243" s="95"/>
      <c r="CA243" s="98"/>
      <c r="CB243" s="96"/>
      <c r="CC243" s="96"/>
      <c r="CD243" s="95"/>
      <c r="CE243" s="98"/>
      <c r="CF243" s="99"/>
      <c r="CG243" s="95"/>
      <c r="CH243" s="96"/>
      <c r="CI243" s="96"/>
      <c r="CJ243" s="98"/>
    </row>
    <row r="244" spans="1:88" ht="12" customHeight="1">
      <c r="A244" s="178"/>
      <c r="B244" s="178" t="s">
        <v>439</v>
      </c>
      <c r="C244" s="102"/>
      <c r="D244" s="104"/>
      <c r="E244" s="102"/>
      <c r="F244" s="104"/>
      <c r="G244" s="102"/>
      <c r="H244" s="103"/>
      <c r="I244" s="209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95"/>
      <c r="BB244" s="96"/>
      <c r="BC244" s="96"/>
      <c r="BD244" s="96"/>
      <c r="BE244" s="96"/>
      <c r="BF244" s="96"/>
      <c r="BG244" s="96"/>
      <c r="BH244" s="96"/>
      <c r="BI244" s="96"/>
      <c r="BJ244" s="96"/>
      <c r="BK244" s="97"/>
      <c r="BL244" s="95"/>
      <c r="BM244" s="96"/>
      <c r="BN244" s="95"/>
      <c r="BO244" s="96"/>
      <c r="BP244" s="95"/>
      <c r="BQ244" s="96"/>
      <c r="BR244" s="95"/>
      <c r="BS244" s="98"/>
      <c r="BT244" s="96"/>
      <c r="BU244" s="96"/>
      <c r="BV244" s="95"/>
      <c r="BW244" s="98"/>
      <c r="BX244" s="96"/>
      <c r="BY244" s="96"/>
      <c r="BZ244" s="95"/>
      <c r="CA244" s="98"/>
      <c r="CB244" s="96"/>
      <c r="CC244" s="96"/>
      <c r="CD244" s="95"/>
      <c r="CE244" s="98"/>
      <c r="CF244" s="99"/>
      <c r="CG244" s="95"/>
      <c r="CH244" s="96"/>
      <c r="CI244" s="96"/>
      <c r="CJ244" s="98"/>
    </row>
    <row r="245" spans="1:88" ht="12" customHeight="1">
      <c r="A245" s="110"/>
      <c r="B245" s="206" t="s">
        <v>440</v>
      </c>
      <c r="C245" s="102">
        <f>_xll.ACC(DB,_xll.ArrayDPT($BA245:$BJ245),_xll.ArrayCOA($BL245:$CE245),YR,PRD,_xll.ArrayDIM($CG245:$CJ245))</f>
        <v>0</v>
      </c>
      <c r="D245" s="104"/>
      <c r="E245" s="102">
        <f>_xll.ACC(DB,_xll.ArrayDPT($BA245:$BJ245),_xll.ArrayCOA($BL245:$CE245),YR,PRD-1,_xll.ArrayDIM($CG245:$CJ245))</f>
        <v>0</v>
      </c>
      <c r="F245" s="104"/>
      <c r="G245" s="102">
        <f t="shared" ref="G245:G265" si="37">C245-E245</f>
        <v>0</v>
      </c>
      <c r="H245" s="103"/>
      <c r="I245" s="156">
        <f t="shared" ref="I245:I265" si="38">IF(G245=0,0,(G245*100/$G$265))</f>
        <v>0</v>
      </c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95"/>
      <c r="BB245" s="96"/>
      <c r="BC245" s="96"/>
      <c r="BD245" s="96"/>
      <c r="BE245" s="96"/>
      <c r="BF245" s="96"/>
      <c r="BG245" s="96"/>
      <c r="BH245" s="96"/>
      <c r="BI245" s="96"/>
      <c r="BJ245" s="96"/>
      <c r="BK245" s="97"/>
      <c r="BL245" s="95" t="s">
        <v>441</v>
      </c>
      <c r="BM245" s="96" t="s">
        <v>441</v>
      </c>
      <c r="BN245" s="95"/>
      <c r="BO245" s="96"/>
      <c r="BP245" s="95"/>
      <c r="BQ245" s="96"/>
      <c r="BR245" s="95"/>
      <c r="BS245" s="98"/>
      <c r="BT245" s="96"/>
      <c r="BU245" s="96"/>
      <c r="BV245" s="95"/>
      <c r="BW245" s="98"/>
      <c r="BX245" s="96"/>
      <c r="BY245" s="96"/>
      <c r="BZ245" s="95"/>
      <c r="CA245" s="98"/>
      <c r="CB245" s="96"/>
      <c r="CC245" s="96"/>
      <c r="CD245" s="95"/>
      <c r="CE245" s="98"/>
      <c r="CF245" s="99"/>
      <c r="CG245" s="95"/>
      <c r="CH245" s="96"/>
      <c r="CI245" s="96"/>
      <c r="CJ245" s="98"/>
    </row>
    <row r="246" spans="1:88" ht="12" customHeight="1">
      <c r="A246" s="110"/>
      <c r="B246" s="206" t="s">
        <v>442</v>
      </c>
      <c r="C246" s="102">
        <f>_xll.ACC(DB,_xll.ArrayDPT($BA246:$BJ246),_xll.ArrayCOA($BL246:$CE246),YR,PRD,_xll.ArrayDIM($CG246:$CJ246))</f>
        <v>0</v>
      </c>
      <c r="D246" s="104"/>
      <c r="E246" s="102">
        <f>_xll.ACC(DB,_xll.ArrayDPT($BA246:$BJ246),_xll.ArrayCOA($BL246:$CE246),YR,PRD-1,_xll.ArrayDIM($CG246:$CJ246))</f>
        <v>0</v>
      </c>
      <c r="F246" s="104"/>
      <c r="G246" s="102">
        <f t="shared" si="37"/>
        <v>0</v>
      </c>
      <c r="H246" s="103"/>
      <c r="I246" s="156">
        <f t="shared" si="38"/>
        <v>0</v>
      </c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95"/>
      <c r="BB246" s="96"/>
      <c r="BC246" s="96"/>
      <c r="BD246" s="96"/>
      <c r="BE246" s="96"/>
      <c r="BF246" s="96"/>
      <c r="BG246" s="96"/>
      <c r="BH246" s="96"/>
      <c r="BI246" s="96"/>
      <c r="BJ246" s="96"/>
      <c r="BK246" s="97"/>
      <c r="BL246" s="95" t="s">
        <v>441</v>
      </c>
      <c r="BM246" s="96" t="s">
        <v>441</v>
      </c>
      <c r="BN246" s="95"/>
      <c r="BO246" s="96"/>
      <c r="BP246" s="95"/>
      <c r="BQ246" s="96"/>
      <c r="BR246" s="95"/>
      <c r="BS246" s="98"/>
      <c r="BT246" s="96"/>
      <c r="BU246" s="96"/>
      <c r="BV246" s="95"/>
      <c r="BW246" s="98"/>
      <c r="BX246" s="96"/>
      <c r="BY246" s="96"/>
      <c r="BZ246" s="95"/>
      <c r="CA246" s="98"/>
      <c r="CB246" s="96"/>
      <c r="CC246" s="96"/>
      <c r="CD246" s="95"/>
      <c r="CE246" s="98"/>
      <c r="CF246" s="99"/>
      <c r="CG246" s="95"/>
      <c r="CH246" s="96"/>
      <c r="CI246" s="96"/>
      <c r="CJ246" s="98"/>
    </row>
    <row r="247" spans="1:88" ht="12" customHeight="1">
      <c r="A247" s="110"/>
      <c r="B247" s="206" t="s">
        <v>443</v>
      </c>
      <c r="C247" s="102">
        <f>_xll.ACC(DB,_xll.ArrayDPT($BA247:$BJ247),_xll.ArrayCOA($BL247:$CE247),YR,PRD,_xll.ArrayDIM($CG247:$CJ247))</f>
        <v>0</v>
      </c>
      <c r="D247" s="104"/>
      <c r="E247" s="102">
        <f>_xll.ACC(DB,_xll.ArrayDPT($BA247:$BJ247),_xll.ArrayCOA($BL247:$CE247),YR,PRD-1,_xll.ArrayDIM($CG247:$CJ247))</f>
        <v>0</v>
      </c>
      <c r="F247" s="104"/>
      <c r="G247" s="102">
        <f t="shared" si="37"/>
        <v>0</v>
      </c>
      <c r="H247" s="103"/>
      <c r="I247" s="156">
        <f t="shared" si="38"/>
        <v>0</v>
      </c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95"/>
      <c r="BB247" s="96"/>
      <c r="BC247" s="96"/>
      <c r="BD247" s="96"/>
      <c r="BE247" s="96"/>
      <c r="BF247" s="96"/>
      <c r="BG247" s="96"/>
      <c r="BH247" s="96"/>
      <c r="BI247" s="96"/>
      <c r="BJ247" s="96"/>
      <c r="BK247" s="97"/>
      <c r="BL247" s="95" t="s">
        <v>444</v>
      </c>
      <c r="BM247" s="96" t="s">
        <v>444</v>
      </c>
      <c r="BN247" s="95"/>
      <c r="BO247" s="96"/>
      <c r="BP247" s="95"/>
      <c r="BQ247" s="96"/>
      <c r="BR247" s="95"/>
      <c r="BS247" s="98"/>
      <c r="BT247" s="96"/>
      <c r="BU247" s="96"/>
      <c r="BV247" s="95"/>
      <c r="BW247" s="98"/>
      <c r="BX247" s="96"/>
      <c r="BY247" s="96"/>
      <c r="BZ247" s="95"/>
      <c r="CA247" s="98"/>
      <c r="CB247" s="96"/>
      <c r="CC247" s="96"/>
      <c r="CD247" s="95"/>
      <c r="CE247" s="98"/>
      <c r="CF247" s="99"/>
      <c r="CG247" s="95"/>
      <c r="CH247" s="96"/>
      <c r="CI247" s="96"/>
      <c r="CJ247" s="98"/>
    </row>
    <row r="248" spans="1:88" ht="12" customHeight="1">
      <c r="A248" s="110"/>
      <c r="B248" s="206" t="s">
        <v>445</v>
      </c>
      <c r="C248" s="102">
        <f>_xll.ACC(DB,_xll.ArrayDPT($BA248:$BJ248),_xll.ArrayCOA($BL248:$CE248),YR,PRD,_xll.ArrayDIM($CG248:$CJ248))</f>
        <v>2167.21</v>
      </c>
      <c r="D248" s="104"/>
      <c r="E248" s="102">
        <f>_xll.ACC(DB,_xll.ArrayDPT($BA248:$BJ248),_xll.ArrayCOA($BL248:$CE248),YR,PRD-1,_xll.ArrayDIM($CG248:$CJ248))</f>
        <v>2167.21</v>
      </c>
      <c r="F248" s="104"/>
      <c r="G248" s="102">
        <f t="shared" si="37"/>
        <v>0</v>
      </c>
      <c r="H248" s="103"/>
      <c r="I248" s="156">
        <f t="shared" si="38"/>
        <v>0</v>
      </c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95"/>
      <c r="BB248" s="96"/>
      <c r="BC248" s="96"/>
      <c r="BD248" s="96"/>
      <c r="BE248" s="96"/>
      <c r="BF248" s="96"/>
      <c r="BG248" s="96"/>
      <c r="BH248" s="96"/>
      <c r="BI248" s="96"/>
      <c r="BJ248" s="96"/>
      <c r="BK248" s="97"/>
      <c r="BL248" s="95" t="s">
        <v>446</v>
      </c>
      <c r="BM248" s="96" t="s">
        <v>446</v>
      </c>
      <c r="BN248" s="95"/>
      <c r="BO248" s="96"/>
      <c r="BP248" s="95"/>
      <c r="BQ248" s="96"/>
      <c r="BR248" s="95"/>
      <c r="BS248" s="98"/>
      <c r="BT248" s="96"/>
      <c r="BU248" s="96"/>
      <c r="BV248" s="95"/>
      <c r="BW248" s="98"/>
      <c r="BX248" s="96"/>
      <c r="BY248" s="96"/>
      <c r="BZ248" s="95"/>
      <c r="CA248" s="98"/>
      <c r="CB248" s="96"/>
      <c r="CC248" s="96"/>
      <c r="CD248" s="95"/>
      <c r="CE248" s="98"/>
      <c r="CF248" s="99"/>
      <c r="CG248" s="95"/>
      <c r="CH248" s="96"/>
      <c r="CI248" s="96"/>
      <c r="CJ248" s="98"/>
    </row>
    <row r="249" spans="1:88" ht="12" customHeight="1">
      <c r="A249" s="110"/>
      <c r="B249" s="206" t="s">
        <v>447</v>
      </c>
      <c r="C249" s="102">
        <f>_xll.ACC(DB,_xll.ArrayDPT($BA249:$BJ249),_xll.ArrayCOA($BL249:$CE249),YR,PRD,_xll.ArrayDIM($CG249:$CJ249))</f>
        <v>506.14</v>
      </c>
      <c r="D249" s="104"/>
      <c r="E249" s="102">
        <f>_xll.ACC(DB,_xll.ArrayDPT($BA249:$BJ249),_xll.ArrayCOA($BL249:$CE249),YR,PRD-1,_xll.ArrayDIM($CG249:$CJ249))</f>
        <v>506.14</v>
      </c>
      <c r="F249" s="104"/>
      <c r="G249" s="102">
        <f t="shared" si="37"/>
        <v>0</v>
      </c>
      <c r="H249" s="103"/>
      <c r="I249" s="156">
        <f t="shared" si="38"/>
        <v>0</v>
      </c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95"/>
      <c r="BB249" s="96"/>
      <c r="BC249" s="96"/>
      <c r="BD249" s="96"/>
      <c r="BE249" s="96"/>
      <c r="BF249" s="96"/>
      <c r="BG249" s="96"/>
      <c r="BH249" s="96"/>
      <c r="BI249" s="96"/>
      <c r="BJ249" s="96"/>
      <c r="BK249" s="97"/>
      <c r="BL249" s="95" t="s">
        <v>448</v>
      </c>
      <c r="BM249" s="96" t="s">
        <v>448</v>
      </c>
      <c r="BN249" s="95"/>
      <c r="BO249" s="96"/>
      <c r="BP249" s="95"/>
      <c r="BQ249" s="96"/>
      <c r="BR249" s="95"/>
      <c r="BS249" s="98"/>
      <c r="BT249" s="96"/>
      <c r="BU249" s="96"/>
      <c r="BV249" s="95"/>
      <c r="BW249" s="98"/>
      <c r="BX249" s="96"/>
      <c r="BY249" s="96"/>
      <c r="BZ249" s="95"/>
      <c r="CA249" s="98"/>
      <c r="CB249" s="96"/>
      <c r="CC249" s="96"/>
      <c r="CD249" s="95"/>
      <c r="CE249" s="98"/>
      <c r="CF249" s="99"/>
      <c r="CG249" s="95"/>
      <c r="CH249" s="96"/>
      <c r="CI249" s="96"/>
      <c r="CJ249" s="98"/>
    </row>
    <row r="250" spans="1:88" ht="12" customHeight="1">
      <c r="A250" s="110"/>
      <c r="B250" s="206" t="s">
        <v>449</v>
      </c>
      <c r="C250" s="102">
        <f>_xll.ACC(DB,_xll.ArrayDPT($BA250:$BJ250),_xll.ArrayCOA($BL250:$CE250),YR,PRD,_xll.ArrayDIM($CG250:$CJ250))</f>
        <v>115515.66</v>
      </c>
      <c r="D250" s="104"/>
      <c r="E250" s="102">
        <f>_xll.ACC(DB,_xll.ArrayDPT($BA250:$BJ250),_xll.ArrayCOA($BL250:$CE250),YR,PRD-1,_xll.ArrayDIM($CG250:$CJ250))</f>
        <v>115515.66</v>
      </c>
      <c r="F250" s="104"/>
      <c r="G250" s="102">
        <f t="shared" si="37"/>
        <v>0</v>
      </c>
      <c r="H250" s="103"/>
      <c r="I250" s="156">
        <f t="shared" si="38"/>
        <v>0</v>
      </c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95"/>
      <c r="BB250" s="96"/>
      <c r="BC250" s="96"/>
      <c r="BD250" s="96"/>
      <c r="BE250" s="96"/>
      <c r="BF250" s="96"/>
      <c r="BG250" s="96"/>
      <c r="BH250" s="96"/>
      <c r="BI250" s="96"/>
      <c r="BJ250" s="96"/>
      <c r="BK250" s="97"/>
      <c r="BL250" s="95" t="s">
        <v>450</v>
      </c>
      <c r="BM250" s="96" t="s">
        <v>450</v>
      </c>
      <c r="BN250" s="95"/>
      <c r="BO250" s="96"/>
      <c r="BP250" s="95"/>
      <c r="BQ250" s="96"/>
      <c r="BR250" s="95"/>
      <c r="BS250" s="98"/>
      <c r="BT250" s="96"/>
      <c r="BU250" s="96"/>
      <c r="BV250" s="95"/>
      <c r="BW250" s="98"/>
      <c r="BX250" s="96"/>
      <c r="BY250" s="96"/>
      <c r="BZ250" s="95"/>
      <c r="CA250" s="98"/>
      <c r="CB250" s="96"/>
      <c r="CC250" s="96"/>
      <c r="CD250" s="95"/>
      <c r="CE250" s="98"/>
      <c r="CF250" s="99"/>
      <c r="CG250" s="95"/>
      <c r="CH250" s="96"/>
      <c r="CI250" s="96"/>
      <c r="CJ250" s="98"/>
    </row>
    <row r="251" spans="1:88" ht="12" customHeight="1">
      <c r="A251" s="110"/>
      <c r="B251" s="206" t="s">
        <v>451</v>
      </c>
      <c r="C251" s="102">
        <f>_xll.ACC(DB,_xll.ArrayDPT($BA251:$BJ251),_xll.ArrayCOA($BL251:$CE251),YR,PRD,_xll.ArrayDIM($CG251:$CJ251))</f>
        <v>-224452.46</v>
      </c>
      <c r="D251" s="104"/>
      <c r="E251" s="102">
        <f>_xll.ACC(DB,_xll.ArrayDPT($BA251:$BJ251),_xll.ArrayCOA($BL251:$CE251),YR,PRD-1,_xll.ArrayDIM($CG251:$CJ251))</f>
        <v>-224452.46</v>
      </c>
      <c r="F251" s="104"/>
      <c r="G251" s="102">
        <f t="shared" si="37"/>
        <v>0</v>
      </c>
      <c r="H251" s="103"/>
      <c r="I251" s="156">
        <f t="shared" si="38"/>
        <v>0</v>
      </c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95"/>
      <c r="BB251" s="96"/>
      <c r="BC251" s="96"/>
      <c r="BD251" s="96"/>
      <c r="BE251" s="96"/>
      <c r="BF251" s="96"/>
      <c r="BG251" s="96"/>
      <c r="BH251" s="96"/>
      <c r="BI251" s="96"/>
      <c r="BJ251" s="96"/>
      <c r="BK251" s="97"/>
      <c r="BL251" s="95" t="s">
        <v>452</v>
      </c>
      <c r="BM251" s="96" t="s">
        <v>452</v>
      </c>
      <c r="BN251" s="95"/>
      <c r="BO251" s="96"/>
      <c r="BP251" s="95"/>
      <c r="BQ251" s="96"/>
      <c r="BR251" s="95"/>
      <c r="BS251" s="98"/>
      <c r="BT251" s="96"/>
      <c r="BU251" s="96"/>
      <c r="BV251" s="95"/>
      <c r="BW251" s="98"/>
      <c r="BX251" s="96"/>
      <c r="BY251" s="96"/>
      <c r="BZ251" s="95"/>
      <c r="CA251" s="98"/>
      <c r="CB251" s="96"/>
      <c r="CC251" s="96"/>
      <c r="CD251" s="95"/>
      <c r="CE251" s="98"/>
      <c r="CF251" s="99"/>
      <c r="CG251" s="95"/>
      <c r="CH251" s="96"/>
      <c r="CI251" s="96"/>
      <c r="CJ251" s="98"/>
    </row>
    <row r="252" spans="1:88" ht="12" customHeight="1">
      <c r="A252" s="110"/>
      <c r="B252" s="206" t="s">
        <v>453</v>
      </c>
      <c r="C252" s="102">
        <f>_xll.ACC(DB,_xll.ArrayDPT($BA252:$BJ252),_xll.ArrayCOA($BL252:$CE252),YR,PRD,_xll.ArrayDIM($CG252:$CJ252))</f>
        <v>-32270</v>
      </c>
      <c r="D252" s="104"/>
      <c r="E252" s="102">
        <f>_xll.ACC(DB,_xll.ArrayDPT($BA252:$BJ252),_xll.ArrayCOA($BL252:$CE252),YR,PRD-1,_xll.ArrayDIM($CG252:$CJ252))</f>
        <v>-32270</v>
      </c>
      <c r="F252" s="104"/>
      <c r="G252" s="102">
        <f t="shared" si="37"/>
        <v>0</v>
      </c>
      <c r="H252" s="103"/>
      <c r="I252" s="156">
        <f t="shared" si="38"/>
        <v>0</v>
      </c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95"/>
      <c r="BB252" s="96"/>
      <c r="BC252" s="96"/>
      <c r="BD252" s="96"/>
      <c r="BE252" s="96"/>
      <c r="BF252" s="96"/>
      <c r="BG252" s="96"/>
      <c r="BH252" s="96"/>
      <c r="BI252" s="96"/>
      <c r="BJ252" s="96"/>
      <c r="BK252" s="97"/>
      <c r="BL252" s="95" t="s">
        <v>454</v>
      </c>
      <c r="BM252" s="96" t="s">
        <v>454</v>
      </c>
      <c r="BN252" s="95"/>
      <c r="BO252" s="96"/>
      <c r="BP252" s="95"/>
      <c r="BQ252" s="96"/>
      <c r="BR252" s="95"/>
      <c r="BS252" s="98"/>
      <c r="BT252" s="96"/>
      <c r="BU252" s="96"/>
      <c r="BV252" s="95"/>
      <c r="BW252" s="98"/>
      <c r="BX252" s="96"/>
      <c r="BY252" s="96"/>
      <c r="BZ252" s="95"/>
      <c r="CA252" s="98"/>
      <c r="CB252" s="96"/>
      <c r="CC252" s="96"/>
      <c r="CD252" s="95"/>
      <c r="CE252" s="98"/>
      <c r="CF252" s="99"/>
      <c r="CG252" s="95"/>
      <c r="CH252" s="96"/>
      <c r="CI252" s="96"/>
      <c r="CJ252" s="98"/>
    </row>
    <row r="253" spans="1:88" ht="12" customHeight="1">
      <c r="A253" s="110"/>
      <c r="B253" s="206" t="s">
        <v>455</v>
      </c>
      <c r="C253" s="102">
        <f>_xll.ACC(DB,_xll.ArrayDPT($BA253:$BJ253),_xll.ArrayCOA($BL253:$CE253),YR,PRD,_xll.ArrayDIM($CG253:$CJ253))</f>
        <v>-4586432</v>
      </c>
      <c r="D253" s="104"/>
      <c r="E253" s="102">
        <f>_xll.ACC(DB,_xll.ArrayDPT($BA253:$BJ253),_xll.ArrayCOA($BL253:$CE253),YR,PRD-1,_xll.ArrayDIM($CG253:$CJ253))</f>
        <v>-4476322</v>
      </c>
      <c r="F253" s="104"/>
      <c r="G253" s="102">
        <f t="shared" si="37"/>
        <v>-110110</v>
      </c>
      <c r="H253" s="103"/>
      <c r="I253" s="156">
        <f t="shared" si="38"/>
        <v>-14.31149343026931</v>
      </c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95"/>
      <c r="BB253" s="96"/>
      <c r="BC253" s="96"/>
      <c r="BD253" s="96"/>
      <c r="BE253" s="96"/>
      <c r="BF253" s="96"/>
      <c r="BG253" s="96"/>
      <c r="BH253" s="96"/>
      <c r="BI253" s="96"/>
      <c r="BJ253" s="96"/>
      <c r="BK253" s="97"/>
      <c r="BL253" s="95" t="s">
        <v>456</v>
      </c>
      <c r="BM253" s="96" t="s">
        <v>456</v>
      </c>
      <c r="BN253" s="95"/>
      <c r="BO253" s="96"/>
      <c r="BP253" s="95"/>
      <c r="BQ253" s="96"/>
      <c r="BR253" s="95"/>
      <c r="BS253" s="98"/>
      <c r="BT253" s="96"/>
      <c r="BU253" s="96"/>
      <c r="BV253" s="95"/>
      <c r="BW253" s="98"/>
      <c r="BX253" s="96"/>
      <c r="BY253" s="96"/>
      <c r="BZ253" s="95"/>
      <c r="CA253" s="98"/>
      <c r="CB253" s="96"/>
      <c r="CC253" s="96"/>
      <c r="CD253" s="95"/>
      <c r="CE253" s="98"/>
      <c r="CF253" s="99"/>
      <c r="CG253" s="95"/>
      <c r="CH253" s="96"/>
      <c r="CI253" s="96"/>
      <c r="CJ253" s="98"/>
    </row>
    <row r="254" spans="1:88" ht="12" customHeight="1">
      <c r="A254" s="110"/>
      <c r="B254" s="206" t="s">
        <v>457</v>
      </c>
      <c r="C254" s="102">
        <f>_xll.ACC(DB,_xll.ArrayDPT($BA254:$BJ254),_xll.ArrayCOA($BL254:$CE254),YR,PRD,_xll.ArrayDIM($CG254:$CJ254))</f>
        <v>24280</v>
      </c>
      <c r="D254" s="104"/>
      <c r="E254" s="102">
        <f>_xll.ACC(DB,_xll.ArrayDPT($BA254:$BJ254),_xll.ArrayCOA($BL254:$CE254),YR,PRD-1,_xll.ArrayDIM($CG254:$CJ254))</f>
        <v>24280</v>
      </c>
      <c r="F254" s="104"/>
      <c r="G254" s="102">
        <f t="shared" si="37"/>
        <v>0</v>
      </c>
      <c r="H254" s="103"/>
      <c r="I254" s="156">
        <f t="shared" si="38"/>
        <v>0</v>
      </c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95"/>
      <c r="BB254" s="96"/>
      <c r="BC254" s="96"/>
      <c r="BD254" s="96"/>
      <c r="BE254" s="96"/>
      <c r="BF254" s="96"/>
      <c r="BG254" s="96"/>
      <c r="BH254" s="96"/>
      <c r="BI254" s="96"/>
      <c r="BJ254" s="96"/>
      <c r="BK254" s="97"/>
      <c r="BL254" s="95" t="s">
        <v>458</v>
      </c>
      <c r="BM254" s="96" t="s">
        <v>458</v>
      </c>
      <c r="BN254" s="95"/>
      <c r="BO254" s="96"/>
      <c r="BP254" s="95"/>
      <c r="BQ254" s="96"/>
      <c r="BR254" s="95"/>
      <c r="BS254" s="98"/>
      <c r="BT254" s="96"/>
      <c r="BU254" s="96"/>
      <c r="BV254" s="95"/>
      <c r="BW254" s="98"/>
      <c r="BX254" s="96"/>
      <c r="BY254" s="96"/>
      <c r="BZ254" s="95"/>
      <c r="CA254" s="98"/>
      <c r="CB254" s="96"/>
      <c r="CC254" s="96"/>
      <c r="CD254" s="95"/>
      <c r="CE254" s="98"/>
      <c r="CF254" s="99"/>
      <c r="CG254" s="95"/>
      <c r="CH254" s="96"/>
      <c r="CI254" s="96"/>
      <c r="CJ254" s="98"/>
    </row>
    <row r="255" spans="1:88" ht="12" customHeight="1">
      <c r="A255" s="110"/>
      <c r="B255" s="206" t="s">
        <v>459</v>
      </c>
      <c r="C255" s="102">
        <f>_xll.ACC(DB,_xll.ArrayDPT($BA255:$BJ255),_xll.ArrayCOA($BL255:$CE255),YR,PRD,_xll.ArrayDIM($CG255:$CJ255))</f>
        <v>0</v>
      </c>
      <c r="D255" s="104"/>
      <c r="E255" s="102">
        <f>_xll.ACC(DB,_xll.ArrayDPT($BA255:$BJ255),_xll.ArrayCOA($BL255:$CE255),YR,PRD-1,_xll.ArrayDIM($CG255:$CJ255))</f>
        <v>0</v>
      </c>
      <c r="F255" s="104"/>
      <c r="G255" s="102">
        <f t="shared" si="37"/>
        <v>0</v>
      </c>
      <c r="H255" s="103"/>
      <c r="I255" s="156">
        <f t="shared" si="38"/>
        <v>0</v>
      </c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95"/>
      <c r="BB255" s="96"/>
      <c r="BC255" s="96"/>
      <c r="BD255" s="96"/>
      <c r="BE255" s="96"/>
      <c r="BF255" s="96"/>
      <c r="BG255" s="96"/>
      <c r="BH255" s="96"/>
      <c r="BI255" s="96"/>
      <c r="BJ255" s="96"/>
      <c r="BK255" s="97"/>
      <c r="BL255" s="95"/>
      <c r="BM255" s="96"/>
      <c r="BN255" s="95"/>
      <c r="BO255" s="96"/>
      <c r="BP255" s="95"/>
      <c r="BQ255" s="96"/>
      <c r="BR255" s="95"/>
      <c r="BS255" s="98"/>
      <c r="BT255" s="96"/>
      <c r="BU255" s="96"/>
      <c r="BV255" s="95"/>
      <c r="BW255" s="98"/>
      <c r="BX255" s="96"/>
      <c r="BY255" s="96"/>
      <c r="BZ255" s="95"/>
      <c r="CA255" s="98"/>
      <c r="CB255" s="96"/>
      <c r="CC255" s="96"/>
      <c r="CD255" s="95"/>
      <c r="CE255" s="98"/>
      <c r="CF255" s="99"/>
      <c r="CG255" s="95"/>
      <c r="CH255" s="96"/>
      <c r="CI255" s="96"/>
      <c r="CJ255" s="98"/>
    </row>
    <row r="256" spans="1:88" ht="12" customHeight="1">
      <c r="A256" s="110"/>
      <c r="B256" s="206" t="s">
        <v>460</v>
      </c>
      <c r="C256" s="102">
        <f>_xll.ACC(DB,_xll.ArrayDPT($BA256:$BJ256),_xll.ArrayCOA($BL256:$CE256),YR,PRD,_xll.ArrayDIM($CG256:$CJ256))</f>
        <v>0</v>
      </c>
      <c r="D256" s="104"/>
      <c r="E256" s="102">
        <f>_xll.ACC(DB,_xll.ArrayDPT($BA256:$BJ256),_xll.ArrayCOA($BL256:$CE256),YR,PRD-1,_xll.ArrayDIM($CG256:$CJ256))</f>
        <v>0</v>
      </c>
      <c r="F256" s="103"/>
      <c r="G256" s="102">
        <f t="shared" si="37"/>
        <v>0</v>
      </c>
      <c r="H256" s="103"/>
      <c r="I256" s="156">
        <f t="shared" si="38"/>
        <v>0</v>
      </c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95"/>
      <c r="BB256" s="96"/>
      <c r="BC256" s="96"/>
      <c r="BD256" s="96"/>
      <c r="BE256" s="96"/>
      <c r="BF256" s="96"/>
      <c r="BG256" s="96"/>
      <c r="BH256" s="96"/>
      <c r="BI256" s="96"/>
      <c r="BJ256" s="96"/>
      <c r="BK256" s="97"/>
      <c r="BL256" s="95"/>
      <c r="BM256" s="96"/>
      <c r="BN256" s="95"/>
      <c r="BO256" s="96"/>
      <c r="BP256" s="95"/>
      <c r="BQ256" s="96"/>
      <c r="BR256" s="95"/>
      <c r="BS256" s="98"/>
      <c r="BT256" s="96"/>
      <c r="BU256" s="96"/>
      <c r="BV256" s="95"/>
      <c r="BW256" s="98"/>
      <c r="BX256" s="96"/>
      <c r="BY256" s="96"/>
      <c r="BZ256" s="95"/>
      <c r="CA256" s="98"/>
      <c r="CB256" s="96"/>
      <c r="CC256" s="96"/>
      <c r="CD256" s="95"/>
      <c r="CE256" s="98"/>
      <c r="CF256" s="99"/>
      <c r="CG256" s="95"/>
      <c r="CH256" s="96"/>
      <c r="CI256" s="96"/>
      <c r="CJ256" s="98"/>
    </row>
    <row r="257" spans="1:88" ht="12" customHeight="1">
      <c r="A257" s="110"/>
      <c r="B257" s="206" t="s">
        <v>461</v>
      </c>
      <c r="C257" s="102">
        <f>_xll.ACC(DB,_xll.ArrayDPT($BA257:$BJ257),_xll.ArrayCOA($BL257:$CE257),YR,PRD,_xll.ArrayDIM($CG257:$CJ257))</f>
        <v>20898813.760000002</v>
      </c>
      <c r="D257" s="104"/>
      <c r="E257" s="102">
        <f>_xll.ACC(DB,_xll.ArrayDPT($BA257:$BJ257),_xll.ArrayCOA($BL257:$CE257),YR,PRD-1,_xll.ArrayDIM($CG257:$CJ257))</f>
        <v>20053858.640000001</v>
      </c>
      <c r="F257" s="104"/>
      <c r="G257" s="102">
        <f t="shared" si="37"/>
        <v>844955.12000000104</v>
      </c>
      <c r="H257" s="103"/>
      <c r="I257" s="156">
        <f t="shared" si="38"/>
        <v>109.82262872357126</v>
      </c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95"/>
      <c r="BB257" s="96"/>
      <c r="BC257" s="96"/>
      <c r="BD257" s="96"/>
      <c r="BE257" s="96"/>
      <c r="BF257" s="96"/>
      <c r="BG257" s="96"/>
      <c r="BH257" s="96"/>
      <c r="BI257" s="96"/>
      <c r="BJ257" s="96"/>
      <c r="BK257" s="97"/>
      <c r="BL257" s="95" t="s">
        <v>462</v>
      </c>
      <c r="BM257" s="96" t="s">
        <v>462</v>
      </c>
      <c r="BN257" s="95"/>
      <c r="BO257" s="96"/>
      <c r="BP257" s="95"/>
      <c r="BQ257" s="96"/>
      <c r="BR257" s="95"/>
      <c r="BS257" s="98"/>
      <c r="BT257" s="96"/>
      <c r="BU257" s="96"/>
      <c r="BV257" s="95"/>
      <c r="BW257" s="98"/>
      <c r="BX257" s="96"/>
      <c r="BY257" s="96"/>
      <c r="BZ257" s="95"/>
      <c r="CA257" s="98"/>
      <c r="CB257" s="96"/>
      <c r="CC257" s="96"/>
      <c r="CD257" s="95"/>
      <c r="CE257" s="98"/>
      <c r="CF257" s="99"/>
      <c r="CG257" s="95"/>
      <c r="CH257" s="96"/>
      <c r="CI257" s="96"/>
      <c r="CJ257" s="98"/>
    </row>
    <row r="258" spans="1:88" ht="11.25" customHeight="1">
      <c r="A258" s="110"/>
      <c r="B258" s="206" t="s">
        <v>463</v>
      </c>
      <c r="C258" s="102">
        <f>_xll.ACC(DB,_xll.ArrayDPT($BA258:$BJ258),_xll.ArrayCOA($BL258:$CE258),YR,PRD,_xll.ArrayDIM($CG258:$CJ258))</f>
        <v>557275.32999999996</v>
      </c>
      <c r="D258" s="104"/>
      <c r="E258" s="102">
        <f>_xll.ACC(DB,_xll.ArrayDPT($BA258:$BJ258),_xll.ArrayCOA($BL258:$CE258),YR,PRD-1,_xll.ArrayDIM($CG258:$CJ258))</f>
        <v>557275.32999999996</v>
      </c>
      <c r="F258" s="104"/>
      <c r="G258" s="102">
        <f t="shared" si="37"/>
        <v>0</v>
      </c>
      <c r="H258" s="103"/>
      <c r="I258" s="156">
        <f t="shared" si="38"/>
        <v>0</v>
      </c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95"/>
      <c r="BB258" s="96"/>
      <c r="BC258" s="96"/>
      <c r="BD258" s="96"/>
      <c r="BE258" s="96"/>
      <c r="BF258" s="96"/>
      <c r="BG258" s="96"/>
      <c r="BH258" s="96"/>
      <c r="BI258" s="96"/>
      <c r="BJ258" s="96"/>
      <c r="BK258" s="97"/>
      <c r="BL258" s="95" t="s">
        <v>464</v>
      </c>
      <c r="BM258" s="96" t="s">
        <v>464</v>
      </c>
      <c r="BN258" s="95"/>
      <c r="BO258" s="96"/>
      <c r="BP258" s="95"/>
      <c r="BQ258" s="96"/>
      <c r="BR258" s="95"/>
      <c r="BS258" s="98"/>
      <c r="BT258" s="96"/>
      <c r="BU258" s="96"/>
      <c r="BV258" s="95"/>
      <c r="BW258" s="98"/>
      <c r="BX258" s="96"/>
      <c r="BY258" s="96"/>
      <c r="BZ258" s="95"/>
      <c r="CA258" s="98"/>
      <c r="CB258" s="96"/>
      <c r="CC258" s="96"/>
      <c r="CD258" s="95"/>
      <c r="CE258" s="98"/>
      <c r="CF258" s="99"/>
      <c r="CG258" s="95"/>
      <c r="CH258" s="96"/>
      <c r="CI258" s="96"/>
      <c r="CJ258" s="98"/>
    </row>
    <row r="259" spans="1:88" ht="11.25" customHeight="1">
      <c r="A259" s="110"/>
      <c r="B259" s="206" t="s">
        <v>465</v>
      </c>
      <c r="C259" s="102">
        <f>_xll.ACC(DB,_xll.ArrayDPT($BA259:$BJ259),_xll.ArrayCOA($BL259:$CE259),YR,PRD,_xll.ArrayDIM($CG259:$CJ259))</f>
        <v>-5546.37</v>
      </c>
      <c r="D259" s="104"/>
      <c r="E259" s="102">
        <f>_xll.ACC(DB,_xll.ArrayDPT($BA259:$BJ259),_xll.ArrayCOA($BL259:$CE259),YR,PRD-1,_xll.ArrayDIM($CG259:$CJ259))</f>
        <v>-5546.37</v>
      </c>
      <c r="F259" s="104"/>
      <c r="G259" s="102">
        <f t="shared" si="37"/>
        <v>0</v>
      </c>
      <c r="H259" s="103"/>
      <c r="I259" s="156">
        <f t="shared" si="38"/>
        <v>0</v>
      </c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95"/>
      <c r="BB259" s="96"/>
      <c r="BC259" s="96"/>
      <c r="BD259" s="96"/>
      <c r="BE259" s="96"/>
      <c r="BF259" s="96"/>
      <c r="BG259" s="96"/>
      <c r="BH259" s="96"/>
      <c r="BI259" s="96"/>
      <c r="BJ259" s="96"/>
      <c r="BK259" s="97"/>
      <c r="BL259" s="95" t="s">
        <v>466</v>
      </c>
      <c r="BM259" s="96" t="s">
        <v>466</v>
      </c>
      <c r="BN259" s="95"/>
      <c r="BO259" s="96"/>
      <c r="BP259" s="95"/>
      <c r="BQ259" s="96"/>
      <c r="BR259" s="95"/>
      <c r="BS259" s="98"/>
      <c r="BT259" s="96"/>
      <c r="BU259" s="96"/>
      <c r="BV259" s="95"/>
      <c r="BW259" s="98"/>
      <c r="BX259" s="96"/>
      <c r="BY259" s="96"/>
      <c r="BZ259" s="95"/>
      <c r="CA259" s="98"/>
      <c r="CB259" s="96"/>
      <c r="CC259" s="96"/>
      <c r="CD259" s="95"/>
      <c r="CE259" s="98"/>
      <c r="CF259" s="99"/>
      <c r="CG259" s="95"/>
      <c r="CH259" s="96"/>
      <c r="CI259" s="96"/>
      <c r="CJ259" s="98"/>
    </row>
    <row r="260" spans="1:88" ht="12" customHeight="1">
      <c r="A260" s="110"/>
      <c r="B260" s="206" t="s">
        <v>467</v>
      </c>
      <c r="C260" s="102">
        <f>_xll.ACC(DB,_xll.ArrayDPT($BA260:$BJ260),_xll.ArrayCOA($BL260:$CE260),YR,PRD,_xll.ArrayDIM($CG260:$CJ260))</f>
        <v>370650.82</v>
      </c>
      <c r="D260" s="104"/>
      <c r="E260" s="102">
        <f>_xll.ACC(DB,_xll.ArrayDPT($BA260:$BJ260),_xll.ArrayCOA($BL260:$CE260),YR,PRD-1,_xll.ArrayDIM($CG260:$CJ260))</f>
        <v>372182.82</v>
      </c>
      <c r="F260" s="104"/>
      <c r="G260" s="102">
        <f t="shared" si="37"/>
        <v>-1532</v>
      </c>
      <c r="H260" s="103"/>
      <c r="I260" s="156">
        <f t="shared" si="38"/>
        <v>-0.19912095118674583</v>
      </c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95"/>
      <c r="BB260" s="96"/>
      <c r="BC260" s="96"/>
      <c r="BD260" s="96"/>
      <c r="BE260" s="96"/>
      <c r="BF260" s="96"/>
      <c r="BG260" s="96"/>
      <c r="BH260" s="96"/>
      <c r="BI260" s="96"/>
      <c r="BJ260" s="96"/>
      <c r="BK260" s="97"/>
      <c r="BL260" s="95" t="s">
        <v>468</v>
      </c>
      <c r="BM260" s="96" t="s">
        <v>468</v>
      </c>
      <c r="BN260" s="95"/>
      <c r="BO260" s="96"/>
      <c r="BP260" s="95"/>
      <c r="BQ260" s="96"/>
      <c r="BR260" s="95"/>
      <c r="BS260" s="98"/>
      <c r="BT260" s="96"/>
      <c r="BU260" s="96"/>
      <c r="BV260" s="95"/>
      <c r="BW260" s="98"/>
      <c r="BX260" s="96"/>
      <c r="BY260" s="96"/>
      <c r="BZ260" s="95"/>
      <c r="CA260" s="98"/>
      <c r="CB260" s="96"/>
      <c r="CC260" s="96"/>
      <c r="CD260" s="95"/>
      <c r="CE260" s="98"/>
      <c r="CF260" s="99"/>
      <c r="CG260" s="95"/>
      <c r="CH260" s="96"/>
      <c r="CI260" s="96"/>
      <c r="CJ260" s="98"/>
    </row>
    <row r="261" spans="1:88" ht="12" customHeight="1">
      <c r="A261" s="110"/>
      <c r="B261" s="206" t="s">
        <v>469</v>
      </c>
      <c r="C261" s="102">
        <f>_xll.ACC(DB,_xll.ArrayDPT($BA261:$BJ261),_xll.ArrayCOA($BL261:$CE261),YR,PRD,_xll.ArrayDIM($CG261:$CJ261))</f>
        <v>-5.88</v>
      </c>
      <c r="D261" s="104"/>
      <c r="E261" s="102">
        <f>_xll.ACC(DB,_xll.ArrayDPT($BA261:$BJ261),_xll.ArrayCOA($BL261:$CE261),YR,PRD-1,_xll.ArrayDIM($CG261:$CJ261))</f>
        <v>-5.88</v>
      </c>
      <c r="F261" s="104"/>
      <c r="G261" s="102">
        <f t="shared" si="37"/>
        <v>0</v>
      </c>
      <c r="H261" s="103"/>
      <c r="I261" s="156">
        <f t="shared" si="38"/>
        <v>0</v>
      </c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95"/>
      <c r="BB261" s="96"/>
      <c r="BC261" s="96"/>
      <c r="BD261" s="96"/>
      <c r="BE261" s="96"/>
      <c r="BF261" s="96"/>
      <c r="BG261" s="96"/>
      <c r="BH261" s="96"/>
      <c r="BI261" s="96"/>
      <c r="BJ261" s="96"/>
      <c r="BK261" s="97"/>
      <c r="BL261" s="95" t="s">
        <v>470</v>
      </c>
      <c r="BM261" s="96" t="s">
        <v>470</v>
      </c>
      <c r="BN261" s="95"/>
      <c r="BO261" s="96"/>
      <c r="BP261" s="95"/>
      <c r="BQ261" s="96"/>
      <c r="BR261" s="95"/>
      <c r="BS261" s="98"/>
      <c r="BT261" s="96"/>
      <c r="BU261" s="96"/>
      <c r="BV261" s="95"/>
      <c r="BW261" s="98"/>
      <c r="BX261" s="96"/>
      <c r="BY261" s="96"/>
      <c r="BZ261" s="95"/>
      <c r="CA261" s="98"/>
      <c r="CB261" s="96"/>
      <c r="CC261" s="96"/>
      <c r="CD261" s="95"/>
      <c r="CE261" s="98"/>
      <c r="CF261" s="99"/>
      <c r="CG261" s="95"/>
      <c r="CH261" s="96"/>
      <c r="CI261" s="96"/>
      <c r="CJ261" s="98"/>
    </row>
    <row r="262" spans="1:88" ht="12" customHeight="1">
      <c r="A262" s="110"/>
      <c r="B262" s="206" t="s">
        <v>471</v>
      </c>
      <c r="C262" s="102">
        <f>_xll.ACC(DB,_xll.ArrayDPT($BA262:$BJ262),_xll.ArrayCOA($BL262:$CE262),YR,PRD,_xll.ArrayDIM($CG262:$CJ262))</f>
        <v>-79998.73</v>
      </c>
      <c r="D262" s="104"/>
      <c r="E262" s="102">
        <f>_xll.ACC(DB,_xll.ArrayDPT($BA262:$BJ262),_xll.ArrayCOA($BL262:$CE262),YR,PRD-1,_xll.ArrayDIM($CG262:$CJ262))</f>
        <v>-116067.23</v>
      </c>
      <c r="F262" s="104"/>
      <c r="G262" s="102">
        <f t="shared" si="37"/>
        <v>36068.5</v>
      </c>
      <c r="H262" s="103"/>
      <c r="I262" s="156">
        <f t="shared" si="38"/>
        <v>4.6879856578845569</v>
      </c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95"/>
      <c r="BB262" s="96"/>
      <c r="BC262" s="96"/>
      <c r="BD262" s="96"/>
      <c r="BE262" s="96"/>
      <c r="BF262" s="96"/>
      <c r="BG262" s="96"/>
      <c r="BH262" s="96"/>
      <c r="BI262" s="96"/>
      <c r="BJ262" s="96"/>
      <c r="BK262" s="97"/>
      <c r="BL262" s="95" t="s">
        <v>472</v>
      </c>
      <c r="BM262" s="96" t="s">
        <v>472</v>
      </c>
      <c r="BN262" s="95"/>
      <c r="BO262" s="96"/>
      <c r="BP262" s="95"/>
      <c r="BQ262" s="96"/>
      <c r="BR262" s="95"/>
      <c r="BS262" s="98"/>
      <c r="BT262" s="96"/>
      <c r="BU262" s="96"/>
      <c r="BV262" s="95"/>
      <c r="BW262" s="98"/>
      <c r="BX262" s="96"/>
      <c r="BY262" s="96"/>
      <c r="BZ262" s="95"/>
      <c r="CA262" s="98"/>
      <c r="CB262" s="96"/>
      <c r="CC262" s="96"/>
      <c r="CD262" s="95"/>
      <c r="CE262" s="98"/>
      <c r="CF262" s="99"/>
      <c r="CG262" s="95"/>
      <c r="CH262" s="96"/>
      <c r="CI262" s="96"/>
      <c r="CJ262" s="98"/>
    </row>
    <row r="263" spans="1:88" ht="12" customHeight="1">
      <c r="A263" s="110"/>
      <c r="B263" s="206" t="s">
        <v>473</v>
      </c>
      <c r="C263" s="102">
        <f>_xll.ACC(DB,_xll.ArrayDPT($BA263:$BJ263),_xll.ArrayCOA($BL263:$CE263),YR,PRD,_xll.ArrayDIM($CG263:$CJ263))</f>
        <v>-173593</v>
      </c>
      <c r="D263" s="104"/>
      <c r="E263" s="102">
        <f>_xll.ACC(DB,_xll.ArrayDPT($BA263:$BJ263),_xll.ArrayCOA($BL263:$CE263),YR,PRD-1,_xll.ArrayDIM($CG263:$CJ263))</f>
        <v>-173593</v>
      </c>
      <c r="F263" s="103"/>
      <c r="G263" s="102">
        <f t="shared" si="37"/>
        <v>0</v>
      </c>
      <c r="H263" s="103"/>
      <c r="I263" s="156">
        <f t="shared" si="38"/>
        <v>0</v>
      </c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95"/>
      <c r="BB263" s="96"/>
      <c r="BC263" s="96"/>
      <c r="BD263" s="96"/>
      <c r="BE263" s="96"/>
      <c r="BF263" s="96"/>
      <c r="BG263" s="96"/>
      <c r="BH263" s="96"/>
      <c r="BI263" s="96"/>
      <c r="BJ263" s="96"/>
      <c r="BK263" s="97"/>
      <c r="BL263" s="95" t="s">
        <v>474</v>
      </c>
      <c r="BM263" s="96" t="s">
        <v>474</v>
      </c>
      <c r="BN263" s="95"/>
      <c r="BO263" s="96"/>
      <c r="BP263" s="95"/>
      <c r="BQ263" s="96"/>
      <c r="BR263" s="95"/>
      <c r="BS263" s="98"/>
      <c r="BT263" s="96"/>
      <c r="BU263" s="96"/>
      <c r="BV263" s="95"/>
      <c r="BW263" s="98"/>
      <c r="BX263" s="96"/>
      <c r="BY263" s="96"/>
      <c r="BZ263" s="95"/>
      <c r="CA263" s="98"/>
      <c r="CB263" s="96"/>
      <c r="CC263" s="96"/>
      <c r="CD263" s="95"/>
      <c r="CE263" s="98"/>
      <c r="CF263" s="99"/>
      <c r="CG263" s="95"/>
      <c r="CH263" s="96"/>
      <c r="CI263" s="96"/>
      <c r="CJ263" s="98"/>
    </row>
    <row r="264" spans="1:88" ht="12" customHeight="1">
      <c r="A264" s="110"/>
      <c r="B264" s="206" t="s">
        <v>475</v>
      </c>
      <c r="C264" s="102">
        <f>_xll.ACC(DB,_xll.ArrayDPT($BA264:$BJ264),_xll.ArrayCOA($BL264:$CE264),YR,PRD,_xll.ArrayDIM($CG264:$CJ264))</f>
        <v>-61950</v>
      </c>
      <c r="D264" s="104"/>
      <c r="E264" s="102">
        <f>_xll.ACC(DB,_xll.ArrayDPT($BA264:$BJ264),_xll.ArrayCOA($BL264:$CE264),YR,PRD-1,_xll.ArrayDIM($CG264:$CJ264))</f>
        <v>-61950</v>
      </c>
      <c r="F264" s="103"/>
      <c r="G264" s="102">
        <f t="shared" si="37"/>
        <v>0</v>
      </c>
      <c r="H264" s="103"/>
      <c r="I264" s="156">
        <f t="shared" si="38"/>
        <v>0</v>
      </c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95"/>
      <c r="BB264" s="96"/>
      <c r="BC264" s="96"/>
      <c r="BD264" s="96"/>
      <c r="BE264" s="96"/>
      <c r="BF264" s="96"/>
      <c r="BG264" s="96"/>
      <c r="BH264" s="96"/>
      <c r="BI264" s="96"/>
      <c r="BJ264" s="96"/>
      <c r="BK264" s="97"/>
      <c r="BL264" s="95" t="s">
        <v>476</v>
      </c>
      <c r="BM264" s="96" t="s">
        <v>476</v>
      </c>
      <c r="BN264" s="95"/>
      <c r="BO264" s="96"/>
      <c r="BP264" s="95"/>
      <c r="BQ264" s="96"/>
      <c r="BR264" s="95"/>
      <c r="BS264" s="98"/>
      <c r="BT264" s="96"/>
      <c r="BU264" s="96"/>
      <c r="BV264" s="95"/>
      <c r="BW264" s="98"/>
      <c r="BX264" s="96"/>
      <c r="BY264" s="96"/>
      <c r="BZ264" s="95"/>
      <c r="CA264" s="98"/>
      <c r="CB264" s="96"/>
      <c r="CC264" s="96"/>
      <c r="CD264" s="95"/>
      <c r="CE264" s="98"/>
      <c r="CF264" s="99"/>
      <c r="CG264" s="95"/>
      <c r="CH264" s="96"/>
      <c r="CI264" s="96"/>
      <c r="CJ264" s="98"/>
    </row>
    <row r="265" spans="1:88" ht="15" customHeight="1">
      <c r="A265" s="211"/>
      <c r="B265" s="211" t="s">
        <v>477</v>
      </c>
      <c r="C265" s="213">
        <f>SUM(C245:C264)</f>
        <v>16804960.480000004</v>
      </c>
      <c r="D265" s="212"/>
      <c r="E265" s="213">
        <f>SUM(E245:E264)</f>
        <v>16035578.860000001</v>
      </c>
      <c r="F265" s="212"/>
      <c r="G265" s="213">
        <f t="shared" si="37"/>
        <v>769381.62000000291</v>
      </c>
      <c r="H265" s="128"/>
      <c r="I265" s="159">
        <f t="shared" si="38"/>
        <v>100.00000000000001</v>
      </c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95"/>
      <c r="BB265" s="96"/>
      <c r="BC265" s="96"/>
      <c r="BD265" s="96"/>
      <c r="BE265" s="96"/>
      <c r="BF265" s="96"/>
      <c r="BG265" s="96"/>
      <c r="BH265" s="96"/>
      <c r="BI265" s="96"/>
      <c r="BJ265" s="96"/>
      <c r="BK265" s="97"/>
      <c r="BL265" s="95"/>
      <c r="BM265" s="96"/>
      <c r="BN265" s="95"/>
      <c r="BO265" s="96"/>
      <c r="BP265" s="95"/>
      <c r="BQ265" s="96"/>
      <c r="BR265" s="95"/>
      <c r="BS265" s="98"/>
      <c r="BT265" s="96"/>
      <c r="BU265" s="96"/>
      <c r="BV265" s="95"/>
      <c r="BW265" s="98"/>
      <c r="BX265" s="96"/>
      <c r="BY265" s="96"/>
      <c r="BZ265" s="95"/>
      <c r="CA265" s="98"/>
      <c r="CB265" s="96"/>
      <c r="CC265" s="96"/>
      <c r="CD265" s="95"/>
      <c r="CE265" s="98"/>
      <c r="CF265" s="99"/>
      <c r="CG265" s="95"/>
      <c r="CH265" s="96"/>
      <c r="CI265" s="96"/>
      <c r="CJ265" s="98"/>
    </row>
    <row r="266" spans="1:88" ht="12" customHeight="1">
      <c r="A266" s="110"/>
      <c r="B266" s="206"/>
      <c r="C266" s="129"/>
      <c r="D266" s="103"/>
      <c r="E266" s="129"/>
      <c r="F266" s="103"/>
      <c r="G266" s="129"/>
      <c r="H266" s="103"/>
      <c r="I266" s="209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95"/>
      <c r="BB266" s="96"/>
      <c r="BC266" s="96"/>
      <c r="BD266" s="96"/>
      <c r="BE266" s="96"/>
      <c r="BF266" s="96"/>
      <c r="BG266" s="96"/>
      <c r="BH266" s="96"/>
      <c r="BI266" s="96"/>
      <c r="BJ266" s="96"/>
      <c r="BK266" s="97"/>
      <c r="BL266" s="95"/>
      <c r="BM266" s="96"/>
      <c r="BN266" s="95"/>
      <c r="BO266" s="96"/>
      <c r="BP266" s="95"/>
      <c r="BQ266" s="96"/>
      <c r="BR266" s="95"/>
      <c r="BS266" s="98"/>
      <c r="BT266" s="96"/>
      <c r="BU266" s="96"/>
      <c r="BV266" s="95"/>
      <c r="BW266" s="98"/>
      <c r="BX266" s="96"/>
      <c r="BY266" s="96"/>
      <c r="BZ266" s="95"/>
      <c r="CA266" s="98"/>
      <c r="CB266" s="96"/>
      <c r="CC266" s="96"/>
      <c r="CD266" s="95"/>
      <c r="CE266" s="98"/>
      <c r="CF266" s="99"/>
      <c r="CG266" s="95"/>
      <c r="CH266" s="96"/>
      <c r="CI266" s="96"/>
      <c r="CJ266" s="98"/>
    </row>
    <row r="267" spans="1:88" ht="12" customHeight="1">
      <c r="A267" s="178"/>
      <c r="B267" s="178" t="s">
        <v>478</v>
      </c>
      <c r="C267" s="129"/>
      <c r="D267" s="103"/>
      <c r="E267" s="129"/>
      <c r="F267" s="103"/>
      <c r="G267" s="129"/>
      <c r="H267" s="103"/>
      <c r="I267" s="209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95"/>
      <c r="BB267" s="96"/>
      <c r="BC267" s="96"/>
      <c r="BD267" s="96"/>
      <c r="BE267" s="96"/>
      <c r="BF267" s="96"/>
      <c r="BG267" s="96"/>
      <c r="BH267" s="96"/>
      <c r="BI267" s="96"/>
      <c r="BJ267" s="96"/>
      <c r="BK267" s="97"/>
      <c r="BL267" s="95"/>
      <c r="BM267" s="96"/>
      <c r="BN267" s="95"/>
      <c r="BO267" s="96"/>
      <c r="BP267" s="95"/>
      <c r="BQ267" s="96"/>
      <c r="BR267" s="95"/>
      <c r="BS267" s="98"/>
      <c r="BT267" s="96"/>
      <c r="BU267" s="96"/>
      <c r="BV267" s="95"/>
      <c r="BW267" s="98"/>
      <c r="BX267" s="96"/>
      <c r="BY267" s="96"/>
      <c r="BZ267" s="95"/>
      <c r="CA267" s="98"/>
      <c r="CB267" s="96"/>
      <c r="CC267" s="96"/>
      <c r="CD267" s="95"/>
      <c r="CE267" s="98"/>
      <c r="CF267" s="99"/>
      <c r="CG267" s="95"/>
      <c r="CH267" s="96"/>
      <c r="CI267" s="96"/>
      <c r="CJ267" s="98"/>
    </row>
    <row r="268" spans="1:88" ht="12" customHeight="1">
      <c r="A268" s="110"/>
      <c r="B268" s="206" t="s">
        <v>479</v>
      </c>
      <c r="C268" s="102">
        <f>_xll.ACC(DB,_xll.ArrayDPT($BA268:$BJ268),_xll.ArrayCOA($BL268:$CE268),YR,PRD,_xll.ArrayDIM($CG268:$CJ268))</f>
        <v>0</v>
      </c>
      <c r="D268" s="103"/>
      <c r="E268" s="102">
        <f>_xll.ACC(DB,_xll.ArrayDPT($BA268:$BJ268),_xll.ArrayCOA($BL268:$CE268),YR,PRD-1,_xll.ArrayDIM($CG268:$CJ268))</f>
        <v>0</v>
      </c>
      <c r="F268" s="103"/>
      <c r="G268" s="129">
        <f t="shared" ref="G268:G279" si="39">C268-E268</f>
        <v>0</v>
      </c>
      <c r="H268" s="103"/>
      <c r="I268" s="153">
        <f t="shared" ref="I268:I278" si="40">IF(G268=0,0,(G268*100/$G$278))</f>
        <v>0</v>
      </c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95"/>
      <c r="BB268" s="96"/>
      <c r="BC268" s="96"/>
      <c r="BD268" s="96"/>
      <c r="BE268" s="96"/>
      <c r="BF268" s="96"/>
      <c r="BG268" s="96"/>
      <c r="BH268" s="96"/>
      <c r="BI268" s="96"/>
      <c r="BJ268" s="96"/>
      <c r="BK268" s="97"/>
      <c r="BL268" s="95"/>
      <c r="BM268" s="96"/>
      <c r="BN268" s="95"/>
      <c r="BO268" s="96"/>
      <c r="BP268" s="95"/>
      <c r="BQ268" s="96"/>
      <c r="BR268" s="95"/>
      <c r="BS268" s="98"/>
      <c r="BT268" s="96"/>
      <c r="BU268" s="96"/>
      <c r="BV268" s="95"/>
      <c r="BW268" s="98"/>
      <c r="BX268" s="96"/>
      <c r="BY268" s="96"/>
      <c r="BZ268" s="95"/>
      <c r="CA268" s="98"/>
      <c r="CB268" s="96"/>
      <c r="CC268" s="96"/>
      <c r="CD268" s="95"/>
      <c r="CE268" s="98"/>
      <c r="CF268" s="99"/>
      <c r="CG268" s="95"/>
      <c r="CH268" s="96"/>
      <c r="CI268" s="96"/>
      <c r="CJ268" s="98"/>
    </row>
    <row r="269" spans="1:88" ht="12" customHeight="1">
      <c r="A269" s="110"/>
      <c r="B269" s="206" t="s">
        <v>480</v>
      </c>
      <c r="C269" s="102">
        <f>_xll.ACC(DB,_xll.ArrayDPT($BA269:$BJ269),_xll.ArrayCOA($BL269:$CE269),YR,PRD,_xll.ArrayDIM($CG269:$CJ269))</f>
        <v>0</v>
      </c>
      <c r="D269" s="103"/>
      <c r="E269" s="102">
        <f>_xll.ACC(DB,_xll.ArrayDPT($BA269:$BJ269),_xll.ArrayCOA($BL269:$CE269),YR,PRD-1,_xll.ArrayDIM($CG269:$CJ269))</f>
        <v>0</v>
      </c>
      <c r="F269" s="103"/>
      <c r="G269" s="129">
        <f t="shared" si="39"/>
        <v>0</v>
      </c>
      <c r="H269" s="103"/>
      <c r="I269" s="153">
        <f t="shared" si="40"/>
        <v>0</v>
      </c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95"/>
      <c r="BB269" s="96"/>
      <c r="BC269" s="96"/>
      <c r="BD269" s="96"/>
      <c r="BE269" s="96"/>
      <c r="BF269" s="96"/>
      <c r="BG269" s="96"/>
      <c r="BH269" s="96"/>
      <c r="BI269" s="96"/>
      <c r="BJ269" s="96"/>
      <c r="BK269" s="97"/>
      <c r="BL269" s="95"/>
      <c r="BM269" s="96"/>
      <c r="BN269" s="95"/>
      <c r="BO269" s="96"/>
      <c r="BP269" s="95"/>
      <c r="BQ269" s="96"/>
      <c r="BR269" s="95"/>
      <c r="BS269" s="98"/>
      <c r="BT269" s="96"/>
      <c r="BU269" s="96"/>
      <c r="BV269" s="95"/>
      <c r="BW269" s="98"/>
      <c r="BX269" s="96"/>
      <c r="BY269" s="96"/>
      <c r="BZ269" s="95"/>
      <c r="CA269" s="98"/>
      <c r="CB269" s="96"/>
      <c r="CC269" s="96"/>
      <c r="CD269" s="95"/>
      <c r="CE269" s="98"/>
      <c r="CF269" s="99"/>
      <c r="CG269" s="95"/>
      <c r="CH269" s="96"/>
      <c r="CI269" s="96"/>
      <c r="CJ269" s="98"/>
    </row>
    <row r="270" spans="1:88" ht="12" customHeight="1">
      <c r="A270" s="110"/>
      <c r="B270" s="206" t="s">
        <v>481</v>
      </c>
      <c r="C270" s="102">
        <f>_xll.ACC(DB,_xll.ArrayDPT($BA270:$BJ270),_xll.ArrayCOA($BL270:$CE270),YR,PRD,_xll.ArrayDIM($CG270:$CJ270))</f>
        <v>0</v>
      </c>
      <c r="D270" s="103"/>
      <c r="E270" s="102">
        <f>_xll.ACC(DB,_xll.ArrayDPT($BA270:$BJ270),_xll.ArrayCOA($BL270:$CE270),YR,PRD-1,_xll.ArrayDIM($CG270:$CJ270))</f>
        <v>0</v>
      </c>
      <c r="F270" s="103"/>
      <c r="G270" s="129">
        <f t="shared" si="39"/>
        <v>0</v>
      </c>
      <c r="H270" s="103"/>
      <c r="I270" s="153">
        <f t="shared" si="40"/>
        <v>0</v>
      </c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95"/>
      <c r="BB270" s="96"/>
      <c r="BC270" s="96"/>
      <c r="BD270" s="96"/>
      <c r="BE270" s="96"/>
      <c r="BF270" s="96"/>
      <c r="BG270" s="96"/>
      <c r="BH270" s="96"/>
      <c r="BI270" s="96"/>
      <c r="BJ270" s="96"/>
      <c r="BK270" s="97"/>
      <c r="BL270" s="95"/>
      <c r="BM270" s="96"/>
      <c r="BN270" s="95"/>
      <c r="BO270" s="96"/>
      <c r="BP270" s="95"/>
      <c r="BQ270" s="96"/>
      <c r="BR270" s="95"/>
      <c r="BS270" s="98"/>
      <c r="BT270" s="96"/>
      <c r="BU270" s="96"/>
      <c r="BV270" s="95"/>
      <c r="BW270" s="98"/>
      <c r="BX270" s="96"/>
      <c r="BY270" s="96"/>
      <c r="BZ270" s="95"/>
      <c r="CA270" s="98"/>
      <c r="CB270" s="96"/>
      <c r="CC270" s="96"/>
      <c r="CD270" s="95"/>
      <c r="CE270" s="98"/>
      <c r="CF270" s="99"/>
      <c r="CG270" s="95"/>
      <c r="CH270" s="96"/>
      <c r="CI270" s="96"/>
      <c r="CJ270" s="98"/>
    </row>
    <row r="271" spans="1:88" ht="12" customHeight="1">
      <c r="A271" s="110"/>
      <c r="B271" s="206" t="s">
        <v>482</v>
      </c>
      <c r="C271" s="102">
        <f>_xll.ACC(DB,_xll.ArrayDPT($BA271:$BJ271),_xll.ArrayCOA($BL271:$CE271),YR,PRD,_xll.ArrayDIM($CG271:$CJ271))</f>
        <v>0</v>
      </c>
      <c r="D271" s="103"/>
      <c r="E271" s="102">
        <f>_xll.ACC(DB,_xll.ArrayDPT($BA271:$BJ271),_xll.ArrayCOA($BL271:$CE271),YR,PRD-1,_xll.ArrayDIM($CG271:$CJ271))</f>
        <v>0</v>
      </c>
      <c r="F271" s="103"/>
      <c r="G271" s="129">
        <f t="shared" si="39"/>
        <v>0</v>
      </c>
      <c r="H271" s="103"/>
      <c r="I271" s="153">
        <f t="shared" si="40"/>
        <v>0</v>
      </c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95"/>
      <c r="BB271" s="96"/>
      <c r="BC271" s="96"/>
      <c r="BD271" s="96"/>
      <c r="BE271" s="96"/>
      <c r="BF271" s="96"/>
      <c r="BG271" s="96"/>
      <c r="BH271" s="96"/>
      <c r="BI271" s="96"/>
      <c r="BJ271" s="96"/>
      <c r="BK271" s="97"/>
      <c r="BL271" s="95"/>
      <c r="BM271" s="96"/>
      <c r="BN271" s="95"/>
      <c r="BO271" s="96"/>
      <c r="BP271" s="95"/>
      <c r="BQ271" s="96"/>
      <c r="BR271" s="95"/>
      <c r="BS271" s="98"/>
      <c r="BT271" s="96"/>
      <c r="BU271" s="96"/>
      <c r="BV271" s="95"/>
      <c r="BW271" s="98"/>
      <c r="BX271" s="96"/>
      <c r="BY271" s="96"/>
      <c r="BZ271" s="95"/>
      <c r="CA271" s="98"/>
      <c r="CB271" s="96"/>
      <c r="CC271" s="96"/>
      <c r="CD271" s="95"/>
      <c r="CE271" s="98"/>
      <c r="CF271" s="99"/>
      <c r="CG271" s="95"/>
      <c r="CH271" s="96"/>
      <c r="CI271" s="96"/>
      <c r="CJ271" s="98"/>
    </row>
    <row r="272" spans="1:88" ht="12" customHeight="1">
      <c r="A272" s="110"/>
      <c r="B272" s="206" t="s">
        <v>483</v>
      </c>
      <c r="C272" s="102">
        <f>_xll.ACC(DB,_xll.ArrayDPT($BA272:$BJ272),_xll.ArrayCOA($BL272:$CE272),YR,PRD,_xll.ArrayDIM($CG272:$CJ272))</f>
        <v>0</v>
      </c>
      <c r="D272" s="103"/>
      <c r="E272" s="102">
        <f>_xll.ACC(DB,_xll.ArrayDPT($BA272:$BJ272),_xll.ArrayCOA($BL272:$CE272),YR,PRD-1,_xll.ArrayDIM($CG272:$CJ272))</f>
        <v>0</v>
      </c>
      <c r="F272" s="103"/>
      <c r="G272" s="129">
        <f t="shared" si="39"/>
        <v>0</v>
      </c>
      <c r="H272" s="103"/>
      <c r="I272" s="153">
        <f t="shared" si="40"/>
        <v>0</v>
      </c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95"/>
      <c r="BB272" s="96"/>
      <c r="BC272" s="96"/>
      <c r="BD272" s="96"/>
      <c r="BE272" s="96"/>
      <c r="BF272" s="96"/>
      <c r="BG272" s="96"/>
      <c r="BH272" s="96"/>
      <c r="BI272" s="96"/>
      <c r="BJ272" s="96"/>
      <c r="BK272" s="97"/>
      <c r="BL272" s="95"/>
      <c r="BM272" s="96"/>
      <c r="BN272" s="95"/>
      <c r="BO272" s="96"/>
      <c r="BP272" s="95"/>
      <c r="BQ272" s="96"/>
      <c r="BR272" s="95"/>
      <c r="BS272" s="98"/>
      <c r="BT272" s="96"/>
      <c r="BU272" s="96"/>
      <c r="BV272" s="95"/>
      <c r="BW272" s="98"/>
      <c r="BX272" s="96"/>
      <c r="BY272" s="96"/>
      <c r="BZ272" s="95"/>
      <c r="CA272" s="98"/>
      <c r="CB272" s="96"/>
      <c r="CC272" s="96"/>
      <c r="CD272" s="95"/>
      <c r="CE272" s="98"/>
      <c r="CF272" s="99"/>
      <c r="CG272" s="95"/>
      <c r="CH272" s="96"/>
      <c r="CI272" s="96"/>
      <c r="CJ272" s="98"/>
    </row>
    <row r="273" spans="1:88" ht="12" customHeight="1">
      <c r="A273" s="110"/>
      <c r="B273" s="206" t="s">
        <v>484</v>
      </c>
      <c r="C273" s="102">
        <f>_xll.ACC(DB,_xll.ArrayDPT($BA273:$BJ273),_xll.ArrayCOA($BL273:$CE273),YR,PRD,_xll.ArrayDIM($CG273:$CJ273))</f>
        <v>0</v>
      </c>
      <c r="D273" s="103"/>
      <c r="E273" s="102">
        <f>_xll.ACC(DB,_xll.ArrayDPT($BA273:$BJ273),_xll.ArrayCOA($BL273:$CE273),YR,PRD-1,_xll.ArrayDIM($CG273:$CJ273))</f>
        <v>0</v>
      </c>
      <c r="F273" s="103"/>
      <c r="G273" s="129">
        <f t="shared" si="39"/>
        <v>0</v>
      </c>
      <c r="H273" s="103"/>
      <c r="I273" s="153">
        <f t="shared" si="40"/>
        <v>0</v>
      </c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95"/>
      <c r="BB273" s="96"/>
      <c r="BC273" s="96"/>
      <c r="BD273" s="96"/>
      <c r="BE273" s="96"/>
      <c r="BF273" s="96"/>
      <c r="BG273" s="96"/>
      <c r="BH273" s="96"/>
      <c r="BI273" s="96"/>
      <c r="BJ273" s="96"/>
      <c r="BK273" s="97"/>
      <c r="BL273" s="95"/>
      <c r="BM273" s="96"/>
      <c r="BN273" s="95"/>
      <c r="BO273" s="96"/>
      <c r="BP273" s="95"/>
      <c r="BQ273" s="96"/>
      <c r="BR273" s="95"/>
      <c r="BS273" s="98"/>
      <c r="BT273" s="96"/>
      <c r="BU273" s="96"/>
      <c r="BV273" s="95"/>
      <c r="BW273" s="98"/>
      <c r="BX273" s="96"/>
      <c r="BY273" s="96"/>
      <c r="BZ273" s="95"/>
      <c r="CA273" s="98"/>
      <c r="CB273" s="96"/>
      <c r="CC273" s="96"/>
      <c r="CD273" s="95"/>
      <c r="CE273" s="98"/>
      <c r="CF273" s="99"/>
      <c r="CG273" s="95"/>
      <c r="CH273" s="96"/>
      <c r="CI273" s="96"/>
      <c r="CJ273" s="98"/>
    </row>
    <row r="274" spans="1:88" ht="12" customHeight="1">
      <c r="A274" s="110"/>
      <c r="B274" s="206" t="s">
        <v>485</v>
      </c>
      <c r="C274" s="102">
        <f>_xll.ACC(DB,_xll.ArrayDPT($BA274:$BJ274),_xll.ArrayCOA($BL274:$CE274),YR,PRD,_xll.ArrayDIM($CG274:$CJ274))</f>
        <v>0</v>
      </c>
      <c r="D274" s="103"/>
      <c r="E274" s="102">
        <f>_xll.ACC(DB,_xll.ArrayDPT($BA274:$BJ274),_xll.ArrayCOA($BL274:$CE274),YR,PRD-1,_xll.ArrayDIM($CG274:$CJ274))</f>
        <v>0</v>
      </c>
      <c r="F274" s="103"/>
      <c r="G274" s="129">
        <f t="shared" si="39"/>
        <v>0</v>
      </c>
      <c r="H274" s="103"/>
      <c r="I274" s="153">
        <f t="shared" si="40"/>
        <v>0</v>
      </c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95"/>
      <c r="BB274" s="96"/>
      <c r="BC274" s="96"/>
      <c r="BD274" s="96"/>
      <c r="BE274" s="96"/>
      <c r="BF274" s="96"/>
      <c r="BG274" s="96"/>
      <c r="BH274" s="96"/>
      <c r="BI274" s="96"/>
      <c r="BJ274" s="96"/>
      <c r="BK274" s="97"/>
      <c r="BL274" s="95"/>
      <c r="BM274" s="96"/>
      <c r="BN274" s="95"/>
      <c r="BO274" s="96"/>
      <c r="BP274" s="95"/>
      <c r="BQ274" s="96"/>
      <c r="BR274" s="95"/>
      <c r="BS274" s="98"/>
      <c r="BT274" s="96"/>
      <c r="BU274" s="96"/>
      <c r="BV274" s="95"/>
      <c r="BW274" s="98"/>
      <c r="BX274" s="96"/>
      <c r="BY274" s="96"/>
      <c r="BZ274" s="95"/>
      <c r="CA274" s="98"/>
      <c r="CB274" s="96"/>
      <c r="CC274" s="96"/>
      <c r="CD274" s="95"/>
      <c r="CE274" s="98"/>
      <c r="CF274" s="99"/>
      <c r="CG274" s="95"/>
      <c r="CH274" s="96"/>
      <c r="CI274" s="96"/>
      <c r="CJ274" s="98"/>
    </row>
    <row r="275" spans="1:88" ht="12" customHeight="1">
      <c r="A275" s="110"/>
      <c r="B275" s="206" t="s">
        <v>486</v>
      </c>
      <c r="C275" s="102">
        <f>_xll.ACC(DB,_xll.ArrayDPT($BA275:$BJ275),_xll.ArrayCOA($BL275:$CE275),YR,PRD,_xll.ArrayDIM($CG275:$CJ275))</f>
        <v>0</v>
      </c>
      <c r="D275" s="103"/>
      <c r="E275" s="102">
        <f>_xll.ACC(DB,_xll.ArrayDPT($BA275:$BJ275),_xll.ArrayCOA($BL275:$CE275),YR,PRD-1,_xll.ArrayDIM($CG275:$CJ275))</f>
        <v>0</v>
      </c>
      <c r="F275" s="103"/>
      <c r="G275" s="129">
        <f t="shared" si="39"/>
        <v>0</v>
      </c>
      <c r="H275" s="103"/>
      <c r="I275" s="153">
        <f t="shared" si="40"/>
        <v>0</v>
      </c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95"/>
      <c r="BB275" s="96"/>
      <c r="BC275" s="96"/>
      <c r="BD275" s="96"/>
      <c r="BE275" s="96"/>
      <c r="BF275" s="96"/>
      <c r="BG275" s="96"/>
      <c r="BH275" s="96"/>
      <c r="BI275" s="96"/>
      <c r="BJ275" s="96"/>
      <c r="BK275" s="97"/>
      <c r="BL275" s="95"/>
      <c r="BM275" s="96"/>
      <c r="BN275" s="95"/>
      <c r="BO275" s="96"/>
      <c r="BP275" s="95"/>
      <c r="BQ275" s="96"/>
      <c r="BR275" s="95"/>
      <c r="BS275" s="98"/>
      <c r="BT275" s="96"/>
      <c r="BU275" s="96"/>
      <c r="BV275" s="95"/>
      <c r="BW275" s="98"/>
      <c r="BX275" s="96"/>
      <c r="BY275" s="96"/>
      <c r="BZ275" s="95"/>
      <c r="CA275" s="98"/>
      <c r="CB275" s="96"/>
      <c r="CC275" s="96"/>
      <c r="CD275" s="95"/>
      <c r="CE275" s="98"/>
      <c r="CF275" s="99"/>
      <c r="CG275" s="95"/>
      <c r="CH275" s="96"/>
      <c r="CI275" s="96"/>
      <c r="CJ275" s="98"/>
    </row>
    <row r="276" spans="1:88" ht="12" customHeight="1">
      <c r="A276" s="110"/>
      <c r="B276" s="206" t="s">
        <v>487</v>
      </c>
      <c r="C276" s="102">
        <f>_xll.ACC(DB,_xll.ArrayDPT($BA276:$BJ276),_xll.ArrayCOA($BL276:$CE276),YR,PRD,_xll.ArrayDIM($CG276:$CJ276))</f>
        <v>0</v>
      </c>
      <c r="D276" s="103"/>
      <c r="E276" s="102">
        <f>_xll.ACC(DB,_xll.ArrayDPT($BA276:$BJ276),_xll.ArrayCOA($BL276:$CE276),YR,PRD-1,_xll.ArrayDIM($CG276:$CJ276))</f>
        <v>0</v>
      </c>
      <c r="F276" s="103"/>
      <c r="G276" s="129">
        <f t="shared" si="39"/>
        <v>0</v>
      </c>
      <c r="H276" s="103"/>
      <c r="I276" s="153">
        <f t="shared" si="40"/>
        <v>0</v>
      </c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95"/>
      <c r="BB276" s="96"/>
      <c r="BC276" s="96"/>
      <c r="BD276" s="96"/>
      <c r="BE276" s="96"/>
      <c r="BF276" s="96"/>
      <c r="BG276" s="96"/>
      <c r="BH276" s="96"/>
      <c r="BI276" s="96"/>
      <c r="BJ276" s="96"/>
      <c r="BK276" s="97"/>
      <c r="BL276" s="95"/>
      <c r="BM276" s="96"/>
      <c r="BN276" s="95"/>
      <c r="BO276" s="96"/>
      <c r="BP276" s="95"/>
      <c r="BQ276" s="96"/>
      <c r="BR276" s="95"/>
      <c r="BS276" s="98"/>
      <c r="BT276" s="96"/>
      <c r="BU276" s="96"/>
      <c r="BV276" s="95"/>
      <c r="BW276" s="98"/>
      <c r="BX276" s="96"/>
      <c r="BY276" s="96"/>
      <c r="BZ276" s="95"/>
      <c r="CA276" s="98"/>
      <c r="CB276" s="96"/>
      <c r="CC276" s="96"/>
      <c r="CD276" s="95"/>
      <c r="CE276" s="98"/>
      <c r="CF276" s="99"/>
      <c r="CG276" s="95"/>
      <c r="CH276" s="96"/>
      <c r="CI276" s="96"/>
      <c r="CJ276" s="98"/>
    </row>
    <row r="277" spans="1:88" ht="12" customHeight="1">
      <c r="A277" s="110"/>
      <c r="B277" s="206" t="s">
        <v>488</v>
      </c>
      <c r="C277" s="102">
        <f>_xll.ACC(DB,_xll.ArrayDPT($BA277:$BJ277),_xll.ArrayCOA($BL277:$CE277),YR,PRD,_xll.ArrayDIM($CG277:$CJ277))</f>
        <v>0</v>
      </c>
      <c r="D277" s="103"/>
      <c r="E277" s="102">
        <f>_xll.ACC(DB,_xll.ArrayDPT($BA277:$BJ277),_xll.ArrayCOA($BL277:$CE277),YR,PRD-1,_xll.ArrayDIM($CG277:$CJ277))</f>
        <v>0</v>
      </c>
      <c r="F277" s="103"/>
      <c r="G277" s="129">
        <f t="shared" si="39"/>
        <v>0</v>
      </c>
      <c r="H277" s="103"/>
      <c r="I277" s="153">
        <f t="shared" si="40"/>
        <v>0</v>
      </c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95"/>
      <c r="BB277" s="96"/>
      <c r="BC277" s="96"/>
      <c r="BD277" s="96"/>
      <c r="BE277" s="96"/>
      <c r="BF277" s="96"/>
      <c r="BG277" s="96"/>
      <c r="BH277" s="96"/>
      <c r="BI277" s="96"/>
      <c r="BJ277" s="96"/>
      <c r="BK277" s="97"/>
      <c r="BL277" s="95"/>
      <c r="BM277" s="96"/>
      <c r="BN277" s="95"/>
      <c r="BO277" s="96"/>
      <c r="BP277" s="95"/>
      <c r="BQ277" s="96"/>
      <c r="BR277" s="95"/>
      <c r="BS277" s="98"/>
      <c r="BT277" s="96"/>
      <c r="BU277" s="96"/>
      <c r="BV277" s="95"/>
      <c r="BW277" s="98"/>
      <c r="BX277" s="96"/>
      <c r="BY277" s="96"/>
      <c r="BZ277" s="95"/>
      <c r="CA277" s="98"/>
      <c r="CB277" s="96"/>
      <c r="CC277" s="96"/>
      <c r="CD277" s="95"/>
      <c r="CE277" s="98"/>
      <c r="CF277" s="99"/>
      <c r="CG277" s="95"/>
      <c r="CH277" s="96"/>
      <c r="CI277" s="96"/>
      <c r="CJ277" s="98"/>
    </row>
    <row r="278" spans="1:88" ht="15" customHeight="1">
      <c r="A278" s="211"/>
      <c r="B278" s="211" t="s">
        <v>489</v>
      </c>
      <c r="C278" s="213">
        <f>SUM(C268:C277)</f>
        <v>0</v>
      </c>
      <c r="D278" s="212"/>
      <c r="E278" s="213">
        <f>SUM(E268:E277)</f>
        <v>0</v>
      </c>
      <c r="F278" s="212"/>
      <c r="G278" s="213">
        <f t="shared" si="39"/>
        <v>0</v>
      </c>
      <c r="H278" s="128"/>
      <c r="I278" s="159">
        <f t="shared" si="40"/>
        <v>0</v>
      </c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95"/>
      <c r="BB278" s="96"/>
      <c r="BC278" s="96"/>
      <c r="BD278" s="96"/>
      <c r="BE278" s="96"/>
      <c r="BF278" s="96"/>
      <c r="BG278" s="96"/>
      <c r="BH278" s="96"/>
      <c r="BI278" s="96"/>
      <c r="BJ278" s="96"/>
      <c r="BK278" s="97"/>
      <c r="BL278" s="95"/>
      <c r="BM278" s="96"/>
      <c r="BN278" s="95"/>
      <c r="BO278" s="96"/>
      <c r="BP278" s="95"/>
      <c r="BQ278" s="96"/>
      <c r="BR278" s="95"/>
      <c r="BS278" s="98"/>
      <c r="BT278" s="96"/>
      <c r="BU278" s="96"/>
      <c r="BV278" s="95"/>
      <c r="BW278" s="98"/>
      <c r="BX278" s="96"/>
      <c r="BY278" s="96"/>
      <c r="BZ278" s="95"/>
      <c r="CA278" s="98"/>
      <c r="CB278" s="96"/>
      <c r="CC278" s="96"/>
      <c r="CD278" s="95"/>
      <c r="CE278" s="98"/>
      <c r="CF278" s="99"/>
      <c r="CG278" s="95"/>
      <c r="CH278" s="96"/>
      <c r="CI278" s="96"/>
      <c r="CJ278" s="98"/>
    </row>
    <row r="279" spans="1:88" ht="15" customHeight="1">
      <c r="A279" s="211" t="s">
        <v>490</v>
      </c>
      <c r="B279" s="56"/>
      <c r="C279" s="213">
        <f>C278+C265+C242+C226+C217+C215</f>
        <v>26037498.750000004</v>
      </c>
      <c r="D279" s="212"/>
      <c r="E279" s="213">
        <f>E278+E265+E242+E226+E217+E215</f>
        <v>24806235.580000002</v>
      </c>
      <c r="F279" s="212"/>
      <c r="G279" s="213">
        <f t="shared" si="39"/>
        <v>1231263.1700000018</v>
      </c>
      <c r="H279" s="128"/>
      <c r="I279" s="159">
        <f>IF(G279=0,0,(G279*100/$G$279))</f>
        <v>100</v>
      </c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95"/>
      <c r="BB279" s="96"/>
      <c r="BC279" s="96"/>
      <c r="BD279" s="96"/>
      <c r="BE279" s="96"/>
      <c r="BF279" s="96"/>
      <c r="BG279" s="96"/>
      <c r="BH279" s="96"/>
      <c r="BI279" s="96"/>
      <c r="BJ279" s="96"/>
      <c r="BK279" s="97"/>
      <c r="BL279" s="95"/>
      <c r="BM279" s="96"/>
      <c r="BN279" s="95"/>
      <c r="BO279" s="96"/>
      <c r="BP279" s="95"/>
      <c r="BQ279" s="96"/>
      <c r="BR279" s="95"/>
      <c r="BS279" s="98"/>
      <c r="BT279" s="96"/>
      <c r="BU279" s="96"/>
      <c r="BV279" s="95"/>
      <c r="BW279" s="98"/>
      <c r="BX279" s="96"/>
      <c r="BY279" s="96"/>
      <c r="BZ279" s="95"/>
      <c r="CA279" s="98"/>
      <c r="CB279" s="96"/>
      <c r="CC279" s="96"/>
      <c r="CD279" s="95"/>
      <c r="CE279" s="98"/>
      <c r="CF279" s="99"/>
      <c r="CG279" s="95"/>
      <c r="CH279" s="96"/>
      <c r="CI279" s="96"/>
      <c r="CJ279" s="98"/>
    </row>
    <row r="280" spans="1:88" ht="12" customHeight="1">
      <c r="A280" s="110"/>
      <c r="B280" s="206"/>
      <c r="C280" s="129"/>
      <c r="D280" s="103"/>
      <c r="E280" s="129"/>
      <c r="F280" s="103"/>
      <c r="G280" s="129"/>
      <c r="H280" s="103"/>
      <c r="I280" s="209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95"/>
      <c r="BB280" s="96"/>
      <c r="BC280" s="96"/>
      <c r="BD280" s="96"/>
      <c r="BE280" s="96"/>
      <c r="BF280" s="96"/>
      <c r="BG280" s="96"/>
      <c r="BH280" s="96"/>
      <c r="BI280" s="96"/>
      <c r="BJ280" s="96"/>
      <c r="BK280" s="97"/>
      <c r="BL280" s="95"/>
      <c r="BM280" s="96"/>
      <c r="BN280" s="95"/>
      <c r="BO280" s="96"/>
      <c r="BP280" s="95"/>
      <c r="BQ280" s="96"/>
      <c r="BR280" s="95"/>
      <c r="BS280" s="98"/>
      <c r="BT280" s="96"/>
      <c r="BU280" s="96"/>
      <c r="BV280" s="95"/>
      <c r="BW280" s="98"/>
      <c r="BX280" s="96"/>
      <c r="BY280" s="96"/>
      <c r="BZ280" s="95"/>
      <c r="CA280" s="98"/>
      <c r="CB280" s="96"/>
      <c r="CC280" s="96"/>
      <c r="CD280" s="95"/>
      <c r="CE280" s="98"/>
      <c r="CF280" s="99"/>
      <c r="CG280" s="95"/>
      <c r="CH280" s="96"/>
      <c r="CI280" s="96"/>
      <c r="CJ280" s="98"/>
    </row>
    <row r="281" spans="1:88" ht="12" customHeight="1">
      <c r="A281" s="178" t="s">
        <v>491</v>
      </c>
      <c r="B281" s="206"/>
      <c r="C281" s="129"/>
      <c r="D281" s="103"/>
      <c r="E281" s="129"/>
      <c r="F281" s="103"/>
      <c r="G281" s="129"/>
      <c r="H281" s="103"/>
      <c r="I281" s="209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95"/>
      <c r="BB281" s="96"/>
      <c r="BC281" s="96"/>
      <c r="BD281" s="96"/>
      <c r="BE281" s="96"/>
      <c r="BF281" s="96"/>
      <c r="BG281" s="96"/>
      <c r="BH281" s="96"/>
      <c r="BI281" s="96"/>
      <c r="BJ281" s="96"/>
      <c r="BK281" s="97"/>
      <c r="BL281" s="95"/>
      <c r="BM281" s="96"/>
      <c r="BN281" s="95"/>
      <c r="BO281" s="96"/>
      <c r="BP281" s="95"/>
      <c r="BQ281" s="96"/>
      <c r="BR281" s="95"/>
      <c r="BS281" s="98"/>
      <c r="BT281" s="96"/>
      <c r="BU281" s="96"/>
      <c r="BV281" s="95"/>
      <c r="BW281" s="98"/>
      <c r="BX281" s="96"/>
      <c r="BY281" s="96"/>
      <c r="BZ281" s="95"/>
      <c r="CA281" s="98"/>
      <c r="CB281" s="96"/>
      <c r="CC281" s="96"/>
      <c r="CD281" s="95"/>
      <c r="CE281" s="98"/>
      <c r="CF281" s="99"/>
      <c r="CG281" s="95"/>
      <c r="CH281" s="96"/>
      <c r="CI281" s="96"/>
      <c r="CJ281" s="98"/>
    </row>
    <row r="282" spans="1:88" ht="12" customHeight="1">
      <c r="A282" s="110"/>
      <c r="B282" s="206" t="s">
        <v>492</v>
      </c>
      <c r="C282" s="102">
        <f>_xll.ACC(DB,_xll.ArrayDPT($BA282:$BJ282),_xll.ArrayCOA($BL282:$CE282),YR,PRD,_xll.ArrayDIM($CG282:$CJ282))</f>
        <v>-761000</v>
      </c>
      <c r="D282" s="103"/>
      <c r="E282" s="102">
        <f>_xll.ACC(DB,_xll.ArrayDPT($BA282:$BJ282),_xll.ArrayCOA($BL282:$CE282),YR,PRD-1,_xll.ArrayDIM($CG282:$CJ282))</f>
        <v>-761000</v>
      </c>
      <c r="F282" s="103"/>
      <c r="G282" s="129">
        <f t="shared" ref="G282:G285" si="41">C282-E282</f>
        <v>0</v>
      </c>
      <c r="H282" s="103"/>
      <c r="I282" s="153">
        <f t="shared" ref="I282:I285" si="42">IF(G282=0,0,(G282*100/$G$285))</f>
        <v>0</v>
      </c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95"/>
      <c r="BB282" s="96"/>
      <c r="BC282" s="96"/>
      <c r="BD282" s="96"/>
      <c r="BE282" s="96"/>
      <c r="BF282" s="96"/>
      <c r="BG282" s="96"/>
      <c r="BH282" s="96"/>
      <c r="BI282" s="96"/>
      <c r="BJ282" s="96"/>
      <c r="BK282" s="97"/>
      <c r="BL282" s="95" t="s">
        <v>493</v>
      </c>
      <c r="BM282" s="96" t="s">
        <v>493</v>
      </c>
      <c r="BN282" s="95"/>
      <c r="BO282" s="96"/>
      <c r="BP282" s="95"/>
      <c r="BQ282" s="96"/>
      <c r="BR282" s="95"/>
      <c r="BS282" s="98"/>
      <c r="BT282" s="96"/>
      <c r="BU282" s="96"/>
      <c r="BV282" s="95"/>
      <c r="BW282" s="98"/>
      <c r="BX282" s="96"/>
      <c r="BY282" s="96"/>
      <c r="BZ282" s="95"/>
      <c r="CA282" s="98"/>
      <c r="CB282" s="96"/>
      <c r="CC282" s="96"/>
      <c r="CD282" s="95"/>
      <c r="CE282" s="98"/>
      <c r="CF282" s="99"/>
      <c r="CG282" s="95"/>
      <c r="CH282" s="96"/>
      <c r="CI282" s="96"/>
      <c r="CJ282" s="98"/>
    </row>
    <row r="283" spans="1:88" ht="12" customHeight="1">
      <c r="A283" s="110"/>
      <c r="B283" s="206" t="s">
        <v>494</v>
      </c>
      <c r="C283" s="102">
        <f>_xll.ACC(DB,_xll.ArrayDPT($BA283:$BJ283),_xll.ArrayCOA($BL283:$CE283),YR,PRD,_xll.ArrayDIM($CG283:$CJ283))</f>
        <v>0</v>
      </c>
      <c r="D283" s="103"/>
      <c r="E283" s="102">
        <f>_xll.ACC(DB,_xll.ArrayDPT($BA283:$BJ283),_xll.ArrayCOA($BL283:$CE283),YR,PRD-1,_xll.ArrayDIM($CG283:$CJ283))</f>
        <v>0</v>
      </c>
      <c r="F283" s="103"/>
      <c r="G283" s="129">
        <f t="shared" si="41"/>
        <v>0</v>
      </c>
      <c r="H283" s="103"/>
      <c r="I283" s="153">
        <f t="shared" si="42"/>
        <v>0</v>
      </c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95"/>
      <c r="BB283" s="96"/>
      <c r="BC283" s="96"/>
      <c r="BD283" s="96"/>
      <c r="BE283" s="96"/>
      <c r="BF283" s="96"/>
      <c r="BG283" s="96"/>
      <c r="BH283" s="96"/>
      <c r="BI283" s="96"/>
      <c r="BJ283" s="96"/>
      <c r="BK283" s="97"/>
      <c r="BL283" s="95"/>
      <c r="BM283" s="96"/>
      <c r="BN283" s="95"/>
      <c r="BO283" s="96"/>
      <c r="BP283" s="95"/>
      <c r="BQ283" s="96"/>
      <c r="BR283" s="95"/>
      <c r="BS283" s="98"/>
      <c r="BT283" s="96"/>
      <c r="BU283" s="96"/>
      <c r="BV283" s="95"/>
      <c r="BW283" s="98"/>
      <c r="BX283" s="96"/>
      <c r="BY283" s="96"/>
      <c r="BZ283" s="95"/>
      <c r="CA283" s="98"/>
      <c r="CB283" s="96"/>
      <c r="CC283" s="96"/>
      <c r="CD283" s="95"/>
      <c r="CE283" s="98"/>
      <c r="CF283" s="99"/>
      <c r="CG283" s="95"/>
      <c r="CH283" s="96"/>
      <c r="CI283" s="96"/>
      <c r="CJ283" s="98"/>
    </row>
    <row r="284" spans="1:88" ht="12" customHeight="1">
      <c r="A284" s="110"/>
      <c r="B284" s="206" t="s">
        <v>495</v>
      </c>
      <c r="C284" s="102">
        <f>_xll.ACC(DB,_xll.ArrayDPT($BA284:$BJ284),_xll.ArrayCOA($BL284:$CE284),YR,PRD,_xll.ArrayDIM($CG284:$CJ284))</f>
        <v>0</v>
      </c>
      <c r="D284" s="103"/>
      <c r="E284" s="102">
        <f>_xll.ACC(DB,_xll.ArrayDPT($BA284:$BJ284),_xll.ArrayCOA($BL284:$CE284),YR,PRD-1,_xll.ArrayDIM($CG284:$CJ284))</f>
        <v>0</v>
      </c>
      <c r="F284" s="103"/>
      <c r="G284" s="129">
        <f t="shared" si="41"/>
        <v>0</v>
      </c>
      <c r="H284" s="103"/>
      <c r="I284" s="153">
        <f t="shared" si="42"/>
        <v>0</v>
      </c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95"/>
      <c r="BB284" s="96"/>
      <c r="BC284" s="96"/>
      <c r="BD284" s="96"/>
      <c r="BE284" s="96"/>
      <c r="BF284" s="96"/>
      <c r="BG284" s="96"/>
      <c r="BH284" s="96"/>
      <c r="BI284" s="96"/>
      <c r="BJ284" s="96"/>
      <c r="BK284" s="97"/>
      <c r="BL284" s="95"/>
      <c r="BM284" s="96"/>
      <c r="BN284" s="95"/>
      <c r="BO284" s="96"/>
      <c r="BP284" s="95"/>
      <c r="BQ284" s="96"/>
      <c r="BR284" s="95"/>
      <c r="BS284" s="98"/>
      <c r="BT284" s="96"/>
      <c r="BU284" s="96"/>
      <c r="BV284" s="95"/>
      <c r="BW284" s="98"/>
      <c r="BX284" s="96"/>
      <c r="BY284" s="96"/>
      <c r="BZ284" s="95"/>
      <c r="CA284" s="98"/>
      <c r="CB284" s="96"/>
      <c r="CC284" s="96"/>
      <c r="CD284" s="95"/>
      <c r="CE284" s="98"/>
      <c r="CF284" s="99"/>
      <c r="CG284" s="95"/>
      <c r="CH284" s="96"/>
      <c r="CI284" s="96"/>
      <c r="CJ284" s="98"/>
    </row>
    <row r="285" spans="1:88" ht="15" customHeight="1">
      <c r="A285" s="211" t="s">
        <v>496</v>
      </c>
      <c r="B285" s="56"/>
      <c r="C285" s="213">
        <f>SUM(C282:C284)</f>
        <v>-761000</v>
      </c>
      <c r="D285" s="212"/>
      <c r="E285" s="213">
        <f>SUM(E282:E284)</f>
        <v>-761000</v>
      </c>
      <c r="F285" s="212"/>
      <c r="G285" s="213">
        <f t="shared" si="41"/>
        <v>0</v>
      </c>
      <c r="H285" s="128"/>
      <c r="I285" s="159">
        <f t="shared" si="42"/>
        <v>0</v>
      </c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95"/>
      <c r="BB285" s="96"/>
      <c r="BC285" s="96"/>
      <c r="BD285" s="96"/>
      <c r="BE285" s="96"/>
      <c r="BF285" s="96"/>
      <c r="BG285" s="96"/>
      <c r="BH285" s="96"/>
      <c r="BI285" s="96"/>
      <c r="BJ285" s="96"/>
      <c r="BK285" s="97"/>
      <c r="BL285" s="95"/>
      <c r="BM285" s="96"/>
      <c r="BN285" s="95"/>
      <c r="BO285" s="96"/>
      <c r="BP285" s="95"/>
      <c r="BQ285" s="96"/>
      <c r="BR285" s="95"/>
      <c r="BS285" s="98"/>
      <c r="BT285" s="96"/>
      <c r="BU285" s="96"/>
      <c r="BV285" s="95"/>
      <c r="BW285" s="98"/>
      <c r="BX285" s="96"/>
      <c r="BY285" s="96"/>
      <c r="BZ285" s="95"/>
      <c r="CA285" s="98"/>
      <c r="CB285" s="96"/>
      <c r="CC285" s="96"/>
      <c r="CD285" s="95"/>
      <c r="CE285" s="98"/>
      <c r="CF285" s="99"/>
      <c r="CG285" s="95"/>
      <c r="CH285" s="96"/>
      <c r="CI285" s="96"/>
      <c r="CJ285" s="98"/>
    </row>
    <row r="286" spans="1:88" ht="12" customHeight="1">
      <c r="A286" s="110"/>
      <c r="B286" s="206"/>
      <c r="C286" s="129"/>
      <c r="D286" s="103"/>
      <c r="E286" s="129"/>
      <c r="F286" s="103"/>
      <c r="G286" s="129"/>
      <c r="H286" s="103"/>
      <c r="I286" s="209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95"/>
      <c r="BB286" s="96"/>
      <c r="BC286" s="96"/>
      <c r="BD286" s="96"/>
      <c r="BE286" s="96"/>
      <c r="BF286" s="96"/>
      <c r="BG286" s="96"/>
      <c r="BH286" s="96"/>
      <c r="BI286" s="96"/>
      <c r="BJ286" s="96"/>
      <c r="BK286" s="97"/>
      <c r="BL286" s="95"/>
      <c r="BM286" s="96"/>
      <c r="BN286" s="95"/>
      <c r="BO286" s="96"/>
      <c r="BP286" s="95"/>
      <c r="BQ286" s="96"/>
      <c r="BR286" s="95"/>
      <c r="BS286" s="98"/>
      <c r="BT286" s="96"/>
      <c r="BU286" s="96"/>
      <c r="BV286" s="95"/>
      <c r="BW286" s="98"/>
      <c r="BX286" s="96"/>
      <c r="BY286" s="96"/>
      <c r="BZ286" s="95"/>
      <c r="CA286" s="98"/>
      <c r="CB286" s="96"/>
      <c r="CC286" s="96"/>
      <c r="CD286" s="95"/>
      <c r="CE286" s="98"/>
      <c r="CF286" s="99"/>
      <c r="CG286" s="95"/>
      <c r="CH286" s="96"/>
      <c r="CI286" s="96"/>
      <c r="CJ286" s="98"/>
    </row>
    <row r="287" spans="1:88" ht="12" customHeight="1">
      <c r="A287" s="178" t="s">
        <v>497</v>
      </c>
      <c r="B287" s="206"/>
      <c r="C287" s="129"/>
      <c r="D287" s="103"/>
      <c r="E287" s="129"/>
      <c r="F287" s="103"/>
      <c r="G287" s="129"/>
      <c r="H287" s="103"/>
      <c r="I287" s="209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95"/>
      <c r="BB287" s="96"/>
      <c r="BC287" s="96"/>
      <c r="BD287" s="96"/>
      <c r="BE287" s="96"/>
      <c r="BF287" s="96"/>
      <c r="BG287" s="96"/>
      <c r="BH287" s="96"/>
      <c r="BI287" s="96"/>
      <c r="BJ287" s="96"/>
      <c r="BK287" s="97"/>
      <c r="BL287" s="95"/>
      <c r="BM287" s="96"/>
      <c r="BN287" s="95"/>
      <c r="BO287" s="96"/>
      <c r="BP287" s="95"/>
      <c r="BQ287" s="96"/>
      <c r="BR287" s="95"/>
      <c r="BS287" s="98"/>
      <c r="BT287" s="96"/>
      <c r="BU287" s="96"/>
      <c r="BV287" s="95"/>
      <c r="BW287" s="98"/>
      <c r="BX287" s="96"/>
      <c r="BY287" s="96"/>
      <c r="BZ287" s="95"/>
      <c r="CA287" s="98"/>
      <c r="CB287" s="96"/>
      <c r="CC287" s="96"/>
      <c r="CD287" s="95"/>
      <c r="CE287" s="98"/>
      <c r="CF287" s="99"/>
      <c r="CG287" s="95"/>
      <c r="CH287" s="96"/>
      <c r="CI287" s="96"/>
      <c r="CJ287" s="98"/>
    </row>
    <row r="288" spans="1:88" ht="12" customHeight="1">
      <c r="A288" s="178" t="s">
        <v>498</v>
      </c>
      <c r="B288" s="206"/>
      <c r="C288" s="129"/>
      <c r="D288" s="103"/>
      <c r="E288" s="129"/>
      <c r="F288" s="103"/>
      <c r="G288" s="129"/>
      <c r="H288" s="103"/>
      <c r="I288" s="209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95"/>
      <c r="BB288" s="96"/>
      <c r="BC288" s="96"/>
      <c r="BD288" s="96"/>
      <c r="BE288" s="96"/>
      <c r="BF288" s="96"/>
      <c r="BG288" s="96"/>
      <c r="BH288" s="96"/>
      <c r="BI288" s="96"/>
      <c r="BJ288" s="96"/>
      <c r="BK288" s="97"/>
      <c r="BL288" s="95"/>
      <c r="BM288" s="96"/>
      <c r="BN288" s="95"/>
      <c r="BO288" s="96"/>
      <c r="BP288" s="95"/>
      <c r="BQ288" s="96"/>
      <c r="BR288" s="95"/>
      <c r="BS288" s="98"/>
      <c r="BT288" s="96"/>
      <c r="BU288" s="96"/>
      <c r="BV288" s="95"/>
      <c r="BW288" s="98"/>
      <c r="BX288" s="96"/>
      <c r="BY288" s="96"/>
      <c r="BZ288" s="95"/>
      <c r="CA288" s="98"/>
      <c r="CB288" s="96"/>
      <c r="CC288" s="96"/>
      <c r="CD288" s="95"/>
      <c r="CE288" s="98"/>
      <c r="CF288" s="99"/>
      <c r="CG288" s="95"/>
      <c r="CH288" s="96"/>
      <c r="CI288" s="96"/>
      <c r="CJ288" s="98"/>
    </row>
    <row r="289" spans="1:88" ht="12" customHeight="1">
      <c r="A289" s="110"/>
      <c r="B289" s="206" t="s">
        <v>499</v>
      </c>
      <c r="C289" s="102">
        <f>_xll.ACC(DB,_xll.ArrayDPT($BA289:$BJ289),_xll.ArrayCOA($BL289:$CE289),YR,PRD,_xll.ArrayDIM($CG289:$CJ289))</f>
        <v>-49054439.899999999</v>
      </c>
      <c r="D289" s="103"/>
      <c r="E289" s="102">
        <f>_xll.ACC(DB,_xll.ArrayDPT($BA289:$BJ289),_xll.ArrayCOA($BL289:$CE289),YR,PRD-1,_xll.ArrayDIM($CG289:$CJ289))</f>
        <v>-49054439.899999999</v>
      </c>
      <c r="F289" s="103"/>
      <c r="G289" s="129">
        <f t="shared" ref="G289:G290" si="43">C289-E289</f>
        <v>0</v>
      </c>
      <c r="H289" s="103"/>
      <c r="I289" s="153">
        <f t="shared" ref="I289:I290" si="44">IF(G289=0,0,(G289*100/$G$296))</f>
        <v>0</v>
      </c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95"/>
      <c r="BB289" s="96"/>
      <c r="BC289" s="96"/>
      <c r="BD289" s="96"/>
      <c r="BE289" s="96"/>
      <c r="BF289" s="96"/>
      <c r="BG289" s="96"/>
      <c r="BH289" s="96"/>
      <c r="BI289" s="96"/>
      <c r="BJ289" s="96"/>
      <c r="BK289" s="97"/>
      <c r="BL289" s="95" t="s">
        <v>500</v>
      </c>
      <c r="BM289" s="96" t="s">
        <v>500</v>
      </c>
      <c r="BN289" s="95"/>
      <c r="BO289" s="96"/>
      <c r="BP289" s="95"/>
      <c r="BQ289" s="96"/>
      <c r="BR289" s="95"/>
      <c r="BS289" s="98"/>
      <c r="BT289" s="96"/>
      <c r="BU289" s="96"/>
      <c r="BV289" s="95"/>
      <c r="BW289" s="98"/>
      <c r="BX289" s="96"/>
      <c r="BY289" s="96"/>
      <c r="BZ289" s="95"/>
      <c r="CA289" s="98"/>
      <c r="CB289" s="96"/>
      <c r="CC289" s="96"/>
      <c r="CD289" s="95"/>
      <c r="CE289" s="98"/>
      <c r="CF289" s="99"/>
      <c r="CG289" s="95"/>
      <c r="CH289" s="96"/>
      <c r="CI289" s="96"/>
      <c r="CJ289" s="98"/>
    </row>
    <row r="290" spans="1:88" ht="11.25" customHeight="1">
      <c r="A290" s="110"/>
      <c r="B290" s="206" t="s">
        <v>501</v>
      </c>
      <c r="C290" s="102">
        <f>_xll.ACC(DB,_xll.ArrayDPT($BA290:$BJ290),_xll.ArrayCOA($BL290:$CE290),YR,PRD,_xll.ArrayDIM($CG290:$CJ290))</f>
        <v>0</v>
      </c>
      <c r="D290" s="103"/>
      <c r="E290" s="102">
        <f>_xll.ACC(DB,_xll.ArrayDPT($BA290:$BJ290),_xll.ArrayCOA($BL290:$CE290),YR,PRD-1,_xll.ArrayDIM($CG290:$CJ290))</f>
        <v>0</v>
      </c>
      <c r="F290" s="103"/>
      <c r="G290" s="129">
        <f t="shared" si="43"/>
        <v>0</v>
      </c>
      <c r="H290" s="103"/>
      <c r="I290" s="153">
        <f t="shared" si="44"/>
        <v>0</v>
      </c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95"/>
      <c r="BB290" s="96"/>
      <c r="BC290" s="96"/>
      <c r="BD290" s="96"/>
      <c r="BE290" s="96"/>
      <c r="BF290" s="96"/>
      <c r="BG290" s="96"/>
      <c r="BH290" s="96"/>
      <c r="BI290" s="96"/>
      <c r="BJ290" s="96"/>
      <c r="BK290" s="97"/>
      <c r="BL290" s="95"/>
      <c r="BM290" s="96"/>
      <c r="BN290" s="95"/>
      <c r="BO290" s="96"/>
      <c r="BP290" s="95"/>
      <c r="BQ290" s="96"/>
      <c r="BR290" s="95"/>
      <c r="BS290" s="98"/>
      <c r="BT290" s="96"/>
      <c r="BU290" s="96"/>
      <c r="BV290" s="95"/>
      <c r="BW290" s="98"/>
      <c r="BX290" s="96"/>
      <c r="BY290" s="96"/>
      <c r="BZ290" s="95"/>
      <c r="CA290" s="98"/>
      <c r="CB290" s="96"/>
      <c r="CC290" s="96"/>
      <c r="CD290" s="95"/>
      <c r="CE290" s="98"/>
      <c r="CF290" s="99"/>
      <c r="CG290" s="95"/>
      <c r="CH290" s="96"/>
      <c r="CI290" s="96"/>
      <c r="CJ290" s="98"/>
    </row>
    <row r="291" spans="1:88" ht="11.25" customHeight="1">
      <c r="A291" s="110"/>
      <c r="B291" s="206"/>
      <c r="C291" s="129"/>
      <c r="D291" s="103"/>
      <c r="E291" s="129"/>
      <c r="F291" s="103"/>
      <c r="G291" s="129"/>
      <c r="H291" s="103"/>
      <c r="I291" s="153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95"/>
      <c r="BB291" s="96"/>
      <c r="BC291" s="96"/>
      <c r="BD291" s="96"/>
      <c r="BE291" s="96"/>
      <c r="BF291" s="96"/>
      <c r="BG291" s="96"/>
      <c r="BH291" s="96"/>
      <c r="BI291" s="96"/>
      <c r="BJ291" s="96"/>
      <c r="BK291" s="97"/>
      <c r="BL291" s="95"/>
      <c r="BM291" s="96"/>
      <c r="BN291" s="95"/>
      <c r="BO291" s="96"/>
      <c r="BP291" s="95"/>
      <c r="BQ291" s="96"/>
      <c r="BR291" s="95"/>
      <c r="BS291" s="98"/>
      <c r="BT291" s="96"/>
      <c r="BU291" s="96"/>
      <c r="BV291" s="95"/>
      <c r="BW291" s="98"/>
      <c r="BX291" s="96"/>
      <c r="BY291" s="96"/>
      <c r="BZ291" s="95"/>
      <c r="CA291" s="98"/>
      <c r="CB291" s="96"/>
      <c r="CC291" s="96"/>
      <c r="CD291" s="95"/>
      <c r="CE291" s="98"/>
      <c r="CF291" s="99"/>
      <c r="CG291" s="95"/>
      <c r="CH291" s="96"/>
      <c r="CI291" s="96"/>
      <c r="CJ291" s="98"/>
    </row>
    <row r="292" spans="1:88" ht="11.25" customHeight="1">
      <c r="A292" s="110"/>
      <c r="B292" s="210" t="s">
        <v>502</v>
      </c>
      <c r="C292" s="149"/>
      <c r="D292" s="93"/>
      <c r="E292" s="149"/>
      <c r="F292" s="93"/>
      <c r="G292" s="149"/>
      <c r="H292" s="93"/>
      <c r="I292" s="174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95"/>
      <c r="BB292" s="96"/>
      <c r="BC292" s="96"/>
      <c r="BD292" s="96"/>
      <c r="BE292" s="96"/>
      <c r="BF292" s="96"/>
      <c r="BG292" s="96"/>
      <c r="BH292" s="96"/>
      <c r="BI292" s="96"/>
      <c r="BJ292" s="96"/>
      <c r="BK292" s="97"/>
      <c r="BL292" s="95"/>
      <c r="BM292" s="96"/>
      <c r="BN292" s="95"/>
      <c r="BO292" s="96"/>
      <c r="BP292" s="95"/>
      <c r="BQ292" s="96"/>
      <c r="BR292" s="95"/>
      <c r="BS292" s="98"/>
      <c r="BT292" s="96"/>
      <c r="BU292" s="96"/>
      <c r="BV292" s="95"/>
      <c r="BW292" s="98"/>
      <c r="BX292" s="96"/>
      <c r="BY292" s="96"/>
      <c r="BZ292" s="95"/>
      <c r="CA292" s="98"/>
      <c r="CB292" s="96"/>
      <c r="CC292" s="96"/>
      <c r="CD292" s="95"/>
      <c r="CE292" s="98"/>
      <c r="CF292" s="99"/>
      <c r="CG292" s="95"/>
      <c r="CH292" s="96"/>
      <c r="CI292" s="96"/>
      <c r="CJ292" s="98"/>
    </row>
    <row r="293" spans="1:88" ht="11.25" customHeight="1">
      <c r="A293" s="110"/>
      <c r="B293" s="206" t="s">
        <v>503</v>
      </c>
      <c r="C293" s="102">
        <f>_xll.ACC(DB,_xll.ArrayDPT($BA293:$BJ293),_xll.ArrayCOA($BL293:$CE293),YR,PRD-1,_xll.ArrayDIM($CG293:$CJ293))</f>
        <v>0</v>
      </c>
      <c r="D293" s="103"/>
      <c r="E293" s="102">
        <f>_xll.ACC(DB,_xll.ArrayDPT($BA293:$BJ293),_xll.ArrayCOA($BL293:$CE293),YR,PRD,_xll.ArrayDIM($CG293:$CJ293))</f>
        <v>0</v>
      </c>
      <c r="F293" s="103"/>
      <c r="G293" s="129">
        <f t="shared" ref="G293:G294" si="45">C293-E293</f>
        <v>0</v>
      </c>
      <c r="H293" s="103"/>
      <c r="I293" s="153">
        <f t="shared" ref="I293:I294" si="46">IF(G293=0,0,(G293*100/$G$296))</f>
        <v>0</v>
      </c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95"/>
      <c r="BB293" s="96"/>
      <c r="BC293" s="96"/>
      <c r="BD293" s="96"/>
      <c r="BE293" s="96"/>
      <c r="BF293" s="96"/>
      <c r="BG293" s="96"/>
      <c r="BH293" s="96"/>
      <c r="BI293" s="96"/>
      <c r="BJ293" s="96"/>
      <c r="BK293" s="97"/>
      <c r="BL293" s="95"/>
      <c r="BM293" s="96"/>
      <c r="BN293" s="95"/>
      <c r="BO293" s="96"/>
      <c r="BP293" s="95"/>
      <c r="BQ293" s="96"/>
      <c r="BR293" s="95"/>
      <c r="BS293" s="98"/>
      <c r="BT293" s="96"/>
      <c r="BU293" s="96"/>
      <c r="BV293" s="95"/>
      <c r="BW293" s="98"/>
      <c r="BX293" s="96"/>
      <c r="BY293" s="96"/>
      <c r="BZ293" s="95"/>
      <c r="CA293" s="98"/>
      <c r="CB293" s="96"/>
      <c r="CC293" s="96"/>
      <c r="CD293" s="95"/>
      <c r="CE293" s="98"/>
      <c r="CF293" s="99"/>
      <c r="CG293" s="95"/>
      <c r="CH293" s="96"/>
      <c r="CI293" s="96"/>
      <c r="CJ293" s="98"/>
    </row>
    <row r="294" spans="1:88" ht="11.25" customHeight="1">
      <c r="A294" s="110"/>
      <c r="B294" s="206" t="s">
        <v>504</v>
      </c>
      <c r="C294" s="129">
        <f>_xll.RE(DB,YR,PRD)</f>
        <v>4184916.46</v>
      </c>
      <c r="D294" s="103"/>
      <c r="E294" s="129">
        <f>IF(PRD =1,_xll.REP(DB,YR-1,1,12),_xll.REP(DB,YR,PRD-1))</f>
        <v>24664099.989999998</v>
      </c>
      <c r="F294" s="103"/>
      <c r="G294" s="129">
        <f t="shared" si="45"/>
        <v>-20479183.529999997</v>
      </c>
      <c r="H294" s="103"/>
      <c r="I294" s="153">
        <f t="shared" si="46"/>
        <v>100</v>
      </c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95"/>
      <c r="BB294" s="96"/>
      <c r="BC294" s="96"/>
      <c r="BD294" s="96"/>
      <c r="BE294" s="96"/>
      <c r="BF294" s="96"/>
      <c r="BG294" s="96"/>
      <c r="BH294" s="96"/>
      <c r="BI294" s="96"/>
      <c r="BJ294" s="96"/>
      <c r="BK294" s="97"/>
      <c r="BL294" s="95"/>
      <c r="BM294" s="96"/>
      <c r="BN294" s="95"/>
      <c r="BO294" s="96"/>
      <c r="BP294" s="95"/>
      <c r="BQ294" s="96"/>
      <c r="BR294" s="95"/>
      <c r="BS294" s="98"/>
      <c r="BT294" s="96"/>
      <c r="BU294" s="96"/>
      <c r="BV294" s="95"/>
      <c r="BW294" s="98"/>
      <c r="BX294" s="96"/>
      <c r="BY294" s="96"/>
      <c r="BZ294" s="95"/>
      <c r="CA294" s="98"/>
      <c r="CB294" s="96"/>
      <c r="CC294" s="96"/>
      <c r="CD294" s="95"/>
      <c r="CE294" s="98"/>
      <c r="CF294" s="99"/>
      <c r="CG294" s="95"/>
      <c r="CH294" s="96"/>
      <c r="CI294" s="96"/>
      <c r="CJ294" s="98"/>
    </row>
    <row r="295" spans="1:88" ht="11.25" customHeight="1">
      <c r="A295" s="110"/>
      <c r="B295" s="206"/>
      <c r="C295" s="129"/>
      <c r="D295" s="103"/>
      <c r="E295" s="129"/>
      <c r="F295" s="103"/>
      <c r="G295" s="129"/>
      <c r="H295" s="103"/>
      <c r="I295" s="153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95"/>
      <c r="BB295" s="96"/>
      <c r="BC295" s="96"/>
      <c r="BD295" s="96"/>
      <c r="BE295" s="96"/>
      <c r="BF295" s="96"/>
      <c r="BG295" s="96"/>
      <c r="BH295" s="96"/>
      <c r="BI295" s="96"/>
      <c r="BJ295" s="96"/>
      <c r="BK295" s="97"/>
      <c r="BL295" s="95"/>
      <c r="BM295" s="96"/>
      <c r="BN295" s="95"/>
      <c r="BO295" s="96"/>
      <c r="BP295" s="95"/>
      <c r="BQ295" s="96"/>
      <c r="BR295" s="95"/>
      <c r="BS295" s="98"/>
      <c r="BT295" s="96"/>
      <c r="BU295" s="96"/>
      <c r="BV295" s="95"/>
      <c r="BW295" s="98"/>
      <c r="BX295" s="96"/>
      <c r="BY295" s="96"/>
      <c r="BZ295" s="95"/>
      <c r="CA295" s="98"/>
      <c r="CB295" s="96"/>
      <c r="CC295" s="96"/>
      <c r="CD295" s="95"/>
      <c r="CE295" s="98"/>
      <c r="CF295" s="99"/>
      <c r="CG295" s="95"/>
      <c r="CH295" s="96"/>
      <c r="CI295" s="96"/>
      <c r="CJ295" s="98"/>
    </row>
    <row r="296" spans="1:88" ht="15" customHeight="1">
      <c r="A296" s="211" t="s">
        <v>505</v>
      </c>
      <c r="B296" s="56"/>
      <c r="C296" s="213">
        <f>SUM(C289:C295)</f>
        <v>-44869523.439999998</v>
      </c>
      <c r="D296" s="212"/>
      <c r="E296" s="213">
        <f>SUM(E289:E295)</f>
        <v>-24390339.91</v>
      </c>
      <c r="F296" s="212"/>
      <c r="G296" s="213">
        <f>C296-E296</f>
        <v>-20479183.529999997</v>
      </c>
      <c r="H296" s="128"/>
      <c r="I296" s="159">
        <f>IF(G296=0,0,(G296*100/$G$296))</f>
        <v>100</v>
      </c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95"/>
      <c r="BB296" s="96"/>
      <c r="BC296" s="96"/>
      <c r="BD296" s="96"/>
      <c r="BE296" s="96"/>
      <c r="BF296" s="96"/>
      <c r="BG296" s="96"/>
      <c r="BH296" s="96"/>
      <c r="BI296" s="96"/>
      <c r="BJ296" s="96"/>
      <c r="BK296" s="97"/>
      <c r="BL296" s="95"/>
      <c r="BM296" s="96"/>
      <c r="BN296" s="95"/>
      <c r="BO296" s="96"/>
      <c r="BP296" s="95"/>
      <c r="BQ296" s="96"/>
      <c r="BR296" s="95"/>
      <c r="BS296" s="98"/>
      <c r="BT296" s="96"/>
      <c r="BU296" s="96"/>
      <c r="BV296" s="95"/>
      <c r="BW296" s="98"/>
      <c r="BX296" s="96"/>
      <c r="BY296" s="96"/>
      <c r="BZ296" s="95"/>
      <c r="CA296" s="98"/>
      <c r="CB296" s="96"/>
      <c r="CC296" s="96"/>
      <c r="CD296" s="95"/>
      <c r="CE296" s="98"/>
      <c r="CF296" s="99"/>
      <c r="CG296" s="95"/>
      <c r="CH296" s="96"/>
      <c r="CI296" s="96"/>
      <c r="CJ296" s="98"/>
    </row>
    <row r="297" spans="1:88" ht="11.25" customHeight="1">
      <c r="A297" s="110"/>
      <c r="B297" s="206"/>
      <c r="C297" s="129"/>
      <c r="D297" s="103"/>
      <c r="E297" s="129"/>
      <c r="F297" s="103"/>
      <c r="G297" s="129"/>
      <c r="H297" s="103"/>
      <c r="I297" s="209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95"/>
      <c r="BB297" s="96"/>
      <c r="BC297" s="96"/>
      <c r="BD297" s="96"/>
      <c r="BE297" s="96"/>
      <c r="BF297" s="96"/>
      <c r="BG297" s="96"/>
      <c r="BH297" s="96"/>
      <c r="BI297" s="96"/>
      <c r="BJ297" s="96"/>
      <c r="BK297" s="97"/>
      <c r="BL297" s="95"/>
      <c r="BM297" s="96"/>
      <c r="BN297" s="95"/>
      <c r="BO297" s="96"/>
      <c r="BP297" s="95"/>
      <c r="BQ297" s="96"/>
      <c r="BR297" s="95"/>
      <c r="BS297" s="98"/>
      <c r="BT297" s="96"/>
      <c r="BU297" s="96"/>
      <c r="BV297" s="95"/>
      <c r="BW297" s="98"/>
      <c r="BX297" s="96"/>
      <c r="BY297" s="96"/>
      <c r="BZ297" s="95"/>
      <c r="CA297" s="98"/>
      <c r="CB297" s="96"/>
      <c r="CC297" s="96"/>
      <c r="CD297" s="95"/>
      <c r="CE297" s="98"/>
      <c r="CF297" s="99"/>
      <c r="CG297" s="95"/>
      <c r="CH297" s="96"/>
      <c r="CI297" s="96"/>
      <c r="CJ297" s="98"/>
    </row>
    <row r="298" spans="1:88" ht="11.25" customHeight="1">
      <c r="A298" s="110"/>
      <c r="B298" s="206"/>
      <c r="C298" s="129"/>
      <c r="D298" s="103"/>
      <c r="E298" s="129"/>
      <c r="F298" s="103"/>
      <c r="G298" s="129"/>
      <c r="H298" s="103"/>
      <c r="I298" s="209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95"/>
      <c r="BB298" s="96"/>
      <c r="BC298" s="96"/>
      <c r="BD298" s="96"/>
      <c r="BE298" s="96"/>
      <c r="BF298" s="96"/>
      <c r="BG298" s="96"/>
      <c r="BH298" s="96"/>
      <c r="BI298" s="96"/>
      <c r="BJ298" s="96"/>
      <c r="BK298" s="97"/>
      <c r="BL298" s="95"/>
      <c r="BM298" s="96"/>
      <c r="BN298" s="95"/>
      <c r="BO298" s="96"/>
      <c r="BP298" s="95"/>
      <c r="BQ298" s="96"/>
      <c r="BR298" s="95"/>
      <c r="BS298" s="98"/>
      <c r="BT298" s="96"/>
      <c r="BU298" s="96"/>
      <c r="BV298" s="95"/>
      <c r="BW298" s="98"/>
      <c r="BX298" s="96"/>
      <c r="BY298" s="96"/>
      <c r="BZ298" s="95"/>
      <c r="CA298" s="98"/>
      <c r="CB298" s="96"/>
      <c r="CC298" s="96"/>
      <c r="CD298" s="95"/>
      <c r="CE298" s="98"/>
      <c r="CF298" s="99"/>
      <c r="CG298" s="95"/>
      <c r="CH298" s="96"/>
      <c r="CI298" s="96"/>
      <c r="CJ298" s="98"/>
    </row>
    <row r="299" spans="1:88" ht="11.25" customHeight="1">
      <c r="A299" s="110"/>
      <c r="B299" s="206"/>
      <c r="C299" s="129">
        <f>C279+C285+C296</f>
        <v>-19593024.689999994</v>
      </c>
      <c r="D299" s="103"/>
      <c r="E299" s="129">
        <f>E279+E285+E296</f>
        <v>-345104.32999999821</v>
      </c>
      <c r="F299" s="103"/>
      <c r="G299" s="129">
        <f>G279+G285+G296</f>
        <v>-19247920.359999996</v>
      </c>
      <c r="H299" s="103"/>
      <c r="I299" s="209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95"/>
      <c r="BB299" s="96"/>
      <c r="BC299" s="96"/>
      <c r="BD299" s="96"/>
      <c r="BE299" s="96"/>
      <c r="BF299" s="96"/>
      <c r="BG299" s="96"/>
      <c r="BH299" s="96"/>
      <c r="BI299" s="96"/>
      <c r="BJ299" s="96"/>
      <c r="BK299" s="97"/>
      <c r="BL299" s="95"/>
      <c r="BM299" s="96"/>
      <c r="BN299" s="95"/>
      <c r="BO299" s="96"/>
      <c r="BP299" s="95"/>
      <c r="BQ299" s="96"/>
      <c r="BR299" s="95"/>
      <c r="BS299" s="98"/>
      <c r="BT299" s="96"/>
      <c r="BU299" s="96"/>
      <c r="BV299" s="95"/>
      <c r="BW299" s="98"/>
      <c r="BX299" s="96"/>
      <c r="BY299" s="96"/>
      <c r="BZ299" s="95"/>
      <c r="CA299" s="98"/>
      <c r="CB299" s="96"/>
      <c r="CC299" s="96"/>
      <c r="CD299" s="95"/>
      <c r="CE299" s="98"/>
      <c r="CF299" s="99"/>
      <c r="CG299" s="95"/>
      <c r="CH299" s="96"/>
      <c r="CI299" s="96"/>
      <c r="CJ299" s="98"/>
    </row>
    <row r="300" spans="1:88" ht="11.25" customHeight="1">
      <c r="A300" s="110"/>
      <c r="B300" s="206"/>
      <c r="C300" s="129">
        <f>C206-C299</f>
        <v>65600921.759999976</v>
      </c>
      <c r="D300" s="103"/>
      <c r="E300" s="129">
        <f>E206-E299</f>
        <v>40953632.790000036</v>
      </c>
      <c r="F300" s="103"/>
      <c r="G300" s="129">
        <f>G206-G299</f>
        <v>24647288.969999939</v>
      </c>
      <c r="H300" s="103"/>
      <c r="I300" s="209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95"/>
      <c r="BB300" s="96"/>
      <c r="BC300" s="96"/>
      <c r="BD300" s="96"/>
      <c r="BE300" s="96"/>
      <c r="BF300" s="96"/>
      <c r="BG300" s="96"/>
      <c r="BH300" s="96"/>
      <c r="BI300" s="96"/>
      <c r="BJ300" s="96"/>
      <c r="BK300" s="97"/>
      <c r="BL300" s="95"/>
      <c r="BM300" s="96"/>
      <c r="BN300" s="95"/>
      <c r="BO300" s="96"/>
      <c r="BP300" s="95"/>
      <c r="BQ300" s="96"/>
      <c r="BR300" s="95"/>
      <c r="BS300" s="98"/>
      <c r="BT300" s="96"/>
      <c r="BU300" s="96"/>
      <c r="BV300" s="95"/>
      <c r="BW300" s="98"/>
      <c r="BX300" s="96"/>
      <c r="BY300" s="96"/>
      <c r="BZ300" s="95"/>
      <c r="CA300" s="98"/>
      <c r="CB300" s="96"/>
      <c r="CC300" s="96"/>
      <c r="CD300" s="95"/>
      <c r="CE300" s="98"/>
      <c r="CF300" s="99"/>
      <c r="CG300" s="95"/>
      <c r="CH300" s="96"/>
      <c r="CI300" s="96"/>
      <c r="CJ300" s="98"/>
    </row>
    <row r="301" spans="1:88" ht="11.25" customHeight="1">
      <c r="A301" s="110"/>
      <c r="B301" s="206"/>
      <c r="C301" s="129"/>
      <c r="D301" s="103"/>
      <c r="E301" s="129"/>
      <c r="F301" s="103"/>
      <c r="H301" s="103"/>
      <c r="I301" s="209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</row>
    <row r="302" spans="1:88" ht="11.25" customHeight="1">
      <c r="A302" s="110"/>
      <c r="B302" s="206"/>
      <c r="C302" s="129">
        <f>C299+C300</f>
        <v>46007897.069999978</v>
      </c>
      <c r="D302" s="103"/>
      <c r="E302" s="129">
        <f>E299+E300</f>
        <v>40608528.460000038</v>
      </c>
      <c r="F302" s="103"/>
      <c r="G302" s="149">
        <f>SUM(G299:G300)</f>
        <v>5399368.6099999435</v>
      </c>
      <c r="H302" s="103"/>
      <c r="I302" s="209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</row>
    <row r="303" spans="1:88" ht="11.25" customHeight="1">
      <c r="A303" s="110"/>
      <c r="B303" s="206"/>
      <c r="C303" s="129"/>
      <c r="D303" s="103"/>
      <c r="E303" s="129"/>
      <c r="F303" s="103"/>
      <c r="G303" s="129"/>
      <c r="H303" s="103"/>
      <c r="I303" s="209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</row>
    <row r="304" spans="1:88" ht="11.25" customHeight="1">
      <c r="A304" s="110"/>
      <c r="B304" s="206"/>
      <c r="C304" s="129">
        <v>2085789.66</v>
      </c>
      <c r="D304" s="103"/>
      <c r="E304" s="129"/>
      <c r="F304" s="103"/>
      <c r="G304" s="129"/>
      <c r="H304" s="103"/>
      <c r="I304" s="209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</row>
    <row r="305" spans="1:52" ht="11.25" customHeight="1">
      <c r="A305" s="110"/>
      <c r="B305" s="206"/>
      <c r="C305" s="129">
        <f>C304-C294</f>
        <v>-2099126.7999999998</v>
      </c>
      <c r="D305" s="103"/>
      <c r="E305" s="129"/>
      <c r="F305" s="103"/>
      <c r="G305" s="129"/>
      <c r="H305" s="103"/>
      <c r="I305" s="209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</row>
    <row r="306" spans="1:52" ht="11.25" customHeight="1">
      <c r="A306" s="110"/>
      <c r="B306" s="206"/>
      <c r="C306" s="129"/>
      <c r="D306" s="103"/>
      <c r="E306" s="129"/>
      <c r="F306" s="103"/>
      <c r="G306" s="129"/>
      <c r="H306" s="103"/>
      <c r="I306" s="209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</row>
    <row r="307" spans="1:52" ht="11.25" customHeight="1">
      <c r="A307" s="110"/>
      <c r="B307" s="206"/>
      <c r="C307" s="129"/>
      <c r="D307" s="103"/>
      <c r="E307" s="129"/>
      <c r="F307" s="103"/>
      <c r="G307" s="129"/>
      <c r="H307" s="103"/>
      <c r="I307" s="209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</row>
    <row r="308" spans="1:52" ht="11.25" customHeight="1">
      <c r="A308" s="110"/>
      <c r="B308" s="206"/>
      <c r="C308" s="129"/>
      <c r="D308" s="103"/>
      <c r="E308" s="129"/>
      <c r="F308" s="103"/>
      <c r="G308" s="129"/>
      <c r="H308" s="103"/>
      <c r="I308" s="209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</row>
    <row r="309" spans="1:52" ht="11.25" customHeight="1">
      <c r="A309" s="110"/>
      <c r="B309" s="206"/>
      <c r="C309" s="129"/>
      <c r="D309" s="103"/>
      <c r="E309" s="129"/>
      <c r="F309" s="103"/>
      <c r="G309" s="129"/>
      <c r="H309" s="103"/>
      <c r="I309" s="209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</row>
    <row r="310" spans="1:52" ht="11.25" customHeight="1">
      <c r="A310" s="110"/>
      <c r="B310" s="206"/>
      <c r="C310" s="129"/>
      <c r="D310" s="103"/>
      <c r="E310" s="129"/>
      <c r="F310" s="103"/>
      <c r="G310" s="129"/>
      <c r="H310" s="103"/>
      <c r="I310" s="209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</row>
    <row r="311" spans="1:52" ht="11.25" customHeight="1">
      <c r="A311" s="110"/>
      <c r="B311" s="206"/>
      <c r="C311" s="129"/>
      <c r="D311" s="103"/>
      <c r="E311" s="129"/>
      <c r="F311" s="103"/>
      <c r="G311" s="129"/>
      <c r="H311" s="103"/>
      <c r="I311" s="209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</row>
    <row r="312" spans="1:52" ht="11.25" customHeight="1">
      <c r="A312" s="110"/>
      <c r="B312" s="206"/>
      <c r="C312" s="129"/>
      <c r="D312" s="103"/>
      <c r="E312" s="129"/>
      <c r="F312" s="103"/>
      <c r="G312" s="129"/>
      <c r="H312" s="103"/>
      <c r="I312" s="209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</row>
    <row r="313" spans="1:52" ht="11.25" customHeight="1">
      <c r="A313" s="110"/>
      <c r="B313" s="206"/>
      <c r="C313" s="129"/>
      <c r="D313" s="103"/>
      <c r="E313" s="129"/>
      <c r="F313" s="103"/>
      <c r="G313" s="129"/>
      <c r="H313" s="103"/>
      <c r="I313" s="209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</row>
    <row r="314" spans="1:52" ht="11.25" customHeight="1">
      <c r="A314" s="110"/>
      <c r="B314" s="206"/>
      <c r="C314" s="129"/>
      <c r="D314" s="103"/>
      <c r="E314" s="129"/>
      <c r="F314" s="103"/>
      <c r="G314" s="129"/>
      <c r="H314" s="103"/>
      <c r="I314" s="209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</row>
    <row r="315" spans="1:52" ht="11.25" customHeight="1">
      <c r="A315" s="110"/>
      <c r="B315" s="206"/>
      <c r="C315" s="129"/>
      <c r="D315" s="103"/>
      <c r="E315" s="129"/>
      <c r="F315" s="103"/>
      <c r="G315" s="129"/>
      <c r="H315" s="103"/>
      <c r="I315" s="209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</row>
    <row r="316" spans="1:52" ht="11.25" customHeight="1">
      <c r="A316" s="110"/>
      <c r="B316" s="206"/>
      <c r="C316" s="129"/>
      <c r="D316" s="103"/>
      <c r="E316" s="129"/>
      <c r="F316" s="103"/>
      <c r="G316" s="129"/>
      <c r="H316" s="103"/>
      <c r="I316" s="209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</row>
    <row r="317" spans="1:52" ht="11.25" customHeight="1">
      <c r="A317" s="110"/>
      <c r="B317" s="206"/>
      <c r="C317" s="129"/>
      <c r="D317" s="103"/>
      <c r="E317" s="129"/>
      <c r="F317" s="103"/>
      <c r="G317" s="129"/>
      <c r="H317" s="103"/>
      <c r="I317" s="209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</row>
    <row r="318" spans="1:52" ht="11.25" customHeight="1">
      <c r="A318" s="110"/>
      <c r="B318" s="206"/>
      <c r="C318" s="129"/>
      <c r="D318" s="103"/>
      <c r="E318" s="129"/>
      <c r="F318" s="103"/>
      <c r="G318" s="129"/>
      <c r="H318" s="103"/>
      <c r="I318" s="209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</row>
    <row r="319" spans="1:52" ht="11.25" customHeight="1">
      <c r="A319" s="110"/>
      <c r="B319" s="206"/>
      <c r="C319" s="129"/>
      <c r="D319" s="103"/>
      <c r="E319" s="129"/>
      <c r="F319" s="103"/>
      <c r="G319" s="129"/>
      <c r="H319" s="103"/>
      <c r="I319" s="209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</row>
    <row r="320" spans="1:52" ht="11.25" customHeight="1">
      <c r="A320" s="110"/>
      <c r="B320" s="206"/>
      <c r="C320" s="129"/>
      <c r="D320" s="103"/>
      <c r="E320" s="129"/>
      <c r="F320" s="103"/>
      <c r="G320" s="129"/>
      <c r="H320" s="103"/>
      <c r="I320" s="209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</row>
    <row r="321" spans="1:52" ht="11.25" customHeight="1">
      <c r="A321" s="110"/>
      <c r="B321" s="206"/>
      <c r="C321" s="129"/>
      <c r="D321" s="103"/>
      <c r="E321" s="129"/>
      <c r="F321" s="103"/>
      <c r="G321" s="129"/>
      <c r="H321" s="103"/>
      <c r="I321" s="209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</row>
    <row r="322" spans="1:52" ht="11.25" customHeight="1">
      <c r="A322" s="110"/>
      <c r="B322" s="206"/>
      <c r="C322" s="129"/>
      <c r="D322" s="103"/>
      <c r="E322" s="129"/>
      <c r="F322" s="103"/>
      <c r="G322" s="129"/>
      <c r="H322" s="103"/>
      <c r="I322" s="209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</row>
    <row r="323" spans="1:52" ht="11.25" customHeight="1">
      <c r="A323" s="110"/>
      <c r="B323" s="206"/>
      <c r="C323" s="129"/>
      <c r="D323" s="103"/>
      <c r="E323" s="129"/>
      <c r="F323" s="103"/>
      <c r="G323" s="129"/>
      <c r="H323" s="103"/>
      <c r="I323" s="209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</row>
    <row r="324" spans="1:52" ht="11.25" customHeight="1">
      <c r="A324" s="110"/>
      <c r="B324" s="206"/>
      <c r="C324" s="129"/>
      <c r="D324" s="103"/>
      <c r="E324" s="129"/>
      <c r="F324" s="103"/>
      <c r="G324" s="129"/>
      <c r="H324" s="103"/>
      <c r="I324" s="209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</row>
    <row r="325" spans="1:52" ht="11.25" customHeight="1">
      <c r="A325" s="110"/>
      <c r="B325" s="206"/>
      <c r="C325" s="129"/>
      <c r="D325" s="103"/>
      <c r="E325" s="129"/>
      <c r="F325" s="103"/>
      <c r="G325" s="129"/>
      <c r="H325" s="103"/>
      <c r="I325" s="209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</row>
    <row r="326" spans="1:52" ht="11.25" customHeight="1">
      <c r="A326" s="110"/>
      <c r="B326" s="206"/>
      <c r="C326" s="129"/>
      <c r="D326" s="103"/>
      <c r="E326" s="129"/>
      <c r="F326" s="103"/>
      <c r="G326" s="129"/>
      <c r="H326" s="103"/>
      <c r="I326" s="209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</row>
    <row r="327" spans="1:52" ht="11.25" customHeight="1">
      <c r="A327" s="110"/>
      <c r="B327" s="206"/>
      <c r="C327" s="129"/>
      <c r="D327" s="103"/>
      <c r="E327" s="129"/>
      <c r="F327" s="103"/>
      <c r="G327" s="129"/>
      <c r="H327" s="103"/>
      <c r="I327" s="209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</row>
    <row r="328" spans="1:52" ht="11.25" customHeight="1">
      <c r="A328" s="110"/>
      <c r="B328" s="206"/>
      <c r="C328" s="129"/>
      <c r="D328" s="103"/>
      <c r="E328" s="129"/>
      <c r="F328" s="103"/>
      <c r="G328" s="129"/>
      <c r="H328" s="103"/>
      <c r="I328" s="209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</row>
    <row r="329" spans="1:52" ht="11.25" customHeight="1">
      <c r="A329" s="110"/>
      <c r="B329" s="206"/>
      <c r="C329" s="129"/>
      <c r="D329" s="103"/>
      <c r="E329" s="129"/>
      <c r="F329" s="103"/>
      <c r="G329" s="129"/>
      <c r="H329" s="103"/>
      <c r="I329" s="209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</row>
    <row r="330" spans="1:52" ht="11.25" customHeight="1">
      <c r="A330" s="110"/>
      <c r="B330" s="206"/>
      <c r="C330" s="129"/>
      <c r="D330" s="103"/>
      <c r="E330" s="129"/>
      <c r="F330" s="103"/>
      <c r="G330" s="129"/>
      <c r="H330" s="103"/>
      <c r="I330" s="209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</row>
    <row r="331" spans="1:52" ht="11.25" customHeight="1">
      <c r="A331" s="110"/>
      <c r="B331" s="206"/>
      <c r="C331" s="129"/>
      <c r="D331" s="103"/>
      <c r="E331" s="129"/>
      <c r="F331" s="103"/>
      <c r="G331" s="129"/>
      <c r="H331" s="103"/>
      <c r="I331" s="209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</row>
    <row r="332" spans="1:52" ht="11.25" customHeight="1">
      <c r="A332" s="110"/>
      <c r="B332" s="206"/>
      <c r="C332" s="129"/>
      <c r="D332" s="103"/>
      <c r="E332" s="129"/>
      <c r="F332" s="103"/>
      <c r="G332" s="129"/>
      <c r="H332" s="103"/>
      <c r="I332" s="209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</row>
    <row r="333" spans="1:52" ht="11.25" customHeight="1">
      <c r="A333" s="110"/>
      <c r="B333" s="206"/>
      <c r="C333" s="129"/>
      <c r="D333" s="103"/>
      <c r="E333" s="129"/>
      <c r="F333" s="103"/>
      <c r="G333" s="129"/>
      <c r="H333" s="103"/>
      <c r="I333" s="209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</row>
    <row r="334" spans="1:52" ht="11.25" customHeight="1">
      <c r="A334" s="110"/>
      <c r="B334" s="206"/>
      <c r="C334" s="129"/>
      <c r="D334" s="103"/>
      <c r="E334" s="129"/>
      <c r="F334" s="103"/>
      <c r="G334" s="129"/>
      <c r="H334" s="103"/>
      <c r="I334" s="209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</row>
    <row r="335" spans="1:52" ht="11.25" customHeight="1">
      <c r="A335" s="110"/>
      <c r="B335" s="206"/>
      <c r="C335" s="129"/>
      <c r="D335" s="103"/>
      <c r="E335" s="129"/>
      <c r="F335" s="103"/>
      <c r="G335" s="129"/>
      <c r="H335" s="103"/>
      <c r="I335" s="209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</row>
    <row r="336" spans="1:52" ht="11.25" customHeight="1">
      <c r="A336" s="110"/>
      <c r="B336" s="206"/>
      <c r="C336" s="129"/>
      <c r="D336" s="103"/>
      <c r="E336" s="129"/>
      <c r="F336" s="103"/>
      <c r="G336" s="129"/>
      <c r="H336" s="103"/>
      <c r="I336" s="209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</row>
    <row r="337" spans="1:52" ht="11.25" customHeight="1">
      <c r="A337" s="110"/>
      <c r="B337" s="206"/>
      <c r="C337" s="129"/>
      <c r="D337" s="103"/>
      <c r="E337" s="129"/>
      <c r="F337" s="103"/>
      <c r="G337" s="129"/>
      <c r="H337" s="103"/>
      <c r="I337" s="209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</row>
    <row r="338" spans="1:52" ht="11.25" customHeight="1">
      <c r="A338" s="110"/>
      <c r="B338" s="206"/>
      <c r="C338" s="129"/>
      <c r="D338" s="103"/>
      <c r="E338" s="129"/>
      <c r="F338" s="103"/>
      <c r="G338" s="129"/>
      <c r="H338" s="103"/>
      <c r="I338" s="209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</row>
    <row r="339" spans="1:52" ht="11.25" customHeight="1">
      <c r="A339" s="55"/>
      <c r="B339" s="56"/>
      <c r="C339" s="139"/>
      <c r="D339" s="58"/>
      <c r="E339" s="139"/>
      <c r="F339" s="58"/>
      <c r="G339" s="139"/>
      <c r="H339" s="58"/>
      <c r="I339" s="14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</row>
    <row r="340" spans="1:52" ht="11.25" customHeight="1">
      <c r="A340" s="55"/>
      <c r="B340" s="56"/>
      <c r="C340" s="139"/>
      <c r="D340" s="58"/>
      <c r="E340" s="139"/>
      <c r="F340" s="58"/>
      <c r="G340" s="139"/>
      <c r="H340" s="58"/>
      <c r="I340" s="14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</row>
    <row r="341" spans="1:52" ht="11.25" customHeight="1">
      <c r="A341" s="55"/>
      <c r="B341" s="56"/>
      <c r="C341" s="139"/>
      <c r="D341" s="58"/>
      <c r="E341" s="139"/>
      <c r="F341" s="58"/>
      <c r="G341" s="139"/>
      <c r="H341" s="58"/>
      <c r="I341" s="14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</row>
    <row r="342" spans="1:52" ht="11.25" customHeight="1">
      <c r="A342" s="55"/>
      <c r="B342" s="56"/>
      <c r="C342" s="139"/>
      <c r="D342" s="58"/>
      <c r="E342" s="139"/>
      <c r="F342" s="58"/>
      <c r="G342" s="139"/>
      <c r="H342" s="58"/>
      <c r="I342" s="14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</row>
    <row r="343" spans="1:52" ht="11.25" customHeight="1">
      <c r="A343" s="55"/>
      <c r="B343" s="56"/>
      <c r="C343" s="139"/>
      <c r="D343" s="58"/>
      <c r="E343" s="139"/>
      <c r="F343" s="58"/>
      <c r="G343" s="139"/>
      <c r="H343" s="58"/>
      <c r="I343" s="14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</row>
    <row r="344" spans="1:52" ht="11.25" customHeight="1">
      <c r="A344" s="55"/>
      <c r="B344" s="56"/>
      <c r="C344" s="139"/>
      <c r="D344" s="58"/>
      <c r="E344" s="139"/>
      <c r="F344" s="58"/>
      <c r="G344" s="139"/>
      <c r="H344" s="58"/>
      <c r="I344" s="14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</row>
    <row r="345" spans="1:52" ht="11.25" customHeight="1">
      <c r="A345" s="55"/>
      <c r="B345" s="56"/>
      <c r="C345" s="139"/>
      <c r="D345" s="58"/>
      <c r="E345" s="139"/>
      <c r="F345" s="58"/>
      <c r="G345" s="139"/>
      <c r="H345" s="58"/>
      <c r="I345" s="14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</row>
    <row r="346" spans="1:52" ht="11.25" customHeight="1">
      <c r="A346" s="55"/>
      <c r="B346" s="56"/>
      <c r="C346" s="139"/>
      <c r="D346" s="58"/>
      <c r="E346" s="139"/>
      <c r="F346" s="58"/>
      <c r="G346" s="139"/>
      <c r="H346" s="58"/>
      <c r="I346" s="14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</row>
    <row r="347" spans="1:52" ht="11.25" customHeight="1">
      <c r="A347" s="55"/>
      <c r="B347" s="56"/>
      <c r="C347" s="139"/>
      <c r="D347" s="58"/>
      <c r="E347" s="139"/>
      <c r="F347" s="58"/>
      <c r="G347" s="139"/>
      <c r="H347" s="58"/>
      <c r="I347" s="14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</row>
    <row r="348" spans="1:52" ht="11.25" customHeight="1">
      <c r="A348" s="55"/>
      <c r="B348" s="56"/>
      <c r="C348" s="139"/>
      <c r="D348" s="58"/>
      <c r="E348" s="139"/>
      <c r="F348" s="58"/>
      <c r="G348" s="139"/>
      <c r="H348" s="58"/>
      <c r="I348" s="14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</row>
    <row r="349" spans="1:52" ht="11.25" customHeight="1">
      <c r="A349" s="55"/>
      <c r="B349" s="56"/>
      <c r="C349" s="139"/>
      <c r="D349" s="58"/>
      <c r="E349" s="139"/>
      <c r="F349" s="58"/>
      <c r="G349" s="139"/>
      <c r="H349" s="58"/>
      <c r="I349" s="14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</row>
    <row r="350" spans="1:52" ht="11.25" customHeight="1">
      <c r="A350" s="55"/>
      <c r="B350" s="56"/>
      <c r="C350" s="139"/>
      <c r="D350" s="58"/>
      <c r="E350" s="139"/>
      <c r="F350" s="58"/>
      <c r="G350" s="139"/>
      <c r="H350" s="58"/>
      <c r="I350" s="14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</row>
    <row r="351" spans="1:52" ht="11.25" customHeight="1">
      <c r="A351" s="55"/>
      <c r="B351" s="56"/>
      <c r="C351" s="139"/>
      <c r="D351" s="58"/>
      <c r="E351" s="139"/>
      <c r="F351" s="58"/>
      <c r="G351" s="139"/>
      <c r="H351" s="58"/>
      <c r="I351" s="14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</row>
    <row r="352" spans="1:52" ht="11.25" customHeight="1">
      <c r="A352" s="55"/>
      <c r="B352" s="56"/>
      <c r="C352" s="139"/>
      <c r="D352" s="58"/>
      <c r="E352" s="139"/>
      <c r="F352" s="58"/>
      <c r="G352" s="139"/>
      <c r="H352" s="58"/>
      <c r="I352" s="14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</row>
    <row r="353" spans="1:52" ht="11.25" customHeight="1">
      <c r="A353" s="55"/>
      <c r="B353" s="56"/>
      <c r="C353" s="139"/>
      <c r="D353" s="58"/>
      <c r="E353" s="139"/>
      <c r="F353" s="58"/>
      <c r="G353" s="139"/>
      <c r="H353" s="58"/>
      <c r="I353" s="14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</row>
    <row r="354" spans="1:52" ht="11.25" customHeight="1">
      <c r="A354" s="55"/>
      <c r="B354" s="56"/>
      <c r="C354" s="139"/>
      <c r="D354" s="58"/>
      <c r="E354" s="139"/>
      <c r="F354" s="58"/>
      <c r="G354" s="139"/>
      <c r="H354" s="58"/>
      <c r="I354" s="14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</row>
    <row r="355" spans="1:52" ht="11.25" customHeight="1">
      <c r="A355" s="55"/>
      <c r="B355" s="56"/>
      <c r="C355" s="139"/>
      <c r="D355" s="58"/>
      <c r="E355" s="139"/>
      <c r="F355" s="58"/>
      <c r="G355" s="139"/>
      <c r="H355" s="58"/>
      <c r="I355" s="14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</row>
    <row r="356" spans="1:52" ht="11.25" customHeight="1">
      <c r="A356" s="55"/>
      <c r="B356" s="56"/>
      <c r="C356" s="139"/>
      <c r="D356" s="58"/>
      <c r="E356" s="139"/>
      <c r="F356" s="58"/>
      <c r="G356" s="139"/>
      <c r="H356" s="58"/>
      <c r="I356" s="14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</row>
    <row r="357" spans="1:52" ht="11.25" customHeight="1">
      <c r="A357" s="55"/>
      <c r="B357" s="56"/>
      <c r="C357" s="139"/>
      <c r="D357" s="58"/>
      <c r="E357" s="139"/>
      <c r="F357" s="58"/>
      <c r="G357" s="139"/>
      <c r="H357" s="58"/>
      <c r="I357" s="14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</row>
    <row r="358" spans="1:52" ht="11.25" customHeight="1">
      <c r="A358" s="55"/>
      <c r="B358" s="56"/>
      <c r="C358" s="139"/>
      <c r="D358" s="58"/>
      <c r="E358" s="139"/>
      <c r="F358" s="58"/>
      <c r="G358" s="139"/>
      <c r="H358" s="58"/>
      <c r="I358" s="14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</row>
    <row r="359" spans="1:52" ht="11.25" customHeight="1">
      <c r="A359" s="55"/>
      <c r="B359" s="56"/>
      <c r="C359" s="139"/>
      <c r="D359" s="58"/>
      <c r="E359" s="139"/>
      <c r="F359" s="58"/>
      <c r="G359" s="139"/>
      <c r="H359" s="58"/>
      <c r="I359" s="14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</row>
    <row r="360" spans="1:52" ht="11.25" customHeight="1">
      <c r="A360" s="55"/>
      <c r="B360" s="56"/>
      <c r="C360" s="139"/>
      <c r="D360" s="58"/>
      <c r="E360" s="139"/>
      <c r="F360" s="58"/>
      <c r="G360" s="139"/>
      <c r="H360" s="58"/>
      <c r="I360" s="14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</row>
    <row r="361" spans="1:52" ht="11.25" customHeight="1">
      <c r="A361" s="55"/>
      <c r="B361" s="56"/>
      <c r="C361" s="139"/>
      <c r="D361" s="58"/>
      <c r="E361" s="139"/>
      <c r="F361" s="58"/>
      <c r="G361" s="139"/>
      <c r="H361" s="58"/>
      <c r="I361" s="14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</row>
    <row r="362" spans="1:52" ht="11.25" customHeight="1">
      <c r="A362" s="55"/>
      <c r="B362" s="56"/>
      <c r="C362" s="139"/>
      <c r="D362" s="58"/>
      <c r="E362" s="139"/>
      <c r="F362" s="58"/>
      <c r="G362" s="139"/>
      <c r="H362" s="58"/>
      <c r="I362" s="14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</row>
    <row r="363" spans="1:52" ht="11.25" customHeight="1">
      <c r="A363" s="55"/>
      <c r="B363" s="56"/>
      <c r="C363" s="139"/>
      <c r="D363" s="58"/>
      <c r="E363" s="139"/>
      <c r="F363" s="58"/>
      <c r="G363" s="139"/>
      <c r="H363" s="58"/>
      <c r="I363" s="14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</row>
    <row r="364" spans="1:52" ht="11.25" customHeight="1">
      <c r="A364" s="55"/>
      <c r="B364" s="56"/>
      <c r="C364" s="139"/>
      <c r="D364" s="58"/>
      <c r="E364" s="139"/>
      <c r="F364" s="58"/>
      <c r="G364" s="139"/>
      <c r="H364" s="58"/>
      <c r="I364" s="14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</row>
    <row r="365" spans="1:52" ht="11.25" customHeight="1">
      <c r="A365" s="55"/>
      <c r="B365" s="56"/>
      <c r="C365" s="139"/>
      <c r="D365" s="58"/>
      <c r="E365" s="139"/>
      <c r="F365" s="58"/>
      <c r="G365" s="139"/>
      <c r="H365" s="58"/>
      <c r="I365" s="14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</row>
    <row r="366" spans="1:52" ht="11.25" customHeight="1">
      <c r="A366" s="55"/>
      <c r="B366" s="56"/>
      <c r="C366" s="139"/>
      <c r="D366" s="58"/>
      <c r="E366" s="139"/>
      <c r="F366" s="58"/>
      <c r="G366" s="139"/>
      <c r="H366" s="58"/>
      <c r="I366" s="14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</row>
    <row r="367" spans="1:52" ht="11.25" customHeight="1">
      <c r="A367" s="55"/>
      <c r="B367" s="56"/>
      <c r="C367" s="139"/>
      <c r="D367" s="58"/>
      <c r="E367" s="139"/>
      <c r="F367" s="58"/>
      <c r="G367" s="139"/>
      <c r="H367" s="58"/>
      <c r="I367" s="14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</row>
    <row r="368" spans="1:52" ht="11.25" customHeight="1">
      <c r="A368" s="55"/>
      <c r="B368" s="56"/>
      <c r="C368" s="139"/>
      <c r="D368" s="58"/>
      <c r="E368" s="139"/>
      <c r="F368" s="58"/>
      <c r="G368" s="139"/>
      <c r="H368" s="58"/>
      <c r="I368" s="14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</row>
    <row r="369" spans="1:52" ht="11.25" customHeight="1">
      <c r="A369" s="55"/>
      <c r="B369" s="56"/>
      <c r="C369" s="139"/>
      <c r="D369" s="58"/>
      <c r="E369" s="139"/>
      <c r="F369" s="58"/>
      <c r="G369" s="139"/>
      <c r="H369" s="58"/>
      <c r="I369" s="14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</row>
    <row r="370" spans="1:52" ht="11.25" customHeight="1">
      <c r="A370" s="55"/>
      <c r="B370" s="56"/>
      <c r="C370" s="139"/>
      <c r="D370" s="58"/>
      <c r="E370" s="139"/>
      <c r="F370" s="58"/>
      <c r="G370" s="139"/>
      <c r="H370" s="58"/>
      <c r="I370" s="14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</row>
    <row r="371" spans="1:52" ht="11.25" customHeight="1">
      <c r="A371" s="55"/>
      <c r="B371" s="56"/>
      <c r="C371" s="139"/>
      <c r="D371" s="58"/>
      <c r="E371" s="139"/>
      <c r="F371" s="58"/>
      <c r="G371" s="139"/>
      <c r="H371" s="58"/>
      <c r="I371" s="14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</row>
    <row r="372" spans="1:52" ht="11.25" customHeight="1">
      <c r="A372" s="55"/>
      <c r="B372" s="56"/>
      <c r="C372" s="139"/>
      <c r="D372" s="58"/>
      <c r="E372" s="139"/>
      <c r="F372" s="58"/>
      <c r="G372" s="139"/>
      <c r="H372" s="58"/>
      <c r="I372" s="14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</row>
    <row r="373" spans="1:52" ht="11.25" customHeight="1">
      <c r="A373" s="55"/>
      <c r="B373" s="56"/>
      <c r="C373" s="139"/>
      <c r="D373" s="58"/>
      <c r="E373" s="139"/>
      <c r="F373" s="58"/>
      <c r="G373" s="139"/>
      <c r="H373" s="58"/>
      <c r="I373" s="14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</row>
    <row r="374" spans="1:52" ht="11.25" customHeight="1">
      <c r="A374" s="55"/>
      <c r="B374" s="56"/>
      <c r="C374" s="139"/>
      <c r="D374" s="58"/>
      <c r="E374" s="139"/>
      <c r="F374" s="58"/>
      <c r="G374" s="139"/>
      <c r="H374" s="58"/>
      <c r="I374" s="14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</row>
    <row r="375" spans="1:52" ht="11.25" customHeight="1">
      <c r="A375" s="55"/>
      <c r="B375" s="56"/>
      <c r="C375" s="139"/>
      <c r="D375" s="58"/>
      <c r="E375" s="139"/>
      <c r="F375" s="58"/>
      <c r="G375" s="139"/>
      <c r="H375" s="58"/>
      <c r="I375" s="14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</row>
    <row r="376" spans="1:52" ht="11.25" customHeight="1">
      <c r="A376" s="55"/>
      <c r="B376" s="56"/>
      <c r="C376" s="139"/>
      <c r="D376" s="58"/>
      <c r="E376" s="139"/>
      <c r="F376" s="58"/>
      <c r="G376" s="139"/>
      <c r="H376" s="58"/>
      <c r="I376" s="14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</row>
    <row r="377" spans="1:52" ht="11.25" customHeight="1">
      <c r="A377" s="55"/>
      <c r="B377" s="56"/>
      <c r="C377" s="139"/>
      <c r="D377" s="58"/>
      <c r="E377" s="139"/>
      <c r="F377" s="58"/>
      <c r="G377" s="139"/>
      <c r="H377" s="58"/>
      <c r="I377" s="14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</row>
    <row r="378" spans="1:52" ht="11.25" customHeight="1">
      <c r="A378" s="55"/>
      <c r="B378" s="56"/>
      <c r="C378" s="139"/>
      <c r="D378" s="58"/>
      <c r="E378" s="139"/>
      <c r="F378" s="58"/>
      <c r="G378" s="139"/>
      <c r="H378" s="58"/>
      <c r="I378" s="14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</row>
    <row r="379" spans="1:52" ht="11.25" customHeight="1">
      <c r="A379" s="55"/>
      <c r="B379" s="56"/>
      <c r="C379" s="139"/>
      <c r="D379" s="58"/>
      <c r="E379" s="139"/>
      <c r="F379" s="58"/>
      <c r="G379" s="139"/>
      <c r="H379" s="58"/>
      <c r="I379" s="14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</row>
    <row r="380" spans="1:52" ht="11.25" customHeight="1">
      <c r="A380" s="55"/>
      <c r="B380" s="56"/>
      <c r="C380" s="139"/>
      <c r="D380" s="58"/>
      <c r="E380" s="139"/>
      <c r="F380" s="58"/>
      <c r="G380" s="139"/>
      <c r="H380" s="58"/>
      <c r="I380" s="14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</row>
    <row r="381" spans="1:52" ht="11.25" customHeight="1">
      <c r="A381" s="55"/>
      <c r="B381" s="56"/>
      <c r="C381" s="139"/>
      <c r="D381" s="58"/>
      <c r="E381" s="139"/>
      <c r="F381" s="58"/>
      <c r="G381" s="139"/>
      <c r="H381" s="58"/>
      <c r="I381" s="14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</row>
    <row r="382" spans="1:52" ht="11.25" customHeight="1">
      <c r="A382" s="55"/>
      <c r="B382" s="56"/>
      <c r="C382" s="139"/>
      <c r="D382" s="58"/>
      <c r="E382" s="139"/>
      <c r="F382" s="58"/>
      <c r="G382" s="139"/>
      <c r="H382" s="58"/>
      <c r="I382" s="14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</row>
    <row r="383" spans="1:52" ht="11.25" customHeight="1">
      <c r="A383" s="55"/>
      <c r="B383" s="56"/>
      <c r="C383" s="139"/>
      <c r="D383" s="58"/>
      <c r="E383" s="139"/>
      <c r="F383" s="58"/>
      <c r="G383" s="139"/>
      <c r="H383" s="58"/>
      <c r="I383" s="14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</row>
    <row r="384" spans="1:52" ht="11.25" customHeight="1">
      <c r="A384" s="55"/>
      <c r="B384" s="56"/>
      <c r="C384" s="139"/>
      <c r="D384" s="58"/>
      <c r="E384" s="139"/>
      <c r="F384" s="58"/>
      <c r="G384" s="139"/>
      <c r="H384" s="58"/>
      <c r="I384" s="14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</row>
    <row r="385" spans="1:52" ht="11.25" customHeight="1">
      <c r="A385" s="55"/>
      <c r="B385" s="56"/>
      <c r="C385" s="139"/>
      <c r="D385" s="58"/>
      <c r="E385" s="139"/>
      <c r="F385" s="58"/>
      <c r="G385" s="139"/>
      <c r="H385" s="58"/>
      <c r="I385" s="14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</row>
    <row r="386" spans="1:52" ht="11.25" customHeight="1">
      <c r="A386" s="55"/>
      <c r="B386" s="56"/>
      <c r="C386" s="139"/>
      <c r="D386" s="58"/>
      <c r="E386" s="139"/>
      <c r="F386" s="58"/>
      <c r="G386" s="139"/>
      <c r="H386" s="58"/>
      <c r="I386" s="14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</row>
    <row r="387" spans="1:52" ht="11.25" customHeight="1">
      <c r="A387" s="55"/>
      <c r="B387" s="56"/>
      <c r="C387" s="139"/>
      <c r="D387" s="58"/>
      <c r="E387" s="139"/>
      <c r="F387" s="58"/>
      <c r="G387" s="139"/>
      <c r="H387" s="58"/>
      <c r="I387" s="14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</row>
    <row r="388" spans="1:52" ht="11.25" customHeight="1">
      <c r="A388" s="55"/>
      <c r="B388" s="56"/>
      <c r="C388" s="139"/>
      <c r="D388" s="58"/>
      <c r="E388" s="139"/>
      <c r="F388" s="58"/>
      <c r="G388" s="139"/>
      <c r="H388" s="58"/>
      <c r="I388" s="14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</row>
    <row r="389" spans="1:52" ht="11.25" customHeight="1">
      <c r="A389" s="55"/>
      <c r="B389" s="56"/>
      <c r="C389" s="139"/>
      <c r="D389" s="58"/>
      <c r="E389" s="139"/>
      <c r="F389" s="58"/>
      <c r="G389" s="139"/>
      <c r="H389" s="58"/>
      <c r="I389" s="14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</row>
    <row r="390" spans="1:52" ht="11.25" customHeight="1">
      <c r="A390" s="55"/>
      <c r="B390" s="56"/>
      <c r="C390" s="139"/>
      <c r="D390" s="58"/>
      <c r="E390" s="139"/>
      <c r="F390" s="58"/>
      <c r="G390" s="139"/>
      <c r="H390" s="58"/>
      <c r="I390" s="14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</row>
    <row r="391" spans="1:52" ht="11.25" customHeight="1">
      <c r="A391" s="55"/>
      <c r="B391" s="56"/>
      <c r="C391" s="139"/>
      <c r="D391" s="58"/>
      <c r="E391" s="139"/>
      <c r="F391" s="58"/>
      <c r="G391" s="139"/>
      <c r="H391" s="58"/>
      <c r="I391" s="14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</row>
    <row r="392" spans="1:52" ht="11.25" customHeight="1">
      <c r="A392" s="55"/>
      <c r="B392" s="56"/>
      <c r="C392" s="139"/>
      <c r="D392" s="58"/>
      <c r="E392" s="139"/>
      <c r="F392" s="58"/>
      <c r="G392" s="139"/>
      <c r="H392" s="58"/>
      <c r="I392" s="14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</row>
    <row r="393" spans="1:52" ht="11.25" customHeight="1">
      <c r="A393" s="55"/>
      <c r="B393" s="56"/>
      <c r="C393" s="139"/>
      <c r="D393" s="58"/>
      <c r="E393" s="139"/>
      <c r="F393" s="58"/>
      <c r="G393" s="139"/>
      <c r="H393" s="58"/>
      <c r="I393" s="14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</row>
    <row r="394" spans="1:52" ht="11.25" customHeight="1">
      <c r="A394" s="55"/>
      <c r="B394" s="56"/>
      <c r="C394" s="139"/>
      <c r="D394" s="58"/>
      <c r="E394" s="139"/>
      <c r="F394" s="58"/>
      <c r="G394" s="139"/>
      <c r="H394" s="58"/>
      <c r="I394" s="14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</row>
    <row r="395" spans="1:52" ht="11.25" customHeight="1">
      <c r="A395" s="55"/>
      <c r="B395" s="56"/>
      <c r="C395" s="139"/>
      <c r="D395" s="58"/>
      <c r="E395" s="139"/>
      <c r="F395" s="58"/>
      <c r="G395" s="139"/>
      <c r="H395" s="58"/>
      <c r="I395" s="14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</row>
    <row r="396" spans="1:52" ht="11.25" customHeight="1">
      <c r="A396" s="55"/>
      <c r="B396" s="56"/>
      <c r="C396" s="139"/>
      <c r="D396" s="58"/>
      <c r="E396" s="139"/>
      <c r="F396" s="58"/>
      <c r="G396" s="139"/>
      <c r="H396" s="58"/>
      <c r="I396" s="14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</row>
    <row r="397" spans="1:52" ht="11.25" customHeight="1">
      <c r="A397" s="55"/>
      <c r="B397" s="56"/>
      <c r="C397" s="139"/>
      <c r="D397" s="58"/>
      <c r="E397" s="139"/>
      <c r="F397" s="58"/>
      <c r="G397" s="139"/>
      <c r="H397" s="58"/>
      <c r="I397" s="14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</row>
    <row r="398" spans="1:52" ht="11.25" customHeight="1">
      <c r="A398" s="55"/>
      <c r="B398" s="56"/>
      <c r="C398" s="139"/>
      <c r="D398" s="58"/>
      <c r="E398" s="139"/>
      <c r="F398" s="58"/>
      <c r="G398" s="139"/>
      <c r="H398" s="58"/>
      <c r="I398" s="14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</row>
    <row r="399" spans="1:52" ht="11.25" customHeight="1">
      <c r="A399" s="55"/>
      <c r="B399" s="56"/>
      <c r="C399" s="139"/>
      <c r="D399" s="58"/>
      <c r="E399" s="139"/>
      <c r="F399" s="58"/>
      <c r="G399" s="139"/>
      <c r="H399" s="58"/>
      <c r="I399" s="14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</row>
    <row r="400" spans="1:52" ht="11.25" customHeight="1">
      <c r="A400" s="55"/>
      <c r="B400" s="56"/>
      <c r="C400" s="139"/>
      <c r="D400" s="58"/>
      <c r="E400" s="139"/>
      <c r="F400" s="58"/>
      <c r="G400" s="139"/>
      <c r="H400" s="58"/>
      <c r="I400" s="14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</row>
    <row r="401" spans="1:52" ht="11.25" customHeight="1">
      <c r="A401" s="55"/>
      <c r="B401" s="56"/>
      <c r="C401" s="139"/>
      <c r="D401" s="58"/>
      <c r="E401" s="139"/>
      <c r="F401" s="58"/>
      <c r="G401" s="139"/>
      <c r="H401" s="58"/>
      <c r="I401" s="14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</row>
    <row r="402" spans="1:52" ht="11.25" customHeight="1">
      <c r="A402" s="55"/>
      <c r="B402" s="56"/>
      <c r="C402" s="139"/>
      <c r="D402" s="58"/>
      <c r="E402" s="139"/>
      <c r="F402" s="58"/>
      <c r="G402" s="139"/>
      <c r="H402" s="58"/>
      <c r="I402" s="14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</row>
    <row r="403" spans="1:52" ht="11.25" customHeight="1">
      <c r="A403" s="55"/>
      <c r="B403" s="56"/>
      <c r="C403" s="139"/>
      <c r="D403" s="58"/>
      <c r="E403" s="139"/>
      <c r="F403" s="58"/>
      <c r="G403" s="139"/>
      <c r="H403" s="58"/>
      <c r="I403" s="14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</row>
    <row r="404" spans="1:52" ht="11.25" customHeight="1">
      <c r="A404" s="55"/>
      <c r="B404" s="56"/>
      <c r="C404" s="139"/>
      <c r="D404" s="58"/>
      <c r="E404" s="139"/>
      <c r="F404" s="58"/>
      <c r="G404" s="139"/>
      <c r="H404" s="58"/>
      <c r="I404" s="14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AW404" s="60"/>
      <c r="AX404" s="60"/>
      <c r="AY404" s="60"/>
      <c r="AZ404" s="60"/>
    </row>
    <row r="405" spans="1:52" ht="11.25" customHeight="1">
      <c r="A405" s="55"/>
      <c r="B405" s="56"/>
      <c r="C405" s="139"/>
      <c r="D405" s="58"/>
      <c r="E405" s="139"/>
      <c r="F405" s="58"/>
      <c r="G405" s="139"/>
      <c r="H405" s="58"/>
      <c r="I405" s="14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</row>
    <row r="406" spans="1:52" ht="11.25" customHeight="1">
      <c r="A406" s="55"/>
      <c r="B406" s="56"/>
      <c r="C406" s="139"/>
      <c r="D406" s="58"/>
      <c r="E406" s="139"/>
      <c r="F406" s="58"/>
      <c r="G406" s="139"/>
      <c r="H406" s="58"/>
      <c r="I406" s="14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</row>
    <row r="407" spans="1:52" ht="11.25" customHeight="1">
      <c r="A407" s="55"/>
      <c r="B407" s="56"/>
      <c r="C407" s="139"/>
      <c r="D407" s="58"/>
      <c r="E407" s="139"/>
      <c r="F407" s="58"/>
      <c r="G407" s="139"/>
      <c r="H407" s="58"/>
      <c r="I407" s="14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</row>
    <row r="408" spans="1:52" ht="11.25" customHeight="1">
      <c r="A408" s="55"/>
      <c r="B408" s="56"/>
      <c r="C408" s="139"/>
      <c r="D408" s="58"/>
      <c r="E408" s="139"/>
      <c r="F408" s="58"/>
      <c r="G408" s="139"/>
      <c r="H408" s="58"/>
      <c r="I408" s="14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AW408" s="60"/>
      <c r="AX408" s="60"/>
      <c r="AY408" s="60"/>
      <c r="AZ408" s="60"/>
    </row>
    <row r="409" spans="1:52" ht="11.25" customHeight="1">
      <c r="A409" s="55"/>
      <c r="B409" s="56"/>
      <c r="C409" s="139"/>
      <c r="D409" s="58"/>
      <c r="E409" s="139"/>
      <c r="F409" s="58"/>
      <c r="G409" s="139"/>
      <c r="H409" s="58"/>
      <c r="I409" s="14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</row>
    <row r="410" spans="1:52" ht="11.25" customHeight="1">
      <c r="A410" s="55"/>
      <c r="B410" s="56"/>
      <c r="C410" s="139"/>
      <c r="D410" s="58"/>
      <c r="E410" s="139"/>
      <c r="F410" s="58"/>
      <c r="G410" s="139"/>
      <c r="H410" s="58"/>
      <c r="I410" s="14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</row>
    <row r="411" spans="1:52" ht="11.25" customHeight="1">
      <c r="A411" s="55"/>
      <c r="B411" s="56"/>
      <c r="C411" s="139"/>
      <c r="D411" s="58"/>
      <c r="E411" s="139"/>
      <c r="F411" s="58"/>
      <c r="G411" s="139"/>
      <c r="H411" s="58"/>
      <c r="I411" s="14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</row>
    <row r="412" spans="1:52" ht="11.25" customHeight="1">
      <c r="A412" s="55"/>
      <c r="B412" s="56"/>
      <c r="C412" s="139"/>
      <c r="D412" s="58"/>
      <c r="E412" s="139"/>
      <c r="F412" s="58"/>
      <c r="G412" s="139"/>
      <c r="H412" s="58"/>
      <c r="I412" s="14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</row>
    <row r="413" spans="1:52" ht="11.25" customHeight="1">
      <c r="A413" s="55"/>
      <c r="B413" s="56"/>
      <c r="C413" s="139"/>
      <c r="D413" s="58"/>
      <c r="E413" s="139"/>
      <c r="F413" s="58"/>
      <c r="G413" s="139"/>
      <c r="H413" s="58"/>
      <c r="I413" s="14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</row>
    <row r="414" spans="1:52" ht="11.25" customHeight="1">
      <c r="A414" s="55"/>
      <c r="B414" s="56"/>
      <c r="C414" s="139"/>
      <c r="D414" s="58"/>
      <c r="E414" s="139"/>
      <c r="F414" s="58"/>
      <c r="G414" s="139"/>
      <c r="H414" s="58"/>
      <c r="I414" s="14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</row>
    <row r="415" spans="1:52" ht="11.25" customHeight="1">
      <c r="A415" s="55"/>
      <c r="B415" s="56"/>
      <c r="C415" s="139"/>
      <c r="D415" s="58"/>
      <c r="E415" s="139"/>
      <c r="F415" s="58"/>
      <c r="G415" s="139"/>
      <c r="H415" s="58"/>
      <c r="I415" s="14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</row>
    <row r="416" spans="1:52" ht="11.25" customHeight="1">
      <c r="A416" s="55"/>
      <c r="B416" s="56"/>
      <c r="C416" s="139"/>
      <c r="D416" s="58"/>
      <c r="E416" s="139"/>
      <c r="F416" s="58"/>
      <c r="G416" s="139"/>
      <c r="H416" s="58"/>
      <c r="I416" s="14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</row>
    <row r="417" spans="1:52" ht="11.25" customHeight="1">
      <c r="A417" s="55"/>
      <c r="B417" s="56"/>
      <c r="C417" s="139"/>
      <c r="D417" s="58"/>
      <c r="E417" s="139"/>
      <c r="F417" s="58"/>
      <c r="G417" s="139"/>
      <c r="H417" s="58"/>
      <c r="I417" s="14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</row>
    <row r="418" spans="1:52" ht="11.25" customHeight="1">
      <c r="A418" s="55"/>
      <c r="B418" s="56"/>
      <c r="C418" s="139"/>
      <c r="D418" s="58"/>
      <c r="E418" s="139"/>
      <c r="F418" s="58"/>
      <c r="G418" s="139"/>
      <c r="H418" s="58"/>
      <c r="I418" s="14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</row>
    <row r="419" spans="1:52" ht="11.25" customHeight="1">
      <c r="A419" s="55"/>
      <c r="B419" s="56"/>
      <c r="C419" s="139"/>
      <c r="D419" s="58"/>
      <c r="E419" s="139"/>
      <c r="F419" s="58"/>
      <c r="G419" s="139"/>
      <c r="H419" s="58"/>
      <c r="I419" s="14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</row>
    <row r="420" spans="1:52" ht="11.25" customHeight="1">
      <c r="A420" s="55"/>
      <c r="B420" s="56"/>
      <c r="C420" s="139"/>
      <c r="D420" s="58"/>
      <c r="E420" s="139"/>
      <c r="F420" s="58"/>
      <c r="G420" s="139"/>
      <c r="H420" s="58"/>
      <c r="I420" s="14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</row>
    <row r="421" spans="1:52" ht="11.25" customHeight="1">
      <c r="A421" s="55"/>
      <c r="B421" s="56"/>
      <c r="C421" s="139"/>
      <c r="D421" s="58"/>
      <c r="E421" s="139"/>
      <c r="F421" s="58"/>
      <c r="G421" s="139"/>
      <c r="H421" s="58"/>
      <c r="I421" s="14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</row>
    <row r="422" spans="1:52" ht="11.25" customHeight="1">
      <c r="A422" s="55"/>
      <c r="B422" s="56"/>
      <c r="C422" s="139"/>
      <c r="D422" s="58"/>
      <c r="E422" s="139"/>
      <c r="F422" s="58"/>
      <c r="G422" s="139"/>
      <c r="H422" s="58"/>
      <c r="I422" s="14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</row>
    <row r="423" spans="1:52" ht="11.25" customHeight="1">
      <c r="A423" s="55"/>
      <c r="B423" s="56"/>
      <c r="C423" s="139"/>
      <c r="D423" s="58"/>
      <c r="E423" s="139"/>
      <c r="F423" s="58"/>
      <c r="G423" s="139"/>
      <c r="H423" s="58"/>
      <c r="I423" s="14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</row>
    <row r="424" spans="1:52" ht="11.25" customHeight="1">
      <c r="A424" s="55"/>
      <c r="B424" s="56"/>
      <c r="C424" s="139"/>
      <c r="D424" s="58"/>
      <c r="E424" s="139"/>
      <c r="F424" s="58"/>
      <c r="G424" s="139"/>
      <c r="H424" s="58"/>
      <c r="I424" s="14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</row>
    <row r="425" spans="1:52" ht="11.25" customHeight="1">
      <c r="A425" s="55"/>
      <c r="B425" s="56"/>
      <c r="C425" s="139"/>
      <c r="D425" s="58"/>
      <c r="E425" s="139"/>
      <c r="F425" s="58"/>
      <c r="G425" s="139"/>
      <c r="H425" s="58"/>
      <c r="I425" s="14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</row>
    <row r="426" spans="1:52" ht="11.25" customHeight="1">
      <c r="A426" s="55"/>
      <c r="B426" s="56"/>
      <c r="C426" s="139"/>
      <c r="D426" s="58"/>
      <c r="E426" s="139"/>
      <c r="F426" s="58"/>
      <c r="G426" s="139"/>
      <c r="H426" s="58"/>
      <c r="I426" s="14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</row>
    <row r="427" spans="1:52" ht="11.25" customHeight="1">
      <c r="A427" s="55"/>
      <c r="B427" s="56"/>
      <c r="C427" s="139"/>
      <c r="D427" s="58"/>
      <c r="E427" s="139"/>
      <c r="F427" s="58"/>
      <c r="G427" s="139"/>
      <c r="H427" s="58"/>
      <c r="I427" s="14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</row>
    <row r="428" spans="1:52" ht="11.25" customHeight="1">
      <c r="A428" s="55"/>
      <c r="B428" s="56"/>
      <c r="C428" s="139"/>
      <c r="D428" s="58"/>
      <c r="E428" s="139"/>
      <c r="F428" s="58"/>
      <c r="G428" s="139"/>
      <c r="H428" s="58"/>
      <c r="I428" s="14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  <c r="AW428" s="60"/>
      <c r="AX428" s="60"/>
      <c r="AY428" s="60"/>
      <c r="AZ428" s="60"/>
    </row>
    <row r="429" spans="1:52" ht="11.25" customHeight="1">
      <c r="A429" s="55"/>
      <c r="B429" s="56"/>
      <c r="C429" s="139"/>
      <c r="D429" s="58"/>
      <c r="E429" s="139"/>
      <c r="F429" s="58"/>
      <c r="G429" s="139"/>
      <c r="H429" s="58"/>
      <c r="I429" s="14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</row>
    <row r="430" spans="1:52" ht="11.25" customHeight="1">
      <c r="A430" s="55"/>
      <c r="B430" s="56"/>
      <c r="C430" s="139"/>
      <c r="D430" s="58"/>
      <c r="E430" s="139"/>
      <c r="F430" s="58"/>
      <c r="G430" s="139"/>
      <c r="H430" s="58"/>
      <c r="I430" s="14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</row>
    <row r="431" spans="1:52" ht="11.25" customHeight="1">
      <c r="A431" s="55"/>
      <c r="B431" s="56"/>
      <c r="C431" s="139"/>
      <c r="D431" s="58"/>
      <c r="E431" s="139"/>
      <c r="F431" s="58"/>
      <c r="G431" s="139"/>
      <c r="H431" s="58"/>
      <c r="I431" s="14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</row>
    <row r="432" spans="1:52" ht="11.25" customHeight="1">
      <c r="A432" s="55"/>
      <c r="B432" s="56"/>
      <c r="C432" s="139"/>
      <c r="D432" s="58"/>
      <c r="E432" s="139"/>
      <c r="F432" s="58"/>
      <c r="G432" s="139"/>
      <c r="H432" s="58"/>
      <c r="I432" s="14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</row>
    <row r="433" spans="1:52" ht="11.25" customHeight="1">
      <c r="A433" s="55"/>
      <c r="B433" s="56"/>
      <c r="C433" s="139"/>
      <c r="D433" s="58"/>
      <c r="E433" s="139"/>
      <c r="F433" s="58"/>
      <c r="G433" s="139"/>
      <c r="H433" s="58"/>
      <c r="I433" s="14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</row>
    <row r="434" spans="1:52" ht="11.25" customHeight="1">
      <c r="A434" s="55"/>
      <c r="B434" s="56"/>
      <c r="C434" s="139"/>
      <c r="D434" s="58"/>
      <c r="E434" s="139"/>
      <c r="F434" s="58"/>
      <c r="G434" s="139"/>
      <c r="H434" s="58"/>
      <c r="I434" s="14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AW434" s="60"/>
      <c r="AX434" s="60"/>
      <c r="AY434" s="60"/>
      <c r="AZ434" s="60"/>
    </row>
    <row r="435" spans="1:52" ht="11.25" customHeight="1">
      <c r="A435" s="55"/>
      <c r="B435" s="56"/>
      <c r="C435" s="139"/>
      <c r="D435" s="58"/>
      <c r="E435" s="139"/>
      <c r="F435" s="58"/>
      <c r="G435" s="139"/>
      <c r="H435" s="58"/>
      <c r="I435" s="14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</row>
    <row r="436" spans="1:52" ht="11.25" customHeight="1">
      <c r="A436" s="55"/>
      <c r="B436" s="56"/>
      <c r="C436" s="139"/>
      <c r="D436" s="58"/>
      <c r="E436" s="139"/>
      <c r="F436" s="58"/>
      <c r="G436" s="139"/>
      <c r="H436" s="58"/>
      <c r="I436" s="14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</row>
    <row r="437" spans="1:52" ht="11.25" customHeight="1">
      <c r="A437" s="55"/>
      <c r="B437" s="56"/>
      <c r="C437" s="139"/>
      <c r="D437" s="58"/>
      <c r="E437" s="139"/>
      <c r="F437" s="58"/>
      <c r="G437" s="139"/>
      <c r="H437" s="58"/>
      <c r="I437" s="14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</row>
    <row r="438" spans="1:52" ht="11.25" customHeight="1">
      <c r="A438" s="55"/>
      <c r="B438" s="56"/>
      <c r="C438" s="139"/>
      <c r="D438" s="58"/>
      <c r="E438" s="139"/>
      <c r="F438" s="58"/>
      <c r="G438" s="139"/>
      <c r="H438" s="58"/>
      <c r="I438" s="14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  <c r="AW438" s="60"/>
      <c r="AX438" s="60"/>
      <c r="AY438" s="60"/>
      <c r="AZ438" s="60"/>
    </row>
    <row r="439" spans="1:52" ht="11.25" customHeight="1">
      <c r="A439" s="55"/>
      <c r="B439" s="56"/>
      <c r="C439" s="139"/>
      <c r="D439" s="58"/>
      <c r="E439" s="139"/>
      <c r="F439" s="58"/>
      <c r="G439" s="139"/>
      <c r="H439" s="58"/>
      <c r="I439" s="14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</row>
    <row r="440" spans="1:52" ht="11.25" customHeight="1">
      <c r="A440" s="55"/>
      <c r="B440" s="56"/>
      <c r="C440" s="139"/>
      <c r="D440" s="58"/>
      <c r="E440" s="139"/>
      <c r="F440" s="58"/>
      <c r="G440" s="139"/>
      <c r="H440" s="58"/>
      <c r="I440" s="14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</row>
    <row r="441" spans="1:52" ht="11.25" customHeight="1">
      <c r="A441" s="55"/>
      <c r="B441" s="56"/>
      <c r="C441" s="139"/>
      <c r="D441" s="58"/>
      <c r="E441" s="139"/>
      <c r="F441" s="58"/>
      <c r="G441" s="139"/>
      <c r="H441" s="58"/>
      <c r="I441" s="14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</row>
    <row r="442" spans="1:52" ht="11.25" customHeight="1">
      <c r="A442" s="55"/>
      <c r="B442" s="56"/>
      <c r="C442" s="139"/>
      <c r="D442" s="58"/>
      <c r="E442" s="139"/>
      <c r="F442" s="58"/>
      <c r="G442" s="139"/>
      <c r="H442" s="58"/>
      <c r="I442" s="14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  <c r="AW442" s="60"/>
      <c r="AX442" s="60"/>
      <c r="AY442" s="60"/>
      <c r="AZ442" s="60"/>
    </row>
    <row r="443" spans="1:52" ht="11.25" customHeight="1">
      <c r="A443" s="55"/>
      <c r="B443" s="56"/>
      <c r="C443" s="139"/>
      <c r="D443" s="58"/>
      <c r="E443" s="139"/>
      <c r="F443" s="58"/>
      <c r="G443" s="139"/>
      <c r="H443" s="58"/>
      <c r="I443" s="14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</row>
    <row r="444" spans="1:52" ht="11.25" customHeight="1">
      <c r="A444" s="55"/>
      <c r="B444" s="56"/>
      <c r="C444" s="139"/>
      <c r="D444" s="58"/>
      <c r="E444" s="139"/>
      <c r="F444" s="58"/>
      <c r="G444" s="139"/>
      <c r="H444" s="58"/>
      <c r="I444" s="14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</row>
    <row r="445" spans="1:52" ht="11.25" customHeight="1">
      <c r="A445" s="55"/>
      <c r="B445" s="56"/>
      <c r="C445" s="139"/>
      <c r="D445" s="58"/>
      <c r="E445" s="139"/>
      <c r="F445" s="58"/>
      <c r="G445" s="139"/>
      <c r="H445" s="58"/>
      <c r="I445" s="14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</row>
    <row r="446" spans="1:52" ht="11.25" customHeight="1">
      <c r="A446" s="55"/>
      <c r="B446" s="56"/>
      <c r="C446" s="139"/>
      <c r="D446" s="58"/>
      <c r="E446" s="139"/>
      <c r="F446" s="58"/>
      <c r="G446" s="139"/>
      <c r="H446" s="58"/>
      <c r="I446" s="14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</row>
    <row r="447" spans="1:52" ht="11.25" customHeight="1">
      <c r="A447" s="55"/>
      <c r="B447" s="56"/>
      <c r="C447" s="139"/>
      <c r="D447" s="58"/>
      <c r="E447" s="139"/>
      <c r="F447" s="58"/>
      <c r="G447" s="139"/>
      <c r="H447" s="58"/>
      <c r="I447" s="14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</row>
    <row r="448" spans="1:52" ht="11.25" customHeight="1">
      <c r="A448" s="55"/>
      <c r="B448" s="56"/>
      <c r="C448" s="139"/>
      <c r="D448" s="58"/>
      <c r="E448" s="139"/>
      <c r="F448" s="58"/>
      <c r="G448" s="139"/>
      <c r="H448" s="58"/>
      <c r="I448" s="14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  <c r="AW448" s="60"/>
      <c r="AX448" s="60"/>
      <c r="AY448" s="60"/>
      <c r="AZ448" s="60"/>
    </row>
    <row r="449" spans="1:52" ht="11.25" customHeight="1">
      <c r="A449" s="55"/>
      <c r="B449" s="56"/>
      <c r="C449" s="139"/>
      <c r="D449" s="58"/>
      <c r="E449" s="139"/>
      <c r="F449" s="58"/>
      <c r="G449" s="139"/>
      <c r="H449" s="58"/>
      <c r="I449" s="14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</row>
    <row r="450" spans="1:52" ht="11.25" customHeight="1">
      <c r="A450" s="55"/>
      <c r="B450" s="56"/>
      <c r="C450" s="139"/>
      <c r="D450" s="58"/>
      <c r="E450" s="139"/>
      <c r="F450" s="58"/>
      <c r="G450" s="139"/>
      <c r="H450" s="58"/>
      <c r="I450" s="14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</row>
    <row r="451" spans="1:52" ht="11.25" customHeight="1">
      <c r="A451" s="55"/>
      <c r="B451" s="56"/>
      <c r="C451" s="139"/>
      <c r="D451" s="58"/>
      <c r="E451" s="139"/>
      <c r="F451" s="58"/>
      <c r="G451" s="139"/>
      <c r="H451" s="58"/>
      <c r="I451" s="14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AW451" s="60"/>
      <c r="AX451" s="60"/>
      <c r="AY451" s="60"/>
      <c r="AZ451" s="60"/>
    </row>
    <row r="452" spans="1:52" ht="11.25" customHeight="1">
      <c r="A452" s="55"/>
      <c r="B452" s="56"/>
      <c r="C452" s="139"/>
      <c r="D452" s="58"/>
      <c r="E452" s="139"/>
      <c r="F452" s="58"/>
      <c r="G452" s="139"/>
      <c r="H452" s="58"/>
      <c r="I452" s="14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  <c r="AW452" s="60"/>
      <c r="AX452" s="60"/>
      <c r="AY452" s="60"/>
      <c r="AZ452" s="60"/>
    </row>
    <row r="453" spans="1:52" ht="11.25" customHeight="1">
      <c r="A453" s="55"/>
      <c r="B453" s="56"/>
      <c r="C453" s="139"/>
      <c r="D453" s="58"/>
      <c r="E453" s="139"/>
      <c r="F453" s="58"/>
      <c r="G453" s="139"/>
      <c r="H453" s="58"/>
      <c r="I453" s="14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</row>
    <row r="454" spans="1:52" ht="11.25" customHeight="1">
      <c r="A454" s="55"/>
      <c r="B454" s="56"/>
      <c r="C454" s="139"/>
      <c r="D454" s="58"/>
      <c r="E454" s="139"/>
      <c r="F454" s="58"/>
      <c r="G454" s="139"/>
      <c r="H454" s="58"/>
      <c r="I454" s="14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AW454" s="60"/>
      <c r="AX454" s="60"/>
      <c r="AY454" s="60"/>
      <c r="AZ454" s="60"/>
    </row>
    <row r="455" spans="1:52" ht="11.25" customHeight="1">
      <c r="A455" s="55"/>
      <c r="B455" s="56"/>
      <c r="C455" s="139"/>
      <c r="D455" s="58"/>
      <c r="E455" s="139"/>
      <c r="F455" s="58"/>
      <c r="G455" s="139"/>
      <c r="H455" s="58"/>
      <c r="I455" s="14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</row>
    <row r="456" spans="1:52" ht="11.25" customHeight="1">
      <c r="A456" s="55"/>
      <c r="B456" s="56"/>
      <c r="C456" s="139"/>
      <c r="D456" s="58"/>
      <c r="E456" s="139"/>
      <c r="F456" s="58"/>
      <c r="G456" s="139"/>
      <c r="H456" s="58"/>
      <c r="I456" s="14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  <c r="AW456" s="60"/>
      <c r="AX456" s="60"/>
      <c r="AY456" s="60"/>
      <c r="AZ456" s="60"/>
    </row>
    <row r="457" spans="1:52" ht="11.25" customHeight="1">
      <c r="A457" s="55"/>
      <c r="B457" s="56"/>
      <c r="C457" s="139"/>
      <c r="D457" s="58"/>
      <c r="E457" s="139"/>
      <c r="F457" s="58"/>
      <c r="G457" s="139"/>
      <c r="H457" s="58"/>
      <c r="I457" s="14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</row>
    <row r="458" spans="1:52" ht="11.25" customHeight="1">
      <c r="A458" s="55"/>
      <c r="B458" s="56"/>
      <c r="C458" s="139"/>
      <c r="D458" s="58"/>
      <c r="E458" s="139"/>
      <c r="F458" s="58"/>
      <c r="G458" s="139"/>
      <c r="H458" s="58"/>
      <c r="I458" s="14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  <c r="AW458" s="60"/>
      <c r="AX458" s="60"/>
      <c r="AY458" s="60"/>
      <c r="AZ458" s="60"/>
    </row>
    <row r="459" spans="1:52" ht="11.25" customHeight="1">
      <c r="A459" s="55"/>
      <c r="B459" s="56"/>
      <c r="C459" s="139"/>
      <c r="D459" s="58"/>
      <c r="E459" s="139"/>
      <c r="F459" s="58"/>
      <c r="G459" s="139"/>
      <c r="H459" s="58"/>
      <c r="I459" s="14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AW459" s="60"/>
      <c r="AX459" s="60"/>
      <c r="AY459" s="60"/>
      <c r="AZ459" s="60"/>
    </row>
    <row r="460" spans="1:52" ht="11.25" customHeight="1">
      <c r="A460" s="55"/>
      <c r="B460" s="56"/>
      <c r="C460" s="139"/>
      <c r="D460" s="58"/>
      <c r="E460" s="139"/>
      <c r="F460" s="58"/>
      <c r="G460" s="139"/>
      <c r="H460" s="58"/>
      <c r="I460" s="14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  <c r="AW460" s="60"/>
      <c r="AX460" s="60"/>
      <c r="AY460" s="60"/>
      <c r="AZ460" s="60"/>
    </row>
    <row r="461" spans="1:52" ht="11.25" customHeight="1">
      <c r="A461" s="55"/>
      <c r="B461" s="56"/>
      <c r="C461" s="139"/>
      <c r="D461" s="58"/>
      <c r="E461" s="139"/>
      <c r="F461" s="58"/>
      <c r="G461" s="139"/>
      <c r="H461" s="58"/>
      <c r="I461" s="14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AW461" s="60"/>
      <c r="AX461" s="60"/>
      <c r="AY461" s="60"/>
      <c r="AZ461" s="60"/>
    </row>
    <row r="462" spans="1:52" ht="11.25" customHeight="1">
      <c r="A462" s="55"/>
      <c r="B462" s="56"/>
      <c r="C462" s="139"/>
      <c r="D462" s="58"/>
      <c r="E462" s="139"/>
      <c r="F462" s="58"/>
      <c r="G462" s="139"/>
      <c r="H462" s="58"/>
      <c r="I462" s="14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  <c r="AW462" s="60"/>
      <c r="AX462" s="60"/>
      <c r="AY462" s="60"/>
      <c r="AZ462" s="60"/>
    </row>
    <row r="463" spans="1:52" ht="11.25" customHeight="1">
      <c r="A463" s="55"/>
      <c r="B463" s="56"/>
      <c r="C463" s="139"/>
      <c r="D463" s="58"/>
      <c r="E463" s="139"/>
      <c r="F463" s="58"/>
      <c r="G463" s="139"/>
      <c r="H463" s="58"/>
      <c r="I463" s="14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AW463" s="60"/>
      <c r="AX463" s="60"/>
      <c r="AY463" s="60"/>
      <c r="AZ463" s="60"/>
    </row>
    <row r="464" spans="1:52" ht="11.25" customHeight="1">
      <c r="A464" s="55"/>
      <c r="B464" s="56"/>
      <c r="C464" s="139"/>
      <c r="D464" s="58"/>
      <c r="E464" s="139"/>
      <c r="F464" s="58"/>
      <c r="G464" s="139"/>
      <c r="H464" s="58"/>
      <c r="I464" s="14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  <c r="AW464" s="60"/>
      <c r="AX464" s="60"/>
      <c r="AY464" s="60"/>
      <c r="AZ464" s="60"/>
    </row>
    <row r="465" spans="1:52" ht="11.25" customHeight="1">
      <c r="A465" s="55"/>
      <c r="B465" s="56"/>
      <c r="C465" s="139"/>
      <c r="D465" s="58"/>
      <c r="E465" s="139"/>
      <c r="F465" s="58"/>
      <c r="G465" s="139"/>
      <c r="H465" s="58"/>
      <c r="I465" s="14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AW465" s="60"/>
      <c r="AX465" s="60"/>
      <c r="AY465" s="60"/>
      <c r="AZ465" s="60"/>
    </row>
    <row r="466" spans="1:52" ht="11.25" customHeight="1">
      <c r="A466" s="55"/>
      <c r="B466" s="56"/>
      <c r="C466" s="139"/>
      <c r="D466" s="58"/>
      <c r="E466" s="139"/>
      <c r="F466" s="58"/>
      <c r="G466" s="139"/>
      <c r="H466" s="58"/>
      <c r="I466" s="14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  <c r="AW466" s="60"/>
      <c r="AX466" s="60"/>
      <c r="AY466" s="60"/>
      <c r="AZ466" s="60"/>
    </row>
    <row r="467" spans="1:52" ht="11.25" customHeight="1">
      <c r="A467" s="55"/>
      <c r="B467" s="56"/>
      <c r="C467" s="139"/>
      <c r="D467" s="58"/>
      <c r="E467" s="139"/>
      <c r="F467" s="58"/>
      <c r="G467" s="139"/>
      <c r="H467" s="58"/>
      <c r="I467" s="14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AW467" s="60"/>
      <c r="AX467" s="60"/>
      <c r="AY467" s="60"/>
      <c r="AZ467" s="60"/>
    </row>
    <row r="468" spans="1:52" ht="11.25" customHeight="1">
      <c r="A468" s="55"/>
      <c r="B468" s="56"/>
      <c r="C468" s="139"/>
      <c r="D468" s="58"/>
      <c r="E468" s="139"/>
      <c r="F468" s="58"/>
      <c r="G468" s="139"/>
      <c r="H468" s="58"/>
      <c r="I468" s="14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  <c r="AW468" s="60"/>
      <c r="AX468" s="60"/>
      <c r="AY468" s="60"/>
      <c r="AZ468" s="60"/>
    </row>
    <row r="469" spans="1:52" ht="11.25" customHeight="1">
      <c r="A469" s="55"/>
      <c r="B469" s="56"/>
      <c r="C469" s="139"/>
      <c r="D469" s="58"/>
      <c r="E469" s="139"/>
      <c r="F469" s="58"/>
      <c r="G469" s="139"/>
      <c r="H469" s="58"/>
      <c r="I469" s="14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0"/>
      <c r="AX469" s="60"/>
      <c r="AY469" s="60"/>
      <c r="AZ469" s="60"/>
    </row>
    <row r="470" spans="1:52" ht="11.25" customHeight="1">
      <c r="A470" s="55"/>
      <c r="B470" s="56"/>
      <c r="C470" s="139"/>
      <c r="D470" s="58"/>
      <c r="E470" s="139"/>
      <c r="F470" s="58"/>
      <c r="G470" s="139"/>
      <c r="H470" s="58"/>
      <c r="I470" s="14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  <c r="AW470" s="60"/>
      <c r="AX470" s="60"/>
      <c r="AY470" s="60"/>
      <c r="AZ470" s="60"/>
    </row>
    <row r="471" spans="1:52" ht="11.25" customHeight="1">
      <c r="A471" s="55"/>
      <c r="B471" s="56"/>
      <c r="C471" s="139"/>
      <c r="D471" s="58"/>
      <c r="E471" s="139"/>
      <c r="F471" s="58"/>
      <c r="G471" s="139"/>
      <c r="H471" s="58"/>
      <c r="I471" s="14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AW471" s="60"/>
      <c r="AX471" s="60"/>
      <c r="AY471" s="60"/>
      <c r="AZ471" s="60"/>
    </row>
    <row r="472" spans="1:52" ht="11.25" customHeight="1">
      <c r="A472" s="55"/>
      <c r="B472" s="56"/>
      <c r="C472" s="139"/>
      <c r="D472" s="58"/>
      <c r="E472" s="139"/>
      <c r="F472" s="58"/>
      <c r="G472" s="139"/>
      <c r="H472" s="58"/>
      <c r="I472" s="14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  <c r="AW472" s="60"/>
      <c r="AX472" s="60"/>
      <c r="AY472" s="60"/>
      <c r="AZ472" s="60"/>
    </row>
    <row r="473" spans="1:52" ht="11.25" customHeight="1">
      <c r="A473" s="55"/>
      <c r="B473" s="56"/>
      <c r="C473" s="139"/>
      <c r="D473" s="58"/>
      <c r="E473" s="139"/>
      <c r="F473" s="58"/>
      <c r="G473" s="139"/>
      <c r="H473" s="58"/>
      <c r="I473" s="14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AW473" s="60"/>
      <c r="AX473" s="60"/>
      <c r="AY473" s="60"/>
      <c r="AZ473" s="60"/>
    </row>
    <row r="474" spans="1:52" ht="11.25" customHeight="1">
      <c r="A474" s="55"/>
      <c r="B474" s="56"/>
      <c r="C474" s="139"/>
      <c r="D474" s="58"/>
      <c r="E474" s="139"/>
      <c r="F474" s="58"/>
      <c r="G474" s="139"/>
      <c r="H474" s="58"/>
      <c r="I474" s="14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  <c r="AW474" s="60"/>
      <c r="AX474" s="60"/>
      <c r="AY474" s="60"/>
      <c r="AZ474" s="60"/>
    </row>
    <row r="475" spans="1:52" ht="11.25" customHeight="1">
      <c r="A475" s="55"/>
      <c r="B475" s="56"/>
      <c r="C475" s="139"/>
      <c r="D475" s="58"/>
      <c r="E475" s="139"/>
      <c r="F475" s="58"/>
      <c r="G475" s="139"/>
      <c r="H475" s="58"/>
      <c r="I475" s="14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AW475" s="60"/>
      <c r="AX475" s="60"/>
      <c r="AY475" s="60"/>
      <c r="AZ475" s="60"/>
    </row>
    <row r="476" spans="1:52" ht="11.25" customHeight="1">
      <c r="A476" s="55"/>
      <c r="B476" s="56"/>
      <c r="C476" s="139"/>
      <c r="D476" s="58"/>
      <c r="E476" s="139"/>
      <c r="F476" s="58"/>
      <c r="G476" s="139"/>
      <c r="H476" s="58"/>
      <c r="I476" s="14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  <c r="AW476" s="60"/>
      <c r="AX476" s="60"/>
      <c r="AY476" s="60"/>
      <c r="AZ476" s="60"/>
    </row>
    <row r="477" spans="1:52" ht="11.25" customHeight="1">
      <c r="A477" s="55"/>
      <c r="B477" s="56"/>
      <c r="C477" s="139"/>
      <c r="D477" s="58"/>
      <c r="E477" s="139"/>
      <c r="F477" s="58"/>
      <c r="G477" s="139"/>
      <c r="H477" s="58"/>
      <c r="I477" s="14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0"/>
      <c r="AX477" s="60"/>
      <c r="AY477" s="60"/>
      <c r="AZ477" s="60"/>
    </row>
    <row r="478" spans="1:52" ht="11.25" customHeight="1">
      <c r="A478" s="55"/>
      <c r="B478" s="56"/>
      <c r="C478" s="139"/>
      <c r="D478" s="58"/>
      <c r="E478" s="139"/>
      <c r="F478" s="58"/>
      <c r="G478" s="139"/>
      <c r="H478" s="58"/>
      <c r="I478" s="14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  <c r="AW478" s="60"/>
      <c r="AX478" s="60"/>
      <c r="AY478" s="60"/>
      <c r="AZ478" s="60"/>
    </row>
    <row r="479" spans="1:52" ht="11.25" customHeight="1">
      <c r="A479" s="55"/>
      <c r="B479" s="56"/>
      <c r="C479" s="139"/>
      <c r="D479" s="58"/>
      <c r="E479" s="139"/>
      <c r="F479" s="58"/>
      <c r="G479" s="139"/>
      <c r="H479" s="58"/>
      <c r="I479" s="14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0"/>
      <c r="AX479" s="60"/>
      <c r="AY479" s="60"/>
      <c r="AZ479" s="60"/>
    </row>
    <row r="480" spans="1:52" ht="11.25" customHeight="1">
      <c r="A480" s="55"/>
      <c r="B480" s="56"/>
      <c r="C480" s="139"/>
      <c r="D480" s="58"/>
      <c r="E480" s="139"/>
      <c r="F480" s="58"/>
      <c r="G480" s="139"/>
      <c r="H480" s="58"/>
      <c r="I480" s="14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  <c r="AW480" s="60"/>
      <c r="AX480" s="60"/>
      <c r="AY480" s="60"/>
      <c r="AZ480" s="60"/>
    </row>
    <row r="481" spans="1:52" ht="11.25" customHeight="1">
      <c r="A481" s="55"/>
      <c r="B481" s="56"/>
      <c r="C481" s="139"/>
      <c r="D481" s="58"/>
      <c r="E481" s="139"/>
      <c r="F481" s="58"/>
      <c r="G481" s="139"/>
      <c r="H481" s="58"/>
      <c r="I481" s="14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0"/>
      <c r="AX481" s="60"/>
      <c r="AY481" s="60"/>
      <c r="AZ481" s="60"/>
    </row>
    <row r="482" spans="1:52" ht="11.25" customHeight="1">
      <c r="A482" s="55"/>
      <c r="B482" s="56"/>
      <c r="C482" s="139"/>
      <c r="D482" s="58"/>
      <c r="E482" s="139"/>
      <c r="F482" s="58"/>
      <c r="G482" s="139"/>
      <c r="H482" s="58"/>
      <c r="I482" s="14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  <c r="AW482" s="60"/>
      <c r="AX482" s="60"/>
      <c r="AY482" s="60"/>
      <c r="AZ482" s="60"/>
    </row>
    <row r="483" spans="1:52" ht="11.25" customHeight="1">
      <c r="A483" s="55"/>
      <c r="B483" s="56"/>
      <c r="C483" s="139"/>
      <c r="D483" s="58"/>
      <c r="E483" s="139"/>
      <c r="F483" s="58"/>
      <c r="G483" s="139"/>
      <c r="H483" s="58"/>
      <c r="I483" s="14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0"/>
      <c r="AX483" s="60"/>
      <c r="AY483" s="60"/>
      <c r="AZ483" s="60"/>
    </row>
    <row r="484" spans="1:52" ht="11.25" customHeight="1">
      <c r="A484" s="55"/>
      <c r="B484" s="56"/>
      <c r="C484" s="139"/>
      <c r="D484" s="58"/>
      <c r="E484" s="139"/>
      <c r="F484" s="58"/>
      <c r="G484" s="139"/>
      <c r="H484" s="58"/>
      <c r="I484" s="14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AW484" s="60"/>
      <c r="AX484" s="60"/>
      <c r="AY484" s="60"/>
      <c r="AZ484" s="60"/>
    </row>
    <row r="485" spans="1:52" ht="11.25" customHeight="1">
      <c r="A485" s="55"/>
      <c r="B485" s="56"/>
      <c r="C485" s="139"/>
      <c r="D485" s="58"/>
      <c r="E485" s="139"/>
      <c r="F485" s="58"/>
      <c r="G485" s="139"/>
      <c r="H485" s="58"/>
      <c r="I485" s="14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AW485" s="60"/>
      <c r="AX485" s="60"/>
      <c r="AY485" s="60"/>
      <c r="AZ485" s="60"/>
    </row>
    <row r="486" spans="1:52" ht="11.25" customHeight="1">
      <c r="A486" s="55"/>
      <c r="B486" s="56"/>
      <c r="C486" s="139"/>
      <c r="D486" s="58"/>
      <c r="E486" s="139"/>
      <c r="F486" s="58"/>
      <c r="G486" s="139"/>
      <c r="H486" s="58"/>
      <c r="I486" s="14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  <c r="AW486" s="60"/>
      <c r="AX486" s="60"/>
      <c r="AY486" s="60"/>
      <c r="AZ486" s="60"/>
    </row>
    <row r="487" spans="1:52" ht="11.25" customHeight="1">
      <c r="A487" s="55"/>
      <c r="B487" s="56"/>
      <c r="C487" s="139"/>
      <c r="D487" s="58"/>
      <c r="E487" s="139"/>
      <c r="F487" s="58"/>
      <c r="G487" s="139"/>
      <c r="H487" s="58"/>
      <c r="I487" s="14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AW487" s="60"/>
      <c r="AX487" s="60"/>
      <c r="AY487" s="60"/>
      <c r="AZ487" s="60"/>
    </row>
    <row r="488" spans="1:52" ht="11.25" customHeight="1">
      <c r="A488" s="55"/>
      <c r="B488" s="56"/>
      <c r="C488" s="139"/>
      <c r="D488" s="58"/>
      <c r="E488" s="139"/>
      <c r="F488" s="58"/>
      <c r="G488" s="139"/>
      <c r="H488" s="58"/>
      <c r="I488" s="14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  <c r="AW488" s="60"/>
      <c r="AX488" s="60"/>
      <c r="AY488" s="60"/>
      <c r="AZ488" s="60"/>
    </row>
    <row r="489" spans="1:52" ht="11.25" customHeight="1">
      <c r="A489" s="55"/>
      <c r="B489" s="56"/>
      <c r="C489" s="139"/>
      <c r="D489" s="58"/>
      <c r="E489" s="139"/>
      <c r="F489" s="58"/>
      <c r="G489" s="139"/>
      <c r="H489" s="58"/>
      <c r="I489" s="14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0"/>
      <c r="AX489" s="60"/>
      <c r="AY489" s="60"/>
      <c r="AZ489" s="60"/>
    </row>
    <row r="490" spans="1:52" ht="11.25" customHeight="1">
      <c r="A490" s="55"/>
      <c r="B490" s="56"/>
      <c r="C490" s="139"/>
      <c r="D490" s="58"/>
      <c r="E490" s="139"/>
      <c r="F490" s="58"/>
      <c r="G490" s="139"/>
      <c r="H490" s="58"/>
      <c r="I490" s="14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AW490" s="60"/>
      <c r="AX490" s="60"/>
      <c r="AY490" s="60"/>
      <c r="AZ490" s="60"/>
    </row>
    <row r="491" spans="1:52" ht="11.25" customHeight="1">
      <c r="A491" s="55"/>
      <c r="B491" s="56"/>
      <c r="C491" s="139"/>
      <c r="D491" s="58"/>
      <c r="E491" s="139"/>
      <c r="F491" s="58"/>
      <c r="G491" s="139"/>
      <c r="H491" s="58"/>
      <c r="I491" s="14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0"/>
      <c r="AX491" s="60"/>
      <c r="AY491" s="60"/>
      <c r="AZ491" s="60"/>
    </row>
    <row r="492" spans="1:52" ht="11.25" customHeight="1">
      <c r="A492" s="55"/>
      <c r="B492" s="56"/>
      <c r="C492" s="139"/>
      <c r="D492" s="58"/>
      <c r="E492" s="139"/>
      <c r="F492" s="58"/>
      <c r="G492" s="139"/>
      <c r="H492" s="58"/>
      <c r="I492" s="14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  <c r="AW492" s="60"/>
      <c r="AX492" s="60"/>
      <c r="AY492" s="60"/>
      <c r="AZ492" s="60"/>
    </row>
    <row r="493" spans="1:52" ht="11.25" customHeight="1">
      <c r="A493" s="55"/>
      <c r="B493" s="56"/>
      <c r="C493" s="139"/>
      <c r="D493" s="58"/>
      <c r="E493" s="139"/>
      <c r="F493" s="58"/>
      <c r="G493" s="139"/>
      <c r="H493" s="58"/>
      <c r="I493" s="14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  <c r="AW493" s="60"/>
      <c r="AX493" s="60"/>
      <c r="AY493" s="60"/>
      <c r="AZ493" s="60"/>
    </row>
    <row r="494" spans="1:52" ht="11.25" customHeight="1">
      <c r="A494" s="55"/>
      <c r="B494" s="56"/>
      <c r="C494" s="139"/>
      <c r="D494" s="58"/>
      <c r="E494" s="139"/>
      <c r="F494" s="58"/>
      <c r="G494" s="139"/>
      <c r="H494" s="58"/>
      <c r="I494" s="14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  <c r="AL494" s="60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  <c r="AW494" s="60"/>
      <c r="AX494" s="60"/>
      <c r="AY494" s="60"/>
      <c r="AZ494" s="60"/>
    </row>
    <row r="495" spans="1:52" ht="11.25" customHeight="1">
      <c r="A495" s="55"/>
      <c r="B495" s="56"/>
      <c r="C495" s="139"/>
      <c r="D495" s="58"/>
      <c r="E495" s="139"/>
      <c r="F495" s="58"/>
      <c r="G495" s="139"/>
      <c r="H495" s="58"/>
      <c r="I495" s="14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  <c r="AW495" s="60"/>
      <c r="AX495" s="60"/>
      <c r="AY495" s="60"/>
      <c r="AZ495" s="60"/>
    </row>
    <row r="496" spans="1:52" ht="11.25" customHeight="1">
      <c r="A496" s="55"/>
      <c r="B496" s="56"/>
      <c r="C496" s="139"/>
      <c r="D496" s="58"/>
      <c r="E496" s="139"/>
      <c r="F496" s="58"/>
      <c r="G496" s="139"/>
      <c r="H496" s="58"/>
      <c r="I496" s="14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  <c r="AL496" s="60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  <c r="AW496" s="60"/>
      <c r="AX496" s="60"/>
      <c r="AY496" s="60"/>
      <c r="AZ496" s="60"/>
    </row>
    <row r="497" spans="1:52" ht="11.25" customHeight="1">
      <c r="A497" s="55"/>
      <c r="B497" s="56"/>
      <c r="C497" s="139"/>
      <c r="D497" s="58"/>
      <c r="E497" s="139"/>
      <c r="F497" s="58"/>
      <c r="G497" s="139"/>
      <c r="H497" s="58"/>
      <c r="I497" s="14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  <c r="AW497" s="60"/>
      <c r="AX497" s="60"/>
      <c r="AY497" s="60"/>
      <c r="AZ497" s="60"/>
    </row>
    <row r="498" spans="1:52" ht="11.25" customHeight="1">
      <c r="A498" s="55"/>
      <c r="B498" s="56"/>
      <c r="C498" s="139"/>
      <c r="D498" s="58"/>
      <c r="E498" s="139"/>
      <c r="F498" s="58"/>
      <c r="G498" s="139"/>
      <c r="H498" s="58"/>
      <c r="I498" s="14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  <c r="AL498" s="60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  <c r="AW498" s="60"/>
      <c r="AX498" s="60"/>
      <c r="AY498" s="60"/>
      <c r="AZ498" s="60"/>
    </row>
    <row r="499" spans="1:52" ht="11.25" customHeight="1">
      <c r="A499" s="55"/>
      <c r="B499" s="56"/>
      <c r="C499" s="139"/>
      <c r="D499" s="58"/>
      <c r="E499" s="139"/>
      <c r="F499" s="58"/>
      <c r="G499" s="139"/>
      <c r="H499" s="58"/>
      <c r="I499" s="14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  <c r="AW499" s="60"/>
      <c r="AX499" s="60"/>
      <c r="AY499" s="60"/>
      <c r="AZ499" s="60"/>
    </row>
    <row r="500" spans="1:52" ht="11.25" customHeight="1">
      <c r="A500" s="55"/>
      <c r="B500" s="56"/>
      <c r="C500" s="139"/>
      <c r="D500" s="58"/>
      <c r="E500" s="139"/>
      <c r="F500" s="58"/>
      <c r="G500" s="139"/>
      <c r="H500" s="58"/>
      <c r="I500" s="14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  <c r="AW500" s="60"/>
      <c r="AX500" s="60"/>
      <c r="AY500" s="60"/>
      <c r="AZ500" s="60"/>
    </row>
    <row r="501" spans="1:52" ht="11.25" customHeight="1">
      <c r="A501" s="55"/>
      <c r="B501" s="56"/>
      <c r="C501" s="139"/>
      <c r="D501" s="58"/>
      <c r="E501" s="139"/>
      <c r="F501" s="58"/>
      <c r="G501" s="139"/>
      <c r="H501" s="58"/>
      <c r="I501" s="14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  <c r="AW501" s="60"/>
      <c r="AX501" s="60"/>
      <c r="AY501" s="60"/>
      <c r="AZ501" s="60"/>
    </row>
    <row r="502" spans="1:52" ht="11.25" customHeight="1">
      <c r="A502" s="55"/>
      <c r="B502" s="56"/>
      <c r="C502" s="139"/>
      <c r="D502" s="58"/>
      <c r="E502" s="139"/>
      <c r="F502" s="58"/>
      <c r="G502" s="139"/>
      <c r="H502" s="58"/>
      <c r="I502" s="14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0"/>
      <c r="AX502" s="60"/>
      <c r="AY502" s="60"/>
      <c r="AZ502" s="60"/>
    </row>
    <row r="503" spans="1:52" ht="11.25" customHeight="1">
      <c r="A503" s="55"/>
      <c r="B503" s="56"/>
      <c r="C503" s="139"/>
      <c r="D503" s="58"/>
      <c r="E503" s="139"/>
      <c r="F503" s="58"/>
      <c r="G503" s="139"/>
      <c r="H503" s="58"/>
      <c r="I503" s="14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  <c r="AW503" s="60"/>
      <c r="AX503" s="60"/>
      <c r="AY503" s="60"/>
      <c r="AZ503" s="60"/>
    </row>
    <row r="504" spans="1:52" ht="11.25" customHeight="1">
      <c r="A504" s="55"/>
      <c r="B504" s="56"/>
      <c r="C504" s="139"/>
      <c r="D504" s="58"/>
      <c r="E504" s="139"/>
      <c r="F504" s="58"/>
      <c r="G504" s="139"/>
      <c r="H504" s="58"/>
      <c r="I504" s="14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  <c r="AW504" s="60"/>
      <c r="AX504" s="60"/>
      <c r="AY504" s="60"/>
      <c r="AZ504" s="60"/>
    </row>
    <row r="505" spans="1:52" ht="11.25" customHeight="1">
      <c r="A505" s="55"/>
      <c r="B505" s="56"/>
      <c r="C505" s="139"/>
      <c r="D505" s="58"/>
      <c r="E505" s="139"/>
      <c r="F505" s="58"/>
      <c r="G505" s="139"/>
      <c r="H505" s="58"/>
      <c r="I505" s="14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  <c r="AW505" s="60"/>
      <c r="AX505" s="60"/>
      <c r="AY505" s="60"/>
      <c r="AZ505" s="60"/>
    </row>
  </sheetData>
  <mergeCells count="25">
    <mergeCell ref="A2:I2"/>
    <mergeCell ref="A3:I3"/>
    <mergeCell ref="G4:I4"/>
    <mergeCell ref="BA4:CJ4"/>
    <mergeCell ref="BA5:BJ5"/>
    <mergeCell ref="BL5:CE5"/>
    <mergeCell ref="CG5:CJ6"/>
    <mergeCell ref="CD6:CE6"/>
    <mergeCell ref="E5:I5"/>
    <mergeCell ref="A6:B7"/>
    <mergeCell ref="I6:I7"/>
    <mergeCell ref="BA6:BB6"/>
    <mergeCell ref="BC6:BD6"/>
    <mergeCell ref="BE6:BF6"/>
    <mergeCell ref="BV6:BW6"/>
    <mergeCell ref="BX6:BY6"/>
    <mergeCell ref="BZ6:CA6"/>
    <mergeCell ref="CB6:CC6"/>
    <mergeCell ref="BG6:BH6"/>
    <mergeCell ref="BN6:BO6"/>
    <mergeCell ref="BP6:BQ6"/>
    <mergeCell ref="BR6:BS6"/>
    <mergeCell ref="BT6:BU6"/>
    <mergeCell ref="BI6:BJ6"/>
    <mergeCell ref="BL6:BM6"/>
  </mergeCells>
  <dataValidations count="1">
    <dataValidation type="list" allowBlank="1" showErrorMessage="1" sqref="CG8:CG300" xr:uid="{00000000-0002-0000-0300-000000000000}">
      <formula1>"A,O"</formula1>
    </dataValidation>
  </dataValidations>
  <printOptions horizontalCentered="1"/>
  <pageMargins left="0.31496062992125984" right="0.23622047244094491" top="0.23622047244094491" bottom="0.6692913385826772" header="0" footer="0"/>
  <pageSetup paperSize="9" fitToHeight="0" orientation="portrait"/>
  <headerFooter>
    <oddFooter>&amp;L&amp;F; &amp;A&amp;CPage &amp;P of &amp;R Print on &amp;D, 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W1000"/>
  <sheetViews>
    <sheetView zoomScaleNormal="100" workbookViewId="0">
      <pane ySplit="6" topLeftCell="A7" activePane="bottomLeft" state="frozen"/>
      <selection pane="bottomLeft" activeCell="L16" sqref="L16"/>
    </sheetView>
  </sheetViews>
  <sheetFormatPr defaultColWidth="14.42578125" defaultRowHeight="15" customHeight="1"/>
  <cols>
    <col min="1" max="1" width="12.5703125" customWidth="1"/>
    <col min="2" max="2" width="7.7109375" customWidth="1"/>
    <col min="3" max="3" width="12.28515625" customWidth="1"/>
    <col min="4" max="4" width="7.7109375" customWidth="1"/>
    <col min="5" max="5" width="12.42578125" customWidth="1"/>
    <col min="6" max="6" width="7.7109375" customWidth="1"/>
    <col min="7" max="7" width="12.28515625" customWidth="1"/>
    <col min="8" max="8" width="7.7109375" customWidth="1"/>
    <col min="9" max="9" width="2.140625" customWidth="1"/>
    <col min="10" max="10" width="38.5703125" customWidth="1"/>
    <col min="11" max="11" width="2" customWidth="1"/>
    <col min="12" max="12" width="12.28515625" customWidth="1"/>
    <col min="13" max="13" width="7.7109375" customWidth="1"/>
    <col min="14" max="14" width="12.28515625" customWidth="1"/>
    <col min="15" max="15" width="7.7109375" customWidth="1"/>
    <col min="16" max="16" width="12.28515625" customWidth="1"/>
    <col min="17" max="17" width="7.7109375" customWidth="1"/>
    <col min="18" max="18" width="12.28515625" customWidth="1"/>
    <col min="19" max="19" width="7.7109375" customWidth="1"/>
    <col min="20" max="20" width="10" customWidth="1"/>
    <col min="21" max="21" width="4.5703125" customWidth="1"/>
    <col min="22" max="25" width="10.42578125" hidden="1" customWidth="1"/>
    <col min="26" max="26" width="3.7109375" customWidth="1"/>
  </cols>
  <sheetData>
    <row r="1" spans="1:75" ht="15" customHeight="1">
      <c r="A1" s="214" t="s">
        <v>2</v>
      </c>
      <c r="B1" s="215"/>
      <c r="C1" s="216"/>
      <c r="D1" s="215"/>
      <c r="E1" s="216"/>
      <c r="F1" s="215"/>
      <c r="G1" s="217"/>
      <c r="H1" s="67"/>
      <c r="I1" s="67"/>
      <c r="J1" s="67"/>
      <c r="K1" s="67"/>
      <c r="L1" s="67"/>
      <c r="M1" s="67"/>
      <c r="N1" s="216"/>
      <c r="O1" s="215"/>
      <c r="P1" s="216"/>
      <c r="Q1" s="215"/>
      <c r="R1" s="216"/>
      <c r="S1" s="215"/>
      <c r="T1" s="217"/>
      <c r="U1" s="217"/>
      <c r="V1" s="217"/>
      <c r="W1" s="217"/>
      <c r="X1" s="217"/>
      <c r="Y1" s="217"/>
      <c r="Z1" s="217"/>
    </row>
    <row r="2" spans="1:75" ht="15" customHeight="1">
      <c r="A2" s="664" t="s">
        <v>26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665"/>
      <c r="O2" s="665"/>
      <c r="P2" s="665"/>
      <c r="Q2" s="665"/>
      <c r="R2" s="665"/>
      <c r="S2" s="665"/>
      <c r="T2" s="64" t="s">
        <v>506</v>
      </c>
      <c r="U2" s="64">
        <f>PRD</f>
        <v>1</v>
      </c>
      <c r="V2" s="217"/>
      <c r="W2" s="217"/>
      <c r="X2" s="217"/>
      <c r="Y2" s="217"/>
      <c r="Z2" s="217"/>
    </row>
    <row r="3" spans="1:75" ht="15" customHeight="1">
      <c r="A3" s="218"/>
      <c r="B3" s="219"/>
      <c r="C3" s="220"/>
      <c r="D3" s="221" t="s">
        <v>507</v>
      </c>
      <c r="E3" s="220"/>
      <c r="F3" s="219"/>
      <c r="G3" s="220"/>
      <c r="H3" s="219"/>
      <c r="I3" s="219"/>
      <c r="J3" s="63" t="s">
        <v>18</v>
      </c>
      <c r="K3" s="217"/>
      <c r="L3" s="220"/>
      <c r="M3" s="219"/>
      <c r="N3" s="220"/>
      <c r="O3" s="219"/>
      <c r="P3" s="67"/>
      <c r="Q3" s="222" t="s">
        <v>508</v>
      </c>
      <c r="R3" s="67"/>
      <c r="S3" s="67"/>
      <c r="T3" s="217"/>
      <c r="U3" s="217"/>
      <c r="V3" s="217"/>
      <c r="W3" s="217"/>
      <c r="X3" s="217"/>
      <c r="Y3" s="217"/>
      <c r="Z3" s="217"/>
      <c r="AA3" s="656" t="s">
        <v>29</v>
      </c>
      <c r="AB3" s="660"/>
      <c r="AC3" s="660"/>
      <c r="AD3" s="660"/>
      <c r="AE3" s="660"/>
      <c r="AF3" s="660"/>
      <c r="AG3" s="660"/>
      <c r="AH3" s="660"/>
      <c r="AI3" s="660"/>
      <c r="AJ3" s="660"/>
      <c r="AK3" s="660"/>
      <c r="AL3" s="660"/>
      <c r="AM3" s="660"/>
      <c r="AN3" s="660"/>
      <c r="AO3" s="660"/>
      <c r="AP3" s="660"/>
      <c r="AQ3" s="660"/>
      <c r="AR3" s="660"/>
      <c r="AS3" s="660"/>
      <c r="AT3" s="660"/>
      <c r="AU3" s="660"/>
      <c r="AV3" s="660"/>
      <c r="AW3" s="660"/>
      <c r="AX3" s="660"/>
      <c r="AY3" s="660"/>
      <c r="AZ3" s="660"/>
      <c r="BA3" s="660"/>
      <c r="BB3" s="660"/>
      <c r="BC3" s="660"/>
      <c r="BD3" s="660"/>
      <c r="BE3" s="660"/>
      <c r="BF3" s="660"/>
      <c r="BG3" s="660"/>
      <c r="BH3" s="660"/>
      <c r="BI3" s="660"/>
      <c r="BJ3" s="660"/>
      <c r="BK3" s="660"/>
      <c r="BL3" s="660"/>
      <c r="BM3" s="660"/>
      <c r="BN3" s="660"/>
      <c r="BO3" s="660"/>
      <c r="BP3" s="660"/>
      <c r="BQ3" s="660"/>
      <c r="BR3" s="660"/>
      <c r="BS3" s="660"/>
      <c r="BT3" s="660"/>
      <c r="BU3" s="660"/>
      <c r="BV3" s="660"/>
      <c r="BW3" s="657"/>
    </row>
    <row r="4" spans="1:75" ht="13.5" customHeight="1">
      <c r="A4" s="666" t="s">
        <v>509</v>
      </c>
      <c r="B4" s="667"/>
      <c r="C4" s="667"/>
      <c r="D4" s="667"/>
      <c r="E4" s="667"/>
      <c r="F4" s="667"/>
      <c r="G4" s="667"/>
      <c r="H4" s="668"/>
      <c r="I4" s="223"/>
      <c r="J4" s="224"/>
      <c r="K4" s="225"/>
      <c r="L4" s="669" t="s">
        <v>510</v>
      </c>
      <c r="M4" s="667"/>
      <c r="N4" s="667"/>
      <c r="O4" s="667"/>
      <c r="P4" s="667"/>
      <c r="Q4" s="667"/>
      <c r="R4" s="667"/>
      <c r="S4" s="670"/>
      <c r="T4" s="226"/>
      <c r="U4" s="226"/>
      <c r="V4" s="226"/>
      <c r="W4" s="226"/>
      <c r="X4" s="226"/>
      <c r="Y4" s="226"/>
      <c r="Z4" s="226"/>
      <c r="AA4" s="671" t="s">
        <v>30</v>
      </c>
      <c r="AB4" s="665"/>
      <c r="AC4" s="665"/>
      <c r="AD4" s="665"/>
      <c r="AE4" s="665"/>
      <c r="AF4" s="73"/>
      <c r="AG4" s="671" t="s">
        <v>31</v>
      </c>
      <c r="AH4" s="665"/>
      <c r="AI4" s="665"/>
      <c r="AJ4" s="665"/>
      <c r="AK4" s="665"/>
      <c r="AL4" s="665"/>
      <c r="AM4" s="665"/>
      <c r="AN4" s="665"/>
      <c r="AO4" s="665"/>
      <c r="AP4" s="665"/>
      <c r="AQ4" s="665"/>
      <c r="AR4" s="665"/>
      <c r="AS4" s="665"/>
      <c r="AT4" s="665"/>
      <c r="AU4" s="665"/>
      <c r="AV4" s="665"/>
      <c r="AW4" s="665"/>
      <c r="AX4" s="665"/>
      <c r="AY4" s="665"/>
      <c r="AZ4" s="665"/>
      <c r="BA4" s="665"/>
      <c r="BB4" s="665"/>
      <c r="BC4" s="665"/>
      <c r="BD4" s="665"/>
      <c r="BE4" s="665"/>
      <c r="BF4" s="665"/>
      <c r="BG4" s="665"/>
      <c r="BH4" s="665"/>
      <c r="BI4" s="665"/>
      <c r="BJ4" s="665"/>
      <c r="BK4" s="665"/>
      <c r="BL4" s="665"/>
      <c r="BM4" s="665"/>
      <c r="BN4" s="665"/>
      <c r="BO4" s="665"/>
      <c r="BP4" s="665"/>
      <c r="BQ4" s="665"/>
      <c r="BR4" s="672"/>
      <c r="BS4" s="74"/>
      <c r="BT4" s="673" t="s">
        <v>32</v>
      </c>
      <c r="BU4" s="674"/>
      <c r="BV4" s="674"/>
      <c r="BW4" s="675"/>
    </row>
    <row r="5" spans="1:75" ht="15" customHeight="1">
      <c r="A5" s="679" t="s">
        <v>511</v>
      </c>
      <c r="B5" s="662"/>
      <c r="C5" s="661" t="s">
        <v>512</v>
      </c>
      <c r="D5" s="662"/>
      <c r="E5" s="661" t="s">
        <v>513</v>
      </c>
      <c r="F5" s="662"/>
      <c r="G5" s="661" t="s">
        <v>514</v>
      </c>
      <c r="H5" s="662"/>
      <c r="I5" s="227"/>
      <c r="J5" s="228" t="s">
        <v>515</v>
      </c>
      <c r="K5" s="229"/>
      <c r="L5" s="661" t="s">
        <v>514</v>
      </c>
      <c r="M5" s="662"/>
      <c r="N5" s="661" t="s">
        <v>513</v>
      </c>
      <c r="O5" s="662"/>
      <c r="P5" s="661" t="s">
        <v>512</v>
      </c>
      <c r="Q5" s="662"/>
      <c r="R5" s="661" t="s">
        <v>511</v>
      </c>
      <c r="S5" s="663"/>
      <c r="T5" s="226"/>
      <c r="U5" s="226"/>
      <c r="V5" s="226"/>
      <c r="W5" s="226"/>
      <c r="X5" s="226"/>
      <c r="Y5" s="226"/>
      <c r="Z5" s="226"/>
      <c r="AA5" s="658" t="s">
        <v>38</v>
      </c>
      <c r="AB5" s="658" t="s">
        <v>39</v>
      </c>
      <c r="AC5" s="658" t="s">
        <v>40</v>
      </c>
      <c r="AD5" s="658" t="s">
        <v>41</v>
      </c>
      <c r="AE5" s="673" t="s">
        <v>42</v>
      </c>
      <c r="AF5" s="80"/>
      <c r="AG5" s="656" t="s">
        <v>43</v>
      </c>
      <c r="AH5" s="660"/>
      <c r="AI5" s="656" t="s">
        <v>44</v>
      </c>
      <c r="AJ5" s="660"/>
      <c r="AK5" s="656" t="s">
        <v>45</v>
      </c>
      <c r="AL5" s="660"/>
      <c r="AM5" s="656" t="s">
        <v>46</v>
      </c>
      <c r="AN5" s="657"/>
      <c r="AO5" s="680" t="s">
        <v>47</v>
      </c>
      <c r="AP5" s="660"/>
      <c r="AQ5" s="656" t="s">
        <v>48</v>
      </c>
      <c r="AR5" s="657"/>
      <c r="AS5" s="680" t="s">
        <v>49</v>
      </c>
      <c r="AT5" s="660"/>
      <c r="AU5" s="656" t="s">
        <v>50</v>
      </c>
      <c r="AV5" s="657"/>
      <c r="AW5" s="680" t="s">
        <v>51</v>
      </c>
      <c r="AX5" s="657"/>
      <c r="AY5" s="680" t="s">
        <v>516</v>
      </c>
      <c r="AZ5" s="657"/>
      <c r="BA5" s="680" t="s">
        <v>517</v>
      </c>
      <c r="BB5" s="657"/>
      <c r="BC5" s="680" t="s">
        <v>518</v>
      </c>
      <c r="BD5" s="657"/>
      <c r="BE5" s="680" t="s">
        <v>519</v>
      </c>
      <c r="BF5" s="657"/>
      <c r="BG5" s="680" t="s">
        <v>520</v>
      </c>
      <c r="BH5" s="657"/>
      <c r="BI5" s="680" t="s">
        <v>521</v>
      </c>
      <c r="BJ5" s="657"/>
      <c r="BK5" s="680" t="s">
        <v>522</v>
      </c>
      <c r="BL5" s="657"/>
      <c r="BM5" s="680" t="s">
        <v>523</v>
      </c>
      <c r="BN5" s="657"/>
      <c r="BO5" s="656" t="s">
        <v>524</v>
      </c>
      <c r="BP5" s="657"/>
      <c r="BQ5" s="656" t="s">
        <v>525</v>
      </c>
      <c r="BR5" s="657"/>
      <c r="BS5" s="81"/>
      <c r="BT5" s="676"/>
      <c r="BU5" s="677"/>
      <c r="BV5" s="677"/>
      <c r="BW5" s="678"/>
    </row>
    <row r="6" spans="1:75" ht="15" customHeight="1">
      <c r="A6" s="230" t="s">
        <v>526</v>
      </c>
      <c r="B6" s="231" t="s">
        <v>37</v>
      </c>
      <c r="C6" s="232" t="s">
        <v>526</v>
      </c>
      <c r="D6" s="231" t="s">
        <v>37</v>
      </c>
      <c r="E6" s="232" t="s">
        <v>526</v>
      </c>
      <c r="F6" s="231" t="s">
        <v>37</v>
      </c>
      <c r="G6" s="231" t="s">
        <v>526</v>
      </c>
      <c r="H6" s="231" t="s">
        <v>37</v>
      </c>
      <c r="I6" s="233"/>
      <c r="J6" s="234"/>
      <c r="K6" s="235"/>
      <c r="L6" s="232" t="s">
        <v>526</v>
      </c>
      <c r="M6" s="231" t="s">
        <v>37</v>
      </c>
      <c r="N6" s="232" t="s">
        <v>526</v>
      </c>
      <c r="O6" s="231" t="s">
        <v>37</v>
      </c>
      <c r="P6" s="232" t="s">
        <v>526</v>
      </c>
      <c r="Q6" s="231" t="s">
        <v>37</v>
      </c>
      <c r="R6" s="232" t="s">
        <v>526</v>
      </c>
      <c r="S6" s="236" t="s">
        <v>37</v>
      </c>
      <c r="T6" s="226"/>
      <c r="U6" s="226"/>
      <c r="V6" s="226"/>
      <c r="W6" s="226"/>
      <c r="X6" s="226"/>
      <c r="Y6" s="226"/>
      <c r="Z6" s="226"/>
      <c r="AA6" s="659"/>
      <c r="AB6" s="659"/>
      <c r="AC6" s="659"/>
      <c r="AD6" s="659"/>
      <c r="AE6" s="676"/>
      <c r="AF6" s="84"/>
      <c r="AG6" s="85" t="s">
        <v>56</v>
      </c>
      <c r="AH6" s="86" t="s">
        <v>57</v>
      </c>
      <c r="AI6" s="85" t="s">
        <v>56</v>
      </c>
      <c r="AJ6" s="86" t="s">
        <v>57</v>
      </c>
      <c r="AK6" s="85" t="s">
        <v>56</v>
      </c>
      <c r="AL6" s="86" t="s">
        <v>57</v>
      </c>
      <c r="AM6" s="64" t="s">
        <v>56</v>
      </c>
      <c r="AN6" s="87" t="s">
        <v>57</v>
      </c>
      <c r="AO6" s="88" t="s">
        <v>56</v>
      </c>
      <c r="AP6" s="86" t="s">
        <v>57</v>
      </c>
      <c r="AQ6" s="85" t="s">
        <v>56</v>
      </c>
      <c r="AR6" s="89" t="s">
        <v>57</v>
      </c>
      <c r="AS6" s="88" t="s">
        <v>56</v>
      </c>
      <c r="AT6" s="86" t="s">
        <v>57</v>
      </c>
      <c r="AU6" s="85" t="s">
        <v>56</v>
      </c>
      <c r="AV6" s="89" t="s">
        <v>57</v>
      </c>
      <c r="AW6" s="88" t="s">
        <v>56</v>
      </c>
      <c r="AX6" s="89" t="s">
        <v>57</v>
      </c>
      <c r="AY6" s="88" t="s">
        <v>56</v>
      </c>
      <c r="AZ6" s="89" t="s">
        <v>57</v>
      </c>
      <c r="BA6" s="88" t="s">
        <v>56</v>
      </c>
      <c r="BB6" s="89" t="s">
        <v>57</v>
      </c>
      <c r="BC6" s="88" t="s">
        <v>56</v>
      </c>
      <c r="BD6" s="89" t="s">
        <v>57</v>
      </c>
      <c r="BE6" s="88" t="s">
        <v>56</v>
      </c>
      <c r="BF6" s="89" t="s">
        <v>57</v>
      </c>
      <c r="BG6" s="88" t="s">
        <v>56</v>
      </c>
      <c r="BH6" s="89" t="s">
        <v>57</v>
      </c>
      <c r="BI6" s="88" t="s">
        <v>56</v>
      </c>
      <c r="BJ6" s="89" t="s">
        <v>57</v>
      </c>
      <c r="BK6" s="88" t="s">
        <v>56</v>
      </c>
      <c r="BL6" s="89" t="s">
        <v>57</v>
      </c>
      <c r="BM6" s="88" t="s">
        <v>56</v>
      </c>
      <c r="BN6" s="89" t="s">
        <v>57</v>
      </c>
      <c r="BO6" s="85" t="s">
        <v>56</v>
      </c>
      <c r="BP6" s="89" t="s">
        <v>57</v>
      </c>
      <c r="BQ6" s="85" t="s">
        <v>56</v>
      </c>
      <c r="BR6" s="89" t="s">
        <v>57</v>
      </c>
      <c r="BS6" s="90"/>
      <c r="BT6" s="64" t="s">
        <v>58</v>
      </c>
      <c r="BU6" s="64" t="s">
        <v>59</v>
      </c>
      <c r="BV6" s="64" t="s">
        <v>60</v>
      </c>
      <c r="BW6" s="91" t="s">
        <v>61</v>
      </c>
    </row>
    <row r="7" spans="1:75" ht="12.75" customHeight="1">
      <c r="A7" s="630">
        <f>'Sum Room'!A78</f>
        <v>4588</v>
      </c>
      <c r="B7" s="631"/>
      <c r="C7" s="631">
        <f>G7-E7</f>
        <v>4588</v>
      </c>
      <c r="D7" s="631"/>
      <c r="E7" s="631">
        <f>'Sum Room'!E78</f>
        <v>0</v>
      </c>
      <c r="F7" s="631"/>
      <c r="G7" s="630">
        <f>'Sum Room'!G78</f>
        <v>4588</v>
      </c>
      <c r="H7" s="631"/>
      <c r="I7" s="631"/>
      <c r="J7" s="632" t="s">
        <v>527</v>
      </c>
      <c r="K7" s="633"/>
      <c r="L7" s="630">
        <f>'Sum Room'!L78</f>
        <v>4588</v>
      </c>
      <c r="M7" s="631"/>
      <c r="N7" s="630">
        <f>'Sum Room'!N78</f>
        <v>0</v>
      </c>
      <c r="O7" s="631"/>
      <c r="P7" s="630">
        <f>'Sum Room'!P78</f>
        <v>-4588</v>
      </c>
      <c r="Q7" s="631"/>
      <c r="R7" s="630">
        <f>'Sum Room'!R78</f>
        <v>4588</v>
      </c>
      <c r="S7" s="238"/>
      <c r="T7" s="240"/>
      <c r="U7" s="240"/>
      <c r="V7" s="240"/>
      <c r="W7" s="240"/>
      <c r="X7" s="240"/>
      <c r="Y7" s="240"/>
      <c r="Z7" s="240"/>
      <c r="AA7" s="95"/>
      <c r="AB7" s="96"/>
      <c r="AC7" s="96"/>
      <c r="AD7" s="96"/>
      <c r="AE7" s="96"/>
      <c r="AF7" s="97"/>
      <c r="AG7" s="95"/>
      <c r="AH7" s="96"/>
      <c r="AI7" s="95"/>
      <c r="AJ7" s="96"/>
      <c r="AK7" s="95"/>
      <c r="AL7" s="96"/>
      <c r="AM7" s="95"/>
      <c r="AN7" s="98"/>
      <c r="AO7" s="96"/>
      <c r="AP7" s="96"/>
      <c r="AQ7" s="95"/>
      <c r="AR7" s="98"/>
      <c r="AS7" s="96"/>
      <c r="AT7" s="96"/>
      <c r="AU7" s="95"/>
      <c r="AV7" s="98"/>
      <c r="AW7" s="241"/>
      <c r="AX7" s="242"/>
      <c r="AY7" s="241"/>
      <c r="AZ7" s="242"/>
      <c r="BA7" s="241"/>
      <c r="BB7" s="242"/>
      <c r="BC7" s="241"/>
      <c r="BD7" s="100"/>
      <c r="BE7" s="241"/>
      <c r="BF7" s="242"/>
      <c r="BG7" s="241"/>
      <c r="BH7" s="242"/>
      <c r="BI7" s="241"/>
      <c r="BJ7" s="242"/>
      <c r="BK7" s="241"/>
      <c r="BL7" s="242"/>
      <c r="BM7" s="241"/>
      <c r="BN7" s="242"/>
      <c r="BO7" s="241"/>
      <c r="BP7" s="242"/>
      <c r="BQ7" s="96"/>
      <c r="BR7" s="98"/>
      <c r="BS7" s="99"/>
      <c r="BT7" s="95"/>
      <c r="BU7" s="100"/>
      <c r="BV7" s="100"/>
      <c r="BW7" s="98"/>
    </row>
    <row r="8" spans="1:75" ht="12.75" customHeight="1">
      <c r="A8" s="630">
        <f>'Sum Room'!A80</f>
        <v>3209</v>
      </c>
      <c r="B8" s="630"/>
      <c r="C8" s="630">
        <f>G8-E8</f>
        <v>3442</v>
      </c>
      <c r="D8" s="630"/>
      <c r="E8" s="630">
        <f>'Sum Room'!E80</f>
        <v>0</v>
      </c>
      <c r="F8" s="630"/>
      <c r="G8" s="630">
        <f>'Sum Room'!G80</f>
        <v>3442</v>
      </c>
      <c r="H8" s="630"/>
      <c r="I8" s="630"/>
      <c r="J8" s="634" t="s">
        <v>528</v>
      </c>
      <c r="K8" s="633"/>
      <c r="L8" s="630">
        <f>Front!L80</f>
        <v>3442</v>
      </c>
      <c r="M8" s="630"/>
      <c r="N8" s="630">
        <f>Front!N80</f>
        <v>0</v>
      </c>
      <c r="O8" s="630"/>
      <c r="P8" s="630">
        <f>Front!P80</f>
        <v>-3442</v>
      </c>
      <c r="Q8" s="630"/>
      <c r="R8" s="630">
        <f>Front!R80</f>
        <v>3209</v>
      </c>
      <c r="S8" s="243"/>
      <c r="T8" s="245"/>
      <c r="U8" s="245"/>
      <c r="V8" s="245"/>
      <c r="W8" s="245"/>
      <c r="X8" s="245"/>
      <c r="Y8" s="245"/>
      <c r="Z8" s="245"/>
      <c r="AA8" s="95"/>
      <c r="AB8" s="96"/>
      <c r="AC8" s="96"/>
      <c r="AD8" s="96"/>
      <c r="AE8" s="96"/>
      <c r="AF8" s="97"/>
      <c r="AG8" s="95"/>
      <c r="AH8" s="96"/>
      <c r="AI8" s="95"/>
      <c r="AJ8" s="96"/>
      <c r="AK8" s="95"/>
      <c r="AL8" s="96"/>
      <c r="AM8" s="95"/>
      <c r="AN8" s="98"/>
      <c r="AO8" s="96"/>
      <c r="AP8" s="96"/>
      <c r="AQ8" s="95"/>
      <c r="AR8" s="98"/>
      <c r="AS8" s="96"/>
      <c r="AT8" s="96"/>
      <c r="AU8" s="95"/>
      <c r="AV8" s="98"/>
      <c r="AW8" s="95"/>
      <c r="AX8" s="98"/>
      <c r="AY8" s="95"/>
      <c r="AZ8" s="98"/>
      <c r="BA8" s="95"/>
      <c r="BB8" s="98"/>
      <c r="BC8" s="95"/>
      <c r="BD8" s="96"/>
      <c r="BE8" s="95"/>
      <c r="BF8" s="98"/>
      <c r="BG8" s="95"/>
      <c r="BH8" s="98"/>
      <c r="BI8" s="95"/>
      <c r="BJ8" s="98"/>
      <c r="BK8" s="95"/>
      <c r="BL8" s="98"/>
      <c r="BM8" s="95"/>
      <c r="BN8" s="98"/>
      <c r="BO8" s="95"/>
      <c r="BP8" s="98"/>
      <c r="BQ8" s="96"/>
      <c r="BR8" s="98"/>
      <c r="BS8" s="99"/>
      <c r="BT8" s="95"/>
      <c r="BU8" s="96"/>
      <c r="BV8" s="96"/>
      <c r="BW8" s="98"/>
    </row>
    <row r="9" spans="1:75" s="644" customFormat="1" ht="12.75" customHeight="1">
      <c r="A9" s="637">
        <f>A8/A7</f>
        <v>0.699433304272014</v>
      </c>
      <c r="B9" s="637"/>
      <c r="C9" s="637">
        <f>C8/C7</f>
        <v>0.75021795989537921</v>
      </c>
      <c r="D9" s="637"/>
      <c r="E9" s="637" t="e">
        <f>E8/E7</f>
        <v>#DIV/0!</v>
      </c>
      <c r="F9" s="637"/>
      <c r="G9" s="637">
        <f>G8/G7</f>
        <v>0.75021795989537921</v>
      </c>
      <c r="H9" s="637"/>
      <c r="I9" s="637"/>
      <c r="J9" s="638" t="s">
        <v>529</v>
      </c>
      <c r="K9" s="638"/>
      <c r="L9" s="637">
        <f>L8/L7</f>
        <v>0.75021795989537921</v>
      </c>
      <c r="M9" s="637"/>
      <c r="N9" s="637" t="e">
        <f>N8/N7</f>
        <v>#DIV/0!</v>
      </c>
      <c r="O9" s="637"/>
      <c r="P9" s="637">
        <f>P8/P7</f>
        <v>0.75021795989537921</v>
      </c>
      <c r="Q9" s="637"/>
      <c r="R9" s="637">
        <f>R8/R7</f>
        <v>0.699433304272014</v>
      </c>
      <c r="S9" s="629"/>
      <c r="T9" s="629"/>
      <c r="U9" s="629"/>
      <c r="V9" s="629"/>
      <c r="W9" s="629"/>
      <c r="X9" s="629"/>
      <c r="Y9" s="629"/>
      <c r="Z9" s="629"/>
      <c r="AA9" s="639"/>
      <c r="AB9" s="640"/>
      <c r="AC9" s="640"/>
      <c r="AD9" s="640"/>
      <c r="AE9" s="640"/>
      <c r="AF9" s="641"/>
      <c r="AG9" s="639"/>
      <c r="AH9" s="640"/>
      <c r="AI9" s="639"/>
      <c r="AJ9" s="640"/>
      <c r="AK9" s="639"/>
      <c r="AL9" s="640"/>
      <c r="AM9" s="639"/>
      <c r="AN9" s="642"/>
      <c r="AO9" s="640"/>
      <c r="AP9" s="640"/>
      <c r="AQ9" s="639"/>
      <c r="AR9" s="642"/>
      <c r="AS9" s="640"/>
      <c r="AT9" s="640"/>
      <c r="AU9" s="639"/>
      <c r="AV9" s="642"/>
      <c r="AW9" s="639"/>
      <c r="AX9" s="642"/>
      <c r="AY9" s="639"/>
      <c r="AZ9" s="642"/>
      <c r="BA9" s="639"/>
      <c r="BB9" s="642"/>
      <c r="BC9" s="639"/>
      <c r="BD9" s="640"/>
      <c r="BE9" s="639"/>
      <c r="BF9" s="642"/>
      <c r="BG9" s="639"/>
      <c r="BH9" s="642"/>
      <c r="BI9" s="639"/>
      <c r="BJ9" s="642"/>
      <c r="BK9" s="639"/>
      <c r="BL9" s="642"/>
      <c r="BM9" s="639"/>
      <c r="BN9" s="642"/>
      <c r="BO9" s="639"/>
      <c r="BP9" s="642"/>
      <c r="BQ9" s="640"/>
      <c r="BR9" s="642"/>
      <c r="BS9" s="643"/>
      <c r="BT9" s="639"/>
      <c r="BU9" s="640"/>
      <c r="BV9" s="640"/>
      <c r="BW9" s="642"/>
    </row>
    <row r="10" spans="1:75" s="644" customFormat="1" ht="12.75" hidden="1" customHeight="1">
      <c r="A10" s="637">
        <v>0</v>
      </c>
      <c r="B10" s="637"/>
      <c r="C10" s="637">
        <v>0</v>
      </c>
      <c r="D10" s="637"/>
      <c r="E10" s="637">
        <v>0</v>
      </c>
      <c r="F10" s="637"/>
      <c r="G10" s="637">
        <v>0</v>
      </c>
      <c r="H10" s="637"/>
      <c r="I10" s="637"/>
      <c r="J10" s="645" t="s">
        <v>530</v>
      </c>
      <c r="K10" s="638"/>
      <c r="L10" s="637">
        <v>0</v>
      </c>
      <c r="M10" s="637"/>
      <c r="N10" s="637">
        <v>0</v>
      </c>
      <c r="O10" s="637"/>
      <c r="P10" s="637">
        <v>0</v>
      </c>
      <c r="Q10" s="637"/>
      <c r="R10" s="637">
        <v>0</v>
      </c>
      <c r="S10" s="646"/>
      <c r="T10" s="629"/>
      <c r="U10" s="629"/>
      <c r="V10" s="629"/>
      <c r="W10" s="629"/>
      <c r="X10" s="629"/>
      <c r="Y10" s="629"/>
      <c r="Z10" s="629"/>
      <c r="AA10" s="639"/>
      <c r="AB10" s="640"/>
      <c r="AC10" s="640"/>
      <c r="AD10" s="640"/>
      <c r="AE10" s="640"/>
      <c r="AF10" s="641"/>
      <c r="AG10" s="639"/>
      <c r="AH10" s="640"/>
      <c r="AI10" s="639"/>
      <c r="AJ10" s="640"/>
      <c r="AK10" s="639"/>
      <c r="AL10" s="640"/>
      <c r="AM10" s="639"/>
      <c r="AN10" s="642"/>
      <c r="AO10" s="640"/>
      <c r="AP10" s="640"/>
      <c r="AQ10" s="639"/>
      <c r="AR10" s="642"/>
      <c r="AS10" s="640"/>
      <c r="AT10" s="640"/>
      <c r="AU10" s="639"/>
      <c r="AV10" s="642"/>
      <c r="AW10" s="639"/>
      <c r="AX10" s="642"/>
      <c r="AY10" s="639"/>
      <c r="AZ10" s="642"/>
      <c r="BA10" s="639"/>
      <c r="BB10" s="642"/>
      <c r="BC10" s="639"/>
      <c r="BD10" s="640"/>
      <c r="BE10" s="639"/>
      <c r="BF10" s="642"/>
      <c r="BG10" s="639"/>
      <c r="BH10" s="642"/>
      <c r="BI10" s="639"/>
      <c r="BJ10" s="642"/>
      <c r="BK10" s="639"/>
      <c r="BL10" s="642"/>
      <c r="BM10" s="639"/>
      <c r="BN10" s="642"/>
      <c r="BO10" s="639"/>
      <c r="BP10" s="642"/>
      <c r="BQ10" s="640"/>
      <c r="BR10" s="642"/>
      <c r="BS10" s="643"/>
      <c r="BT10" s="639"/>
      <c r="BU10" s="640"/>
      <c r="BV10" s="640"/>
      <c r="BW10" s="642"/>
    </row>
    <row r="11" spans="1:75" s="655" customFormat="1" ht="12.75" customHeight="1">
      <c r="A11" s="647">
        <f>'Sum Room'!A81</f>
        <v>2254.4789435961357</v>
      </c>
      <c r="B11" s="647"/>
      <c r="C11" s="647" t="e">
        <f t="shared" ref="C11:C12" si="0">G11-E11</f>
        <v>#DIV/0!</v>
      </c>
      <c r="D11" s="647"/>
      <c r="E11" s="647" t="e">
        <f>'Sum Room'!E81</f>
        <v>#DIV/0!</v>
      </c>
      <c r="F11" s="647"/>
      <c r="G11" s="647">
        <f>'Sum Room'!G81</f>
        <v>2294.026722835561</v>
      </c>
      <c r="H11" s="647"/>
      <c r="I11" s="647"/>
      <c r="J11" s="648" t="s">
        <v>531</v>
      </c>
      <c r="K11" s="649"/>
      <c r="L11" s="647">
        <f>'Sum Room'!L81</f>
        <v>2294.026722835561</v>
      </c>
      <c r="M11" s="647"/>
      <c r="N11" s="647" t="e">
        <f>'Sum Room'!N81</f>
        <v>#DIV/0!</v>
      </c>
      <c r="O11" s="647"/>
      <c r="P11" s="647">
        <f>'Sum Room'!P81</f>
        <v>2294.026722835561</v>
      </c>
      <c r="Q11" s="647"/>
      <c r="R11" s="647">
        <f>'Sum Room'!R81</f>
        <v>2254.4789435961357</v>
      </c>
      <c r="S11" s="244"/>
      <c r="T11" s="244"/>
      <c r="U11" s="244"/>
      <c r="V11" s="244"/>
      <c r="W11" s="244"/>
      <c r="X11" s="244"/>
      <c r="Y11" s="244"/>
      <c r="Z11" s="244"/>
      <c r="AA11" s="650"/>
      <c r="AB11" s="651"/>
      <c r="AC11" s="651"/>
      <c r="AD11" s="651"/>
      <c r="AE11" s="651"/>
      <c r="AF11" s="652"/>
      <c r="AG11" s="650"/>
      <c r="AH11" s="651"/>
      <c r="AI11" s="650"/>
      <c r="AJ11" s="651"/>
      <c r="AK11" s="650"/>
      <c r="AL11" s="651"/>
      <c r="AM11" s="650"/>
      <c r="AN11" s="653"/>
      <c r="AO11" s="651"/>
      <c r="AP11" s="651"/>
      <c r="AQ11" s="650"/>
      <c r="AR11" s="653"/>
      <c r="AS11" s="651"/>
      <c r="AT11" s="651"/>
      <c r="AU11" s="650"/>
      <c r="AV11" s="653"/>
      <c r="AW11" s="650"/>
      <c r="AX11" s="653"/>
      <c r="AY11" s="650"/>
      <c r="AZ11" s="653"/>
      <c r="BA11" s="650"/>
      <c r="BB11" s="653"/>
      <c r="BC11" s="650"/>
      <c r="BD11" s="651"/>
      <c r="BE11" s="650"/>
      <c r="BF11" s="653"/>
      <c r="BG11" s="650"/>
      <c r="BH11" s="653"/>
      <c r="BI11" s="650"/>
      <c r="BJ11" s="653"/>
      <c r="BK11" s="650"/>
      <c r="BL11" s="653"/>
      <c r="BM11" s="650"/>
      <c r="BN11" s="653"/>
      <c r="BO11" s="650"/>
      <c r="BP11" s="653"/>
      <c r="BQ11" s="651"/>
      <c r="BR11" s="653"/>
      <c r="BS11" s="654"/>
      <c r="BT11" s="650"/>
      <c r="BU11" s="651"/>
      <c r="BV11" s="651"/>
      <c r="BW11" s="653"/>
    </row>
    <row r="12" spans="1:75" ht="13.5" customHeight="1">
      <c r="A12" s="630">
        <f>'Sum Room'!A82</f>
        <v>6310</v>
      </c>
      <c r="B12" s="635"/>
      <c r="C12" s="630">
        <f t="shared" si="0"/>
        <v>6408</v>
      </c>
      <c r="D12" s="635"/>
      <c r="E12" s="635">
        <f>'Sum Room'!E82</f>
        <v>0</v>
      </c>
      <c r="F12" s="635"/>
      <c r="G12" s="630">
        <f>'Sum Room'!G82</f>
        <v>6408</v>
      </c>
      <c r="H12" s="635"/>
      <c r="I12" s="635"/>
      <c r="J12" s="636" t="s">
        <v>532</v>
      </c>
      <c r="K12" s="633"/>
      <c r="L12" s="630">
        <f>'Sum Room'!L82</f>
        <v>6408</v>
      </c>
      <c r="M12" s="635"/>
      <c r="N12" s="630">
        <f>'Sum Room'!N82</f>
        <v>0</v>
      </c>
      <c r="O12" s="635"/>
      <c r="P12" s="630">
        <f>'Sum Room'!P82</f>
        <v>-6408</v>
      </c>
      <c r="Q12" s="635"/>
      <c r="R12" s="630">
        <f>'Sum Room'!R82</f>
        <v>6310</v>
      </c>
      <c r="S12" s="246"/>
      <c r="T12" s="245"/>
      <c r="U12" s="245"/>
      <c r="V12" s="245"/>
      <c r="W12" s="245"/>
      <c r="X12" s="245"/>
      <c r="Y12" s="245"/>
      <c r="Z12" s="245"/>
      <c r="AA12" s="95"/>
      <c r="AB12" s="96"/>
      <c r="AC12" s="96"/>
      <c r="AD12" s="96"/>
      <c r="AE12" s="96"/>
      <c r="AF12" s="97"/>
      <c r="AG12" s="95"/>
      <c r="AH12" s="96"/>
      <c r="AI12" s="95"/>
      <c r="AJ12" s="96"/>
      <c r="AK12" s="95"/>
      <c r="AL12" s="96"/>
      <c r="AM12" s="95"/>
      <c r="AN12" s="98"/>
      <c r="AO12" s="96"/>
      <c r="AP12" s="96"/>
      <c r="AQ12" s="95"/>
      <c r="AR12" s="98"/>
      <c r="AS12" s="96"/>
      <c r="AT12" s="96"/>
      <c r="AU12" s="95"/>
      <c r="AV12" s="98"/>
      <c r="AW12" s="95"/>
      <c r="AX12" s="98"/>
      <c r="AY12" s="95"/>
      <c r="AZ12" s="98"/>
      <c r="BA12" s="95"/>
      <c r="BB12" s="98"/>
      <c r="BC12" s="95"/>
      <c r="BD12" s="96"/>
      <c r="BE12" s="95"/>
      <c r="BF12" s="98"/>
      <c r="BG12" s="95"/>
      <c r="BH12" s="98"/>
      <c r="BI12" s="95"/>
      <c r="BJ12" s="98"/>
      <c r="BK12" s="95"/>
      <c r="BL12" s="98"/>
      <c r="BM12" s="95"/>
      <c r="BN12" s="98"/>
      <c r="BO12" s="95"/>
      <c r="BP12" s="98"/>
      <c r="BQ12" s="96"/>
      <c r="BR12" s="98"/>
      <c r="BS12" s="99"/>
      <c r="BT12" s="95"/>
      <c r="BU12" s="96"/>
      <c r="BV12" s="96"/>
      <c r="BW12" s="98"/>
    </row>
    <row r="13" spans="1:75" ht="14.25" customHeight="1">
      <c r="A13" s="247"/>
      <c r="B13" s="248"/>
      <c r="C13" s="249"/>
      <c r="D13" s="248"/>
      <c r="E13" s="249"/>
      <c r="F13" s="248"/>
      <c r="G13" s="248"/>
      <c r="H13" s="248"/>
      <c r="I13" s="248"/>
      <c r="J13" s="250"/>
      <c r="K13" s="250"/>
      <c r="L13" s="249"/>
      <c r="M13" s="248"/>
      <c r="N13" s="249"/>
      <c r="O13" s="248"/>
      <c r="P13" s="249"/>
      <c r="Q13" s="248"/>
      <c r="R13" s="249"/>
      <c r="S13" s="248"/>
      <c r="T13" s="245"/>
      <c r="U13" s="245"/>
      <c r="V13" s="245"/>
      <c r="W13" s="245"/>
      <c r="X13" s="245"/>
      <c r="Y13" s="245"/>
      <c r="Z13" s="245"/>
      <c r="AA13" s="95"/>
      <c r="AB13" s="96"/>
      <c r="AC13" s="96"/>
      <c r="AD13" s="96"/>
      <c r="AE13" s="96"/>
      <c r="AF13" s="97"/>
      <c r="AG13" s="95"/>
      <c r="AH13" s="96"/>
      <c r="AI13" s="95"/>
      <c r="AJ13" s="96"/>
      <c r="AK13" s="95"/>
      <c r="AL13" s="96"/>
      <c r="AM13" s="95"/>
      <c r="AN13" s="98"/>
      <c r="AO13" s="96"/>
      <c r="AP13" s="96"/>
      <c r="AQ13" s="95"/>
      <c r="AR13" s="98"/>
      <c r="AS13" s="96"/>
      <c r="AT13" s="96"/>
      <c r="AU13" s="95"/>
      <c r="AV13" s="98"/>
      <c r="AW13" s="95"/>
      <c r="AX13" s="98"/>
      <c r="AY13" s="95"/>
      <c r="AZ13" s="98"/>
      <c r="BA13" s="95"/>
      <c r="BB13" s="98"/>
      <c r="BC13" s="95"/>
      <c r="BD13" s="96"/>
      <c r="BE13" s="95"/>
      <c r="BF13" s="98"/>
      <c r="BG13" s="95"/>
      <c r="BH13" s="98"/>
      <c r="BI13" s="95"/>
      <c r="BJ13" s="98"/>
      <c r="BK13" s="95"/>
      <c r="BL13" s="98"/>
      <c r="BM13" s="95"/>
      <c r="BN13" s="98"/>
      <c r="BO13" s="95"/>
      <c r="BP13" s="98"/>
      <c r="BQ13" s="96"/>
      <c r="BR13" s="98"/>
      <c r="BS13" s="99"/>
      <c r="BT13" s="95"/>
      <c r="BU13" s="96"/>
      <c r="BV13" s="96"/>
      <c r="BW13" s="98"/>
    </row>
    <row r="14" spans="1:75" ht="12.75" customHeight="1">
      <c r="A14" s="251"/>
      <c r="B14" s="243"/>
      <c r="C14" s="251"/>
      <c r="D14" s="243"/>
      <c r="E14" s="251"/>
      <c r="F14" s="243"/>
      <c r="G14" s="251"/>
      <c r="H14" s="243"/>
      <c r="I14" s="243"/>
      <c r="J14" s="252" t="s">
        <v>533</v>
      </c>
      <c r="K14" s="252"/>
      <c r="L14" s="251"/>
      <c r="M14" s="243"/>
      <c r="N14" s="251"/>
      <c r="O14" s="243"/>
      <c r="P14" s="251"/>
      <c r="Q14" s="243"/>
      <c r="R14" s="251"/>
      <c r="S14" s="243"/>
      <c r="T14" s="245"/>
      <c r="U14" s="245"/>
      <c r="V14" s="245"/>
      <c r="W14" s="245"/>
      <c r="X14" s="245"/>
      <c r="Y14" s="245"/>
      <c r="Z14" s="245"/>
      <c r="AA14" s="95"/>
      <c r="AB14" s="96"/>
      <c r="AC14" s="96"/>
      <c r="AD14" s="96"/>
      <c r="AE14" s="96"/>
      <c r="AF14" s="97"/>
      <c r="AG14" s="95"/>
      <c r="AH14" s="96"/>
      <c r="AI14" s="95"/>
      <c r="AJ14" s="96"/>
      <c r="AK14" s="95"/>
      <c r="AL14" s="96"/>
      <c r="AM14" s="95"/>
      <c r="AN14" s="98"/>
      <c r="AO14" s="96"/>
      <c r="AP14" s="96"/>
      <c r="AQ14" s="95"/>
      <c r="AR14" s="98"/>
      <c r="AS14" s="96"/>
      <c r="AT14" s="96"/>
      <c r="AU14" s="95"/>
      <c r="AV14" s="98"/>
      <c r="AW14" s="95"/>
      <c r="AX14" s="98"/>
      <c r="AY14" s="95"/>
      <c r="AZ14" s="98"/>
      <c r="BA14" s="95"/>
      <c r="BB14" s="98"/>
      <c r="BC14" s="95"/>
      <c r="BD14" s="96"/>
      <c r="BE14" s="95"/>
      <c r="BF14" s="98"/>
      <c r="BG14" s="95"/>
      <c r="BH14" s="98"/>
      <c r="BI14" s="95"/>
      <c r="BJ14" s="98"/>
      <c r="BK14" s="95"/>
      <c r="BL14" s="98"/>
      <c r="BM14" s="95"/>
      <c r="BN14" s="98"/>
      <c r="BO14" s="95"/>
      <c r="BP14" s="98"/>
      <c r="BQ14" s="96"/>
      <c r="BR14" s="98"/>
      <c r="BS14" s="99"/>
      <c r="BT14" s="95"/>
      <c r="BU14" s="96"/>
      <c r="BV14" s="96"/>
      <c r="BW14" s="98"/>
    </row>
    <row r="15" spans="1:75" ht="11.25" customHeight="1">
      <c r="A15" s="237">
        <f>Front!A14</f>
        <v>7249519.3099999996</v>
      </c>
      <c r="B15" s="237">
        <f t="shared" ref="B15:B19" si="1">IF(A15=0,0,(A15*100/A$19))</f>
        <v>87.066434346807995</v>
      </c>
      <c r="C15" s="237">
        <f>Front!C14</f>
        <v>-7921831.0000000009</v>
      </c>
      <c r="D15" s="237">
        <f t="shared" ref="D15:D19" si="2">IF(C15=0,0,(C15*100/C$19))</f>
        <v>91.476966907428505</v>
      </c>
      <c r="E15" s="237">
        <f>Front!E14</f>
        <v>0</v>
      </c>
      <c r="F15" s="237">
        <f t="shared" ref="F15:F19" si="3">IF(E15=0,0,(E15*100/E$19))</f>
        <v>0</v>
      </c>
      <c r="G15" s="237">
        <f>'Sum Room'!G14</f>
        <v>7921831.0000000009</v>
      </c>
      <c r="H15" s="237">
        <f t="shared" ref="H15:H19" si="4">IF(G15=0,0,(G15*100/G$19))</f>
        <v>91.476966907428505</v>
      </c>
      <c r="I15" s="237"/>
      <c r="J15" s="253" t="s">
        <v>534</v>
      </c>
      <c r="K15" s="237"/>
      <c r="L15" s="237">
        <f>'Sum Room'!L14</f>
        <v>7921831.0000000009</v>
      </c>
      <c r="M15" s="237">
        <f t="shared" ref="M15:M19" si="5">IF(L15=0,0,(L15*100/L$19))</f>
        <v>77.459648404367755</v>
      </c>
      <c r="N15" s="237">
        <f>Front!N14</f>
        <v>0</v>
      </c>
      <c r="O15" s="254">
        <f t="shared" ref="O15:O19" si="6">IF(N15=0,0,(N15*100/N$19))</f>
        <v>0</v>
      </c>
      <c r="P15" s="237">
        <f>Front!P14</f>
        <v>-7921831.0000000009</v>
      </c>
      <c r="Q15" s="237">
        <f t="shared" ref="Q15:Q19" si="7">IF(P15=0,0,(P15*100/P$19))</f>
        <v>77.459648404367755</v>
      </c>
      <c r="R15" s="237">
        <f>Front!R14</f>
        <v>7249519.3099999996</v>
      </c>
      <c r="S15" s="237">
        <f t="shared" ref="S15:S19" si="8">IF(R15=0,0,(R15*100/R$19))</f>
        <v>73.654521305011627</v>
      </c>
      <c r="T15" s="237"/>
      <c r="U15" s="237"/>
      <c r="V15" s="237"/>
      <c r="W15" s="237"/>
      <c r="X15" s="237"/>
      <c r="Y15" s="237"/>
      <c r="Z15" s="237"/>
      <c r="AA15" s="95"/>
      <c r="AB15" s="96"/>
      <c r="AC15" s="96"/>
      <c r="AD15" s="96"/>
      <c r="AE15" s="96"/>
      <c r="AF15" s="97"/>
      <c r="AG15" s="95"/>
      <c r="AH15" s="96"/>
      <c r="AI15" s="95"/>
      <c r="AJ15" s="96"/>
      <c r="AK15" s="95"/>
      <c r="AL15" s="96"/>
      <c r="AM15" s="95"/>
      <c r="AN15" s="98"/>
      <c r="AO15" s="96"/>
      <c r="AP15" s="96"/>
      <c r="AQ15" s="95"/>
      <c r="AR15" s="98"/>
      <c r="AS15" s="96"/>
      <c r="AT15" s="96"/>
      <c r="AU15" s="95"/>
      <c r="AV15" s="98"/>
      <c r="AW15" s="95"/>
      <c r="AX15" s="98"/>
      <c r="AY15" s="95"/>
      <c r="AZ15" s="98"/>
      <c r="BA15" s="95"/>
      <c r="BB15" s="98"/>
      <c r="BC15" s="95"/>
      <c r="BD15" s="96"/>
      <c r="BE15" s="95"/>
      <c r="BF15" s="98"/>
      <c r="BG15" s="95"/>
      <c r="BH15" s="98"/>
      <c r="BI15" s="95"/>
      <c r="BJ15" s="98"/>
      <c r="BK15" s="95"/>
      <c r="BL15" s="98"/>
      <c r="BM15" s="95"/>
      <c r="BN15" s="98"/>
      <c r="BO15" s="95"/>
      <c r="BP15" s="98"/>
      <c r="BQ15" s="96"/>
      <c r="BR15" s="98"/>
      <c r="BS15" s="99"/>
      <c r="BT15" s="95"/>
      <c r="BU15" s="96"/>
      <c r="BV15" s="96"/>
      <c r="BW15" s="98"/>
    </row>
    <row r="16" spans="1:75" ht="11.25" customHeight="1">
      <c r="A16" s="237">
        <f>'F&amp;B'!A14</f>
        <v>809758.45000000007</v>
      </c>
      <c r="B16" s="237">
        <f t="shared" si="1"/>
        <v>9.7251663053640449</v>
      </c>
      <c r="C16" s="237">
        <f>'F&amp;B'!C14</f>
        <v>-513215.18999999994</v>
      </c>
      <c r="D16" s="237">
        <f t="shared" si="2"/>
        <v>5.9263280107868521</v>
      </c>
      <c r="E16" s="237">
        <f>'F&amp;B'!E14</f>
        <v>0</v>
      </c>
      <c r="F16" s="237">
        <f t="shared" si="3"/>
        <v>0</v>
      </c>
      <c r="G16" s="237">
        <f>'F&amp;B'!G14</f>
        <v>513215.18999999994</v>
      </c>
      <c r="H16" s="237">
        <f t="shared" si="4"/>
        <v>5.9263280107868521</v>
      </c>
      <c r="I16" s="237"/>
      <c r="J16" s="253" t="s">
        <v>535</v>
      </c>
      <c r="K16" s="237"/>
      <c r="L16" s="237">
        <f>'F&amp;B'!L14</f>
        <v>2080338.74</v>
      </c>
      <c r="M16" s="237">
        <f t="shared" si="5"/>
        <v>20.341548230754405</v>
      </c>
      <c r="N16" s="237">
        <f>'F&amp;B'!N14</f>
        <v>0</v>
      </c>
      <c r="O16" s="254">
        <f t="shared" si="6"/>
        <v>0</v>
      </c>
      <c r="P16" s="237">
        <f>'F&amp;B'!P14</f>
        <v>-2080338.74</v>
      </c>
      <c r="Q16" s="237">
        <f t="shared" si="7"/>
        <v>20.341548230754405</v>
      </c>
      <c r="R16" s="237">
        <f>'F&amp;B'!R14</f>
        <v>2325934.98</v>
      </c>
      <c r="S16" s="237">
        <f t="shared" si="8"/>
        <v>23.631308534093939</v>
      </c>
      <c r="T16" s="237"/>
      <c r="U16" s="237"/>
      <c r="V16" s="237"/>
      <c r="W16" s="237"/>
      <c r="X16" s="237"/>
      <c r="Y16" s="237"/>
      <c r="Z16" s="237"/>
      <c r="AA16" s="95"/>
      <c r="AB16" s="96"/>
      <c r="AC16" s="96"/>
      <c r="AD16" s="96"/>
      <c r="AE16" s="96"/>
      <c r="AF16" s="97"/>
      <c r="AG16" s="95"/>
      <c r="AH16" s="96"/>
      <c r="AI16" s="95"/>
      <c r="AJ16" s="96"/>
      <c r="AK16" s="95"/>
      <c r="AL16" s="96"/>
      <c r="AM16" s="95"/>
      <c r="AN16" s="98"/>
      <c r="AO16" s="96"/>
      <c r="AP16" s="96"/>
      <c r="AQ16" s="95"/>
      <c r="AR16" s="98"/>
      <c r="AS16" s="96"/>
      <c r="AT16" s="96"/>
      <c r="AU16" s="95"/>
      <c r="AV16" s="98"/>
      <c r="AW16" s="95"/>
      <c r="AX16" s="98"/>
      <c r="AY16" s="95"/>
      <c r="AZ16" s="98"/>
      <c r="BA16" s="95"/>
      <c r="BB16" s="98"/>
      <c r="BC16" s="95"/>
      <c r="BD16" s="96"/>
      <c r="BE16" s="95"/>
      <c r="BF16" s="98"/>
      <c r="BG16" s="95"/>
      <c r="BH16" s="98"/>
      <c r="BI16" s="95"/>
      <c r="BJ16" s="98"/>
      <c r="BK16" s="95"/>
      <c r="BL16" s="98"/>
      <c r="BM16" s="95"/>
      <c r="BN16" s="98"/>
      <c r="BO16" s="95"/>
      <c r="BP16" s="98"/>
      <c r="BQ16" s="96"/>
      <c r="BR16" s="98"/>
      <c r="BS16" s="99"/>
      <c r="BT16" s="95"/>
      <c r="BU16" s="96"/>
      <c r="BV16" s="96"/>
      <c r="BW16" s="98"/>
    </row>
    <row r="17" spans="1:75" ht="11.25" customHeight="1">
      <c r="A17" s="237">
        <f>'Spa &amp; Fitness'!A17</f>
        <v>59532.759999999995</v>
      </c>
      <c r="B17" s="237">
        <f t="shared" si="1"/>
        <v>0.71498604505741725</v>
      </c>
      <c r="C17" s="237">
        <f>'Spa &amp; Fitness'!C17</f>
        <v>-424.81</v>
      </c>
      <c r="D17" s="237">
        <f t="shared" si="2"/>
        <v>4.9054732816118767E-3</v>
      </c>
      <c r="E17" s="237">
        <f>'Spa &amp; Fitness'!E17</f>
        <v>0</v>
      </c>
      <c r="F17" s="237">
        <f t="shared" si="3"/>
        <v>0</v>
      </c>
      <c r="G17" s="237">
        <f>'Spa &amp; Fitness'!G17</f>
        <v>424.81</v>
      </c>
      <c r="H17" s="237">
        <f t="shared" si="4"/>
        <v>4.9054732816118767E-3</v>
      </c>
      <c r="I17" s="237"/>
      <c r="J17" s="237" t="s">
        <v>536</v>
      </c>
      <c r="K17" s="237"/>
      <c r="L17" s="237">
        <f>'Spa &amp; Fitness'!L17</f>
        <v>424.81</v>
      </c>
      <c r="M17" s="237">
        <f t="shared" si="5"/>
        <v>4.1537913695280119E-3</v>
      </c>
      <c r="N17" s="237">
        <f>'Spa &amp; Fitness'!N17</f>
        <v>0</v>
      </c>
      <c r="O17" s="254">
        <f t="shared" si="6"/>
        <v>0</v>
      </c>
      <c r="P17" s="237">
        <f>'Spa &amp; Fitness'!P17</f>
        <v>-424.81</v>
      </c>
      <c r="Q17" s="237">
        <f t="shared" si="7"/>
        <v>4.1537913695280119E-3</v>
      </c>
      <c r="R17" s="237">
        <f>'Spa &amp; Fitness'!R17</f>
        <v>59532.759999999995</v>
      </c>
      <c r="S17" s="237">
        <f t="shared" si="8"/>
        <v>0.60484795643176836</v>
      </c>
      <c r="T17" s="237"/>
      <c r="U17" s="237"/>
      <c r="V17" s="237"/>
      <c r="W17" s="237"/>
      <c r="X17" s="237"/>
      <c r="Y17" s="237"/>
      <c r="Z17" s="237"/>
      <c r="AA17" s="95"/>
      <c r="AB17" s="96"/>
      <c r="AC17" s="96"/>
      <c r="AD17" s="96"/>
      <c r="AE17" s="96"/>
      <c r="AF17" s="97"/>
      <c r="AG17" s="95"/>
      <c r="AH17" s="96"/>
      <c r="AI17" s="95"/>
      <c r="AJ17" s="96"/>
      <c r="AK17" s="95"/>
      <c r="AL17" s="96"/>
      <c r="AM17" s="95"/>
      <c r="AN17" s="98"/>
      <c r="AO17" s="96"/>
      <c r="AP17" s="96"/>
      <c r="AQ17" s="95"/>
      <c r="AR17" s="98"/>
      <c r="AS17" s="96"/>
      <c r="AT17" s="96"/>
      <c r="AU17" s="95"/>
      <c r="AV17" s="98"/>
      <c r="AW17" s="95"/>
      <c r="AX17" s="98"/>
      <c r="AY17" s="95"/>
      <c r="AZ17" s="98"/>
      <c r="BA17" s="95"/>
      <c r="BB17" s="98"/>
      <c r="BC17" s="95"/>
      <c r="BD17" s="96"/>
      <c r="BE17" s="95"/>
      <c r="BF17" s="98"/>
      <c r="BG17" s="95"/>
      <c r="BH17" s="98"/>
      <c r="BI17" s="95"/>
      <c r="BJ17" s="98"/>
      <c r="BK17" s="95"/>
      <c r="BL17" s="98"/>
      <c r="BM17" s="95"/>
      <c r="BN17" s="98"/>
      <c r="BO17" s="95"/>
      <c r="BP17" s="98"/>
      <c r="BQ17" s="96"/>
      <c r="BR17" s="98"/>
      <c r="BS17" s="99"/>
      <c r="BT17" s="95"/>
      <c r="BU17" s="96"/>
      <c r="BV17" s="96"/>
      <c r="BW17" s="98"/>
    </row>
    <row r="18" spans="1:75" ht="11.25" customHeight="1">
      <c r="A18" s="237">
        <f>OOD!A19</f>
        <v>207612.13</v>
      </c>
      <c r="B18" s="237">
        <f t="shared" si="1"/>
        <v>2.4934133027705485</v>
      </c>
      <c r="C18" s="237">
        <f>OOD!C19</f>
        <v>-224447.74000000002</v>
      </c>
      <c r="D18" s="237">
        <f t="shared" si="2"/>
        <v>2.5917996085030235</v>
      </c>
      <c r="E18" s="237">
        <f>OOD!E19</f>
        <v>0</v>
      </c>
      <c r="F18" s="237">
        <f t="shared" si="3"/>
        <v>0</v>
      </c>
      <c r="G18" s="237">
        <f>OOD!G19</f>
        <v>224447.74000000002</v>
      </c>
      <c r="H18" s="237">
        <f t="shared" si="4"/>
        <v>2.5917996085030235</v>
      </c>
      <c r="I18" s="237"/>
      <c r="J18" s="253" t="s">
        <v>537</v>
      </c>
      <c r="K18" s="237"/>
      <c r="L18" s="237">
        <f>OOD!L19</f>
        <v>224447.74000000002</v>
      </c>
      <c r="M18" s="237">
        <f t="shared" si="5"/>
        <v>2.1946495735083151</v>
      </c>
      <c r="N18" s="237">
        <f>OOD!N19</f>
        <v>0</v>
      </c>
      <c r="O18" s="254">
        <f t="shared" si="6"/>
        <v>0</v>
      </c>
      <c r="P18" s="237">
        <f>OOD!P19</f>
        <v>-224447.74000000002</v>
      </c>
      <c r="Q18" s="237">
        <f t="shared" si="7"/>
        <v>2.1946495735083151</v>
      </c>
      <c r="R18" s="237">
        <f>OOD!R19</f>
        <v>207612.13</v>
      </c>
      <c r="S18" s="237">
        <f t="shared" si="8"/>
        <v>2.1093222044626629</v>
      </c>
      <c r="T18" s="237"/>
      <c r="U18" s="237"/>
      <c r="V18" s="237"/>
      <c r="W18" s="237"/>
      <c r="X18" s="237"/>
      <c r="Y18" s="237"/>
      <c r="Z18" s="237"/>
      <c r="AA18" s="95"/>
      <c r="AB18" s="96"/>
      <c r="AC18" s="96"/>
      <c r="AD18" s="96"/>
      <c r="AE18" s="96"/>
      <c r="AF18" s="97"/>
      <c r="AG18" s="95"/>
      <c r="AH18" s="96"/>
      <c r="AI18" s="95"/>
      <c r="AJ18" s="96"/>
      <c r="AK18" s="95"/>
      <c r="AL18" s="96"/>
      <c r="AM18" s="95"/>
      <c r="AN18" s="98"/>
      <c r="AO18" s="96"/>
      <c r="AP18" s="96"/>
      <c r="AQ18" s="95"/>
      <c r="AR18" s="98"/>
      <c r="AS18" s="96"/>
      <c r="AT18" s="96"/>
      <c r="AU18" s="95"/>
      <c r="AV18" s="98"/>
      <c r="AW18" s="95"/>
      <c r="AX18" s="98"/>
      <c r="AY18" s="95"/>
      <c r="AZ18" s="98"/>
      <c r="BA18" s="95"/>
      <c r="BB18" s="98"/>
      <c r="BC18" s="95"/>
      <c r="BD18" s="96"/>
      <c r="BE18" s="95"/>
      <c r="BF18" s="98"/>
      <c r="BG18" s="95"/>
      <c r="BH18" s="98"/>
      <c r="BI18" s="95"/>
      <c r="BJ18" s="98"/>
      <c r="BK18" s="95"/>
      <c r="BL18" s="98"/>
      <c r="BM18" s="95"/>
      <c r="BN18" s="98"/>
      <c r="BO18" s="95"/>
      <c r="BP18" s="98"/>
      <c r="BQ18" s="96"/>
      <c r="BR18" s="98"/>
      <c r="BS18" s="99"/>
      <c r="BT18" s="95"/>
      <c r="BU18" s="96"/>
      <c r="BV18" s="96"/>
      <c r="BW18" s="98"/>
    </row>
    <row r="19" spans="1:75" ht="13.5" customHeight="1">
      <c r="A19" s="255">
        <f>SUM(A15:A18)</f>
        <v>8326422.6499999994</v>
      </c>
      <c r="B19" s="256">
        <f t="shared" si="1"/>
        <v>100</v>
      </c>
      <c r="C19" s="256">
        <f>SUM(C15:C18)</f>
        <v>-8659918.7400000021</v>
      </c>
      <c r="D19" s="256">
        <f t="shared" si="2"/>
        <v>100</v>
      </c>
      <c r="E19" s="256">
        <f>SUM(E15:E18)</f>
        <v>0</v>
      </c>
      <c r="F19" s="256">
        <f t="shared" si="3"/>
        <v>0</v>
      </c>
      <c r="G19" s="256">
        <f>SUM(G15:G18)</f>
        <v>8659918.7400000021</v>
      </c>
      <c r="H19" s="256">
        <f t="shared" si="4"/>
        <v>100</v>
      </c>
      <c r="I19" s="257"/>
      <c r="J19" s="258" t="s">
        <v>538</v>
      </c>
      <c r="K19" s="259"/>
      <c r="L19" s="256">
        <f>SUM(L15:L18)</f>
        <v>10227042.290000001</v>
      </c>
      <c r="M19" s="256">
        <f t="shared" si="5"/>
        <v>100</v>
      </c>
      <c r="N19" s="256">
        <f>SUM(N15:N18)</f>
        <v>0</v>
      </c>
      <c r="O19" s="260">
        <f t="shared" si="6"/>
        <v>0</v>
      </c>
      <c r="P19" s="256">
        <f>SUM(P15:P18)</f>
        <v>-10227042.290000001</v>
      </c>
      <c r="Q19" s="256">
        <f t="shared" si="7"/>
        <v>100</v>
      </c>
      <c r="R19" s="256">
        <f>SUM(R15:R18)</f>
        <v>9842599.1799999997</v>
      </c>
      <c r="S19" s="261">
        <f t="shared" si="8"/>
        <v>100</v>
      </c>
      <c r="T19" s="262"/>
      <c r="U19" s="262"/>
      <c r="V19" s="262"/>
      <c r="W19" s="262"/>
      <c r="X19" s="262"/>
      <c r="Y19" s="262"/>
      <c r="Z19" s="262"/>
      <c r="AA19" s="95"/>
      <c r="AB19" s="96"/>
      <c r="AC19" s="96"/>
      <c r="AD19" s="96"/>
      <c r="AE19" s="96"/>
      <c r="AF19" s="97"/>
      <c r="AG19" s="95"/>
      <c r="AH19" s="96"/>
      <c r="AI19" s="95"/>
      <c r="AJ19" s="96"/>
      <c r="AK19" s="95"/>
      <c r="AL19" s="96"/>
      <c r="AM19" s="95"/>
      <c r="AN19" s="98"/>
      <c r="AO19" s="96"/>
      <c r="AP19" s="96"/>
      <c r="AQ19" s="95"/>
      <c r="AR19" s="98"/>
      <c r="AS19" s="96"/>
      <c r="AT19" s="96"/>
      <c r="AU19" s="95"/>
      <c r="AV19" s="98"/>
      <c r="AW19" s="95"/>
      <c r="AX19" s="98"/>
      <c r="AY19" s="95"/>
      <c r="AZ19" s="98"/>
      <c r="BA19" s="95"/>
      <c r="BB19" s="98"/>
      <c r="BC19" s="95"/>
      <c r="BD19" s="96"/>
      <c r="BE19" s="95"/>
      <c r="BF19" s="98"/>
      <c r="BG19" s="95"/>
      <c r="BH19" s="98"/>
      <c r="BI19" s="95"/>
      <c r="BJ19" s="98"/>
      <c r="BK19" s="95"/>
      <c r="BL19" s="98"/>
      <c r="BM19" s="95"/>
      <c r="BN19" s="98"/>
      <c r="BO19" s="95"/>
      <c r="BP19" s="98"/>
      <c r="BQ19" s="96"/>
      <c r="BR19" s="98"/>
      <c r="BS19" s="99"/>
      <c r="BT19" s="95"/>
      <c r="BU19" s="96"/>
      <c r="BV19" s="96"/>
      <c r="BW19" s="98"/>
    </row>
    <row r="20" spans="1:75" ht="12.75" customHeight="1">
      <c r="A20" s="237"/>
      <c r="B20" s="237"/>
      <c r="C20" s="237"/>
      <c r="D20" s="237"/>
      <c r="E20" s="237"/>
      <c r="F20" s="237"/>
      <c r="G20" s="237"/>
      <c r="H20" s="237"/>
      <c r="I20" s="237"/>
      <c r="J20" s="263" t="s">
        <v>539</v>
      </c>
      <c r="K20" s="263"/>
      <c r="L20" s="237"/>
      <c r="M20" s="237"/>
      <c r="N20" s="237"/>
      <c r="O20" s="254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  <c r="AA20" s="95"/>
      <c r="AB20" s="96"/>
      <c r="AC20" s="96"/>
      <c r="AD20" s="96"/>
      <c r="AE20" s="96"/>
      <c r="AF20" s="97"/>
      <c r="AG20" s="95"/>
      <c r="AH20" s="96"/>
      <c r="AI20" s="95"/>
      <c r="AJ20" s="96"/>
      <c r="AK20" s="95"/>
      <c r="AL20" s="96"/>
      <c r="AM20" s="95"/>
      <c r="AN20" s="98"/>
      <c r="AO20" s="96"/>
      <c r="AP20" s="96"/>
      <c r="AQ20" s="95"/>
      <c r="AR20" s="98"/>
      <c r="AS20" s="96"/>
      <c r="AT20" s="96"/>
      <c r="AU20" s="95"/>
      <c r="AV20" s="98"/>
      <c r="AW20" s="95"/>
      <c r="AX20" s="98"/>
      <c r="AY20" s="95"/>
      <c r="AZ20" s="98"/>
      <c r="BA20" s="95"/>
      <c r="BB20" s="98"/>
      <c r="BC20" s="95"/>
      <c r="BD20" s="96"/>
      <c r="BE20" s="95"/>
      <c r="BF20" s="98"/>
      <c r="BG20" s="95"/>
      <c r="BH20" s="98"/>
      <c r="BI20" s="95"/>
      <c r="BJ20" s="98"/>
      <c r="BK20" s="95"/>
      <c r="BL20" s="98"/>
      <c r="BM20" s="95"/>
      <c r="BN20" s="98"/>
      <c r="BO20" s="95"/>
      <c r="BP20" s="98"/>
      <c r="BQ20" s="96"/>
      <c r="BR20" s="98"/>
      <c r="BS20" s="99"/>
      <c r="BT20" s="95"/>
      <c r="BU20" s="96"/>
      <c r="BV20" s="96"/>
      <c r="BW20" s="98"/>
    </row>
    <row r="21" spans="1:75" ht="11.25" customHeight="1">
      <c r="A21" s="237">
        <f>'F&amp;B'!A23</f>
        <v>263952.68</v>
      </c>
      <c r="B21" s="237">
        <f t="shared" ref="B21:B24" si="9">IF(A21=0,0,(A21*100/A$19))</f>
        <v>3.1700610345548581</v>
      </c>
      <c r="C21" s="237">
        <f>'F&amp;B'!C23</f>
        <v>-153250.75</v>
      </c>
      <c r="D21" s="237">
        <f t="shared" ref="D21:D24" si="10">IF(C21=0,0,(C21*100/C$19))</f>
        <v>1.7696557508344468</v>
      </c>
      <c r="E21" s="237">
        <f>'F&amp;B'!E23</f>
        <v>0</v>
      </c>
      <c r="F21" s="237">
        <f t="shared" ref="F21:F24" si="11">IF(E21=0,0,(E21*100/E$19))</f>
        <v>0</v>
      </c>
      <c r="G21" s="237">
        <f>'F&amp;B'!G23</f>
        <v>153250.75</v>
      </c>
      <c r="H21" s="237">
        <f>IF(G21=0,0,(G21*100/G$16))</f>
        <v>29.86091467791513</v>
      </c>
      <c r="I21" s="237"/>
      <c r="J21" s="253" t="s">
        <v>535</v>
      </c>
      <c r="K21" s="237"/>
      <c r="L21" s="237">
        <f>'F&amp;B'!L23</f>
        <v>153250.75</v>
      </c>
      <c r="M21" s="237">
        <f>IF(L21=0,0,(L21*100/L$16))</f>
        <v>7.3666248218787675</v>
      </c>
      <c r="N21" s="237">
        <f>'F&amp;B'!N23</f>
        <v>0</v>
      </c>
      <c r="O21" s="254">
        <f t="shared" ref="O21:O24" si="12">IF(N21=0,0,(N21*100/N$19))</f>
        <v>0</v>
      </c>
      <c r="P21" s="237">
        <f>'F&amp;B'!P23</f>
        <v>-153250.75</v>
      </c>
      <c r="Q21" s="237">
        <f t="shared" ref="Q21:Q24" si="13">IF(P21=0,0,(P21*100/P$19))</f>
        <v>1.4984855411211953</v>
      </c>
      <c r="R21" s="237">
        <f>'F&amp;B'!R23</f>
        <v>263952.68</v>
      </c>
      <c r="S21" s="237">
        <f t="shared" ref="S21:S24" si="14">IF(R21=0,0,(R21*100/R$19))</f>
        <v>2.6817375692423555</v>
      </c>
      <c r="T21" s="237"/>
      <c r="U21" s="237"/>
      <c r="V21" s="237"/>
      <c r="W21" s="237"/>
      <c r="X21" s="237"/>
      <c r="Y21" s="237"/>
      <c r="Z21" s="237"/>
      <c r="AA21" s="95"/>
      <c r="AB21" s="96"/>
      <c r="AC21" s="96"/>
      <c r="AD21" s="96"/>
      <c r="AE21" s="96"/>
      <c r="AF21" s="97"/>
      <c r="AG21" s="95"/>
      <c r="AH21" s="96"/>
      <c r="AI21" s="95"/>
      <c r="AJ21" s="96"/>
      <c r="AK21" s="95"/>
      <c r="AL21" s="96"/>
      <c r="AM21" s="95"/>
      <c r="AN21" s="98"/>
      <c r="AO21" s="96"/>
      <c r="AP21" s="96"/>
      <c r="AQ21" s="95"/>
      <c r="AR21" s="98"/>
      <c r="AS21" s="96"/>
      <c r="AT21" s="96"/>
      <c r="AU21" s="95"/>
      <c r="AV21" s="98"/>
      <c r="AW21" s="95"/>
      <c r="AX21" s="98"/>
      <c r="AY21" s="95"/>
      <c r="AZ21" s="98"/>
      <c r="BA21" s="95"/>
      <c r="BB21" s="98"/>
      <c r="BC21" s="95"/>
      <c r="BD21" s="96"/>
      <c r="BE21" s="95"/>
      <c r="BF21" s="98"/>
      <c r="BG21" s="95"/>
      <c r="BH21" s="98"/>
      <c r="BI21" s="95"/>
      <c r="BJ21" s="98"/>
      <c r="BK21" s="95"/>
      <c r="BL21" s="98"/>
      <c r="BM21" s="95"/>
      <c r="BN21" s="98"/>
      <c r="BO21" s="95"/>
      <c r="BP21" s="98"/>
      <c r="BQ21" s="96"/>
      <c r="BR21" s="98"/>
      <c r="BS21" s="99"/>
      <c r="BT21" s="95"/>
      <c r="BU21" s="96"/>
      <c r="BV21" s="96"/>
      <c r="BW21" s="98"/>
    </row>
    <row r="22" spans="1:75" ht="11.25" customHeight="1">
      <c r="A22" s="237">
        <f>'Spa &amp; Fitness'!A27</f>
        <v>27684.35</v>
      </c>
      <c r="B22" s="237">
        <f t="shared" si="9"/>
        <v>0.33248792625245849</v>
      </c>
      <c r="C22" s="237">
        <f>'Spa &amp; Fitness'!C27</f>
        <v>0</v>
      </c>
      <c r="D22" s="237">
        <f t="shared" si="10"/>
        <v>0</v>
      </c>
      <c r="E22" s="237">
        <f>'Spa &amp; Fitness'!E27</f>
        <v>0</v>
      </c>
      <c r="F22" s="237">
        <f t="shared" si="11"/>
        <v>0</v>
      </c>
      <c r="G22" s="237">
        <f>'Spa &amp; Fitness'!G27</f>
        <v>0</v>
      </c>
      <c r="H22" s="237">
        <f>IF(G22=0,0,(G22*100/G$17))</f>
        <v>0</v>
      </c>
      <c r="I22" s="237"/>
      <c r="J22" s="253" t="s">
        <v>536</v>
      </c>
      <c r="K22" s="237"/>
      <c r="L22" s="237">
        <f>'Spa &amp; Fitness'!L27</f>
        <v>0</v>
      </c>
      <c r="M22" s="237">
        <f>IF(L22=0,0,(L22*100/L$17))</f>
        <v>0</v>
      </c>
      <c r="N22" s="237">
        <f>'Spa &amp; Fitness'!N27</f>
        <v>0</v>
      </c>
      <c r="O22" s="254">
        <f t="shared" si="12"/>
        <v>0</v>
      </c>
      <c r="P22" s="237">
        <f>'Spa &amp; Fitness'!P27</f>
        <v>0</v>
      </c>
      <c r="Q22" s="237">
        <f t="shared" si="13"/>
        <v>0</v>
      </c>
      <c r="R22" s="237">
        <f>'Spa &amp; Fitness'!R27</f>
        <v>27684.35</v>
      </c>
      <c r="S22" s="237">
        <f t="shared" si="14"/>
        <v>0.28127072426411659</v>
      </c>
      <c r="T22" s="237"/>
      <c r="U22" s="237"/>
      <c r="V22" s="237"/>
      <c r="W22" s="237"/>
      <c r="X22" s="237"/>
      <c r="Y22" s="237"/>
      <c r="Z22" s="237"/>
      <c r="AA22" s="95"/>
      <c r="AB22" s="96"/>
      <c r="AC22" s="96"/>
      <c r="AD22" s="96"/>
      <c r="AE22" s="96"/>
      <c r="AF22" s="97"/>
      <c r="AG22" s="95"/>
      <c r="AH22" s="96"/>
      <c r="AI22" s="95"/>
      <c r="AJ22" s="96"/>
      <c r="AK22" s="95"/>
      <c r="AL22" s="96"/>
      <c r="AM22" s="95"/>
      <c r="AN22" s="98"/>
      <c r="AO22" s="96"/>
      <c r="AP22" s="96"/>
      <c r="AQ22" s="95"/>
      <c r="AR22" s="98"/>
      <c r="AS22" s="96"/>
      <c r="AT22" s="96"/>
      <c r="AU22" s="95"/>
      <c r="AV22" s="98"/>
      <c r="AW22" s="95"/>
      <c r="AX22" s="98"/>
      <c r="AY22" s="95"/>
      <c r="AZ22" s="98"/>
      <c r="BA22" s="95"/>
      <c r="BB22" s="98"/>
      <c r="BC22" s="95"/>
      <c r="BD22" s="96"/>
      <c r="BE22" s="95"/>
      <c r="BF22" s="98"/>
      <c r="BG22" s="95"/>
      <c r="BH22" s="98"/>
      <c r="BI22" s="95"/>
      <c r="BJ22" s="98"/>
      <c r="BK22" s="95"/>
      <c r="BL22" s="98"/>
      <c r="BM22" s="95"/>
      <c r="BN22" s="98"/>
      <c r="BO22" s="95"/>
      <c r="BP22" s="98"/>
      <c r="BQ22" s="96"/>
      <c r="BR22" s="98"/>
      <c r="BS22" s="99"/>
      <c r="BT22" s="95"/>
      <c r="BU22" s="96"/>
      <c r="BV22" s="96"/>
      <c r="BW22" s="98"/>
    </row>
    <row r="23" spans="1:75" ht="11.25" customHeight="1">
      <c r="A23" s="237">
        <f>OOD!A31</f>
        <v>12536.48</v>
      </c>
      <c r="B23" s="237">
        <f t="shared" si="9"/>
        <v>0.15056261886970151</v>
      </c>
      <c r="C23" s="237">
        <f>OOD!C31</f>
        <v>-52136.89</v>
      </c>
      <c r="D23" s="237">
        <f t="shared" si="10"/>
        <v>0.60204825894243885</v>
      </c>
      <c r="E23" s="237">
        <f>OOD!E31</f>
        <v>0</v>
      </c>
      <c r="F23" s="237">
        <f t="shared" si="11"/>
        <v>0</v>
      </c>
      <c r="G23" s="237">
        <f>OOD!G31</f>
        <v>52136.89</v>
      </c>
      <c r="H23" s="237">
        <f>IF(G23=0,0,(G23*100/G$18))</f>
        <v>23.228966350919816</v>
      </c>
      <c r="I23" s="237"/>
      <c r="J23" s="253" t="s">
        <v>540</v>
      </c>
      <c r="K23" s="237"/>
      <c r="L23" s="237">
        <f>OOD!L31</f>
        <v>52136.89</v>
      </c>
      <c r="M23" s="237">
        <f>IF(L23=0,0,(L23*100/L$18))</f>
        <v>23.228966350919816</v>
      </c>
      <c r="N23" s="237">
        <f>OOD!N31</f>
        <v>0</v>
      </c>
      <c r="O23" s="254">
        <f t="shared" si="12"/>
        <v>0</v>
      </c>
      <c r="P23" s="237">
        <f>OOD!P31</f>
        <v>-52136.89</v>
      </c>
      <c r="Q23" s="237">
        <f t="shared" si="13"/>
        <v>0.50979441095085165</v>
      </c>
      <c r="R23" s="237">
        <f>OOD!R31</f>
        <v>12536.48</v>
      </c>
      <c r="S23" s="237">
        <f t="shared" si="14"/>
        <v>0.12736960807541489</v>
      </c>
      <c r="T23" s="237"/>
      <c r="U23" s="237"/>
      <c r="V23" s="237"/>
      <c r="W23" s="237"/>
      <c r="X23" s="237"/>
      <c r="Y23" s="237"/>
      <c r="Z23" s="237"/>
      <c r="AA23" s="95"/>
      <c r="AB23" s="96"/>
      <c r="AC23" s="96"/>
      <c r="AD23" s="96"/>
      <c r="AE23" s="96"/>
      <c r="AF23" s="97"/>
      <c r="AG23" s="95"/>
      <c r="AH23" s="96"/>
      <c r="AI23" s="95"/>
      <c r="AJ23" s="96"/>
      <c r="AK23" s="95"/>
      <c r="AL23" s="96"/>
      <c r="AM23" s="95"/>
      <c r="AN23" s="98"/>
      <c r="AO23" s="96"/>
      <c r="AP23" s="96"/>
      <c r="AQ23" s="95"/>
      <c r="AR23" s="98"/>
      <c r="AS23" s="96"/>
      <c r="AT23" s="96"/>
      <c r="AU23" s="95"/>
      <c r="AV23" s="98"/>
      <c r="AW23" s="95"/>
      <c r="AX23" s="98"/>
      <c r="AY23" s="95"/>
      <c r="AZ23" s="98"/>
      <c r="BA23" s="95"/>
      <c r="BB23" s="98"/>
      <c r="BC23" s="95"/>
      <c r="BD23" s="96"/>
      <c r="BE23" s="95"/>
      <c r="BF23" s="98"/>
      <c r="BG23" s="95"/>
      <c r="BH23" s="98"/>
      <c r="BI23" s="95"/>
      <c r="BJ23" s="98"/>
      <c r="BK23" s="95"/>
      <c r="BL23" s="98"/>
      <c r="BM23" s="95"/>
      <c r="BN23" s="98"/>
      <c r="BO23" s="95"/>
      <c r="BP23" s="98"/>
      <c r="BQ23" s="96"/>
      <c r="BR23" s="98"/>
      <c r="BS23" s="99"/>
      <c r="BT23" s="95"/>
      <c r="BU23" s="96"/>
      <c r="BV23" s="96"/>
      <c r="BW23" s="98"/>
    </row>
    <row r="24" spans="1:75" ht="13.5" customHeight="1">
      <c r="A24" s="255">
        <f>SUM(A20:A23)</f>
        <v>304173.50999999995</v>
      </c>
      <c r="B24" s="256">
        <f t="shared" si="9"/>
        <v>3.6531115796770175</v>
      </c>
      <c r="C24" s="256">
        <f>SUM(C20:C23)</f>
        <v>-205387.64</v>
      </c>
      <c r="D24" s="256">
        <f t="shared" si="10"/>
        <v>2.3717040097768858</v>
      </c>
      <c r="E24" s="256">
        <f>SUM(E20:E23)</f>
        <v>0</v>
      </c>
      <c r="F24" s="256">
        <f t="shared" si="11"/>
        <v>0</v>
      </c>
      <c r="G24" s="256">
        <f>SUM(G20:G23)</f>
        <v>205387.64</v>
      </c>
      <c r="H24" s="256">
        <f>IF(G24=0,0,(G24*100/G$19))</f>
        <v>2.3717040097768858</v>
      </c>
      <c r="I24" s="257"/>
      <c r="J24" s="258" t="s">
        <v>541</v>
      </c>
      <c r="K24" s="259"/>
      <c r="L24" s="256">
        <f>SUM(L20:L23)</f>
        <v>205387.64</v>
      </c>
      <c r="M24" s="256">
        <f>IF(L24=0,0,(L24*100/L$19))</f>
        <v>2.0082799520720469</v>
      </c>
      <c r="N24" s="256">
        <f>SUM(N20:N23)</f>
        <v>0</v>
      </c>
      <c r="O24" s="260">
        <f t="shared" si="12"/>
        <v>0</v>
      </c>
      <c r="P24" s="256">
        <f>SUM(P20:P23)</f>
        <v>-205387.64</v>
      </c>
      <c r="Q24" s="256">
        <f t="shared" si="13"/>
        <v>2.0082799520720469</v>
      </c>
      <c r="R24" s="257">
        <f>SUM(R20:R23)</f>
        <v>304173.50999999995</v>
      </c>
      <c r="S24" s="261">
        <f t="shared" si="14"/>
        <v>3.0903779015818866</v>
      </c>
      <c r="T24" s="262"/>
      <c r="U24" s="262"/>
      <c r="V24" s="262"/>
      <c r="W24" s="262"/>
      <c r="X24" s="262"/>
      <c r="Y24" s="262"/>
      <c r="Z24" s="262"/>
      <c r="AA24" s="95"/>
      <c r="AB24" s="96"/>
      <c r="AC24" s="96"/>
      <c r="AD24" s="96"/>
      <c r="AE24" s="96"/>
      <c r="AF24" s="97"/>
      <c r="AG24" s="95"/>
      <c r="AH24" s="96"/>
      <c r="AI24" s="95"/>
      <c r="AJ24" s="96"/>
      <c r="AK24" s="95"/>
      <c r="AL24" s="96"/>
      <c r="AM24" s="95"/>
      <c r="AN24" s="98"/>
      <c r="AO24" s="96"/>
      <c r="AP24" s="96"/>
      <c r="AQ24" s="95"/>
      <c r="AR24" s="98"/>
      <c r="AS24" s="96"/>
      <c r="AT24" s="96"/>
      <c r="AU24" s="95"/>
      <c r="AV24" s="98"/>
      <c r="AW24" s="95"/>
      <c r="AX24" s="98"/>
      <c r="AY24" s="95"/>
      <c r="AZ24" s="98"/>
      <c r="BA24" s="95"/>
      <c r="BB24" s="98"/>
      <c r="BC24" s="95"/>
      <c r="BD24" s="96"/>
      <c r="BE24" s="95"/>
      <c r="BF24" s="98"/>
      <c r="BG24" s="95"/>
      <c r="BH24" s="98"/>
      <c r="BI24" s="95"/>
      <c r="BJ24" s="98"/>
      <c r="BK24" s="95"/>
      <c r="BL24" s="98"/>
      <c r="BM24" s="95"/>
      <c r="BN24" s="98"/>
      <c r="BO24" s="95"/>
      <c r="BP24" s="98"/>
      <c r="BQ24" s="96"/>
      <c r="BR24" s="98"/>
      <c r="BS24" s="99"/>
      <c r="BT24" s="95"/>
      <c r="BU24" s="96"/>
      <c r="BV24" s="96"/>
      <c r="BW24" s="98"/>
    </row>
    <row r="25" spans="1:75" ht="12.75" customHeight="1">
      <c r="A25" s="237"/>
      <c r="B25" s="237"/>
      <c r="C25" s="237"/>
      <c r="D25" s="237"/>
      <c r="E25" s="237"/>
      <c r="F25" s="237"/>
      <c r="G25" s="237"/>
      <c r="H25" s="237"/>
      <c r="I25" s="237"/>
      <c r="J25" s="263" t="s">
        <v>542</v>
      </c>
      <c r="K25" s="263"/>
      <c r="L25" s="237"/>
      <c r="M25" s="237"/>
      <c r="N25" s="237"/>
      <c r="O25" s="254"/>
      <c r="P25" s="237"/>
      <c r="Q25" s="237"/>
      <c r="R25" s="237"/>
      <c r="S25" s="237"/>
      <c r="T25" s="237"/>
      <c r="U25" s="237"/>
      <c r="V25" s="237"/>
      <c r="W25" s="237"/>
      <c r="X25" s="237"/>
      <c r="Y25" s="237"/>
      <c r="Z25" s="237"/>
      <c r="AA25" s="95"/>
      <c r="AB25" s="96"/>
      <c r="AC25" s="96"/>
      <c r="AD25" s="96"/>
      <c r="AE25" s="96"/>
      <c r="AF25" s="97"/>
      <c r="AG25" s="95"/>
      <c r="AH25" s="96"/>
      <c r="AI25" s="95"/>
      <c r="AJ25" s="96"/>
      <c r="AK25" s="95"/>
      <c r="AL25" s="96"/>
      <c r="AM25" s="95"/>
      <c r="AN25" s="98"/>
      <c r="AO25" s="96"/>
      <c r="AP25" s="96"/>
      <c r="AQ25" s="95"/>
      <c r="AR25" s="98"/>
      <c r="AS25" s="96"/>
      <c r="AT25" s="96"/>
      <c r="AU25" s="95"/>
      <c r="AV25" s="98"/>
      <c r="AW25" s="95"/>
      <c r="AX25" s="98"/>
      <c r="AY25" s="95"/>
      <c r="AZ25" s="98"/>
      <c r="BA25" s="95"/>
      <c r="BB25" s="98"/>
      <c r="BC25" s="95"/>
      <c r="BD25" s="96"/>
      <c r="BE25" s="95"/>
      <c r="BF25" s="98"/>
      <c r="BG25" s="95"/>
      <c r="BH25" s="98"/>
      <c r="BI25" s="95"/>
      <c r="BJ25" s="98"/>
      <c r="BK25" s="95"/>
      <c r="BL25" s="98"/>
      <c r="BM25" s="95"/>
      <c r="BN25" s="98"/>
      <c r="BO25" s="95"/>
      <c r="BP25" s="98"/>
      <c r="BQ25" s="96"/>
      <c r="BR25" s="98"/>
      <c r="BS25" s="99"/>
      <c r="BT25" s="95"/>
      <c r="BU25" s="96"/>
      <c r="BV25" s="96"/>
      <c r="BW25" s="98"/>
    </row>
    <row r="26" spans="1:75" ht="11.25" customHeight="1">
      <c r="A26" s="237">
        <f>Front!A26</f>
        <v>133133.34</v>
      </c>
      <c r="B26" s="237">
        <f t="shared" ref="B26:B30" si="15">IF(A26=0,0,(A26*100/A$19))</f>
        <v>1.5989260405847883</v>
      </c>
      <c r="C26" s="237">
        <f>Front!C26</f>
        <v>-137465.60999999999</v>
      </c>
      <c r="D26" s="237">
        <f t="shared" ref="D26:D30" si="16">IF(C26=0,0,(C26*100/C$19))</f>
        <v>1.5873775970327402</v>
      </c>
      <c r="E26" s="237">
        <f>Front!E26</f>
        <v>0</v>
      </c>
      <c r="F26" s="237">
        <f t="shared" ref="F26:F30" si="17">IF(E26=0,0,(E26*100/E$19))</f>
        <v>0</v>
      </c>
      <c r="G26" s="237">
        <f>'Sum Room'!G26</f>
        <v>289005.28000000003</v>
      </c>
      <c r="H26" s="237">
        <f t="shared" ref="H26:H30" si="18">IF(G26=0,0,(G26*100/G$19))</f>
        <v>3.3372747329035559</v>
      </c>
      <c r="I26" s="237"/>
      <c r="J26" s="253" t="s">
        <v>534</v>
      </c>
      <c r="K26" s="237"/>
      <c r="L26" s="237">
        <f>Front!L26</f>
        <v>137465.60999999999</v>
      </c>
      <c r="M26" s="237">
        <f t="shared" ref="M26:M30" si="19">IF(L26=0,0,(L26*100/L$19))</f>
        <v>1.3441384723168086</v>
      </c>
      <c r="N26" s="237">
        <f>Front!N26</f>
        <v>0</v>
      </c>
      <c r="O26" s="254">
        <f t="shared" ref="O26:O30" si="20">IF(N26=0,0,(N26*100/N$19))</f>
        <v>0</v>
      </c>
      <c r="P26" s="237">
        <f>Front!P26</f>
        <v>-137465.60999999999</v>
      </c>
      <c r="Q26" s="237">
        <f t="shared" ref="Q26:Q30" si="21">IF(P26=0,0,(P26*100/P$19))</f>
        <v>1.3441384723168086</v>
      </c>
      <c r="R26" s="237">
        <f>Front!R26</f>
        <v>133133.34</v>
      </c>
      <c r="S26" s="237">
        <f t="shared" ref="S26:S30" si="22">IF(R26=0,0,(R26*100/R$19))</f>
        <v>1.3526238096795078</v>
      </c>
      <c r="T26" s="237"/>
      <c r="U26" s="237"/>
      <c r="V26" s="237"/>
      <c r="W26" s="237"/>
      <c r="X26" s="237"/>
      <c r="Y26" s="237"/>
      <c r="Z26" s="237"/>
      <c r="AA26" s="95"/>
      <c r="AB26" s="96"/>
      <c r="AC26" s="96"/>
      <c r="AD26" s="96"/>
      <c r="AE26" s="96"/>
      <c r="AF26" s="97"/>
      <c r="AG26" s="95"/>
      <c r="AH26" s="96"/>
      <c r="AI26" s="95"/>
      <c r="AJ26" s="96"/>
      <c r="AK26" s="95"/>
      <c r="AL26" s="96"/>
      <c r="AM26" s="95"/>
      <c r="AN26" s="98"/>
      <c r="AO26" s="96"/>
      <c r="AP26" s="96"/>
      <c r="AQ26" s="95"/>
      <c r="AR26" s="98"/>
      <c r="AS26" s="96"/>
      <c r="AT26" s="96"/>
      <c r="AU26" s="95"/>
      <c r="AV26" s="98"/>
      <c r="AW26" s="95"/>
      <c r="AX26" s="98"/>
      <c r="AY26" s="95"/>
      <c r="AZ26" s="98"/>
      <c r="BA26" s="95"/>
      <c r="BB26" s="98"/>
      <c r="BC26" s="95"/>
      <c r="BD26" s="96"/>
      <c r="BE26" s="95"/>
      <c r="BF26" s="98"/>
      <c r="BG26" s="95"/>
      <c r="BH26" s="98"/>
      <c r="BI26" s="95"/>
      <c r="BJ26" s="98"/>
      <c r="BK26" s="95"/>
      <c r="BL26" s="98"/>
      <c r="BM26" s="95"/>
      <c r="BN26" s="98"/>
      <c r="BO26" s="95"/>
      <c r="BP26" s="98"/>
      <c r="BQ26" s="96"/>
      <c r="BR26" s="98"/>
      <c r="BS26" s="99"/>
      <c r="BT26" s="95"/>
      <c r="BU26" s="96"/>
      <c r="BV26" s="96"/>
      <c r="BW26" s="98"/>
    </row>
    <row r="27" spans="1:75" ht="11.25" customHeight="1">
      <c r="A27" s="237">
        <f>'F&amp;B'!A34</f>
        <v>104000</v>
      </c>
      <c r="B27" s="237">
        <f t="shared" si="15"/>
        <v>1.2490358029087079</v>
      </c>
      <c r="C27" s="237">
        <f>'F&amp;B'!C34</f>
        <v>-116934.33</v>
      </c>
      <c r="D27" s="237">
        <f t="shared" si="16"/>
        <v>1.350293617189299</v>
      </c>
      <c r="E27" s="237">
        <f>'F&amp;B'!E34</f>
        <v>0</v>
      </c>
      <c r="F27" s="237">
        <f t="shared" si="17"/>
        <v>0</v>
      </c>
      <c r="G27" s="237">
        <f>'F&amp;B'!G34</f>
        <v>116934.33</v>
      </c>
      <c r="H27" s="237">
        <f t="shared" si="18"/>
        <v>1.350293617189299</v>
      </c>
      <c r="I27" s="237"/>
      <c r="J27" s="253" t="s">
        <v>535</v>
      </c>
      <c r="K27" s="237"/>
      <c r="L27" s="237">
        <f>'F&amp;B'!L34</f>
        <v>116934.33</v>
      </c>
      <c r="M27" s="237">
        <f t="shared" si="19"/>
        <v>1.1433836556473258</v>
      </c>
      <c r="N27" s="237">
        <f>'F&amp;B'!N34</f>
        <v>0</v>
      </c>
      <c r="O27" s="254">
        <f t="shared" si="20"/>
        <v>0</v>
      </c>
      <c r="P27" s="237">
        <f>'F&amp;B'!P34</f>
        <v>-116934.33</v>
      </c>
      <c r="Q27" s="237">
        <f t="shared" si="21"/>
        <v>1.1433836556473258</v>
      </c>
      <c r="R27" s="237">
        <f>'F&amp;B'!R34</f>
        <v>104000</v>
      </c>
      <c r="S27" s="237">
        <f t="shared" si="22"/>
        <v>1.0566314659173188</v>
      </c>
      <c r="T27" s="237"/>
      <c r="U27" s="237"/>
      <c r="V27" s="237"/>
      <c r="W27" s="237"/>
      <c r="X27" s="237"/>
      <c r="Y27" s="237"/>
      <c r="Z27" s="237"/>
      <c r="AA27" s="95"/>
      <c r="AB27" s="96"/>
      <c r="AC27" s="96"/>
      <c r="AD27" s="96"/>
      <c r="AE27" s="96"/>
      <c r="AF27" s="97"/>
      <c r="AG27" s="95"/>
      <c r="AH27" s="96"/>
      <c r="AI27" s="95"/>
      <c r="AJ27" s="96"/>
      <c r="AK27" s="95"/>
      <c r="AL27" s="96"/>
      <c r="AM27" s="95"/>
      <c r="AN27" s="98"/>
      <c r="AO27" s="96"/>
      <c r="AP27" s="96"/>
      <c r="AQ27" s="95"/>
      <c r="AR27" s="98"/>
      <c r="AS27" s="96"/>
      <c r="AT27" s="96"/>
      <c r="AU27" s="95"/>
      <c r="AV27" s="98"/>
      <c r="AW27" s="95"/>
      <c r="AX27" s="98"/>
      <c r="AY27" s="95"/>
      <c r="AZ27" s="98"/>
      <c r="BA27" s="95"/>
      <c r="BB27" s="98"/>
      <c r="BC27" s="95"/>
      <c r="BD27" s="96"/>
      <c r="BE27" s="95"/>
      <c r="BF27" s="98"/>
      <c r="BG27" s="95"/>
      <c r="BH27" s="98"/>
      <c r="BI27" s="95"/>
      <c r="BJ27" s="98"/>
      <c r="BK27" s="95"/>
      <c r="BL27" s="98"/>
      <c r="BM27" s="95"/>
      <c r="BN27" s="98"/>
      <c r="BO27" s="95"/>
      <c r="BP27" s="98"/>
      <c r="BQ27" s="96"/>
      <c r="BR27" s="98"/>
      <c r="BS27" s="99"/>
      <c r="BT27" s="95"/>
      <c r="BU27" s="96"/>
      <c r="BV27" s="96"/>
      <c r="BW27" s="98"/>
    </row>
    <row r="28" spans="1:75" ht="11.25" customHeight="1">
      <c r="A28" s="237">
        <f>'Spa &amp; Fitness'!A34</f>
        <v>0</v>
      </c>
      <c r="B28" s="237">
        <f t="shared" si="15"/>
        <v>0</v>
      </c>
      <c r="C28" s="237">
        <f>'Spa &amp; Fitness'!C34</f>
        <v>0</v>
      </c>
      <c r="D28" s="237">
        <f t="shared" si="16"/>
        <v>0</v>
      </c>
      <c r="E28" s="237">
        <f>'Spa &amp; Fitness'!E34</f>
        <v>0</v>
      </c>
      <c r="F28" s="237">
        <f t="shared" si="17"/>
        <v>0</v>
      </c>
      <c r="G28" s="237">
        <f>+'Spa &amp; Fitness'!G34</f>
        <v>0</v>
      </c>
      <c r="H28" s="237">
        <f t="shared" si="18"/>
        <v>0</v>
      </c>
      <c r="I28" s="237"/>
      <c r="J28" s="237" t="s">
        <v>536</v>
      </c>
      <c r="K28" s="237"/>
      <c r="L28" s="237">
        <f>'Spa &amp; Fitness'!L34</f>
        <v>0</v>
      </c>
      <c r="M28" s="237">
        <f t="shared" si="19"/>
        <v>0</v>
      </c>
      <c r="N28" s="237">
        <f>'Spa &amp; Fitness'!N34</f>
        <v>0</v>
      </c>
      <c r="O28" s="254">
        <f t="shared" si="20"/>
        <v>0</v>
      </c>
      <c r="P28" s="237">
        <f>'Spa &amp; Fitness'!P34</f>
        <v>0</v>
      </c>
      <c r="Q28" s="237">
        <f t="shared" si="21"/>
        <v>0</v>
      </c>
      <c r="R28" s="237">
        <f>'Spa &amp; Fitness'!R34</f>
        <v>0</v>
      </c>
      <c r="S28" s="237">
        <f t="shared" si="22"/>
        <v>0</v>
      </c>
      <c r="T28" s="237"/>
      <c r="U28" s="237"/>
      <c r="V28" s="237"/>
      <c r="W28" s="237"/>
      <c r="X28" s="237"/>
      <c r="Y28" s="237"/>
      <c r="Z28" s="237"/>
      <c r="AA28" s="95"/>
      <c r="AB28" s="96"/>
      <c r="AC28" s="96"/>
      <c r="AD28" s="96"/>
      <c r="AE28" s="96"/>
      <c r="AF28" s="97"/>
      <c r="AG28" s="95"/>
      <c r="AH28" s="96"/>
      <c r="AI28" s="95"/>
      <c r="AJ28" s="96"/>
      <c r="AK28" s="95"/>
      <c r="AL28" s="96"/>
      <c r="AM28" s="95"/>
      <c r="AN28" s="98"/>
      <c r="AO28" s="96"/>
      <c r="AP28" s="96"/>
      <c r="AQ28" s="95"/>
      <c r="AR28" s="98"/>
      <c r="AS28" s="96"/>
      <c r="AT28" s="96"/>
      <c r="AU28" s="95"/>
      <c r="AV28" s="98"/>
      <c r="AW28" s="95"/>
      <c r="AX28" s="98"/>
      <c r="AY28" s="95"/>
      <c r="AZ28" s="98"/>
      <c r="BA28" s="95"/>
      <c r="BB28" s="98"/>
      <c r="BC28" s="95"/>
      <c r="BD28" s="96"/>
      <c r="BE28" s="95"/>
      <c r="BF28" s="98"/>
      <c r="BG28" s="95"/>
      <c r="BH28" s="98"/>
      <c r="BI28" s="95"/>
      <c r="BJ28" s="98"/>
      <c r="BK28" s="95"/>
      <c r="BL28" s="98"/>
      <c r="BM28" s="95"/>
      <c r="BN28" s="98"/>
      <c r="BO28" s="95"/>
      <c r="BP28" s="98"/>
      <c r="BQ28" s="96"/>
      <c r="BR28" s="98"/>
      <c r="BS28" s="99"/>
      <c r="BT28" s="95"/>
      <c r="BU28" s="96"/>
      <c r="BV28" s="96"/>
      <c r="BW28" s="98"/>
    </row>
    <row r="29" spans="1:75" ht="11.25" customHeight="1">
      <c r="A29" s="237">
        <f>OOD!A38</f>
        <v>0</v>
      </c>
      <c r="B29" s="237">
        <f t="shared" si="15"/>
        <v>0</v>
      </c>
      <c r="C29" s="237">
        <f>OOD!C38</f>
        <v>0</v>
      </c>
      <c r="D29" s="237">
        <f t="shared" si="16"/>
        <v>0</v>
      </c>
      <c r="E29" s="237">
        <f>OOD!E38</f>
        <v>0</v>
      </c>
      <c r="F29" s="237">
        <f t="shared" si="17"/>
        <v>0</v>
      </c>
      <c r="G29" s="237">
        <f>OOD!G38</f>
        <v>0</v>
      </c>
      <c r="H29" s="237">
        <f t="shared" si="18"/>
        <v>0</v>
      </c>
      <c r="I29" s="237"/>
      <c r="J29" s="253" t="s">
        <v>537</v>
      </c>
      <c r="K29" s="237"/>
      <c r="L29" s="237">
        <f>OOD!L38</f>
        <v>0</v>
      </c>
      <c r="M29" s="237">
        <f t="shared" si="19"/>
        <v>0</v>
      </c>
      <c r="N29" s="237">
        <f>OOD!N38</f>
        <v>0</v>
      </c>
      <c r="O29" s="254">
        <f t="shared" si="20"/>
        <v>0</v>
      </c>
      <c r="P29" s="237">
        <f>OOD!P38</f>
        <v>0</v>
      </c>
      <c r="Q29" s="237">
        <f t="shared" si="21"/>
        <v>0</v>
      </c>
      <c r="R29" s="237">
        <f>OOD!R38</f>
        <v>0</v>
      </c>
      <c r="S29" s="237">
        <f t="shared" si="22"/>
        <v>0</v>
      </c>
      <c r="T29" s="237"/>
      <c r="U29" s="237"/>
      <c r="V29" s="237"/>
      <c r="W29" s="237"/>
      <c r="X29" s="237"/>
      <c r="Y29" s="237"/>
      <c r="Z29" s="237"/>
      <c r="AA29" s="95"/>
      <c r="AB29" s="96"/>
      <c r="AC29" s="96"/>
      <c r="AD29" s="96"/>
      <c r="AE29" s="96"/>
      <c r="AF29" s="97"/>
      <c r="AG29" s="95"/>
      <c r="AH29" s="96"/>
      <c r="AI29" s="95"/>
      <c r="AJ29" s="96"/>
      <c r="AK29" s="95"/>
      <c r="AL29" s="96"/>
      <c r="AM29" s="95"/>
      <c r="AN29" s="98"/>
      <c r="AO29" s="96"/>
      <c r="AP29" s="96"/>
      <c r="AQ29" s="95"/>
      <c r="AR29" s="98"/>
      <c r="AS29" s="96"/>
      <c r="AT29" s="96"/>
      <c r="AU29" s="95"/>
      <c r="AV29" s="98"/>
      <c r="AW29" s="95"/>
      <c r="AX29" s="98"/>
      <c r="AY29" s="95"/>
      <c r="AZ29" s="98"/>
      <c r="BA29" s="95"/>
      <c r="BB29" s="98"/>
      <c r="BC29" s="95"/>
      <c r="BD29" s="96"/>
      <c r="BE29" s="95"/>
      <c r="BF29" s="98"/>
      <c r="BG29" s="95"/>
      <c r="BH29" s="98"/>
      <c r="BI29" s="95"/>
      <c r="BJ29" s="98"/>
      <c r="BK29" s="95"/>
      <c r="BL29" s="98"/>
      <c r="BM29" s="95"/>
      <c r="BN29" s="98"/>
      <c r="BO29" s="95"/>
      <c r="BP29" s="98"/>
      <c r="BQ29" s="96"/>
      <c r="BR29" s="98"/>
      <c r="BS29" s="99"/>
      <c r="BT29" s="95"/>
      <c r="BU29" s="96"/>
      <c r="BV29" s="96"/>
      <c r="BW29" s="98"/>
    </row>
    <row r="30" spans="1:75" ht="14.25" customHeight="1">
      <c r="A30" s="255">
        <f>SUM(A26:A29)</f>
        <v>237133.34</v>
      </c>
      <c r="B30" s="256">
        <f t="shared" si="15"/>
        <v>2.8479618434934961</v>
      </c>
      <c r="C30" s="256">
        <f>SUM(C26:C29)</f>
        <v>-254399.94</v>
      </c>
      <c r="D30" s="256">
        <f t="shared" si="16"/>
        <v>2.9376712142220396</v>
      </c>
      <c r="E30" s="256">
        <f>SUM(E26:E29)</f>
        <v>0</v>
      </c>
      <c r="F30" s="256">
        <f t="shared" si="17"/>
        <v>0</v>
      </c>
      <c r="G30" s="256">
        <f>SUM(G26:G29)</f>
        <v>405939.61000000004</v>
      </c>
      <c r="H30" s="256">
        <f t="shared" si="18"/>
        <v>4.6875683500928549</v>
      </c>
      <c r="I30" s="257"/>
      <c r="J30" s="264" t="s">
        <v>543</v>
      </c>
      <c r="K30" s="259"/>
      <c r="L30" s="256">
        <f>SUM(L26:L29)</f>
        <v>254399.94</v>
      </c>
      <c r="M30" s="256">
        <f t="shared" si="19"/>
        <v>2.4875221279641346</v>
      </c>
      <c r="N30" s="256">
        <f>SUM(N26:N29)</f>
        <v>0</v>
      </c>
      <c r="O30" s="260">
        <f t="shared" si="20"/>
        <v>0</v>
      </c>
      <c r="P30" s="256">
        <f>SUM(P26:P29)</f>
        <v>-254399.94</v>
      </c>
      <c r="Q30" s="256">
        <f t="shared" si="21"/>
        <v>2.4875221279641346</v>
      </c>
      <c r="R30" s="256">
        <f>SUM(R26:R29)</f>
        <v>237133.34</v>
      </c>
      <c r="S30" s="261">
        <f t="shared" si="22"/>
        <v>2.4092552755968266</v>
      </c>
      <c r="T30" s="262"/>
      <c r="U30" s="262"/>
      <c r="V30" s="262"/>
      <c r="W30" s="262"/>
      <c r="X30" s="262"/>
      <c r="Y30" s="262"/>
      <c r="Z30" s="262"/>
      <c r="AA30" s="95"/>
      <c r="AB30" s="96"/>
      <c r="AC30" s="96"/>
      <c r="AD30" s="96"/>
      <c r="AE30" s="96"/>
      <c r="AF30" s="97"/>
      <c r="AG30" s="95"/>
      <c r="AH30" s="96"/>
      <c r="AI30" s="95"/>
      <c r="AJ30" s="96"/>
      <c r="AK30" s="95"/>
      <c r="AL30" s="96"/>
      <c r="AM30" s="95"/>
      <c r="AN30" s="98"/>
      <c r="AO30" s="96"/>
      <c r="AP30" s="96"/>
      <c r="AQ30" s="95"/>
      <c r="AR30" s="98"/>
      <c r="AS30" s="96"/>
      <c r="AT30" s="96"/>
      <c r="AU30" s="95"/>
      <c r="AV30" s="98"/>
      <c r="AW30" s="95"/>
      <c r="AX30" s="98"/>
      <c r="AY30" s="95"/>
      <c r="AZ30" s="98"/>
      <c r="BA30" s="95"/>
      <c r="BB30" s="98"/>
      <c r="BC30" s="95"/>
      <c r="BD30" s="96"/>
      <c r="BE30" s="95"/>
      <c r="BF30" s="98"/>
      <c r="BG30" s="95"/>
      <c r="BH30" s="98"/>
      <c r="BI30" s="95"/>
      <c r="BJ30" s="98"/>
      <c r="BK30" s="95"/>
      <c r="BL30" s="98"/>
      <c r="BM30" s="95"/>
      <c r="BN30" s="98"/>
      <c r="BO30" s="95"/>
      <c r="BP30" s="98"/>
      <c r="BQ30" s="96"/>
      <c r="BR30" s="98"/>
      <c r="BS30" s="99"/>
      <c r="BT30" s="95"/>
      <c r="BU30" s="96"/>
      <c r="BV30" s="96"/>
      <c r="BW30" s="98"/>
    </row>
    <row r="31" spans="1:75" ht="12.75" customHeight="1">
      <c r="A31" s="237" t="s">
        <v>2</v>
      </c>
      <c r="B31" s="237"/>
      <c r="C31" s="237"/>
      <c r="D31" s="237"/>
      <c r="E31" s="237"/>
      <c r="F31" s="237"/>
      <c r="G31" s="237"/>
      <c r="H31" s="237"/>
      <c r="I31" s="237"/>
      <c r="J31" s="263" t="s">
        <v>544</v>
      </c>
      <c r="K31" s="263"/>
      <c r="L31" s="237"/>
      <c r="M31" s="237"/>
      <c r="N31" s="237"/>
      <c r="O31" s="254"/>
      <c r="P31" s="237"/>
      <c r="Q31" s="237"/>
      <c r="R31" s="237"/>
      <c r="S31" s="237"/>
      <c r="T31" s="237"/>
      <c r="U31" s="237"/>
      <c r="V31" s="237"/>
      <c r="W31" s="237"/>
      <c r="X31" s="237"/>
      <c r="Y31" s="237"/>
      <c r="Z31" s="237"/>
      <c r="AA31" s="95"/>
      <c r="AB31" s="96"/>
      <c r="AC31" s="96"/>
      <c r="AD31" s="96"/>
      <c r="AE31" s="96"/>
      <c r="AF31" s="97"/>
      <c r="AG31" s="95"/>
      <c r="AH31" s="96"/>
      <c r="AI31" s="95"/>
      <c r="AJ31" s="96"/>
      <c r="AK31" s="95"/>
      <c r="AL31" s="96"/>
      <c r="AM31" s="95"/>
      <c r="AN31" s="98"/>
      <c r="AO31" s="96"/>
      <c r="AP31" s="96"/>
      <c r="AQ31" s="95"/>
      <c r="AR31" s="98"/>
      <c r="AS31" s="96"/>
      <c r="AT31" s="96"/>
      <c r="AU31" s="95"/>
      <c r="AV31" s="98"/>
      <c r="AW31" s="95"/>
      <c r="AX31" s="98"/>
      <c r="AY31" s="95"/>
      <c r="AZ31" s="98"/>
      <c r="BA31" s="95"/>
      <c r="BB31" s="98"/>
      <c r="BC31" s="95"/>
      <c r="BD31" s="96"/>
      <c r="BE31" s="95"/>
      <c r="BF31" s="98"/>
      <c r="BG31" s="95"/>
      <c r="BH31" s="98"/>
      <c r="BI31" s="95"/>
      <c r="BJ31" s="98"/>
      <c r="BK31" s="95"/>
      <c r="BL31" s="98"/>
      <c r="BM31" s="95"/>
      <c r="BN31" s="98"/>
      <c r="BO31" s="95"/>
      <c r="BP31" s="98"/>
      <c r="BQ31" s="96"/>
      <c r="BR31" s="98"/>
      <c r="BS31" s="99"/>
      <c r="BT31" s="95"/>
      <c r="BU31" s="96"/>
      <c r="BV31" s="96"/>
      <c r="BW31" s="98"/>
    </row>
    <row r="32" spans="1:75" ht="12.75" customHeight="1">
      <c r="A32" s="237">
        <f>Front!A72</f>
        <v>227068.56</v>
      </c>
      <c r="B32" s="237">
        <f t="shared" ref="B32:B37" si="23">IF(A32=0,0,(A32*100/A$19))</f>
        <v>2.72708424187427</v>
      </c>
      <c r="C32" s="237">
        <f>Front!C72</f>
        <v>-30605.309999999998</v>
      </c>
      <c r="D32" s="237">
        <f t="shared" ref="D32:D37" si="24">IF(C32=0,0,(C32*100/C$19))</f>
        <v>0.35341336239836346</v>
      </c>
      <c r="E32" s="237">
        <f>Front!E72</f>
        <v>0</v>
      </c>
      <c r="F32" s="237">
        <f t="shared" ref="F32:F37" si="25">IF(E32=0,0,(E32*100/E$19))</f>
        <v>0</v>
      </c>
      <c r="G32" s="237">
        <f>'Sum Room'!G72</f>
        <v>1005211.12</v>
      </c>
      <c r="H32" s="237">
        <f t="shared" ref="H32:H37" si="26">IF(G32=0,0,(G32*100/G$19))</f>
        <v>11.607627625383467</v>
      </c>
      <c r="I32" s="237"/>
      <c r="J32" s="253" t="s">
        <v>534</v>
      </c>
      <c r="K32" s="237"/>
      <c r="L32" s="237">
        <f>Front!L72</f>
        <v>30605.309999999998</v>
      </c>
      <c r="M32" s="237">
        <f t="shared" ref="M32:M37" si="27">IF(L32=0,0,(L32*100/L$19))</f>
        <v>0.29925866278978686</v>
      </c>
      <c r="N32" s="237">
        <f>Front!N72</f>
        <v>0</v>
      </c>
      <c r="O32" s="254">
        <f t="shared" ref="O32:O37" si="28">IF(N32=0,0,(N32*100/N$19))</f>
        <v>0</v>
      </c>
      <c r="P32" s="237">
        <f>Front!P72</f>
        <v>-30605.309999999998</v>
      </c>
      <c r="Q32" s="237">
        <f t="shared" ref="Q32:Q37" si="29">IF(P32=0,0,(P32*100/P$19))</f>
        <v>0.29925866278978686</v>
      </c>
      <c r="R32" s="237">
        <f>Front!R72</f>
        <v>227068.56</v>
      </c>
      <c r="S32" s="237">
        <f t="shared" ref="S32:S37" si="30">IF(R32=0,0,(R32*100/R$19))</f>
        <v>2.3069979366974489</v>
      </c>
      <c r="T32" s="237"/>
      <c r="U32" s="237"/>
      <c r="V32" s="237"/>
      <c r="W32" s="237"/>
      <c r="X32" s="237"/>
      <c r="Y32" s="237"/>
      <c r="Z32" s="237"/>
      <c r="AA32" s="95"/>
      <c r="AB32" s="96"/>
      <c r="AC32" s="96"/>
      <c r="AD32" s="96"/>
      <c r="AE32" s="96"/>
      <c r="AF32" s="97"/>
      <c r="AG32" s="95"/>
      <c r="AH32" s="96"/>
      <c r="AI32" s="95"/>
      <c r="AJ32" s="96"/>
      <c r="AK32" s="95"/>
      <c r="AL32" s="96"/>
      <c r="AM32" s="95"/>
      <c r="AN32" s="98"/>
      <c r="AO32" s="96"/>
      <c r="AP32" s="96"/>
      <c r="AQ32" s="95"/>
      <c r="AR32" s="98"/>
      <c r="AS32" s="96"/>
      <c r="AT32" s="96"/>
      <c r="AU32" s="95"/>
      <c r="AV32" s="98"/>
      <c r="AW32" s="95"/>
      <c r="AX32" s="98"/>
      <c r="AY32" s="95"/>
      <c r="AZ32" s="98"/>
      <c r="BA32" s="95"/>
      <c r="BB32" s="98"/>
      <c r="BC32" s="95"/>
      <c r="BD32" s="96"/>
      <c r="BE32" s="95"/>
      <c r="BF32" s="98"/>
      <c r="BG32" s="95"/>
      <c r="BH32" s="98"/>
      <c r="BI32" s="95"/>
      <c r="BJ32" s="98"/>
      <c r="BK32" s="95"/>
      <c r="BL32" s="98"/>
      <c r="BM32" s="95"/>
      <c r="BN32" s="98"/>
      <c r="BO32" s="95"/>
      <c r="BP32" s="98"/>
      <c r="BQ32" s="96"/>
      <c r="BR32" s="98"/>
      <c r="BS32" s="99"/>
      <c r="BT32" s="95"/>
      <c r="BU32" s="96"/>
      <c r="BV32" s="96"/>
      <c r="BW32" s="98"/>
    </row>
    <row r="33" spans="1:75" ht="12.75" customHeight="1">
      <c r="A33" s="237">
        <f>'F&amp;B'!A77</f>
        <v>29066.17</v>
      </c>
      <c r="B33" s="237">
        <f t="shared" si="23"/>
        <v>0.34908352868683651</v>
      </c>
      <c r="C33" s="237">
        <f>'F&amp;B'!C77</f>
        <v>-73088.92</v>
      </c>
      <c r="D33" s="237">
        <f t="shared" si="24"/>
        <v>0.84399082941048453</v>
      </c>
      <c r="E33" s="237">
        <f>'F&amp;B'!E77</f>
        <v>0</v>
      </c>
      <c r="F33" s="237">
        <f t="shared" si="25"/>
        <v>0</v>
      </c>
      <c r="G33" s="237">
        <f>'F&amp;B'!G77</f>
        <v>73088.92</v>
      </c>
      <c r="H33" s="237">
        <f t="shared" si="26"/>
        <v>0.84399082941048453</v>
      </c>
      <c r="I33" s="237"/>
      <c r="J33" s="253" t="s">
        <v>535</v>
      </c>
      <c r="K33" s="237"/>
      <c r="L33" s="237">
        <f>'F&amp;B'!L77</f>
        <v>73088.92</v>
      </c>
      <c r="M33" s="237">
        <f t="shared" si="27"/>
        <v>0.7146633203176086</v>
      </c>
      <c r="N33" s="237">
        <f>'F&amp;B'!N77</f>
        <v>0</v>
      </c>
      <c r="O33" s="254">
        <f t="shared" si="28"/>
        <v>0</v>
      </c>
      <c r="P33" s="237">
        <f>'F&amp;B'!P77</f>
        <v>-73088.92</v>
      </c>
      <c r="Q33" s="237">
        <f t="shared" si="29"/>
        <v>0.7146633203176086</v>
      </c>
      <c r="R33" s="237">
        <f>'F&amp;B'!R77</f>
        <v>29066.17</v>
      </c>
      <c r="S33" s="237">
        <f t="shared" si="30"/>
        <v>0.29530990207405766</v>
      </c>
      <c r="T33" s="237"/>
      <c r="U33" s="237"/>
      <c r="V33" s="237"/>
      <c r="W33" s="237"/>
      <c r="X33" s="237"/>
      <c r="Y33" s="237"/>
      <c r="Z33" s="237"/>
      <c r="AA33" s="95"/>
      <c r="AB33" s="96"/>
      <c r="AC33" s="96"/>
      <c r="AD33" s="96"/>
      <c r="AE33" s="96"/>
      <c r="AF33" s="97"/>
      <c r="AG33" s="95"/>
      <c r="AH33" s="96"/>
      <c r="AI33" s="95"/>
      <c r="AJ33" s="96"/>
      <c r="AK33" s="95"/>
      <c r="AL33" s="96"/>
      <c r="AM33" s="95"/>
      <c r="AN33" s="98"/>
      <c r="AO33" s="96"/>
      <c r="AP33" s="96"/>
      <c r="AQ33" s="95"/>
      <c r="AR33" s="98"/>
      <c r="AS33" s="96"/>
      <c r="AT33" s="96"/>
      <c r="AU33" s="95"/>
      <c r="AV33" s="98"/>
      <c r="AW33" s="95"/>
      <c r="AX33" s="98"/>
      <c r="AY33" s="95"/>
      <c r="AZ33" s="98"/>
      <c r="BA33" s="95"/>
      <c r="BB33" s="98"/>
      <c r="BC33" s="95"/>
      <c r="BD33" s="96"/>
      <c r="BE33" s="95"/>
      <c r="BF33" s="98"/>
      <c r="BG33" s="95"/>
      <c r="BH33" s="98"/>
      <c r="BI33" s="95"/>
      <c r="BJ33" s="98"/>
      <c r="BK33" s="95"/>
      <c r="BL33" s="98"/>
      <c r="BM33" s="95"/>
      <c r="BN33" s="98"/>
      <c r="BO33" s="95"/>
      <c r="BP33" s="98"/>
      <c r="BQ33" s="96"/>
      <c r="BR33" s="98"/>
      <c r="BS33" s="99"/>
      <c r="BT33" s="95"/>
      <c r="BU33" s="96"/>
      <c r="BV33" s="96"/>
      <c r="BW33" s="98"/>
    </row>
    <row r="34" spans="1:75" ht="12.75" customHeight="1">
      <c r="A34" s="237">
        <f>'Spa &amp; Fitness'!A60</f>
        <v>0</v>
      </c>
      <c r="B34" s="237">
        <f t="shared" si="23"/>
        <v>0</v>
      </c>
      <c r="C34" s="237">
        <f>'Spa &amp; Fitness'!C60</f>
        <v>0</v>
      </c>
      <c r="D34" s="237">
        <f t="shared" si="24"/>
        <v>0</v>
      </c>
      <c r="E34" s="237">
        <f>'Spa &amp; Fitness'!E60</f>
        <v>0</v>
      </c>
      <c r="F34" s="237">
        <f t="shared" si="25"/>
        <v>0</v>
      </c>
      <c r="G34" s="237">
        <f>'Spa &amp; Fitness'!G60</f>
        <v>0</v>
      </c>
      <c r="H34" s="237">
        <f t="shared" si="26"/>
        <v>0</v>
      </c>
      <c r="I34" s="237"/>
      <c r="J34" s="237" t="s">
        <v>536</v>
      </c>
      <c r="K34" s="237"/>
      <c r="L34" s="237">
        <f>'Spa &amp; Fitness'!L60</f>
        <v>0</v>
      </c>
      <c r="M34" s="237">
        <f t="shared" si="27"/>
        <v>0</v>
      </c>
      <c r="N34" s="237">
        <f>'Spa &amp; Fitness'!N60</f>
        <v>0</v>
      </c>
      <c r="O34" s="254">
        <f t="shared" si="28"/>
        <v>0</v>
      </c>
      <c r="P34" s="237">
        <f>'Spa &amp; Fitness'!P60</f>
        <v>0</v>
      </c>
      <c r="Q34" s="237">
        <f t="shared" si="29"/>
        <v>0</v>
      </c>
      <c r="R34" s="237">
        <f>'Spa &amp; Fitness'!R60</f>
        <v>0</v>
      </c>
      <c r="S34" s="237">
        <f t="shared" si="30"/>
        <v>0</v>
      </c>
      <c r="T34" s="237"/>
      <c r="U34" s="237"/>
      <c r="V34" s="237"/>
      <c r="W34" s="237"/>
      <c r="X34" s="237"/>
      <c r="Y34" s="237"/>
      <c r="Z34" s="237"/>
      <c r="AA34" s="95"/>
      <c r="AB34" s="96"/>
      <c r="AC34" s="96"/>
      <c r="AD34" s="96"/>
      <c r="AE34" s="96"/>
      <c r="AF34" s="97"/>
      <c r="AG34" s="95"/>
      <c r="AH34" s="96"/>
      <c r="AI34" s="95"/>
      <c r="AJ34" s="96"/>
      <c r="AK34" s="95"/>
      <c r="AL34" s="96"/>
      <c r="AM34" s="95"/>
      <c r="AN34" s="98"/>
      <c r="AO34" s="96"/>
      <c r="AP34" s="96"/>
      <c r="AQ34" s="95"/>
      <c r="AR34" s="98"/>
      <c r="AS34" s="96"/>
      <c r="AT34" s="96"/>
      <c r="AU34" s="95"/>
      <c r="AV34" s="98"/>
      <c r="AW34" s="95"/>
      <c r="AX34" s="98"/>
      <c r="AY34" s="95"/>
      <c r="AZ34" s="98"/>
      <c r="BA34" s="95"/>
      <c r="BB34" s="98"/>
      <c r="BC34" s="95"/>
      <c r="BD34" s="96"/>
      <c r="BE34" s="95"/>
      <c r="BF34" s="98"/>
      <c r="BG34" s="95"/>
      <c r="BH34" s="98"/>
      <c r="BI34" s="95"/>
      <c r="BJ34" s="98"/>
      <c r="BK34" s="95"/>
      <c r="BL34" s="98"/>
      <c r="BM34" s="95"/>
      <c r="BN34" s="98"/>
      <c r="BO34" s="95"/>
      <c r="BP34" s="98"/>
      <c r="BQ34" s="96"/>
      <c r="BR34" s="98"/>
      <c r="BS34" s="99"/>
      <c r="BT34" s="95"/>
      <c r="BU34" s="96"/>
      <c r="BV34" s="96"/>
      <c r="BW34" s="98"/>
    </row>
    <row r="35" spans="1:75" ht="12.75" customHeight="1">
      <c r="A35" s="237">
        <f>OOD!A58</f>
        <v>0</v>
      </c>
      <c r="B35" s="237">
        <f t="shared" si="23"/>
        <v>0</v>
      </c>
      <c r="C35" s="237">
        <f>OOD!C58</f>
        <v>0</v>
      </c>
      <c r="D35" s="237">
        <f t="shared" si="24"/>
        <v>0</v>
      </c>
      <c r="E35" s="237">
        <f>OOD!E58</f>
        <v>0</v>
      </c>
      <c r="F35" s="237">
        <f t="shared" si="25"/>
        <v>0</v>
      </c>
      <c r="G35" s="237">
        <f>OOD!G58</f>
        <v>0</v>
      </c>
      <c r="H35" s="237">
        <f t="shared" si="26"/>
        <v>0</v>
      </c>
      <c r="I35" s="237"/>
      <c r="J35" s="253" t="s">
        <v>537</v>
      </c>
      <c r="K35" s="237"/>
      <c r="L35" s="237">
        <f>OOD!L58</f>
        <v>0</v>
      </c>
      <c r="M35" s="237">
        <f t="shared" si="27"/>
        <v>0</v>
      </c>
      <c r="N35" s="237">
        <f>OOD!N58</f>
        <v>0</v>
      </c>
      <c r="O35" s="254">
        <f t="shared" si="28"/>
        <v>0</v>
      </c>
      <c r="P35" s="237">
        <f>OOD!P58</f>
        <v>0</v>
      </c>
      <c r="Q35" s="237">
        <f t="shared" si="29"/>
        <v>0</v>
      </c>
      <c r="R35" s="237">
        <f>OOD!R58</f>
        <v>0</v>
      </c>
      <c r="S35" s="237">
        <f t="shared" si="30"/>
        <v>0</v>
      </c>
      <c r="T35" s="237"/>
      <c r="U35" s="237"/>
      <c r="V35" s="237"/>
      <c r="W35" s="237"/>
      <c r="X35" s="237"/>
      <c r="Y35" s="237"/>
      <c r="Z35" s="237"/>
      <c r="AA35" s="95"/>
      <c r="AB35" s="96"/>
      <c r="AC35" s="96"/>
      <c r="AD35" s="96"/>
      <c r="AE35" s="96"/>
      <c r="AF35" s="97"/>
      <c r="AG35" s="95"/>
      <c r="AH35" s="96"/>
      <c r="AI35" s="95"/>
      <c r="AJ35" s="96"/>
      <c r="AK35" s="95"/>
      <c r="AL35" s="96"/>
      <c r="AM35" s="95"/>
      <c r="AN35" s="98"/>
      <c r="AO35" s="96"/>
      <c r="AP35" s="96"/>
      <c r="AQ35" s="95"/>
      <c r="AR35" s="98"/>
      <c r="AS35" s="96"/>
      <c r="AT35" s="96"/>
      <c r="AU35" s="95"/>
      <c r="AV35" s="98"/>
      <c r="AW35" s="95"/>
      <c r="AX35" s="98"/>
      <c r="AY35" s="95"/>
      <c r="AZ35" s="98"/>
      <c r="BA35" s="95"/>
      <c r="BB35" s="98"/>
      <c r="BC35" s="95"/>
      <c r="BD35" s="96"/>
      <c r="BE35" s="95"/>
      <c r="BF35" s="98"/>
      <c r="BG35" s="95"/>
      <c r="BH35" s="98"/>
      <c r="BI35" s="95"/>
      <c r="BJ35" s="98"/>
      <c r="BK35" s="95"/>
      <c r="BL35" s="98"/>
      <c r="BM35" s="95"/>
      <c r="BN35" s="98"/>
      <c r="BO35" s="95"/>
      <c r="BP35" s="98"/>
      <c r="BQ35" s="96"/>
      <c r="BR35" s="98"/>
      <c r="BS35" s="99"/>
      <c r="BT35" s="95"/>
      <c r="BU35" s="96"/>
      <c r="BV35" s="96"/>
      <c r="BW35" s="98"/>
    </row>
    <row r="36" spans="1:75">
      <c r="A36" s="265">
        <f>SUM(A32:A35)</f>
        <v>256134.72999999998</v>
      </c>
      <c r="B36" s="266">
        <f t="shared" si="23"/>
        <v>3.0761677705611068</v>
      </c>
      <c r="C36" s="266">
        <f>SUM(C32:C35)</f>
        <v>-103694.23</v>
      </c>
      <c r="D36" s="266">
        <f t="shared" si="24"/>
        <v>1.1974041918088481</v>
      </c>
      <c r="E36" s="266">
        <f>SUM(E32:E35)</f>
        <v>0</v>
      </c>
      <c r="F36" s="266">
        <f t="shared" si="25"/>
        <v>0</v>
      </c>
      <c r="G36" s="266">
        <f>SUM(G32:G35)</f>
        <v>1078300.04</v>
      </c>
      <c r="H36" s="266">
        <f t="shared" si="26"/>
        <v>12.45161845479395</v>
      </c>
      <c r="I36" s="267"/>
      <c r="J36" s="268" t="s">
        <v>545</v>
      </c>
      <c r="K36" s="269"/>
      <c r="L36" s="266">
        <f>SUM(L32:L35)</f>
        <v>103694.23</v>
      </c>
      <c r="M36" s="266">
        <f t="shared" si="27"/>
        <v>1.0139219831073956</v>
      </c>
      <c r="N36" s="266">
        <f>SUM(N32:N35)</f>
        <v>0</v>
      </c>
      <c r="O36" s="270">
        <f t="shared" si="28"/>
        <v>0</v>
      </c>
      <c r="P36" s="266">
        <f>SUM(P32:P35)</f>
        <v>-103694.23</v>
      </c>
      <c r="Q36" s="266">
        <f t="shared" si="29"/>
        <v>1.0139219831073956</v>
      </c>
      <c r="R36" s="266">
        <f>SUM(R32:R35)</f>
        <v>256134.72999999998</v>
      </c>
      <c r="S36" s="271">
        <f t="shared" si="30"/>
        <v>2.6023078387715062</v>
      </c>
      <c r="T36" s="262"/>
      <c r="U36" s="262"/>
      <c r="V36" s="262"/>
      <c r="W36" s="262"/>
      <c r="X36" s="262"/>
      <c r="Y36" s="262"/>
      <c r="Z36" s="262"/>
      <c r="AA36" s="95"/>
      <c r="AB36" s="96"/>
      <c r="AC36" s="96"/>
      <c r="AD36" s="96"/>
      <c r="AE36" s="96"/>
      <c r="AF36" s="97"/>
      <c r="AG36" s="95"/>
      <c r="AH36" s="96"/>
      <c r="AI36" s="95"/>
      <c r="AJ36" s="96"/>
      <c r="AK36" s="95"/>
      <c r="AL36" s="96"/>
      <c r="AM36" s="95"/>
      <c r="AN36" s="98"/>
      <c r="AO36" s="96"/>
      <c r="AP36" s="96"/>
      <c r="AQ36" s="95"/>
      <c r="AR36" s="98"/>
      <c r="AS36" s="96"/>
      <c r="AT36" s="96"/>
      <c r="AU36" s="95"/>
      <c r="AV36" s="98"/>
      <c r="AW36" s="95"/>
      <c r="AX36" s="98"/>
      <c r="AY36" s="95"/>
      <c r="AZ36" s="98"/>
      <c r="BA36" s="95"/>
      <c r="BB36" s="98"/>
      <c r="BC36" s="95"/>
      <c r="BD36" s="96"/>
      <c r="BE36" s="95"/>
      <c r="BF36" s="98"/>
      <c r="BG36" s="95"/>
      <c r="BH36" s="98"/>
      <c r="BI36" s="95"/>
      <c r="BJ36" s="98"/>
      <c r="BK36" s="95"/>
      <c r="BL36" s="98"/>
      <c r="BM36" s="95"/>
      <c r="BN36" s="98"/>
      <c r="BO36" s="95"/>
      <c r="BP36" s="98"/>
      <c r="BQ36" s="96"/>
      <c r="BR36" s="98"/>
      <c r="BS36" s="99"/>
      <c r="BT36" s="95"/>
      <c r="BU36" s="96"/>
      <c r="BV36" s="96"/>
      <c r="BW36" s="98"/>
    </row>
    <row r="37" spans="1:75">
      <c r="A37" s="272">
        <f>+A24+A30+A36</f>
        <v>797441.58</v>
      </c>
      <c r="B37" s="273">
        <f t="shared" si="23"/>
        <v>9.57724119373162</v>
      </c>
      <c r="C37" s="273">
        <f>+C24+C30+C36</f>
        <v>-563481.81000000006</v>
      </c>
      <c r="D37" s="273">
        <f t="shared" si="24"/>
        <v>6.5067794158077739</v>
      </c>
      <c r="E37" s="273">
        <f>+E24+E30+E36</f>
        <v>0</v>
      </c>
      <c r="F37" s="273">
        <f t="shared" si="25"/>
        <v>0</v>
      </c>
      <c r="G37" s="273">
        <f>+G24+G30+G36</f>
        <v>1689627.29</v>
      </c>
      <c r="H37" s="273">
        <f t="shared" si="26"/>
        <v>19.510890814663689</v>
      </c>
      <c r="I37" s="274"/>
      <c r="J37" s="275" t="s">
        <v>546</v>
      </c>
      <c r="K37" s="276"/>
      <c r="L37" s="273">
        <f>+L24+L30+L36</f>
        <v>563481.81000000006</v>
      </c>
      <c r="M37" s="273">
        <f t="shared" si="27"/>
        <v>5.5097240631435778</v>
      </c>
      <c r="N37" s="273">
        <f>+N24+N30+N36</f>
        <v>0</v>
      </c>
      <c r="O37" s="277">
        <f t="shared" si="28"/>
        <v>0</v>
      </c>
      <c r="P37" s="273">
        <f>+P24+P30+P36</f>
        <v>-563481.81000000006</v>
      </c>
      <c r="Q37" s="273">
        <f t="shared" si="29"/>
        <v>5.5097240631435778</v>
      </c>
      <c r="R37" s="273">
        <f>+L37-P37</f>
        <v>1126963.6200000001</v>
      </c>
      <c r="S37" s="278">
        <f t="shared" si="30"/>
        <v>11.449857902270081</v>
      </c>
      <c r="T37" s="262"/>
      <c r="U37" s="262"/>
      <c r="V37" s="262"/>
      <c r="W37" s="262"/>
      <c r="X37" s="262"/>
      <c r="Y37" s="262"/>
      <c r="Z37" s="262"/>
      <c r="AA37" s="95"/>
      <c r="AB37" s="96"/>
      <c r="AC37" s="96"/>
      <c r="AD37" s="96"/>
      <c r="AE37" s="96"/>
      <c r="AF37" s="97"/>
      <c r="AG37" s="95"/>
      <c r="AH37" s="96"/>
      <c r="AI37" s="95"/>
      <c r="AJ37" s="96"/>
      <c r="AK37" s="95"/>
      <c r="AL37" s="96"/>
      <c r="AM37" s="95"/>
      <c r="AN37" s="98"/>
      <c r="AO37" s="96"/>
      <c r="AP37" s="96"/>
      <c r="AQ37" s="95"/>
      <c r="AR37" s="98"/>
      <c r="AS37" s="96"/>
      <c r="AT37" s="96"/>
      <c r="AU37" s="95"/>
      <c r="AV37" s="98"/>
      <c r="AW37" s="95"/>
      <c r="AX37" s="98"/>
      <c r="AY37" s="95"/>
      <c r="AZ37" s="98"/>
      <c r="BA37" s="95"/>
      <c r="BB37" s="98"/>
      <c r="BC37" s="95"/>
      <c r="BD37" s="96"/>
      <c r="BE37" s="95"/>
      <c r="BF37" s="98"/>
      <c r="BG37" s="95"/>
      <c r="BH37" s="98"/>
      <c r="BI37" s="95"/>
      <c r="BJ37" s="98"/>
      <c r="BK37" s="95"/>
      <c r="BL37" s="98"/>
      <c r="BM37" s="95"/>
      <c r="BN37" s="98"/>
      <c r="BO37" s="95"/>
      <c r="BP37" s="98"/>
      <c r="BQ37" s="96"/>
      <c r="BR37" s="98"/>
      <c r="BS37" s="99"/>
      <c r="BT37" s="95"/>
      <c r="BU37" s="96"/>
      <c r="BV37" s="96"/>
      <c r="BW37" s="98"/>
    </row>
    <row r="38" spans="1:75" ht="14.25" customHeight="1">
      <c r="A38" s="237" t="s">
        <v>2</v>
      </c>
      <c r="B38" s="237"/>
      <c r="C38" s="237" t="s">
        <v>2</v>
      </c>
      <c r="D38" s="237"/>
      <c r="E38" s="237" t="s">
        <v>2</v>
      </c>
      <c r="F38" s="237"/>
      <c r="G38" s="237"/>
      <c r="H38" s="237"/>
      <c r="I38" s="237"/>
      <c r="J38" s="263" t="s">
        <v>547</v>
      </c>
      <c r="K38" s="263"/>
      <c r="L38" s="237" t="s">
        <v>2</v>
      </c>
      <c r="M38" s="237"/>
      <c r="N38" s="237" t="s">
        <v>2</v>
      </c>
      <c r="O38" s="254"/>
      <c r="P38" s="237" t="s">
        <v>2</v>
      </c>
      <c r="Q38" s="237"/>
      <c r="R38" s="237"/>
      <c r="S38" s="237"/>
      <c r="T38" s="237"/>
      <c r="U38" s="237"/>
      <c r="V38" s="237"/>
      <c r="W38" s="237"/>
      <c r="X38" s="237"/>
      <c r="Y38" s="237"/>
      <c r="Z38" s="237"/>
      <c r="AA38" s="95"/>
      <c r="AB38" s="96"/>
      <c r="AC38" s="96"/>
      <c r="AD38" s="96"/>
      <c r="AE38" s="96"/>
      <c r="AF38" s="97"/>
      <c r="AG38" s="95"/>
      <c r="AH38" s="96"/>
      <c r="AI38" s="95"/>
      <c r="AJ38" s="96"/>
      <c r="AK38" s="95"/>
      <c r="AL38" s="96"/>
      <c r="AM38" s="95"/>
      <c r="AN38" s="98"/>
      <c r="AO38" s="96"/>
      <c r="AP38" s="96"/>
      <c r="AQ38" s="95"/>
      <c r="AR38" s="98"/>
      <c r="AS38" s="96"/>
      <c r="AT38" s="96"/>
      <c r="AU38" s="95"/>
      <c r="AV38" s="98"/>
      <c r="AW38" s="95"/>
      <c r="AX38" s="98"/>
      <c r="AY38" s="95"/>
      <c r="AZ38" s="98"/>
      <c r="BA38" s="95"/>
      <c r="BB38" s="98"/>
      <c r="BC38" s="95"/>
      <c r="BD38" s="96"/>
      <c r="BE38" s="95"/>
      <c r="BF38" s="98"/>
      <c r="BG38" s="95"/>
      <c r="BH38" s="98"/>
      <c r="BI38" s="95"/>
      <c r="BJ38" s="98"/>
      <c r="BK38" s="95"/>
      <c r="BL38" s="98"/>
      <c r="BM38" s="95"/>
      <c r="BN38" s="98"/>
      <c r="BO38" s="95"/>
      <c r="BP38" s="98"/>
      <c r="BQ38" s="96"/>
      <c r="BR38" s="98"/>
      <c r="BS38" s="99"/>
      <c r="BT38" s="95"/>
      <c r="BU38" s="96"/>
      <c r="BV38" s="96"/>
      <c r="BW38" s="98"/>
    </row>
    <row r="39" spans="1:75" ht="11.25" customHeight="1">
      <c r="A39" s="237">
        <f>+A15-A26-A32</f>
        <v>6889317.4100000001</v>
      </c>
      <c r="B39" s="237">
        <f t="shared" ref="B39:B43" si="31">IF(A39=0,0,(A39*100/A$19))</f>
        <v>82.740424064348943</v>
      </c>
      <c r="C39" s="237">
        <f>+C15-C26-C32</f>
        <v>-7753760.080000001</v>
      </c>
      <c r="D39" s="237">
        <f t="shared" ref="D39:D43" si="32">IF(C39=0,0,(C39*100/C$19))</f>
        <v>89.536175947997393</v>
      </c>
      <c r="E39" s="237">
        <f>+E15-E26-E32</f>
        <v>0</v>
      </c>
      <c r="F39" s="237">
        <f t="shared" ref="F39:F43" si="33">IF(E39=0,0,(E39*100/E$19))</f>
        <v>0</v>
      </c>
      <c r="G39" s="237">
        <f>+G15-G26-G32</f>
        <v>6627614.6000000006</v>
      </c>
      <c r="H39" s="237">
        <f t="shared" ref="H39:H43" si="34">IF(G39=0,0,(G39*100/G$19))</f>
        <v>76.532064549141467</v>
      </c>
      <c r="I39" s="237"/>
      <c r="J39" s="253" t="s">
        <v>534</v>
      </c>
      <c r="K39" s="237"/>
      <c r="L39" s="237">
        <f>+L15-L26-L32</f>
        <v>7753760.080000001</v>
      </c>
      <c r="M39" s="237">
        <f t="shared" ref="M39:M43" si="35">IF(L39=0,0,(L39*100/L$19))</f>
        <v>75.816251269261159</v>
      </c>
      <c r="N39" s="237">
        <f>+N15-N26-N32</f>
        <v>0</v>
      </c>
      <c r="O39" s="254">
        <f t="shared" ref="O39:O43" si="36">IF(N39=0,0,(N39*100/N$19))</f>
        <v>0</v>
      </c>
      <c r="P39" s="237">
        <f>+P15-P26-P32</f>
        <v>-7753760.080000001</v>
      </c>
      <c r="Q39" s="237">
        <f t="shared" ref="Q39:Q43" si="37">IF(P39=0,0,(P39*100/P$19))</f>
        <v>75.816251269261159</v>
      </c>
      <c r="R39" s="237">
        <f>+R15-R26-R32</f>
        <v>6889317.4100000001</v>
      </c>
      <c r="S39" s="237">
        <f t="shared" ref="S39:S43" si="38">IF(R39=0,0,(R39*100/R$19))</f>
        <v>69.994899558634671</v>
      </c>
      <c r="T39" s="237"/>
      <c r="U39" s="237"/>
      <c r="V39" s="237"/>
      <c r="W39" s="237"/>
      <c r="X39" s="237"/>
      <c r="Y39" s="237"/>
      <c r="Z39" s="237"/>
      <c r="AA39" s="95"/>
      <c r="AB39" s="96"/>
      <c r="AC39" s="96"/>
      <c r="AD39" s="96"/>
      <c r="AE39" s="96"/>
      <c r="AF39" s="97"/>
      <c r="AG39" s="95"/>
      <c r="AH39" s="96"/>
      <c r="AI39" s="95"/>
      <c r="AJ39" s="96"/>
      <c r="AK39" s="95"/>
      <c r="AL39" s="96"/>
      <c r="AM39" s="95"/>
      <c r="AN39" s="98"/>
      <c r="AO39" s="96"/>
      <c r="AP39" s="96"/>
      <c r="AQ39" s="95"/>
      <c r="AR39" s="98"/>
      <c r="AS39" s="96"/>
      <c r="AT39" s="96"/>
      <c r="AU39" s="95"/>
      <c r="AV39" s="98"/>
      <c r="AW39" s="95"/>
      <c r="AX39" s="98"/>
      <c r="AY39" s="95"/>
      <c r="AZ39" s="98"/>
      <c r="BA39" s="95"/>
      <c r="BB39" s="98"/>
      <c r="BC39" s="95"/>
      <c r="BD39" s="96"/>
      <c r="BE39" s="95"/>
      <c r="BF39" s="98"/>
      <c r="BG39" s="95"/>
      <c r="BH39" s="98"/>
      <c r="BI39" s="95"/>
      <c r="BJ39" s="98"/>
      <c r="BK39" s="95"/>
      <c r="BL39" s="98"/>
      <c r="BM39" s="95"/>
      <c r="BN39" s="98"/>
      <c r="BO39" s="95"/>
      <c r="BP39" s="98"/>
      <c r="BQ39" s="96"/>
      <c r="BR39" s="98"/>
      <c r="BS39" s="99"/>
      <c r="BT39" s="95"/>
      <c r="BU39" s="96"/>
      <c r="BV39" s="96"/>
      <c r="BW39" s="98"/>
    </row>
    <row r="40" spans="1:75" ht="11.25" customHeight="1">
      <c r="A40" s="237">
        <f t="shared" ref="A40:A42" si="39">+A16-A21-A27-A33</f>
        <v>412739.60000000003</v>
      </c>
      <c r="B40" s="237">
        <f t="shared" si="31"/>
        <v>4.9569859392136433</v>
      </c>
      <c r="C40" s="237">
        <f t="shared" ref="C40:C42" si="40">+C16-C21-C27-C33</f>
        <v>-169941.18999999994</v>
      </c>
      <c r="D40" s="237">
        <f t="shared" si="32"/>
        <v>1.9623878133526214</v>
      </c>
      <c r="E40" s="237">
        <f t="shared" ref="E40:E42" si="41">+E16-E21-E27-E33</f>
        <v>0</v>
      </c>
      <c r="F40" s="237">
        <f t="shared" si="33"/>
        <v>0</v>
      </c>
      <c r="G40" s="237">
        <f t="shared" ref="G40:G42" si="42">+G16-G21-G27-G33</f>
        <v>169941.18999999994</v>
      </c>
      <c r="H40" s="237">
        <f t="shared" si="34"/>
        <v>1.9623878133526214</v>
      </c>
      <c r="I40" s="237"/>
      <c r="J40" s="253" t="s">
        <v>535</v>
      </c>
      <c r="K40" s="237"/>
      <c r="L40" s="237">
        <f t="shared" ref="L40:L42" si="43">+L16-L21-L27-L33</f>
        <v>1737064.74</v>
      </c>
      <c r="M40" s="237">
        <f t="shared" si="35"/>
        <v>16.985015713668275</v>
      </c>
      <c r="N40" s="237">
        <f t="shared" ref="N40:N42" si="44">+N16-N21-N27-N33</f>
        <v>0</v>
      </c>
      <c r="O40" s="254">
        <f t="shared" si="36"/>
        <v>0</v>
      </c>
      <c r="P40" s="237">
        <f t="shared" ref="P40:P42" si="45">+P16-P21-P27-P33</f>
        <v>-1737064.74</v>
      </c>
      <c r="Q40" s="237">
        <f t="shared" si="37"/>
        <v>16.985015713668275</v>
      </c>
      <c r="R40" s="237">
        <f t="shared" ref="R40:R42" si="46">+R16-R21-R27-R33</f>
        <v>1928916.1300000001</v>
      </c>
      <c r="S40" s="237">
        <f t="shared" si="38"/>
        <v>19.597629596860209</v>
      </c>
      <c r="T40" s="237"/>
      <c r="U40" s="237"/>
      <c r="V40" s="237"/>
      <c r="W40" s="237"/>
      <c r="X40" s="237"/>
      <c r="Y40" s="237"/>
      <c r="Z40" s="237"/>
      <c r="AA40" s="95"/>
      <c r="AB40" s="96"/>
      <c r="AC40" s="96"/>
      <c r="AD40" s="96"/>
      <c r="AE40" s="96"/>
      <c r="AF40" s="97"/>
      <c r="AG40" s="95"/>
      <c r="AH40" s="96"/>
      <c r="AI40" s="95"/>
      <c r="AJ40" s="96"/>
      <c r="AK40" s="95"/>
      <c r="AL40" s="96"/>
      <c r="AM40" s="95"/>
      <c r="AN40" s="98"/>
      <c r="AO40" s="96"/>
      <c r="AP40" s="96"/>
      <c r="AQ40" s="95"/>
      <c r="AR40" s="98"/>
      <c r="AS40" s="96"/>
      <c r="AT40" s="96"/>
      <c r="AU40" s="95"/>
      <c r="AV40" s="98"/>
      <c r="AW40" s="95"/>
      <c r="AX40" s="98"/>
      <c r="AY40" s="95"/>
      <c r="AZ40" s="98"/>
      <c r="BA40" s="95"/>
      <c r="BB40" s="98"/>
      <c r="BC40" s="95"/>
      <c r="BD40" s="96"/>
      <c r="BE40" s="95"/>
      <c r="BF40" s="98"/>
      <c r="BG40" s="95"/>
      <c r="BH40" s="98"/>
      <c r="BI40" s="95"/>
      <c r="BJ40" s="98"/>
      <c r="BK40" s="95"/>
      <c r="BL40" s="98"/>
      <c r="BM40" s="95"/>
      <c r="BN40" s="98"/>
      <c r="BO40" s="95"/>
      <c r="BP40" s="98"/>
      <c r="BQ40" s="96"/>
      <c r="BR40" s="98"/>
      <c r="BS40" s="99"/>
      <c r="BT40" s="95"/>
      <c r="BU40" s="96"/>
      <c r="BV40" s="96"/>
      <c r="BW40" s="98"/>
    </row>
    <row r="41" spans="1:75" ht="11.25" customHeight="1">
      <c r="A41" s="237">
        <f t="shared" si="39"/>
        <v>31848.409999999996</v>
      </c>
      <c r="B41" s="237">
        <f t="shared" si="31"/>
        <v>0.38249811880495876</v>
      </c>
      <c r="C41" s="237">
        <f t="shared" si="40"/>
        <v>-424.81</v>
      </c>
      <c r="D41" s="237">
        <f t="shared" si="32"/>
        <v>4.9054732816118767E-3</v>
      </c>
      <c r="E41" s="237">
        <f t="shared" si="41"/>
        <v>0</v>
      </c>
      <c r="F41" s="237">
        <f t="shared" si="33"/>
        <v>0</v>
      </c>
      <c r="G41" s="237">
        <f t="shared" si="42"/>
        <v>424.81</v>
      </c>
      <c r="H41" s="237">
        <f t="shared" si="34"/>
        <v>4.9054732816118767E-3</v>
      </c>
      <c r="I41" s="237"/>
      <c r="J41" s="237" t="s">
        <v>536</v>
      </c>
      <c r="K41" s="237"/>
      <c r="L41" s="237">
        <f t="shared" si="43"/>
        <v>424.81</v>
      </c>
      <c r="M41" s="237">
        <f t="shared" si="35"/>
        <v>4.1537913695280119E-3</v>
      </c>
      <c r="N41" s="237">
        <f t="shared" si="44"/>
        <v>0</v>
      </c>
      <c r="O41" s="254">
        <f t="shared" si="36"/>
        <v>0</v>
      </c>
      <c r="P41" s="237">
        <f t="shared" si="45"/>
        <v>-424.81</v>
      </c>
      <c r="Q41" s="237">
        <f t="shared" si="37"/>
        <v>4.1537913695280119E-3</v>
      </c>
      <c r="R41" s="237">
        <f t="shared" si="46"/>
        <v>31848.409999999996</v>
      </c>
      <c r="S41" s="237">
        <f t="shared" si="38"/>
        <v>0.32357723216765183</v>
      </c>
      <c r="T41" s="237"/>
      <c r="U41" s="237"/>
      <c r="V41" s="237"/>
      <c r="W41" s="237"/>
      <c r="X41" s="237"/>
      <c r="Y41" s="237"/>
      <c r="Z41" s="237"/>
      <c r="AA41" s="95"/>
      <c r="AB41" s="96"/>
      <c r="AC41" s="96"/>
      <c r="AD41" s="96"/>
      <c r="AE41" s="96"/>
      <c r="AF41" s="97"/>
      <c r="AG41" s="95"/>
      <c r="AH41" s="96"/>
      <c r="AI41" s="95"/>
      <c r="AJ41" s="96"/>
      <c r="AK41" s="95"/>
      <c r="AL41" s="96"/>
      <c r="AM41" s="95"/>
      <c r="AN41" s="98"/>
      <c r="AO41" s="96"/>
      <c r="AP41" s="96"/>
      <c r="AQ41" s="95"/>
      <c r="AR41" s="98"/>
      <c r="AS41" s="96"/>
      <c r="AT41" s="96"/>
      <c r="AU41" s="95"/>
      <c r="AV41" s="98"/>
      <c r="AW41" s="95"/>
      <c r="AX41" s="98"/>
      <c r="AY41" s="95"/>
      <c r="AZ41" s="98"/>
      <c r="BA41" s="95"/>
      <c r="BB41" s="98"/>
      <c r="BC41" s="95"/>
      <c r="BD41" s="96"/>
      <c r="BE41" s="95"/>
      <c r="BF41" s="98"/>
      <c r="BG41" s="95"/>
      <c r="BH41" s="98"/>
      <c r="BI41" s="95"/>
      <c r="BJ41" s="98"/>
      <c r="BK41" s="95"/>
      <c r="BL41" s="98"/>
      <c r="BM41" s="95"/>
      <c r="BN41" s="98"/>
      <c r="BO41" s="95"/>
      <c r="BP41" s="98"/>
      <c r="BQ41" s="96"/>
      <c r="BR41" s="98"/>
      <c r="BS41" s="99"/>
      <c r="BT41" s="95"/>
      <c r="BU41" s="96"/>
      <c r="BV41" s="96"/>
      <c r="BW41" s="98"/>
    </row>
    <row r="42" spans="1:75" ht="11.25" customHeight="1">
      <c r="A42" s="237">
        <f t="shared" si="39"/>
        <v>195075.65</v>
      </c>
      <c r="B42" s="237">
        <f t="shared" si="31"/>
        <v>2.3428506839008469</v>
      </c>
      <c r="C42" s="237">
        <f t="shared" si="40"/>
        <v>-172310.85000000003</v>
      </c>
      <c r="D42" s="237">
        <f t="shared" si="32"/>
        <v>1.9897513495605847</v>
      </c>
      <c r="E42" s="237">
        <f t="shared" si="41"/>
        <v>0</v>
      </c>
      <c r="F42" s="237">
        <f t="shared" si="33"/>
        <v>0</v>
      </c>
      <c r="G42" s="237">
        <f t="shared" si="42"/>
        <v>172310.85000000003</v>
      </c>
      <c r="H42" s="237">
        <f t="shared" si="34"/>
        <v>1.9897513495605847</v>
      </c>
      <c r="I42" s="237"/>
      <c r="J42" s="253" t="s">
        <v>537</v>
      </c>
      <c r="K42" s="237"/>
      <c r="L42" s="237">
        <f t="shared" si="43"/>
        <v>172310.85000000003</v>
      </c>
      <c r="M42" s="237">
        <f t="shared" si="35"/>
        <v>1.6848551625574633</v>
      </c>
      <c r="N42" s="237">
        <f t="shared" si="44"/>
        <v>0</v>
      </c>
      <c r="O42" s="254">
        <f t="shared" si="36"/>
        <v>0</v>
      </c>
      <c r="P42" s="237">
        <f t="shared" si="45"/>
        <v>-172310.85000000003</v>
      </c>
      <c r="Q42" s="237">
        <f t="shared" si="37"/>
        <v>1.6848551625574633</v>
      </c>
      <c r="R42" s="237">
        <f t="shared" si="46"/>
        <v>195075.65</v>
      </c>
      <c r="S42" s="237">
        <f t="shared" si="38"/>
        <v>1.9819525963872482</v>
      </c>
      <c r="T42" s="237"/>
      <c r="U42" s="237"/>
      <c r="V42" s="237"/>
      <c r="W42" s="237"/>
      <c r="X42" s="237"/>
      <c r="Y42" s="237"/>
      <c r="Z42" s="237"/>
      <c r="AA42" s="95"/>
      <c r="AB42" s="96"/>
      <c r="AC42" s="96"/>
      <c r="AD42" s="96"/>
      <c r="AE42" s="96"/>
      <c r="AF42" s="97"/>
      <c r="AG42" s="95"/>
      <c r="AH42" s="96"/>
      <c r="AI42" s="95"/>
      <c r="AJ42" s="96"/>
      <c r="AK42" s="95"/>
      <c r="AL42" s="96"/>
      <c r="AM42" s="95"/>
      <c r="AN42" s="98"/>
      <c r="AO42" s="96"/>
      <c r="AP42" s="96"/>
      <c r="AQ42" s="95"/>
      <c r="AR42" s="98"/>
      <c r="AS42" s="96"/>
      <c r="AT42" s="96"/>
      <c r="AU42" s="95"/>
      <c r="AV42" s="98"/>
      <c r="AW42" s="95"/>
      <c r="AX42" s="98"/>
      <c r="AY42" s="95"/>
      <c r="AZ42" s="98"/>
      <c r="BA42" s="95"/>
      <c r="BB42" s="98"/>
      <c r="BC42" s="95"/>
      <c r="BD42" s="96"/>
      <c r="BE42" s="95"/>
      <c r="BF42" s="98"/>
      <c r="BG42" s="95"/>
      <c r="BH42" s="98"/>
      <c r="BI42" s="95"/>
      <c r="BJ42" s="98"/>
      <c r="BK42" s="95"/>
      <c r="BL42" s="98"/>
      <c r="BM42" s="95"/>
      <c r="BN42" s="98"/>
      <c r="BO42" s="95"/>
      <c r="BP42" s="98"/>
      <c r="BQ42" s="96"/>
      <c r="BR42" s="98"/>
      <c r="BS42" s="99"/>
      <c r="BT42" s="95"/>
      <c r="BU42" s="96"/>
      <c r="BV42" s="96"/>
      <c r="BW42" s="98"/>
    </row>
    <row r="43" spans="1:75" ht="17.25" customHeight="1">
      <c r="A43" s="255">
        <f>SUM(A39:A42)</f>
        <v>7528981.0700000003</v>
      </c>
      <c r="B43" s="256">
        <f t="shared" si="31"/>
        <v>90.422758806268391</v>
      </c>
      <c r="C43" s="256">
        <f>SUM(C39:C42)</f>
        <v>-8096436.9300000006</v>
      </c>
      <c r="D43" s="256">
        <f t="shared" si="32"/>
        <v>93.493220584192215</v>
      </c>
      <c r="E43" s="256">
        <f>SUM(E39:E42)</f>
        <v>0</v>
      </c>
      <c r="F43" s="256">
        <f t="shared" si="33"/>
        <v>0</v>
      </c>
      <c r="G43" s="256">
        <f>SUM(G39:G42)</f>
        <v>6970291.4500000002</v>
      </c>
      <c r="H43" s="256">
        <f t="shared" si="34"/>
        <v>80.489109185336289</v>
      </c>
      <c r="I43" s="257"/>
      <c r="J43" s="258" t="s">
        <v>548</v>
      </c>
      <c r="K43" s="259"/>
      <c r="L43" s="256">
        <f>SUM(L39:L42)</f>
        <v>9663560.4800000004</v>
      </c>
      <c r="M43" s="256">
        <f t="shared" si="35"/>
        <v>94.490275936856406</v>
      </c>
      <c r="N43" s="256">
        <f>SUM(N39:N42)</f>
        <v>0</v>
      </c>
      <c r="O43" s="260">
        <f t="shared" si="36"/>
        <v>0</v>
      </c>
      <c r="P43" s="256">
        <f>SUM(P39:P42)</f>
        <v>-9663560.4800000004</v>
      </c>
      <c r="Q43" s="256">
        <f t="shared" si="37"/>
        <v>94.490275936856406</v>
      </c>
      <c r="R43" s="256">
        <f>SUM(R39:R42)</f>
        <v>9045157.6000000015</v>
      </c>
      <c r="S43" s="261">
        <f t="shared" si="38"/>
        <v>91.898058984049797</v>
      </c>
      <c r="T43" s="262"/>
      <c r="U43" s="262"/>
      <c r="V43" s="262"/>
      <c r="W43" s="262"/>
      <c r="X43" s="262"/>
      <c r="Y43" s="262"/>
      <c r="Z43" s="262"/>
      <c r="AA43" s="95"/>
      <c r="AB43" s="96"/>
      <c r="AC43" s="96"/>
      <c r="AD43" s="96"/>
      <c r="AE43" s="96"/>
      <c r="AF43" s="97"/>
      <c r="AG43" s="95"/>
      <c r="AH43" s="96"/>
      <c r="AI43" s="95"/>
      <c r="AJ43" s="96"/>
      <c r="AK43" s="95"/>
      <c r="AL43" s="96"/>
      <c r="AM43" s="95"/>
      <c r="AN43" s="98"/>
      <c r="AO43" s="96"/>
      <c r="AP43" s="96"/>
      <c r="AQ43" s="95"/>
      <c r="AR43" s="98"/>
      <c r="AS43" s="96"/>
      <c r="AT43" s="96"/>
      <c r="AU43" s="95"/>
      <c r="AV43" s="98"/>
      <c r="AW43" s="95"/>
      <c r="AX43" s="98"/>
      <c r="AY43" s="95"/>
      <c r="AZ43" s="98"/>
      <c r="BA43" s="95"/>
      <c r="BB43" s="98"/>
      <c r="BC43" s="95"/>
      <c r="BD43" s="96"/>
      <c r="BE43" s="95"/>
      <c r="BF43" s="98"/>
      <c r="BG43" s="95"/>
      <c r="BH43" s="98"/>
      <c r="BI43" s="95"/>
      <c r="BJ43" s="98"/>
      <c r="BK43" s="95"/>
      <c r="BL43" s="98"/>
      <c r="BM43" s="95"/>
      <c r="BN43" s="98"/>
      <c r="BO43" s="95"/>
      <c r="BP43" s="98"/>
      <c r="BQ43" s="96"/>
      <c r="BR43" s="98"/>
      <c r="BS43" s="99"/>
      <c r="BT43" s="95"/>
      <c r="BU43" s="96"/>
      <c r="BV43" s="96"/>
      <c r="BW43" s="98"/>
    </row>
    <row r="44" spans="1:75" ht="12" customHeight="1">
      <c r="A44" s="262"/>
      <c r="B44" s="262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79"/>
      <c r="P44" s="262"/>
      <c r="Q44" s="262"/>
      <c r="R44" s="262"/>
      <c r="S44" s="262"/>
      <c r="T44" s="262"/>
      <c r="U44" s="262"/>
      <c r="V44" s="262"/>
      <c r="W44" s="262"/>
      <c r="X44" s="262"/>
      <c r="Y44" s="262"/>
      <c r="Z44" s="262"/>
      <c r="AA44" s="95"/>
      <c r="AB44" s="96"/>
      <c r="AC44" s="96"/>
      <c r="AD44" s="96"/>
      <c r="AE44" s="96"/>
      <c r="AF44" s="97"/>
      <c r="AG44" s="95"/>
      <c r="AH44" s="96"/>
      <c r="AI44" s="95"/>
      <c r="AJ44" s="96"/>
      <c r="AK44" s="95"/>
      <c r="AL44" s="96"/>
      <c r="AM44" s="95"/>
      <c r="AN44" s="98"/>
      <c r="AO44" s="96"/>
      <c r="AP44" s="96"/>
      <c r="AQ44" s="95"/>
      <c r="AR44" s="98"/>
      <c r="AS44" s="96"/>
      <c r="AT44" s="96"/>
      <c r="AU44" s="95"/>
      <c r="AV44" s="98"/>
      <c r="AW44" s="95"/>
      <c r="AX44" s="98"/>
      <c r="AY44" s="95"/>
      <c r="AZ44" s="98"/>
      <c r="BA44" s="95"/>
      <c r="BB44" s="98"/>
      <c r="BC44" s="95"/>
      <c r="BD44" s="96"/>
      <c r="BE44" s="95"/>
      <c r="BF44" s="98"/>
      <c r="BG44" s="95"/>
      <c r="BH44" s="98"/>
      <c r="BI44" s="95"/>
      <c r="BJ44" s="98"/>
      <c r="BK44" s="95"/>
      <c r="BL44" s="98"/>
      <c r="BM44" s="95"/>
      <c r="BN44" s="98"/>
      <c r="BO44" s="95"/>
      <c r="BP44" s="98"/>
      <c r="BQ44" s="96"/>
      <c r="BR44" s="98"/>
      <c r="BS44" s="99"/>
      <c r="BT44" s="95"/>
      <c r="BU44" s="96"/>
      <c r="BV44" s="96"/>
      <c r="BW44" s="98"/>
    </row>
    <row r="45" spans="1:75" ht="12.75" customHeight="1">
      <c r="A45" s="237"/>
      <c r="B45" s="237"/>
      <c r="C45" s="237"/>
      <c r="D45" s="237"/>
      <c r="E45" s="237"/>
      <c r="F45" s="237"/>
      <c r="G45" s="237"/>
      <c r="H45" s="237"/>
      <c r="I45" s="237"/>
      <c r="J45" s="263" t="s">
        <v>549</v>
      </c>
      <c r="K45" s="263"/>
      <c r="L45" s="237"/>
      <c r="M45" s="237"/>
      <c r="N45" s="237"/>
      <c r="O45" s="254"/>
      <c r="P45" s="237"/>
      <c r="Q45" s="237"/>
      <c r="R45" s="237"/>
      <c r="S45" s="237"/>
      <c r="T45" s="237"/>
      <c r="U45" s="237"/>
      <c r="V45" s="237"/>
      <c r="W45" s="237"/>
      <c r="X45" s="237"/>
      <c r="Y45" s="237"/>
      <c r="Z45" s="237"/>
      <c r="AA45" s="95"/>
      <c r="AB45" s="96"/>
      <c r="AC45" s="96"/>
      <c r="AD45" s="96"/>
      <c r="AE45" s="96"/>
      <c r="AF45" s="97"/>
      <c r="AG45" s="95"/>
      <c r="AH45" s="96"/>
      <c r="AI45" s="95"/>
      <c r="AJ45" s="96"/>
      <c r="AK45" s="95"/>
      <c r="AL45" s="96"/>
      <c r="AM45" s="95"/>
      <c r="AN45" s="98"/>
      <c r="AO45" s="96"/>
      <c r="AP45" s="96"/>
      <c r="AQ45" s="95"/>
      <c r="AR45" s="98"/>
      <c r="AS45" s="96"/>
      <c r="AT45" s="96"/>
      <c r="AU45" s="95"/>
      <c r="AV45" s="98"/>
      <c r="AW45" s="95"/>
      <c r="AX45" s="98"/>
      <c r="AY45" s="95"/>
      <c r="AZ45" s="98"/>
      <c r="BA45" s="95"/>
      <c r="BB45" s="98"/>
      <c r="BC45" s="95"/>
      <c r="BD45" s="96"/>
      <c r="BE45" s="95"/>
      <c r="BF45" s="98"/>
      <c r="BG45" s="95"/>
      <c r="BH45" s="98"/>
      <c r="BI45" s="95"/>
      <c r="BJ45" s="98"/>
      <c r="BK45" s="95"/>
      <c r="BL45" s="98"/>
      <c r="BM45" s="95"/>
      <c r="BN45" s="98"/>
      <c r="BO45" s="95"/>
      <c r="BP45" s="98"/>
      <c r="BQ45" s="96"/>
      <c r="BR45" s="98"/>
      <c r="BS45" s="99"/>
      <c r="BT45" s="95"/>
      <c r="BU45" s="96"/>
      <c r="BV45" s="96"/>
      <c r="BW45" s="98"/>
    </row>
    <row r="46" spans="1:75" ht="12.75" customHeight="1">
      <c r="A46" s="237"/>
      <c r="B46" s="237"/>
      <c r="C46" s="237"/>
      <c r="D46" s="237"/>
      <c r="E46" s="237"/>
      <c r="F46" s="237"/>
      <c r="G46" s="237"/>
      <c r="H46" s="237"/>
      <c r="I46" s="237"/>
      <c r="J46" s="263" t="s">
        <v>542</v>
      </c>
      <c r="K46" s="263"/>
      <c r="L46" s="237"/>
      <c r="M46" s="237"/>
      <c r="N46" s="237"/>
      <c r="O46" s="254"/>
      <c r="P46" s="237"/>
      <c r="Q46" s="237"/>
      <c r="R46" s="237"/>
      <c r="S46" s="237"/>
      <c r="T46" s="237"/>
      <c r="U46" s="237"/>
      <c r="V46" s="237"/>
      <c r="W46" s="237"/>
      <c r="X46" s="237"/>
      <c r="Y46" s="237"/>
      <c r="Z46" s="237"/>
      <c r="AA46" s="95"/>
      <c r="AB46" s="96"/>
      <c r="AC46" s="96"/>
      <c r="AD46" s="96"/>
      <c r="AE46" s="96"/>
      <c r="AF46" s="97"/>
      <c r="AG46" s="95"/>
      <c r="AH46" s="96"/>
      <c r="AI46" s="95"/>
      <c r="AJ46" s="96"/>
      <c r="AK46" s="95"/>
      <c r="AL46" s="96"/>
      <c r="AM46" s="95"/>
      <c r="AN46" s="98"/>
      <c r="AO46" s="96"/>
      <c r="AP46" s="96"/>
      <c r="AQ46" s="95"/>
      <c r="AR46" s="98"/>
      <c r="AS46" s="96"/>
      <c r="AT46" s="96"/>
      <c r="AU46" s="95"/>
      <c r="AV46" s="98"/>
      <c r="AW46" s="95"/>
      <c r="AX46" s="98"/>
      <c r="AY46" s="95"/>
      <c r="AZ46" s="98"/>
      <c r="BA46" s="95"/>
      <c r="BB46" s="98"/>
      <c r="BC46" s="95"/>
      <c r="BD46" s="96"/>
      <c r="BE46" s="95"/>
      <c r="BF46" s="98"/>
      <c r="BG46" s="95"/>
      <c r="BH46" s="98"/>
      <c r="BI46" s="95"/>
      <c r="BJ46" s="98"/>
      <c r="BK46" s="95"/>
      <c r="BL46" s="98"/>
      <c r="BM46" s="95"/>
      <c r="BN46" s="98"/>
      <c r="BO46" s="95"/>
      <c r="BP46" s="98"/>
      <c r="BQ46" s="96"/>
      <c r="BR46" s="98"/>
      <c r="BS46" s="99"/>
      <c r="BT46" s="95"/>
      <c r="BU46" s="96"/>
      <c r="BV46" s="96"/>
      <c r="BW46" s="98"/>
    </row>
    <row r="47" spans="1:75" ht="11.25" customHeight="1">
      <c r="A47" s="237">
        <f>Admin!A21</f>
        <v>820126.48</v>
      </c>
      <c r="B47" s="237">
        <f t="shared" ref="B47:B50" si="47">IF(A47=0,0,(A47*100/A$19))</f>
        <v>9.8496859272451189</v>
      </c>
      <c r="C47" s="237">
        <f>Admin!C21</f>
        <v>-434550.97000000003</v>
      </c>
      <c r="D47" s="237">
        <f t="shared" ref="D47:D50" si="48">IF(C47=0,0,(C47*100/C$19))</f>
        <v>5.0179566696488411</v>
      </c>
      <c r="E47" s="237">
        <f>Admin!E21</f>
        <v>0</v>
      </c>
      <c r="F47" s="237">
        <f t="shared" ref="F47:F50" si="49">IF(E47=0,0,(E47*100/E$19))</f>
        <v>0</v>
      </c>
      <c r="G47" s="237">
        <f>Admin!G21</f>
        <v>434550.97000000003</v>
      </c>
      <c r="H47" s="237">
        <f t="shared" ref="H47:H50" si="50">IF(G47=0,0,(G47*100/G$19))</f>
        <v>5.0179566696488411</v>
      </c>
      <c r="I47" s="237"/>
      <c r="J47" s="253" t="s">
        <v>550</v>
      </c>
      <c r="K47" s="237"/>
      <c r="L47" s="237">
        <f>Admin!L21</f>
        <v>434550.97000000003</v>
      </c>
      <c r="M47" s="237">
        <f t="shared" ref="M47:M50" si="51">IF(L47=0,0,(L47*100/L$19))</f>
        <v>4.2490385556037431</v>
      </c>
      <c r="N47" s="237">
        <f>Admin!N21</f>
        <v>0</v>
      </c>
      <c r="O47" s="254">
        <f t="shared" ref="O47:O50" si="52">IF(N47=0,0,(N47*100/N$19))</f>
        <v>0</v>
      </c>
      <c r="P47" s="237">
        <f>Admin!P21</f>
        <v>-434550.97000000003</v>
      </c>
      <c r="Q47" s="237">
        <f t="shared" ref="Q47:Q50" si="53">IF(P47=0,0,(P47*100/P$19))</f>
        <v>4.2490385556037431</v>
      </c>
      <c r="R47" s="237">
        <f>Admin!R21</f>
        <v>820126.48</v>
      </c>
      <c r="S47" s="237">
        <f t="shared" ref="S47:S50" si="54">IF(R47=0,0,(R47*100/R$19))</f>
        <v>8.3324177384616416</v>
      </c>
      <c r="T47" s="237"/>
      <c r="U47" s="237"/>
      <c r="V47" s="237"/>
      <c r="W47" s="237"/>
      <c r="X47" s="237"/>
      <c r="Y47" s="237"/>
      <c r="Z47" s="237"/>
      <c r="AA47" s="95"/>
      <c r="AB47" s="96"/>
      <c r="AC47" s="96"/>
      <c r="AD47" s="96"/>
      <c r="AE47" s="96"/>
      <c r="AF47" s="97"/>
      <c r="AG47" s="95"/>
      <c r="AH47" s="96"/>
      <c r="AI47" s="95"/>
      <c r="AJ47" s="96"/>
      <c r="AK47" s="95"/>
      <c r="AL47" s="96"/>
      <c r="AM47" s="95"/>
      <c r="AN47" s="98"/>
      <c r="AO47" s="96"/>
      <c r="AP47" s="96"/>
      <c r="AQ47" s="95"/>
      <c r="AR47" s="98"/>
      <c r="AS47" s="96"/>
      <c r="AT47" s="96"/>
      <c r="AU47" s="95"/>
      <c r="AV47" s="98"/>
      <c r="AW47" s="95"/>
      <c r="AX47" s="98"/>
      <c r="AY47" s="95"/>
      <c r="AZ47" s="98"/>
      <c r="BA47" s="95"/>
      <c r="BB47" s="98"/>
      <c r="BC47" s="95"/>
      <c r="BD47" s="96"/>
      <c r="BE47" s="95"/>
      <c r="BF47" s="98"/>
      <c r="BG47" s="95"/>
      <c r="BH47" s="98"/>
      <c r="BI47" s="95"/>
      <c r="BJ47" s="98"/>
      <c r="BK47" s="95"/>
      <c r="BL47" s="98"/>
      <c r="BM47" s="95"/>
      <c r="BN47" s="98"/>
      <c r="BO47" s="95"/>
      <c r="BP47" s="98"/>
      <c r="BQ47" s="96"/>
      <c r="BR47" s="98"/>
      <c r="BS47" s="99"/>
      <c r="BT47" s="95"/>
      <c r="BU47" s="96"/>
      <c r="BV47" s="96"/>
      <c r="BW47" s="98"/>
    </row>
    <row r="48" spans="1:75" ht="11.25" customHeight="1">
      <c r="A48" s="237">
        <f>Marketing!A16</f>
        <v>115000</v>
      </c>
      <c r="B48" s="237">
        <f t="shared" si="47"/>
        <v>1.3811453589855904</v>
      </c>
      <c r="C48" s="237">
        <f>Marketing!C16</f>
        <v>-99750</v>
      </c>
      <c r="D48" s="237">
        <f t="shared" si="48"/>
        <v>1.1518583833732368</v>
      </c>
      <c r="E48" s="237">
        <f>Marketing!E16</f>
        <v>0</v>
      </c>
      <c r="F48" s="237">
        <f t="shared" si="49"/>
        <v>0</v>
      </c>
      <c r="G48" s="237">
        <f>Marketing!G16</f>
        <v>99750</v>
      </c>
      <c r="H48" s="237">
        <f t="shared" si="50"/>
        <v>1.1518583833732368</v>
      </c>
      <c r="I48" s="237"/>
      <c r="J48" s="253" t="s">
        <v>551</v>
      </c>
      <c r="K48" s="237"/>
      <c r="L48" s="237">
        <f>Marketing!L16</f>
        <v>99750</v>
      </c>
      <c r="M48" s="237">
        <f t="shared" si="51"/>
        <v>0.97535530969237827</v>
      </c>
      <c r="N48" s="237">
        <f>Marketing!N16</f>
        <v>0</v>
      </c>
      <c r="O48" s="254">
        <f t="shared" si="52"/>
        <v>0</v>
      </c>
      <c r="P48" s="237">
        <f>Marketing!P16</f>
        <v>-99750</v>
      </c>
      <c r="Q48" s="237">
        <f t="shared" si="53"/>
        <v>0.97535530969237827</v>
      </c>
      <c r="R48" s="237">
        <f>Marketing!R16</f>
        <v>115000</v>
      </c>
      <c r="S48" s="237">
        <f t="shared" si="54"/>
        <v>1.1683905632739584</v>
      </c>
      <c r="T48" s="237"/>
      <c r="U48" s="237"/>
      <c r="V48" s="237"/>
      <c r="W48" s="237"/>
      <c r="X48" s="237"/>
      <c r="Y48" s="237"/>
      <c r="Z48" s="237"/>
      <c r="AA48" s="95"/>
      <c r="AB48" s="96"/>
      <c r="AC48" s="96"/>
      <c r="AD48" s="96"/>
      <c r="AE48" s="96"/>
      <c r="AF48" s="97"/>
      <c r="AG48" s="95"/>
      <c r="AH48" s="96"/>
      <c r="AI48" s="95"/>
      <c r="AJ48" s="96"/>
      <c r="AK48" s="95"/>
      <c r="AL48" s="96"/>
      <c r="AM48" s="95"/>
      <c r="AN48" s="98"/>
      <c r="AO48" s="96"/>
      <c r="AP48" s="96"/>
      <c r="AQ48" s="95"/>
      <c r="AR48" s="98"/>
      <c r="AS48" s="96"/>
      <c r="AT48" s="96"/>
      <c r="AU48" s="95"/>
      <c r="AV48" s="98"/>
      <c r="AW48" s="95"/>
      <c r="AX48" s="98"/>
      <c r="AY48" s="95"/>
      <c r="AZ48" s="98"/>
      <c r="BA48" s="95"/>
      <c r="BB48" s="98"/>
      <c r="BC48" s="95"/>
      <c r="BD48" s="96"/>
      <c r="BE48" s="95"/>
      <c r="BF48" s="98"/>
      <c r="BG48" s="95"/>
      <c r="BH48" s="98"/>
      <c r="BI48" s="95"/>
      <c r="BJ48" s="98"/>
      <c r="BK48" s="95"/>
      <c r="BL48" s="98"/>
      <c r="BM48" s="95"/>
      <c r="BN48" s="98"/>
      <c r="BO48" s="95"/>
      <c r="BP48" s="98"/>
      <c r="BQ48" s="96"/>
      <c r="BR48" s="98"/>
      <c r="BS48" s="99"/>
      <c r="BT48" s="95"/>
      <c r="BU48" s="96"/>
      <c r="BV48" s="96"/>
      <c r="BW48" s="98"/>
    </row>
    <row r="49" spans="1:75" ht="11.25" customHeight="1">
      <c r="A49" s="237">
        <f>POMEC!A16</f>
        <v>71550</v>
      </c>
      <c r="B49" s="237">
        <f t="shared" si="47"/>
        <v>0.85931261248190427</v>
      </c>
      <c r="C49" s="237">
        <f>POMEC!C16</f>
        <v>-48775</v>
      </c>
      <c r="D49" s="237">
        <f t="shared" si="48"/>
        <v>0.56322699397523435</v>
      </c>
      <c r="E49" s="237">
        <f>POMEC!E16</f>
        <v>0</v>
      </c>
      <c r="F49" s="237">
        <f t="shared" si="49"/>
        <v>0</v>
      </c>
      <c r="G49" s="237">
        <f>POMEC!G16</f>
        <v>48775</v>
      </c>
      <c r="H49" s="237">
        <f t="shared" si="50"/>
        <v>0.56322699397523435</v>
      </c>
      <c r="I49" s="237"/>
      <c r="J49" s="253" t="s">
        <v>552</v>
      </c>
      <c r="K49" s="237"/>
      <c r="L49" s="237">
        <f>POMEC!L16</f>
        <v>48775</v>
      </c>
      <c r="M49" s="237">
        <f t="shared" si="51"/>
        <v>0.47692185694481953</v>
      </c>
      <c r="N49" s="237">
        <f>POMEC!N16</f>
        <v>0</v>
      </c>
      <c r="O49" s="254">
        <f t="shared" si="52"/>
        <v>0</v>
      </c>
      <c r="P49" s="237">
        <f>POMEC!P16</f>
        <v>-48775</v>
      </c>
      <c r="Q49" s="237">
        <f t="shared" si="53"/>
        <v>0.47692185694481953</v>
      </c>
      <c r="R49" s="237">
        <f>POMEC!R16</f>
        <v>71550</v>
      </c>
      <c r="S49" s="237">
        <f t="shared" si="54"/>
        <v>0.72694212871523234</v>
      </c>
      <c r="T49" s="237"/>
      <c r="U49" s="237"/>
      <c r="V49" s="237"/>
      <c r="W49" s="237"/>
      <c r="X49" s="237"/>
      <c r="Y49" s="237"/>
      <c r="Z49" s="237"/>
      <c r="AA49" s="95"/>
      <c r="AB49" s="96"/>
      <c r="AC49" s="96"/>
      <c r="AD49" s="96"/>
      <c r="AE49" s="96"/>
      <c r="AF49" s="97"/>
      <c r="AG49" s="95"/>
      <c r="AH49" s="96"/>
      <c r="AI49" s="95"/>
      <c r="AJ49" s="96"/>
      <c r="AK49" s="95"/>
      <c r="AL49" s="96"/>
      <c r="AM49" s="95"/>
      <c r="AN49" s="98"/>
      <c r="AO49" s="96"/>
      <c r="AP49" s="96"/>
      <c r="AQ49" s="95"/>
      <c r="AR49" s="98"/>
      <c r="AS49" s="96"/>
      <c r="AT49" s="96"/>
      <c r="AU49" s="95"/>
      <c r="AV49" s="98"/>
      <c r="AW49" s="95"/>
      <c r="AX49" s="98"/>
      <c r="AY49" s="95"/>
      <c r="AZ49" s="98"/>
      <c r="BA49" s="95"/>
      <c r="BB49" s="98"/>
      <c r="BC49" s="95"/>
      <c r="BD49" s="96"/>
      <c r="BE49" s="95"/>
      <c r="BF49" s="98"/>
      <c r="BG49" s="95"/>
      <c r="BH49" s="98"/>
      <c r="BI49" s="95"/>
      <c r="BJ49" s="98"/>
      <c r="BK49" s="95"/>
      <c r="BL49" s="98"/>
      <c r="BM49" s="95"/>
      <c r="BN49" s="98"/>
      <c r="BO49" s="95"/>
      <c r="BP49" s="98"/>
      <c r="BQ49" s="96"/>
      <c r="BR49" s="98"/>
      <c r="BS49" s="99"/>
      <c r="BT49" s="95"/>
      <c r="BU49" s="96"/>
      <c r="BV49" s="96"/>
      <c r="BW49" s="98"/>
    </row>
    <row r="50" spans="1:75" ht="12.75" customHeight="1">
      <c r="A50" s="255">
        <f>SUM(A47:A49)</f>
        <v>1006676.48</v>
      </c>
      <c r="B50" s="256">
        <f t="shared" si="47"/>
        <v>12.090143898712613</v>
      </c>
      <c r="C50" s="256">
        <f>SUM(C47:C49)</f>
        <v>-583075.97</v>
      </c>
      <c r="D50" s="256">
        <f t="shared" si="48"/>
        <v>6.733042046997312</v>
      </c>
      <c r="E50" s="256">
        <f>SUM(E47:E49)</f>
        <v>0</v>
      </c>
      <c r="F50" s="256">
        <f t="shared" si="49"/>
        <v>0</v>
      </c>
      <c r="G50" s="256">
        <f>SUM(G47:G49)</f>
        <v>583075.97</v>
      </c>
      <c r="H50" s="256">
        <f t="shared" si="50"/>
        <v>6.733042046997312</v>
      </c>
      <c r="I50" s="280"/>
      <c r="J50" s="258" t="s">
        <v>543</v>
      </c>
      <c r="K50" s="259"/>
      <c r="L50" s="256">
        <f>SUM(L47:L49)</f>
        <v>583075.97</v>
      </c>
      <c r="M50" s="256">
        <f t="shared" si="51"/>
        <v>5.701315722240941</v>
      </c>
      <c r="N50" s="256">
        <f>SUM(N47:N49)</f>
        <v>0</v>
      </c>
      <c r="O50" s="260">
        <f t="shared" si="52"/>
        <v>0</v>
      </c>
      <c r="P50" s="256">
        <f>SUM(P47:P49)</f>
        <v>-583075.97</v>
      </c>
      <c r="Q50" s="256">
        <f t="shared" si="53"/>
        <v>5.701315722240941</v>
      </c>
      <c r="R50" s="256">
        <f>SUM(R47:R49)</f>
        <v>1006676.48</v>
      </c>
      <c r="S50" s="261">
        <f t="shared" si="54"/>
        <v>10.227750430450831</v>
      </c>
      <c r="T50" s="262"/>
      <c r="U50" s="262"/>
      <c r="V50" s="262"/>
      <c r="W50" s="262"/>
      <c r="X50" s="262"/>
      <c r="Y50" s="262"/>
      <c r="Z50" s="262"/>
      <c r="AA50" s="95"/>
      <c r="AB50" s="96"/>
      <c r="AC50" s="96"/>
      <c r="AD50" s="96"/>
      <c r="AE50" s="96"/>
      <c r="AF50" s="97"/>
      <c r="AG50" s="95"/>
      <c r="AH50" s="96"/>
      <c r="AI50" s="95"/>
      <c r="AJ50" s="96"/>
      <c r="AK50" s="95"/>
      <c r="AL50" s="96"/>
      <c r="AM50" s="95"/>
      <c r="AN50" s="98"/>
      <c r="AO50" s="96"/>
      <c r="AP50" s="96"/>
      <c r="AQ50" s="95"/>
      <c r="AR50" s="98"/>
      <c r="AS50" s="96"/>
      <c r="AT50" s="96"/>
      <c r="AU50" s="95"/>
      <c r="AV50" s="98"/>
      <c r="AW50" s="95"/>
      <c r="AX50" s="98"/>
      <c r="AY50" s="95"/>
      <c r="AZ50" s="98"/>
      <c r="BA50" s="95"/>
      <c r="BB50" s="98"/>
      <c r="BC50" s="95"/>
      <c r="BD50" s="96"/>
      <c r="BE50" s="95"/>
      <c r="BF50" s="98"/>
      <c r="BG50" s="95"/>
      <c r="BH50" s="98"/>
      <c r="BI50" s="95"/>
      <c r="BJ50" s="98"/>
      <c r="BK50" s="95"/>
      <c r="BL50" s="98"/>
      <c r="BM50" s="95"/>
      <c r="BN50" s="98"/>
      <c r="BO50" s="95"/>
      <c r="BP50" s="98"/>
      <c r="BQ50" s="96"/>
      <c r="BR50" s="98"/>
      <c r="BS50" s="99"/>
      <c r="BT50" s="95"/>
      <c r="BU50" s="96"/>
      <c r="BV50" s="96"/>
      <c r="BW50" s="98"/>
    </row>
    <row r="51" spans="1:75" ht="12.75" customHeight="1">
      <c r="A51" s="237"/>
      <c r="B51" s="237"/>
      <c r="C51" s="237"/>
      <c r="D51" s="237"/>
      <c r="E51" s="237"/>
      <c r="F51" s="237"/>
      <c r="G51" s="237"/>
      <c r="H51" s="237"/>
      <c r="I51" s="237"/>
      <c r="J51" s="263" t="s">
        <v>544</v>
      </c>
      <c r="K51" s="263"/>
      <c r="L51" s="237"/>
      <c r="M51" s="237"/>
      <c r="N51" s="237"/>
      <c r="O51" s="254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  <c r="AA51" s="95"/>
      <c r="AB51" s="96"/>
      <c r="AC51" s="96"/>
      <c r="AD51" s="96"/>
      <c r="AE51" s="96"/>
      <c r="AF51" s="97"/>
      <c r="AG51" s="95"/>
      <c r="AH51" s="96"/>
      <c r="AI51" s="95"/>
      <c r="AJ51" s="96"/>
      <c r="AK51" s="95"/>
      <c r="AL51" s="96"/>
      <c r="AM51" s="95"/>
      <c r="AN51" s="98"/>
      <c r="AO51" s="96"/>
      <c r="AP51" s="96"/>
      <c r="AQ51" s="95"/>
      <c r="AR51" s="98"/>
      <c r="AS51" s="96"/>
      <c r="AT51" s="96"/>
      <c r="AU51" s="95"/>
      <c r="AV51" s="98"/>
      <c r="AW51" s="95"/>
      <c r="AX51" s="98"/>
      <c r="AY51" s="95"/>
      <c r="AZ51" s="98"/>
      <c r="BA51" s="95"/>
      <c r="BB51" s="98"/>
      <c r="BC51" s="95"/>
      <c r="BD51" s="96"/>
      <c r="BE51" s="95"/>
      <c r="BF51" s="98"/>
      <c r="BG51" s="95"/>
      <c r="BH51" s="98"/>
      <c r="BI51" s="95"/>
      <c r="BJ51" s="98"/>
      <c r="BK51" s="95"/>
      <c r="BL51" s="98"/>
      <c r="BM51" s="95"/>
      <c r="BN51" s="98"/>
      <c r="BO51" s="95"/>
      <c r="BP51" s="98"/>
      <c r="BQ51" s="96"/>
      <c r="BR51" s="98"/>
      <c r="BS51" s="99"/>
      <c r="BT51" s="95"/>
      <c r="BU51" s="96"/>
      <c r="BV51" s="96"/>
      <c r="BW51" s="98"/>
    </row>
    <row r="52" spans="1:75" ht="11.25" customHeight="1">
      <c r="A52" s="237">
        <f>Admin!A65</f>
        <v>894352.15</v>
      </c>
      <c r="B52" s="237">
        <f t="shared" ref="B52:B82" si="55">IF(A52=0,0,(A52*100/A$19))</f>
        <v>10.741133228445953</v>
      </c>
      <c r="C52" s="237">
        <f>Admin!C65</f>
        <v>-1121798.98</v>
      </c>
      <c r="D52" s="237">
        <f t="shared" ref="D52:D82" si="56">IF(C52=0,0,(C52*100/C$19))</f>
        <v>12.953920396717253</v>
      </c>
      <c r="E52" s="237">
        <f>Admin!E65</f>
        <v>0</v>
      </c>
      <c r="F52" s="237">
        <f t="shared" ref="F52:F82" si="57">IF(E52=0,0,(E52*100/E$19))</f>
        <v>0</v>
      </c>
      <c r="G52" s="237">
        <f>Admin!G65</f>
        <v>1121798.98</v>
      </c>
      <c r="H52" s="281">
        <f t="shared" ref="H52:H82" si="58">IF(G52=0,0,(G52*100/G$19))</f>
        <v>12.953920396717253</v>
      </c>
      <c r="I52" s="281"/>
      <c r="J52" s="253" t="s">
        <v>550</v>
      </c>
      <c r="K52" s="237"/>
      <c r="L52" s="237">
        <f>Admin!L65</f>
        <v>1121798.98</v>
      </c>
      <c r="M52" s="237">
        <f t="shared" ref="M52:M82" si="59">IF(L52=0,0,(L52*100/L$19))</f>
        <v>10.968948286220492</v>
      </c>
      <c r="N52" s="237">
        <f>Admin!N65</f>
        <v>0</v>
      </c>
      <c r="O52" s="254">
        <f t="shared" ref="O52:O82" si="60">IF(N52=0,0,(N52*100/N$19))</f>
        <v>0</v>
      </c>
      <c r="P52" s="237">
        <f>Admin!P65</f>
        <v>-1121798.98</v>
      </c>
      <c r="Q52" s="237">
        <f t="shared" ref="Q52:Q82" si="61">IF(P52=0,0,(P52*100/P$19))</f>
        <v>10.968948286220492</v>
      </c>
      <c r="R52" s="237">
        <f>Admin!R65</f>
        <v>894352.15</v>
      </c>
      <c r="S52" s="237">
        <f t="shared" ref="S52:S82" si="62">IF(R52=0,0,(R52*100/R$19))</f>
        <v>9.0865444548154404</v>
      </c>
      <c r="T52" s="237"/>
      <c r="U52" s="237"/>
      <c r="V52" s="237"/>
      <c r="W52" s="237"/>
      <c r="X52" s="237"/>
      <c r="Y52" s="237"/>
      <c r="Z52" s="237"/>
      <c r="AA52" s="95"/>
      <c r="AB52" s="96"/>
      <c r="AC52" s="96"/>
      <c r="AD52" s="96"/>
      <c r="AE52" s="96"/>
      <c r="AF52" s="97"/>
      <c r="AG52" s="95"/>
      <c r="AH52" s="96"/>
      <c r="AI52" s="95"/>
      <c r="AJ52" s="96"/>
      <c r="AK52" s="95"/>
      <c r="AL52" s="96"/>
      <c r="AM52" s="95"/>
      <c r="AN52" s="98"/>
      <c r="AO52" s="96"/>
      <c r="AP52" s="96"/>
      <c r="AQ52" s="95"/>
      <c r="AR52" s="98"/>
      <c r="AS52" s="96"/>
      <c r="AT52" s="96"/>
      <c r="AU52" s="95"/>
      <c r="AV52" s="98"/>
      <c r="AW52" s="95"/>
      <c r="AX52" s="98"/>
      <c r="AY52" s="95"/>
      <c r="AZ52" s="98"/>
      <c r="BA52" s="95"/>
      <c r="BB52" s="98"/>
      <c r="BC52" s="95"/>
      <c r="BD52" s="96"/>
      <c r="BE52" s="95"/>
      <c r="BF52" s="98"/>
      <c r="BG52" s="95"/>
      <c r="BH52" s="98"/>
      <c r="BI52" s="95"/>
      <c r="BJ52" s="98"/>
      <c r="BK52" s="95"/>
      <c r="BL52" s="98"/>
      <c r="BM52" s="95"/>
      <c r="BN52" s="98"/>
      <c r="BO52" s="95"/>
      <c r="BP52" s="98"/>
      <c r="BQ52" s="96"/>
      <c r="BR52" s="98"/>
      <c r="BS52" s="99"/>
      <c r="BT52" s="95"/>
      <c r="BU52" s="96"/>
      <c r="BV52" s="96"/>
      <c r="BW52" s="98"/>
    </row>
    <row r="53" spans="1:75" ht="11.25" customHeight="1">
      <c r="A53" s="237">
        <f>Marketing!A43</f>
        <v>63622.43</v>
      </c>
      <c r="B53" s="237">
        <f t="shared" si="55"/>
        <v>0.7641028167120486</v>
      </c>
      <c r="C53" s="237">
        <f>Marketing!C43</f>
        <v>0</v>
      </c>
      <c r="D53" s="237">
        <f t="shared" si="56"/>
        <v>0</v>
      </c>
      <c r="E53" s="237">
        <f>Marketing!E43</f>
        <v>0</v>
      </c>
      <c r="F53" s="237">
        <f t="shared" si="57"/>
        <v>0</v>
      </c>
      <c r="G53" s="237">
        <f>Marketing!G43</f>
        <v>0</v>
      </c>
      <c r="H53" s="281">
        <f t="shared" si="58"/>
        <v>0</v>
      </c>
      <c r="I53" s="281"/>
      <c r="J53" s="253" t="s">
        <v>551</v>
      </c>
      <c r="K53" s="237"/>
      <c r="L53" s="237">
        <f>Marketing!L43</f>
        <v>0</v>
      </c>
      <c r="M53" s="237">
        <f t="shared" si="59"/>
        <v>0</v>
      </c>
      <c r="N53" s="237">
        <f>Marketing!N43</f>
        <v>0</v>
      </c>
      <c r="O53" s="254">
        <f t="shared" si="60"/>
        <v>0</v>
      </c>
      <c r="P53" s="237">
        <f>Marketing!P43</f>
        <v>0</v>
      </c>
      <c r="Q53" s="237">
        <f t="shared" si="61"/>
        <v>0</v>
      </c>
      <c r="R53" s="237">
        <f>Marketing!R43</f>
        <v>63622.43</v>
      </c>
      <c r="S53" s="237">
        <f t="shared" si="62"/>
        <v>0.64639866803963464</v>
      </c>
      <c r="T53" s="237"/>
      <c r="U53" s="237"/>
      <c r="V53" s="237"/>
      <c r="W53" s="237"/>
      <c r="X53" s="237"/>
      <c r="Y53" s="237"/>
      <c r="Z53" s="237"/>
      <c r="AA53" s="95"/>
      <c r="AB53" s="96"/>
      <c r="AC53" s="96"/>
      <c r="AD53" s="96"/>
      <c r="AE53" s="96"/>
      <c r="AF53" s="97"/>
      <c r="AG53" s="95"/>
      <c r="AH53" s="96"/>
      <c r="AI53" s="95"/>
      <c r="AJ53" s="96"/>
      <c r="AK53" s="95"/>
      <c r="AL53" s="96"/>
      <c r="AM53" s="95"/>
      <c r="AN53" s="98"/>
      <c r="AO53" s="96"/>
      <c r="AP53" s="96"/>
      <c r="AQ53" s="95"/>
      <c r="AR53" s="98"/>
      <c r="AS53" s="96"/>
      <c r="AT53" s="96"/>
      <c r="AU53" s="95"/>
      <c r="AV53" s="98"/>
      <c r="AW53" s="95"/>
      <c r="AX53" s="98"/>
      <c r="AY53" s="95"/>
      <c r="AZ53" s="98"/>
      <c r="BA53" s="95"/>
      <c r="BB53" s="98"/>
      <c r="BC53" s="95"/>
      <c r="BD53" s="96"/>
      <c r="BE53" s="95"/>
      <c r="BF53" s="98"/>
      <c r="BG53" s="95"/>
      <c r="BH53" s="98"/>
      <c r="BI53" s="95"/>
      <c r="BJ53" s="98"/>
      <c r="BK53" s="95"/>
      <c r="BL53" s="98"/>
      <c r="BM53" s="95"/>
      <c r="BN53" s="98"/>
      <c r="BO53" s="95"/>
      <c r="BP53" s="98"/>
      <c r="BQ53" s="96"/>
      <c r="BR53" s="98"/>
      <c r="BS53" s="99"/>
      <c r="BT53" s="95"/>
      <c r="BU53" s="96"/>
      <c r="BV53" s="96"/>
      <c r="BW53" s="98"/>
    </row>
    <row r="54" spans="1:75" ht="11.25" customHeight="1">
      <c r="A54" s="237">
        <f>POMEC!A59</f>
        <v>34304.639999999999</v>
      </c>
      <c r="B54" s="237">
        <f t="shared" si="55"/>
        <v>0.41199734197975169</v>
      </c>
      <c r="C54" s="237">
        <f>POMEC!C59</f>
        <v>-23013.31</v>
      </c>
      <c r="D54" s="237">
        <f t="shared" si="56"/>
        <v>0.26574510328488365</v>
      </c>
      <c r="E54" s="237">
        <f>POMEC!E59</f>
        <v>0</v>
      </c>
      <c r="F54" s="237">
        <f t="shared" si="57"/>
        <v>0</v>
      </c>
      <c r="G54" s="237">
        <f>POMEC!G59</f>
        <v>23013.31</v>
      </c>
      <c r="H54" s="281">
        <f t="shared" si="58"/>
        <v>0.26574510328488365</v>
      </c>
      <c r="I54" s="281"/>
      <c r="J54" s="253" t="s">
        <v>552</v>
      </c>
      <c r="K54" s="237"/>
      <c r="L54" s="237">
        <f>POMEC!L59</f>
        <v>23013.31</v>
      </c>
      <c r="M54" s="237">
        <f t="shared" si="59"/>
        <v>0.22502410127415243</v>
      </c>
      <c r="N54" s="237">
        <f>POMEC!N59</f>
        <v>0</v>
      </c>
      <c r="O54" s="254">
        <f t="shared" si="60"/>
        <v>0</v>
      </c>
      <c r="P54" s="237">
        <f>POMEC!P59</f>
        <v>-23013.31</v>
      </c>
      <c r="Q54" s="237">
        <f t="shared" si="61"/>
        <v>0.22502410127415243</v>
      </c>
      <c r="R54" s="237">
        <f>POMEC!R59</f>
        <v>34304.639999999999</v>
      </c>
      <c r="S54" s="237">
        <f>IF(R54=0,0,(R54*100/R$19))</f>
        <v>0.34853232741313356</v>
      </c>
      <c r="T54" s="237"/>
      <c r="U54" s="237"/>
      <c r="V54" s="237"/>
      <c r="W54" s="237"/>
      <c r="X54" s="237"/>
      <c r="Y54" s="237"/>
      <c r="Z54" s="237"/>
      <c r="AA54" s="95"/>
      <c r="AB54" s="96"/>
      <c r="AC54" s="96"/>
      <c r="AD54" s="96"/>
      <c r="AE54" s="96"/>
      <c r="AF54" s="97"/>
      <c r="AG54" s="95"/>
      <c r="AH54" s="96"/>
      <c r="AI54" s="95"/>
      <c r="AJ54" s="96"/>
      <c r="AK54" s="95"/>
      <c r="AL54" s="96"/>
      <c r="AM54" s="95"/>
      <c r="AN54" s="98"/>
      <c r="AO54" s="96"/>
      <c r="AP54" s="96"/>
      <c r="AQ54" s="95"/>
      <c r="AR54" s="98"/>
      <c r="AS54" s="96"/>
      <c r="AT54" s="96"/>
      <c r="AU54" s="95"/>
      <c r="AV54" s="98"/>
      <c r="AW54" s="95"/>
      <c r="AX54" s="98"/>
      <c r="AY54" s="95"/>
      <c r="AZ54" s="98"/>
      <c r="BA54" s="95"/>
      <c r="BB54" s="98"/>
      <c r="BC54" s="95"/>
      <c r="BD54" s="96"/>
      <c r="BE54" s="95"/>
      <c r="BF54" s="98"/>
      <c r="BG54" s="95"/>
      <c r="BH54" s="98"/>
      <c r="BI54" s="95"/>
      <c r="BJ54" s="98"/>
      <c r="BK54" s="95"/>
      <c r="BL54" s="98"/>
      <c r="BM54" s="95"/>
      <c r="BN54" s="98"/>
      <c r="BO54" s="95"/>
      <c r="BP54" s="98"/>
      <c r="BQ54" s="96"/>
      <c r="BR54" s="98"/>
      <c r="BS54" s="99"/>
      <c r="BT54" s="95"/>
      <c r="BU54" s="96"/>
      <c r="BV54" s="96"/>
      <c r="BW54" s="98"/>
    </row>
    <row r="55" spans="1:75" ht="11.25" customHeight="1">
      <c r="A55" s="237">
        <f>POMEC!A68</f>
        <v>360406.4</v>
      </c>
      <c r="B55" s="237">
        <f t="shared" si="55"/>
        <v>4.3284663192061243</v>
      </c>
      <c r="C55" s="237">
        <f>POMEC!C68</f>
        <v>-379370.11</v>
      </c>
      <c r="D55" s="237">
        <f t="shared" si="56"/>
        <v>4.3807583118268374</v>
      </c>
      <c r="E55" s="237">
        <f>POMEC!E68</f>
        <v>0</v>
      </c>
      <c r="F55" s="237">
        <f t="shared" si="57"/>
        <v>0</v>
      </c>
      <c r="G55" s="237">
        <f>POMEC!G68</f>
        <v>379370.11</v>
      </c>
      <c r="H55" s="281">
        <f t="shared" si="58"/>
        <v>4.3807583118268374</v>
      </c>
      <c r="I55" s="281"/>
      <c r="J55" s="237" t="s">
        <v>553</v>
      </c>
      <c r="K55" s="237"/>
      <c r="L55" s="237">
        <f>POMEC!L68</f>
        <v>379370.11</v>
      </c>
      <c r="M55" s="237">
        <f t="shared" si="59"/>
        <v>3.709480211800317</v>
      </c>
      <c r="N55" s="237">
        <f>POMEC!N68</f>
        <v>0</v>
      </c>
      <c r="O55" s="254">
        <f t="shared" si="60"/>
        <v>0</v>
      </c>
      <c r="P55" s="237">
        <f>POMEC!P68</f>
        <v>-379370.11</v>
      </c>
      <c r="Q55" s="237">
        <f t="shared" si="61"/>
        <v>3.709480211800317</v>
      </c>
      <c r="R55" s="237">
        <f>POMEC!R68</f>
        <v>360406.4</v>
      </c>
      <c r="S55" s="237">
        <f t="shared" si="62"/>
        <v>3.661699449595996</v>
      </c>
      <c r="T55" s="237"/>
      <c r="U55" s="237"/>
      <c r="V55" s="237"/>
      <c r="W55" s="237"/>
      <c r="X55" s="237"/>
      <c r="Y55" s="237"/>
      <c r="Z55" s="237"/>
      <c r="AA55" s="95"/>
      <c r="AB55" s="96"/>
      <c r="AC55" s="96"/>
      <c r="AD55" s="96"/>
      <c r="AE55" s="96"/>
      <c r="AF55" s="97"/>
      <c r="AG55" s="95"/>
      <c r="AH55" s="96"/>
      <c r="AI55" s="95"/>
      <c r="AJ55" s="96"/>
      <c r="AK55" s="95"/>
      <c r="AL55" s="96"/>
      <c r="AM55" s="95"/>
      <c r="AN55" s="98"/>
      <c r="AO55" s="96"/>
      <c r="AP55" s="96"/>
      <c r="AQ55" s="95"/>
      <c r="AR55" s="98"/>
      <c r="AS55" s="96"/>
      <c r="AT55" s="96"/>
      <c r="AU55" s="95"/>
      <c r="AV55" s="98"/>
      <c r="AW55" s="95"/>
      <c r="AX55" s="98"/>
      <c r="AY55" s="95"/>
      <c r="AZ55" s="98"/>
      <c r="BA55" s="95"/>
      <c r="BB55" s="98"/>
      <c r="BC55" s="95"/>
      <c r="BD55" s="96"/>
      <c r="BE55" s="95"/>
      <c r="BF55" s="98"/>
      <c r="BG55" s="95"/>
      <c r="BH55" s="98"/>
      <c r="BI55" s="95"/>
      <c r="BJ55" s="98"/>
      <c r="BK55" s="95"/>
      <c r="BL55" s="98"/>
      <c r="BM55" s="95"/>
      <c r="BN55" s="98"/>
      <c r="BO55" s="95"/>
      <c r="BP55" s="98"/>
      <c r="BQ55" s="96"/>
      <c r="BR55" s="98"/>
      <c r="BS55" s="99"/>
      <c r="BT55" s="95"/>
      <c r="BU55" s="96"/>
      <c r="BV55" s="96"/>
      <c r="BW55" s="98"/>
    </row>
    <row r="56" spans="1:75" ht="12.75" customHeight="1">
      <c r="A56" s="265">
        <f>SUM(A52:A55)</f>
        <v>1352685.62</v>
      </c>
      <c r="B56" s="266">
        <f t="shared" si="55"/>
        <v>16.245699706343878</v>
      </c>
      <c r="C56" s="266">
        <f>SUM(C52:C55)</f>
        <v>-1524182.4</v>
      </c>
      <c r="D56" s="266">
        <f t="shared" si="56"/>
        <v>17.600423811828975</v>
      </c>
      <c r="E56" s="266">
        <f>SUM(E52:E55)</f>
        <v>0</v>
      </c>
      <c r="F56" s="266">
        <f t="shared" si="57"/>
        <v>0</v>
      </c>
      <c r="G56" s="266">
        <f>SUM(G52:G55)</f>
        <v>1524182.4</v>
      </c>
      <c r="H56" s="282">
        <f t="shared" si="58"/>
        <v>17.600423811828975</v>
      </c>
      <c r="I56" s="283"/>
      <c r="J56" s="268" t="s">
        <v>554</v>
      </c>
      <c r="K56" s="269"/>
      <c r="L56" s="266">
        <f>SUM(L52:L55)</f>
        <v>1524182.4</v>
      </c>
      <c r="M56" s="266">
        <f t="shared" si="59"/>
        <v>14.90345259929496</v>
      </c>
      <c r="N56" s="266">
        <f>SUM(N52:N55)</f>
        <v>0</v>
      </c>
      <c r="O56" s="270">
        <f t="shared" si="60"/>
        <v>0</v>
      </c>
      <c r="P56" s="266">
        <f>SUM(P52:P55)</f>
        <v>-1524182.4</v>
      </c>
      <c r="Q56" s="266">
        <f t="shared" si="61"/>
        <v>14.90345259929496</v>
      </c>
      <c r="R56" s="266">
        <f>SUM(R52:R55)</f>
        <v>1352685.62</v>
      </c>
      <c r="S56" s="271">
        <f t="shared" si="62"/>
        <v>13.743174899864204</v>
      </c>
      <c r="T56" s="262"/>
      <c r="U56" s="262"/>
      <c r="V56" s="262"/>
      <c r="W56" s="262"/>
      <c r="X56" s="262"/>
      <c r="Y56" s="262"/>
      <c r="Z56" s="262"/>
      <c r="AA56" s="95"/>
      <c r="AB56" s="96"/>
      <c r="AC56" s="96"/>
      <c r="AD56" s="96"/>
      <c r="AE56" s="96"/>
      <c r="AF56" s="97"/>
      <c r="AG56" s="95"/>
      <c r="AH56" s="96"/>
      <c r="AI56" s="95"/>
      <c r="AJ56" s="96"/>
      <c r="AK56" s="95"/>
      <c r="AL56" s="96"/>
      <c r="AM56" s="95"/>
      <c r="AN56" s="98"/>
      <c r="AO56" s="96"/>
      <c r="AP56" s="96"/>
      <c r="AQ56" s="95"/>
      <c r="AR56" s="98"/>
      <c r="AS56" s="96"/>
      <c r="AT56" s="96"/>
      <c r="AU56" s="95"/>
      <c r="AV56" s="98"/>
      <c r="AW56" s="95"/>
      <c r="AX56" s="98"/>
      <c r="AY56" s="95"/>
      <c r="AZ56" s="98"/>
      <c r="BA56" s="95"/>
      <c r="BB56" s="98"/>
      <c r="BC56" s="95"/>
      <c r="BD56" s="96"/>
      <c r="BE56" s="95"/>
      <c r="BF56" s="98"/>
      <c r="BG56" s="95"/>
      <c r="BH56" s="98"/>
      <c r="BI56" s="95"/>
      <c r="BJ56" s="98"/>
      <c r="BK56" s="95"/>
      <c r="BL56" s="98"/>
      <c r="BM56" s="95"/>
      <c r="BN56" s="98"/>
      <c r="BO56" s="95"/>
      <c r="BP56" s="98"/>
      <c r="BQ56" s="96"/>
      <c r="BR56" s="98"/>
      <c r="BS56" s="99"/>
      <c r="BT56" s="95"/>
      <c r="BU56" s="96"/>
      <c r="BV56" s="96"/>
      <c r="BW56" s="98"/>
    </row>
    <row r="57" spans="1:75" ht="12.75" customHeight="1">
      <c r="A57" s="284">
        <f>+A50+A56</f>
        <v>2359362.1</v>
      </c>
      <c r="B57" s="285">
        <f t="shared" si="55"/>
        <v>28.335843605056489</v>
      </c>
      <c r="C57" s="285">
        <f>+C50+C56</f>
        <v>-2107258.37</v>
      </c>
      <c r="D57" s="285">
        <f t="shared" si="56"/>
        <v>24.333465858826287</v>
      </c>
      <c r="E57" s="285">
        <f>+E50+E56</f>
        <v>0</v>
      </c>
      <c r="F57" s="285">
        <f t="shared" si="57"/>
        <v>0</v>
      </c>
      <c r="G57" s="285">
        <f>+G50+G56</f>
        <v>2107258.37</v>
      </c>
      <c r="H57" s="285">
        <f t="shared" si="58"/>
        <v>24.333465858826287</v>
      </c>
      <c r="I57" s="286"/>
      <c r="J57" s="286" t="s">
        <v>555</v>
      </c>
      <c r="K57" s="287"/>
      <c r="L57" s="285">
        <f>+L50+L56</f>
        <v>2107258.37</v>
      </c>
      <c r="M57" s="285">
        <f t="shared" si="59"/>
        <v>20.6047683215359</v>
      </c>
      <c r="N57" s="285">
        <f>+N50+N56</f>
        <v>0</v>
      </c>
      <c r="O57" s="288">
        <f t="shared" si="60"/>
        <v>0</v>
      </c>
      <c r="P57" s="285">
        <f>+P50+P56</f>
        <v>-2107258.37</v>
      </c>
      <c r="Q57" s="285">
        <f t="shared" si="61"/>
        <v>20.6047683215359</v>
      </c>
      <c r="R57" s="285">
        <f>+R50+R56</f>
        <v>2359362.1</v>
      </c>
      <c r="S57" s="289">
        <f t="shared" si="62"/>
        <v>23.970925330315037</v>
      </c>
      <c r="T57" s="262"/>
      <c r="U57" s="262"/>
      <c r="V57" s="262"/>
      <c r="W57" s="262"/>
      <c r="X57" s="262"/>
      <c r="Y57" s="262"/>
      <c r="Z57" s="262"/>
      <c r="AA57" s="95"/>
      <c r="AB57" s="96"/>
      <c r="AC57" s="96"/>
      <c r="AD57" s="96"/>
      <c r="AE57" s="96"/>
      <c r="AF57" s="97"/>
      <c r="AG57" s="95"/>
      <c r="AH57" s="96"/>
      <c r="AI57" s="95"/>
      <c r="AJ57" s="96"/>
      <c r="AK57" s="95"/>
      <c r="AL57" s="96"/>
      <c r="AM57" s="95"/>
      <c r="AN57" s="98"/>
      <c r="AO57" s="96"/>
      <c r="AP57" s="96"/>
      <c r="AQ57" s="95"/>
      <c r="AR57" s="98"/>
      <c r="AS57" s="96"/>
      <c r="AT57" s="96"/>
      <c r="AU57" s="95"/>
      <c r="AV57" s="98"/>
      <c r="AW57" s="95"/>
      <c r="AX57" s="98"/>
      <c r="AY57" s="95"/>
      <c r="AZ57" s="98"/>
      <c r="BA57" s="95"/>
      <c r="BB57" s="98"/>
      <c r="BC57" s="95"/>
      <c r="BD57" s="96"/>
      <c r="BE57" s="95"/>
      <c r="BF57" s="98"/>
      <c r="BG57" s="95"/>
      <c r="BH57" s="98"/>
      <c r="BI57" s="95"/>
      <c r="BJ57" s="98"/>
      <c r="BK57" s="95"/>
      <c r="BL57" s="98"/>
      <c r="BM57" s="95"/>
      <c r="BN57" s="98"/>
      <c r="BO57" s="95"/>
      <c r="BP57" s="98"/>
      <c r="BQ57" s="96"/>
      <c r="BR57" s="98"/>
      <c r="BS57" s="99"/>
      <c r="BT57" s="95"/>
      <c r="BU57" s="96"/>
      <c r="BV57" s="96"/>
      <c r="BW57" s="98"/>
    </row>
    <row r="58" spans="1:75" ht="12.75" customHeight="1">
      <c r="A58" s="272">
        <f>+A43-A57</f>
        <v>5169618.9700000007</v>
      </c>
      <c r="B58" s="273">
        <f t="shared" si="55"/>
        <v>62.086915201211902</v>
      </c>
      <c r="C58" s="273">
        <f>+C43-C57</f>
        <v>-5989178.5600000005</v>
      </c>
      <c r="D58" s="273">
        <f t="shared" si="56"/>
        <v>69.159754725365914</v>
      </c>
      <c r="E58" s="273">
        <f>+E43-E57</f>
        <v>0</v>
      </c>
      <c r="F58" s="273">
        <f t="shared" si="57"/>
        <v>0</v>
      </c>
      <c r="G58" s="273">
        <f>+G43-G57</f>
        <v>4863033.08</v>
      </c>
      <c r="H58" s="273">
        <f t="shared" si="58"/>
        <v>56.155643326510003</v>
      </c>
      <c r="I58" s="275"/>
      <c r="J58" s="275" t="s">
        <v>556</v>
      </c>
      <c r="K58" s="276"/>
      <c r="L58" s="273">
        <f>+L43-L57</f>
        <v>7556302.1100000003</v>
      </c>
      <c r="M58" s="273">
        <f t="shared" si="59"/>
        <v>73.885507615320506</v>
      </c>
      <c r="N58" s="273">
        <f>+N43-N57</f>
        <v>0</v>
      </c>
      <c r="O58" s="277">
        <f t="shared" si="60"/>
        <v>0</v>
      </c>
      <c r="P58" s="273">
        <f>+P43-P57</f>
        <v>-7556302.1100000003</v>
      </c>
      <c r="Q58" s="273">
        <f t="shared" si="61"/>
        <v>73.885507615320506</v>
      </c>
      <c r="R58" s="273">
        <f>+R43-R57</f>
        <v>6685795.5000000019</v>
      </c>
      <c r="S58" s="278">
        <f t="shared" si="62"/>
        <v>67.927133653734771</v>
      </c>
      <c r="T58" s="262"/>
      <c r="U58" s="262"/>
      <c r="V58" s="262"/>
      <c r="W58" s="262"/>
      <c r="X58" s="262"/>
      <c r="Y58" s="262"/>
      <c r="Z58" s="262"/>
      <c r="AA58" s="95"/>
      <c r="AB58" s="96"/>
      <c r="AC58" s="96"/>
      <c r="AD58" s="96"/>
      <c r="AE58" s="96"/>
      <c r="AF58" s="97"/>
      <c r="AG58" s="95"/>
      <c r="AH58" s="96"/>
      <c r="AI58" s="95"/>
      <c r="AJ58" s="96"/>
      <c r="AK58" s="95"/>
      <c r="AL58" s="96"/>
      <c r="AM58" s="95"/>
      <c r="AN58" s="98"/>
      <c r="AO58" s="96"/>
      <c r="AP58" s="96"/>
      <c r="AQ58" s="95"/>
      <c r="AR58" s="98"/>
      <c r="AS58" s="96"/>
      <c r="AT58" s="96"/>
      <c r="AU58" s="95"/>
      <c r="AV58" s="98"/>
      <c r="AW58" s="95"/>
      <c r="AX58" s="98"/>
      <c r="AY58" s="95"/>
      <c r="AZ58" s="98"/>
      <c r="BA58" s="95"/>
      <c r="BB58" s="98"/>
      <c r="BC58" s="95"/>
      <c r="BD58" s="96"/>
      <c r="BE58" s="95"/>
      <c r="BF58" s="98"/>
      <c r="BG58" s="95"/>
      <c r="BH58" s="98"/>
      <c r="BI58" s="95"/>
      <c r="BJ58" s="98"/>
      <c r="BK58" s="95"/>
      <c r="BL58" s="98"/>
      <c r="BM58" s="95"/>
      <c r="BN58" s="98"/>
      <c r="BO58" s="95"/>
      <c r="BP58" s="98"/>
      <c r="BQ58" s="96"/>
      <c r="BR58" s="98"/>
      <c r="BS58" s="99"/>
      <c r="BT58" s="95"/>
      <c r="BU58" s="96"/>
      <c r="BV58" s="96"/>
      <c r="BW58" s="98"/>
    </row>
    <row r="59" spans="1:75" ht="12.75" hidden="1" customHeight="1">
      <c r="A59" s="290">
        <f t="array" ref="A59">_xll.AC(DB,_xll.ArrayDPT($AA59:$AE59),_xll.ArrayCOA($AG59:$BR59),YR-1,PRD,_xll.ArrayDIM($BT59:$BW59))</f>
        <v>0</v>
      </c>
      <c r="B59" s="290">
        <f t="shared" si="55"/>
        <v>0</v>
      </c>
      <c r="C59" s="290">
        <f t="shared" ref="C59:C61" si="63">+E59-G59</f>
        <v>0</v>
      </c>
      <c r="D59" s="290">
        <f t="shared" si="56"/>
        <v>0</v>
      </c>
      <c r="E59" s="290">
        <f t="array" ref="E59">_xll.BC(DB,_xll.ArrayDPT($AA59:$AE59),_xll.ArrayCOA($AG59:$BR59),YR,PRD,RV,_xll.ArrayDIM($BT59:$BW59))</f>
        <v>0</v>
      </c>
      <c r="F59" s="290">
        <f t="shared" si="57"/>
        <v>0</v>
      </c>
      <c r="G59" s="290">
        <f t="array" ref="G59">_xll.AC(DB,_xll.ArrayDPT($AA59:$AE59),_xll.ArrayCOA($AG59:$BR59),YR,PRD,_xll.ArrayDIM($BT59:$BW59))</f>
        <v>0</v>
      </c>
      <c r="H59" s="291">
        <f t="shared" si="58"/>
        <v>0</v>
      </c>
      <c r="I59" s="290"/>
      <c r="J59" s="290" t="s">
        <v>557</v>
      </c>
      <c r="K59" s="290"/>
      <c r="L59" s="290">
        <f t="array" ref="L59">_xll.ACC(DB,_xll.ArrayDPT($AA59:$AE59),_xll.ArrayCOA($AG59:$BR59),YR,PRD,_xll.ArrayDIM($BT59:$BW59))</f>
        <v>0</v>
      </c>
      <c r="M59" s="290">
        <f t="shared" si="59"/>
        <v>0</v>
      </c>
      <c r="N59" s="290">
        <f t="array" ref="N59">_xll.BCC(DB,_xll.ArrayDPT($AA59:$AE59),_xll.ArrayCOA($AG59:$BR59),YR,PRD,RV,_xll.ArrayDIM($BT59:$BW59))</f>
        <v>0</v>
      </c>
      <c r="O59" s="292">
        <f t="shared" si="60"/>
        <v>0</v>
      </c>
      <c r="P59" s="290">
        <f t="shared" ref="P59:P61" si="64">+N59-L59</f>
        <v>0</v>
      </c>
      <c r="Q59" s="290">
        <f t="shared" si="61"/>
        <v>0</v>
      </c>
      <c r="R59" s="290">
        <f t="array" ref="R59">_xll.ACC(DB,_xll.ArrayDPT($AA59:$AE59),_xll.ArrayCOA($AG59:$BR59),YR-1,PRD,_xll.ArrayDIM($BT59:$BW59))</f>
        <v>0</v>
      </c>
      <c r="S59" s="290">
        <f t="shared" si="62"/>
        <v>0</v>
      </c>
      <c r="T59" s="290"/>
      <c r="U59" s="290"/>
      <c r="V59" s="290"/>
      <c r="W59" s="290"/>
      <c r="X59" s="290"/>
      <c r="Y59" s="290"/>
      <c r="Z59" s="290"/>
      <c r="AA59" s="95" t="s">
        <v>558</v>
      </c>
      <c r="AB59" s="96"/>
      <c r="AC59" s="96"/>
      <c r="AD59" s="96"/>
      <c r="AE59" s="96"/>
      <c r="AF59" s="97"/>
      <c r="AG59" s="95" t="s">
        <v>559</v>
      </c>
      <c r="AH59" s="96" t="s">
        <v>559</v>
      </c>
      <c r="AI59" s="95"/>
      <c r="AJ59" s="96"/>
      <c r="AK59" s="95"/>
      <c r="AL59" s="96"/>
      <c r="AM59" s="95"/>
      <c r="AN59" s="98"/>
      <c r="AO59" s="96"/>
      <c r="AP59" s="96"/>
      <c r="AQ59" s="95"/>
      <c r="AR59" s="98"/>
      <c r="AS59" s="96"/>
      <c r="AT59" s="96"/>
      <c r="AU59" s="95"/>
      <c r="AV59" s="98"/>
      <c r="AW59" s="95"/>
      <c r="AX59" s="98"/>
      <c r="AY59" s="95"/>
      <c r="AZ59" s="98"/>
      <c r="BA59" s="95"/>
      <c r="BB59" s="98"/>
      <c r="BC59" s="95"/>
      <c r="BD59" s="96"/>
      <c r="BE59" s="95"/>
      <c r="BF59" s="98"/>
      <c r="BG59" s="95"/>
      <c r="BH59" s="98"/>
      <c r="BI59" s="95"/>
      <c r="BJ59" s="98"/>
      <c r="BK59" s="95"/>
      <c r="BL59" s="98"/>
      <c r="BM59" s="95"/>
      <c r="BN59" s="98"/>
      <c r="BO59" s="95"/>
      <c r="BP59" s="98"/>
      <c r="BQ59" s="96"/>
      <c r="BR59" s="98"/>
      <c r="BS59" s="99"/>
      <c r="BT59" s="95"/>
      <c r="BU59" s="96"/>
      <c r="BV59" s="96"/>
      <c r="BW59" s="98"/>
    </row>
    <row r="60" spans="1:75" ht="12.75" hidden="1" customHeight="1">
      <c r="A60" s="290">
        <f t="array" ref="A60">_xll.AC(DB,_xll.ArrayDPT($AA60:$AE60),_xll.ArrayCOA($AG60:$BR60),YR-1,PRD,_xll.ArrayDIM($BT60:$BW60))</f>
        <v>0</v>
      </c>
      <c r="B60" s="290">
        <f t="shared" si="55"/>
        <v>0</v>
      </c>
      <c r="C60" s="290">
        <f t="shared" si="63"/>
        <v>-384990.31</v>
      </c>
      <c r="D60" s="290">
        <f t="shared" si="56"/>
        <v>4.4456573041700382</v>
      </c>
      <c r="E60" s="290">
        <f t="array" ref="E60">_xll.BC(DB,_xll.ArrayDPT($AA60:$AE60),_xll.ArrayCOA($AG60:$BR60),YR,PRD,RV,_xll.ArrayDIM($BT60:$BW60))</f>
        <v>0</v>
      </c>
      <c r="F60" s="290">
        <f t="shared" si="57"/>
        <v>0</v>
      </c>
      <c r="G60" s="290">
        <f t="array" ref="G60">_xll.AC(DB,_xll.ArrayDPT($AA60:$AE60),_xll.ArrayCOA($AG60:$BR60),YR,PRD,_xll.ArrayDIM($BT60:$BW60))</f>
        <v>384990.31</v>
      </c>
      <c r="H60" s="290">
        <f t="shared" si="58"/>
        <v>4.4456573041700382</v>
      </c>
      <c r="I60" s="290"/>
      <c r="J60" s="290" t="s">
        <v>560</v>
      </c>
      <c r="K60" s="290"/>
      <c r="L60" s="290">
        <f t="array" ref="L60">_xll.ACC(DB,_xll.ArrayDPT($AA60:$AE60),_xll.ArrayCOA($AG60:$BR60),YR,PRD,_xll.ArrayDIM($BT60:$BW60))</f>
        <v>384990.31</v>
      </c>
      <c r="M60" s="290">
        <f t="shared" si="59"/>
        <v>3.7644345166778415</v>
      </c>
      <c r="N60" s="290">
        <f t="array" ref="N60">_xll.BCC(DB,_xll.ArrayDPT($AA60:$AE60),_xll.ArrayCOA($AG60:$BR60),YR,PRD,RV,_xll.ArrayDIM($BT60:$BW60))</f>
        <v>0</v>
      </c>
      <c r="O60" s="292">
        <f t="shared" si="60"/>
        <v>0</v>
      </c>
      <c r="P60" s="290">
        <f t="shared" si="64"/>
        <v>-384990.31</v>
      </c>
      <c r="Q60" s="290">
        <f t="shared" si="61"/>
        <v>3.7644345166778415</v>
      </c>
      <c r="R60" s="290">
        <f t="array" ref="R60">_xll.ACC(DB,_xll.ArrayDPT($AA60:$AE60),_xll.ArrayCOA($AG60:$BR60),YR-1,PRD,_xll.ArrayDIM($BT60:$BW60))</f>
        <v>0</v>
      </c>
      <c r="S60" s="290">
        <f t="shared" si="62"/>
        <v>0</v>
      </c>
      <c r="T60" s="290"/>
      <c r="U60" s="290"/>
      <c r="V60" s="290"/>
      <c r="W60" s="290"/>
      <c r="X60" s="290"/>
      <c r="Y60" s="290"/>
      <c r="Z60" s="290"/>
      <c r="AA60" s="95" t="s">
        <v>558</v>
      </c>
      <c r="AB60" s="96" t="s">
        <v>561</v>
      </c>
      <c r="AC60" s="96"/>
      <c r="AD60" s="96"/>
      <c r="AE60" s="96"/>
      <c r="AF60" s="97"/>
      <c r="AG60" s="95" t="s">
        <v>562</v>
      </c>
      <c r="AH60" s="96" t="s">
        <v>562</v>
      </c>
      <c r="AI60" s="95"/>
      <c r="AJ60" s="96"/>
      <c r="AK60" s="95"/>
      <c r="AL60" s="96"/>
      <c r="AM60" s="95"/>
      <c r="AN60" s="98"/>
      <c r="AO60" s="96"/>
      <c r="AP60" s="96"/>
      <c r="AQ60" s="95"/>
      <c r="AR60" s="98"/>
      <c r="AS60" s="96"/>
      <c r="AT60" s="96"/>
      <c r="AU60" s="95"/>
      <c r="AV60" s="98"/>
      <c r="AW60" s="95"/>
      <c r="AX60" s="98"/>
      <c r="AY60" s="95"/>
      <c r="AZ60" s="98"/>
      <c r="BA60" s="95"/>
      <c r="BB60" s="98"/>
      <c r="BC60" s="95"/>
      <c r="BD60" s="96"/>
      <c r="BE60" s="95"/>
      <c r="BF60" s="98"/>
      <c r="BG60" s="95"/>
      <c r="BH60" s="98"/>
      <c r="BI60" s="95"/>
      <c r="BJ60" s="98"/>
      <c r="BK60" s="95"/>
      <c r="BL60" s="98"/>
      <c r="BM60" s="95"/>
      <c r="BN60" s="98"/>
      <c r="BO60" s="95"/>
      <c r="BP60" s="98"/>
      <c r="BQ60" s="96"/>
      <c r="BR60" s="98"/>
      <c r="BS60" s="99"/>
      <c r="BT60" s="95"/>
      <c r="BU60" s="96"/>
      <c r="BV60" s="96"/>
      <c r="BW60" s="98"/>
    </row>
    <row r="61" spans="1:75" ht="12.75" hidden="1" customHeight="1">
      <c r="A61" s="290">
        <f t="array" ref="A61">_xll.AC(DB,_xll.ArrayDPT($AA61:$AE61),_xll.ArrayCOA($AG61:$BR61),YR-1,PRD,_xll.ArrayDIM($BT61:$BW61))</f>
        <v>0</v>
      </c>
      <c r="B61" s="290">
        <f t="shared" si="55"/>
        <v>0</v>
      </c>
      <c r="C61" s="290">
        <f t="shared" si="63"/>
        <v>0</v>
      </c>
      <c r="D61" s="290">
        <f t="shared" si="56"/>
        <v>0</v>
      </c>
      <c r="E61" s="290">
        <f t="array" ref="E61">_xll.BC(DB,_xll.ArrayDPT($AA61:$AE61),_xll.ArrayCOA($AG61:$BR61),YR,PRD,RV,_xll.ArrayDIM($BT61:$BW61))</f>
        <v>0</v>
      </c>
      <c r="F61" s="290">
        <f t="shared" si="57"/>
        <v>0</v>
      </c>
      <c r="G61" s="290">
        <f t="array" ref="G61">_xll.AC(DB,_xll.ArrayDPT($AA61:$AE61),_xll.ArrayCOA($AG61:$BR61),YR,PRD,_xll.ArrayDIM($BT61:$BW61))</f>
        <v>0</v>
      </c>
      <c r="H61" s="293">
        <f t="shared" si="58"/>
        <v>0</v>
      </c>
      <c r="I61" s="290"/>
      <c r="J61" s="290" t="s">
        <v>563</v>
      </c>
      <c r="K61" s="290"/>
      <c r="L61" s="290">
        <f t="array" ref="L61">_xll.ACC(DB,_xll.ArrayDPT($AA61:$AE61),_xll.ArrayCOA($AG61:$BR61),YR,PRD,_xll.ArrayDIM($BT61:$BW61))</f>
        <v>0</v>
      </c>
      <c r="M61" s="290">
        <f t="shared" si="59"/>
        <v>0</v>
      </c>
      <c r="N61" s="290">
        <f t="array" ref="N61">_xll.BCC(DB,_xll.ArrayDPT($AA61:$AE61),_xll.ArrayCOA($AG61:$BR61),YR,PRD,RV,_xll.ArrayDIM($BT61:$BW61))</f>
        <v>0</v>
      </c>
      <c r="O61" s="292">
        <f t="shared" si="60"/>
        <v>0</v>
      </c>
      <c r="P61" s="290">
        <f t="shared" si="64"/>
        <v>0</v>
      </c>
      <c r="Q61" s="290">
        <f t="shared" si="61"/>
        <v>0</v>
      </c>
      <c r="R61" s="290">
        <f t="array" ref="R61">_xll.ACC(DB,_xll.ArrayDPT($AA61:$AE61),_xll.ArrayCOA($AG61:$BR61),YR-1,PRD,_xll.ArrayDIM($BT61:$BW61))</f>
        <v>0</v>
      </c>
      <c r="S61" s="290">
        <f t="shared" si="62"/>
        <v>0</v>
      </c>
      <c r="T61" s="290"/>
      <c r="U61" s="290"/>
      <c r="V61" s="290"/>
      <c r="W61" s="290"/>
      <c r="X61" s="290"/>
      <c r="Y61" s="290"/>
      <c r="Z61" s="290"/>
      <c r="AA61" s="95" t="s">
        <v>558</v>
      </c>
      <c r="AB61" s="96"/>
      <c r="AC61" s="96"/>
      <c r="AD61" s="96"/>
      <c r="AE61" s="96"/>
      <c r="AF61" s="97"/>
      <c r="AG61" s="95" t="s">
        <v>564</v>
      </c>
      <c r="AH61" s="96" t="s">
        <v>564</v>
      </c>
      <c r="AI61" s="95"/>
      <c r="AJ61" s="96"/>
      <c r="AK61" s="95"/>
      <c r="AL61" s="96"/>
      <c r="AM61" s="95"/>
      <c r="AN61" s="98"/>
      <c r="AO61" s="96"/>
      <c r="AP61" s="96"/>
      <c r="AQ61" s="95"/>
      <c r="AR61" s="98"/>
      <c r="AS61" s="96"/>
      <c r="AT61" s="96"/>
      <c r="AU61" s="95"/>
      <c r="AV61" s="98"/>
      <c r="AW61" s="95"/>
      <c r="AX61" s="98"/>
      <c r="AY61" s="95"/>
      <c r="AZ61" s="98"/>
      <c r="BA61" s="95"/>
      <c r="BB61" s="98"/>
      <c r="BC61" s="95"/>
      <c r="BD61" s="96"/>
      <c r="BE61" s="95"/>
      <c r="BF61" s="98"/>
      <c r="BG61" s="95"/>
      <c r="BH61" s="98"/>
      <c r="BI61" s="95"/>
      <c r="BJ61" s="98"/>
      <c r="BK61" s="95"/>
      <c r="BL61" s="98"/>
      <c r="BM61" s="95"/>
      <c r="BN61" s="98"/>
      <c r="BO61" s="95"/>
      <c r="BP61" s="98"/>
      <c r="BQ61" s="96"/>
      <c r="BR61" s="98"/>
      <c r="BS61" s="99"/>
      <c r="BT61" s="95"/>
      <c r="BU61" s="96"/>
      <c r="BV61" s="96"/>
      <c r="BW61" s="98"/>
    </row>
    <row r="62" spans="1:75" ht="13.5" hidden="1" customHeight="1">
      <c r="A62" s="256">
        <f>+A58-A59-A60-A61</f>
        <v>5169618.9700000007</v>
      </c>
      <c r="B62" s="256">
        <f t="shared" si="55"/>
        <v>62.086915201211902</v>
      </c>
      <c r="C62" s="256">
        <f>+C58-C59-C60-C61</f>
        <v>-5604188.2500000009</v>
      </c>
      <c r="D62" s="256">
        <f t="shared" si="56"/>
        <v>64.714097421195888</v>
      </c>
      <c r="E62" s="256">
        <f>+E58-E59-E60-E61</f>
        <v>0</v>
      </c>
      <c r="F62" s="256">
        <f t="shared" si="57"/>
        <v>0</v>
      </c>
      <c r="G62" s="256">
        <f>+G58-G59-G60-G61</f>
        <v>4478042.7700000005</v>
      </c>
      <c r="H62" s="256">
        <f t="shared" si="58"/>
        <v>51.709986022339969</v>
      </c>
      <c r="I62" s="257"/>
      <c r="J62" s="258" t="s">
        <v>565</v>
      </c>
      <c r="K62" s="259"/>
      <c r="L62" s="256">
        <f>+L58-L59-L60-L61</f>
        <v>7171311.8000000007</v>
      </c>
      <c r="M62" s="256">
        <f t="shared" si="59"/>
        <v>70.121073098642682</v>
      </c>
      <c r="N62" s="256">
        <f>+N58-N59-N60-N61</f>
        <v>0</v>
      </c>
      <c r="O62" s="260">
        <f t="shared" si="60"/>
        <v>0</v>
      </c>
      <c r="P62" s="256">
        <f>+P58-P59-P60-P61</f>
        <v>-7171311.8000000007</v>
      </c>
      <c r="Q62" s="256">
        <f t="shared" si="61"/>
        <v>70.121073098642682</v>
      </c>
      <c r="R62" s="256">
        <f>+R58-R59-R60-R61</f>
        <v>6685795.5000000019</v>
      </c>
      <c r="S62" s="261">
        <f t="shared" si="62"/>
        <v>67.927133653734771</v>
      </c>
      <c r="T62" s="262"/>
      <c r="U62" s="262"/>
      <c r="V62" s="262"/>
      <c r="W62" s="262"/>
      <c r="X62" s="262"/>
      <c r="Y62" s="262"/>
      <c r="Z62" s="262"/>
      <c r="AA62" s="95"/>
      <c r="AB62" s="96"/>
      <c r="AC62" s="96"/>
      <c r="AD62" s="96"/>
      <c r="AE62" s="96"/>
      <c r="AF62" s="97"/>
      <c r="AG62" s="95"/>
      <c r="AH62" s="96"/>
      <c r="AI62" s="95"/>
      <c r="AJ62" s="96"/>
      <c r="AK62" s="95"/>
      <c r="AL62" s="96"/>
      <c r="AM62" s="95"/>
      <c r="AN62" s="98"/>
      <c r="AO62" s="96"/>
      <c r="AP62" s="96"/>
      <c r="AQ62" s="95"/>
      <c r="AR62" s="98"/>
      <c r="AS62" s="96"/>
      <c r="AT62" s="96"/>
      <c r="AU62" s="95"/>
      <c r="AV62" s="98"/>
      <c r="AW62" s="95"/>
      <c r="AX62" s="98"/>
      <c r="AY62" s="95"/>
      <c r="AZ62" s="98"/>
      <c r="BA62" s="95"/>
      <c r="BB62" s="98"/>
      <c r="BC62" s="95"/>
      <c r="BD62" s="96"/>
      <c r="BE62" s="95"/>
      <c r="BF62" s="98"/>
      <c r="BG62" s="95"/>
      <c r="BH62" s="98"/>
      <c r="BI62" s="95"/>
      <c r="BJ62" s="98"/>
      <c r="BK62" s="95"/>
      <c r="BL62" s="98"/>
      <c r="BM62" s="95"/>
      <c r="BN62" s="98"/>
      <c r="BO62" s="95"/>
      <c r="BP62" s="98"/>
      <c r="BQ62" s="96"/>
      <c r="BR62" s="98"/>
      <c r="BS62" s="99"/>
      <c r="BT62" s="95"/>
      <c r="BU62" s="96"/>
      <c r="BV62" s="96"/>
      <c r="BW62" s="98"/>
    </row>
    <row r="63" spans="1:75" ht="11.25" hidden="1" customHeight="1">
      <c r="A63" s="290">
        <f t="array" ref="A63">_xll.AC(DB,_xll.ArrayDPT($AA63:$AE63),_xll.ArrayCOA($AG63:$BR63),YR-1,PRD,_xll.ArrayDIM($BT63:$BW63))</f>
        <v>0</v>
      </c>
      <c r="B63" s="290">
        <f t="shared" si="55"/>
        <v>0</v>
      </c>
      <c r="C63" s="290">
        <f t="shared" ref="C63:C72" si="65">+E63-G63</f>
        <v>0</v>
      </c>
      <c r="D63" s="290">
        <f t="shared" si="56"/>
        <v>0</v>
      </c>
      <c r="E63" s="290">
        <f t="array" ref="E63">_xll.BC(DB,_xll.ArrayDPT($AA63:$AE63),_xll.ArrayCOA($AG63:$BR63),YR,PRD,RV,_xll.ArrayDIM($BT63:$BW63))</f>
        <v>0</v>
      </c>
      <c r="F63" s="290">
        <f t="shared" si="57"/>
        <v>0</v>
      </c>
      <c r="G63" s="290">
        <f t="array" ref="G63">_xll.AC(DB,_xll.ArrayDPT($AA63:$AE63),_xll.ArrayCOA($AG63:$BR63),YR,PRD,_xll.ArrayDIM($BT63:$BW63))</f>
        <v>0</v>
      </c>
      <c r="H63" s="290">
        <f t="shared" si="58"/>
        <v>0</v>
      </c>
      <c r="I63" s="290"/>
      <c r="J63" s="294" t="s">
        <v>566</v>
      </c>
      <c r="K63" s="290"/>
      <c r="L63" s="290">
        <f t="array" ref="L63">_xll.ACC(DB,_xll.ArrayDPT($AA63:$AE63),_xll.ArrayCOA($AG63:$BR63),YR,PRD,_xll.ArrayDIM($BT63:$BW63))</f>
        <v>0</v>
      </c>
      <c r="M63" s="290">
        <f t="shared" si="59"/>
        <v>0</v>
      </c>
      <c r="N63" s="290">
        <f t="array" ref="N63">_xll.BCC(DB,_xll.ArrayDPT($AA63:$AE63),_xll.ArrayCOA($AG63:$BR63),YR,PRD,RV,_xll.ArrayDIM($BT63:$BW63))</f>
        <v>0</v>
      </c>
      <c r="O63" s="292">
        <f t="shared" si="60"/>
        <v>0</v>
      </c>
      <c r="P63" s="290">
        <f t="shared" ref="P63:P72" si="66">+N63-L63</f>
        <v>0</v>
      </c>
      <c r="Q63" s="290">
        <f t="shared" si="61"/>
        <v>0</v>
      </c>
      <c r="R63" s="290">
        <f t="array" ref="R63">_xll.ACC(DB,_xll.ArrayDPT($AA63:$AE63),_xll.ArrayCOA($AG63:$BR63),YR-1,PRD,_xll.ArrayDIM($BT63:$BW63))</f>
        <v>0</v>
      </c>
      <c r="S63" s="290">
        <f t="shared" si="62"/>
        <v>0</v>
      </c>
      <c r="T63" s="290"/>
      <c r="U63" s="290"/>
      <c r="V63" s="290"/>
      <c r="W63" s="290"/>
      <c r="X63" s="290"/>
      <c r="Y63" s="290"/>
      <c r="Z63" s="290"/>
      <c r="AA63" s="95"/>
      <c r="AB63" s="96"/>
      <c r="AC63" s="96"/>
      <c r="AD63" s="96"/>
      <c r="AE63" s="96"/>
      <c r="AF63" s="97"/>
      <c r="AG63" s="95"/>
      <c r="AH63" s="96"/>
      <c r="AI63" s="95"/>
      <c r="AJ63" s="96"/>
      <c r="AK63" s="95"/>
      <c r="AL63" s="96"/>
      <c r="AM63" s="95"/>
      <c r="AN63" s="98"/>
      <c r="AO63" s="96"/>
      <c r="AP63" s="96"/>
      <c r="AQ63" s="95"/>
      <c r="AR63" s="98"/>
      <c r="AS63" s="96"/>
      <c r="AT63" s="96"/>
      <c r="AU63" s="95"/>
      <c r="AV63" s="98"/>
      <c r="AW63" s="95"/>
      <c r="AX63" s="98"/>
      <c r="AY63" s="95"/>
      <c r="AZ63" s="98"/>
      <c r="BA63" s="95"/>
      <c r="BB63" s="98"/>
      <c r="BC63" s="95"/>
      <c r="BD63" s="96"/>
      <c r="BE63" s="95"/>
      <c r="BF63" s="98"/>
      <c r="BG63" s="95"/>
      <c r="BH63" s="98"/>
      <c r="BI63" s="95"/>
      <c r="BJ63" s="98"/>
      <c r="BK63" s="95"/>
      <c r="BL63" s="98"/>
      <c r="BM63" s="95"/>
      <c r="BN63" s="98"/>
      <c r="BO63" s="95"/>
      <c r="BP63" s="98"/>
      <c r="BQ63" s="96"/>
      <c r="BR63" s="98"/>
      <c r="BS63" s="99"/>
      <c r="BT63" s="95"/>
      <c r="BU63" s="96"/>
      <c r="BV63" s="96"/>
      <c r="BW63" s="98"/>
    </row>
    <row r="64" spans="1:75" ht="11.25" hidden="1" customHeight="1">
      <c r="A64" s="290">
        <f t="array" ref="A64">_xll.AC(DB,_xll.ArrayDPT($AA64:$AE64),_xll.ArrayCOA($AG64:$BR64),YR-1,PRD,_xll.ArrayDIM($BT64:$BW64))</f>
        <v>0</v>
      </c>
      <c r="B64" s="290">
        <f t="shared" si="55"/>
        <v>0</v>
      </c>
      <c r="C64" s="290">
        <f t="shared" si="65"/>
        <v>0</v>
      </c>
      <c r="D64" s="290">
        <f t="shared" si="56"/>
        <v>0</v>
      </c>
      <c r="E64" s="290">
        <f t="array" ref="E64">_xll.BC(DB,_xll.ArrayDPT($AA64:$AE64),_xll.ArrayCOA($AG64:$BR64),YR,PRD,RV,_xll.ArrayDIM($BT64:$BW64))</f>
        <v>0</v>
      </c>
      <c r="F64" s="290">
        <f t="shared" si="57"/>
        <v>0</v>
      </c>
      <c r="G64" s="290">
        <f t="array" ref="G64">_xll.AC(DB,_xll.ArrayDPT($AA64:$AE64),_xll.ArrayCOA($AG64:$BR64),YR,PRD,_xll.ArrayDIM($BT64:$BW64))</f>
        <v>0</v>
      </c>
      <c r="H64" s="290">
        <f t="shared" si="58"/>
        <v>0</v>
      </c>
      <c r="I64" s="290"/>
      <c r="J64" s="294" t="s">
        <v>567</v>
      </c>
      <c r="K64" s="290"/>
      <c r="L64" s="290">
        <f t="array" ref="L64">_xll.ACC(DB,_xll.ArrayDPT($AA64:$AE64),_xll.ArrayCOA($AG64:$BR64),YR,PRD,_xll.ArrayDIM($BT64:$BW64))</f>
        <v>0</v>
      </c>
      <c r="M64" s="290">
        <f t="shared" si="59"/>
        <v>0</v>
      </c>
      <c r="N64" s="290">
        <f t="array" ref="N64">_xll.BCC(DB,_xll.ArrayDPT($AA64:$AE64),_xll.ArrayCOA($AG64:$BR64),YR,PRD,RV,_xll.ArrayDIM($BT64:$BW64))</f>
        <v>0</v>
      </c>
      <c r="O64" s="292">
        <f t="shared" si="60"/>
        <v>0</v>
      </c>
      <c r="P64" s="290">
        <f t="shared" si="66"/>
        <v>0</v>
      </c>
      <c r="Q64" s="290">
        <f t="shared" si="61"/>
        <v>0</v>
      </c>
      <c r="R64" s="290">
        <f t="array" ref="R64">_xll.ACC(DB,_xll.ArrayDPT($AA64:$AE64),_xll.ArrayCOA($AG64:$BR64),YR-1,PRD,_xll.ArrayDIM($BT64:$BW64))</f>
        <v>0</v>
      </c>
      <c r="S64" s="290">
        <f t="shared" si="62"/>
        <v>0</v>
      </c>
      <c r="T64" s="290"/>
      <c r="U64" s="290"/>
      <c r="V64" s="290"/>
      <c r="W64" s="290"/>
      <c r="X64" s="290"/>
      <c r="Y64" s="290"/>
      <c r="Z64" s="290"/>
      <c r="AA64" s="95" t="s">
        <v>561</v>
      </c>
      <c r="AB64" s="96"/>
      <c r="AC64" s="96"/>
      <c r="AD64" s="96"/>
      <c r="AE64" s="96"/>
      <c r="AF64" s="97"/>
      <c r="AG64" s="95" t="s">
        <v>568</v>
      </c>
      <c r="AH64" s="96" t="s">
        <v>568</v>
      </c>
      <c r="AI64" s="95"/>
      <c r="AJ64" s="96"/>
      <c r="AK64" s="95"/>
      <c r="AL64" s="96"/>
      <c r="AM64" s="95"/>
      <c r="AN64" s="98"/>
      <c r="AO64" s="96"/>
      <c r="AP64" s="96"/>
      <c r="AQ64" s="95"/>
      <c r="AR64" s="98"/>
      <c r="AS64" s="96"/>
      <c r="AT64" s="96"/>
      <c r="AU64" s="95"/>
      <c r="AV64" s="98"/>
      <c r="AW64" s="95"/>
      <c r="AX64" s="98"/>
      <c r="AY64" s="95"/>
      <c r="AZ64" s="98"/>
      <c r="BA64" s="95"/>
      <c r="BB64" s="98"/>
      <c r="BC64" s="95"/>
      <c r="BD64" s="96"/>
      <c r="BE64" s="95"/>
      <c r="BF64" s="98"/>
      <c r="BG64" s="95"/>
      <c r="BH64" s="98"/>
      <c r="BI64" s="95"/>
      <c r="BJ64" s="98"/>
      <c r="BK64" s="95"/>
      <c r="BL64" s="98"/>
      <c r="BM64" s="95"/>
      <c r="BN64" s="98"/>
      <c r="BO64" s="95"/>
      <c r="BP64" s="98"/>
      <c r="BQ64" s="96"/>
      <c r="BR64" s="98"/>
      <c r="BS64" s="99"/>
      <c r="BT64" s="95"/>
      <c r="BU64" s="96"/>
      <c r="BV64" s="96"/>
      <c r="BW64" s="98"/>
    </row>
    <row r="65" spans="1:75" ht="11.25" hidden="1" customHeight="1">
      <c r="A65" s="290">
        <f t="array" ref="A65">_xll.AC(DB,_xll.ArrayDPT($AA65:$AE65),_xll.ArrayCOA($AG65:$BR65),YR-1,PRD,_xll.ArrayDIM($BT65:$BW65))</f>
        <v>0</v>
      </c>
      <c r="B65" s="290">
        <f t="shared" si="55"/>
        <v>0</v>
      </c>
      <c r="C65" s="290">
        <f t="shared" si="65"/>
        <v>0</v>
      </c>
      <c r="D65" s="290">
        <f t="shared" si="56"/>
        <v>0</v>
      </c>
      <c r="E65" s="290">
        <f t="array" ref="E65">_xll.BC(DB,_xll.ArrayDPT($AA65:$AE65),_xll.ArrayCOA($AG65:$BR65),YR,PRD,RV,_xll.ArrayDIM($BT65:$BW65))</f>
        <v>0</v>
      </c>
      <c r="F65" s="290">
        <f t="shared" si="57"/>
        <v>0</v>
      </c>
      <c r="G65" s="290">
        <f t="array" ref="G65">_xll.AC(DB,_xll.ArrayDPT($AA65:$AE65),_xll.ArrayCOA($AG65:$BR65),YR,PRD,_xll.ArrayDIM($BT65:$BW65))</f>
        <v>0</v>
      </c>
      <c r="H65" s="290">
        <f t="shared" si="58"/>
        <v>0</v>
      </c>
      <c r="I65" s="290"/>
      <c r="J65" s="294" t="s">
        <v>569</v>
      </c>
      <c r="K65" s="290"/>
      <c r="L65" s="290">
        <f t="array" ref="L65">_xll.ACC(DB,_xll.ArrayDPT($AA65:$AE65),_xll.ArrayCOA($AG65:$BR65),YR,PRD,_xll.ArrayDIM($BT65:$BW65))</f>
        <v>0</v>
      </c>
      <c r="M65" s="290">
        <f t="shared" si="59"/>
        <v>0</v>
      </c>
      <c r="N65" s="290">
        <f t="array" ref="N65">_xll.BCC(DB,_xll.ArrayDPT($AA65:$AE65),_xll.ArrayCOA($AG65:$BR65),YR,PRD,RV,_xll.ArrayDIM($BT65:$BW65))</f>
        <v>0</v>
      </c>
      <c r="O65" s="292">
        <f t="shared" si="60"/>
        <v>0</v>
      </c>
      <c r="P65" s="290">
        <f t="shared" si="66"/>
        <v>0</v>
      </c>
      <c r="Q65" s="290">
        <f t="shared" si="61"/>
        <v>0</v>
      </c>
      <c r="R65" s="290">
        <f t="array" ref="R65">_xll.ACC(DB,_xll.ArrayDPT($AA65:$AE65),_xll.ArrayCOA($AG65:$BR65),YR-1,PRD,_xll.ArrayDIM($BT65:$BW65))</f>
        <v>0</v>
      </c>
      <c r="S65" s="290">
        <f t="shared" si="62"/>
        <v>0</v>
      </c>
      <c r="T65" s="290"/>
      <c r="U65" s="290"/>
      <c r="V65" s="290"/>
      <c r="W65" s="290"/>
      <c r="X65" s="290"/>
      <c r="Y65" s="290"/>
      <c r="Z65" s="290"/>
      <c r="AA65" s="95" t="s">
        <v>561</v>
      </c>
      <c r="AB65" s="96"/>
      <c r="AC65" s="96"/>
      <c r="AD65" s="96"/>
      <c r="AE65" s="96"/>
      <c r="AF65" s="97"/>
      <c r="AG65" s="95" t="s">
        <v>570</v>
      </c>
      <c r="AH65" s="96" t="s">
        <v>570</v>
      </c>
      <c r="AI65" s="95"/>
      <c r="AJ65" s="96"/>
      <c r="AK65" s="95"/>
      <c r="AL65" s="96"/>
      <c r="AM65" s="95"/>
      <c r="AN65" s="98"/>
      <c r="AO65" s="96"/>
      <c r="AP65" s="96"/>
      <c r="AQ65" s="95"/>
      <c r="AR65" s="98"/>
      <c r="AS65" s="96"/>
      <c r="AT65" s="96"/>
      <c r="AU65" s="95"/>
      <c r="AV65" s="98"/>
      <c r="AW65" s="95"/>
      <c r="AX65" s="98"/>
      <c r="AY65" s="95"/>
      <c r="AZ65" s="98"/>
      <c r="BA65" s="95"/>
      <c r="BB65" s="98"/>
      <c r="BC65" s="95"/>
      <c r="BD65" s="96"/>
      <c r="BE65" s="95"/>
      <c r="BF65" s="98"/>
      <c r="BG65" s="95"/>
      <c r="BH65" s="98"/>
      <c r="BI65" s="95"/>
      <c r="BJ65" s="98"/>
      <c r="BK65" s="95"/>
      <c r="BL65" s="98"/>
      <c r="BM65" s="95"/>
      <c r="BN65" s="98"/>
      <c r="BO65" s="95"/>
      <c r="BP65" s="98"/>
      <c r="BQ65" s="96"/>
      <c r="BR65" s="98"/>
      <c r="BS65" s="99"/>
      <c r="BT65" s="95"/>
      <c r="BU65" s="96"/>
      <c r="BV65" s="96"/>
      <c r="BW65" s="98"/>
    </row>
    <row r="66" spans="1:75" ht="11.25" hidden="1" customHeight="1">
      <c r="A66" s="290">
        <f t="array" ref="A66">_xll.AC(DB,_xll.ArrayDPT($AA66:$AE66),_xll.ArrayCOA($AG66:$BR66),YR-1,PRD,_xll.ArrayDIM($BT66:$BW66))</f>
        <v>0</v>
      </c>
      <c r="B66" s="290">
        <f t="shared" si="55"/>
        <v>0</v>
      </c>
      <c r="C66" s="290">
        <f t="shared" si="65"/>
        <v>0</v>
      </c>
      <c r="D66" s="290">
        <f t="shared" si="56"/>
        <v>0</v>
      </c>
      <c r="E66" s="290">
        <f t="array" ref="E66">_xll.BC(DB,_xll.ArrayDPT($AA66:$AE66),_xll.ArrayCOA($AG66:$BR66),YR,PRD,RV,_xll.ArrayDIM($BT66:$BW66))</f>
        <v>0</v>
      </c>
      <c r="F66" s="290">
        <f t="shared" si="57"/>
        <v>0</v>
      </c>
      <c r="G66" s="290">
        <f t="array" ref="G66">_xll.AC(DB,_xll.ArrayDPT($AA66:$AE66),_xll.ArrayCOA($AG66:$BR66),YR,PRD,_xll.ArrayDIM($BT66:$BW66))</f>
        <v>0</v>
      </c>
      <c r="H66" s="290">
        <f t="shared" si="58"/>
        <v>0</v>
      </c>
      <c r="I66" s="290"/>
      <c r="J66" s="294" t="s">
        <v>571</v>
      </c>
      <c r="K66" s="290"/>
      <c r="L66" s="290">
        <f t="array" ref="L66">_xll.ACC(DB,_xll.ArrayDPT($AA66:$AE66),_xll.ArrayCOA($AG66:$BR66),YR,PRD,_xll.ArrayDIM($BT66:$BW66))</f>
        <v>0</v>
      </c>
      <c r="M66" s="290">
        <f t="shared" si="59"/>
        <v>0</v>
      </c>
      <c r="N66" s="290">
        <f t="array" ref="N66">_xll.BCC(DB,_xll.ArrayDPT($AA66:$AE66),_xll.ArrayCOA($AG66:$BR66),YR,PRD,RV,_xll.ArrayDIM($BT66:$BW66))</f>
        <v>0</v>
      </c>
      <c r="O66" s="292">
        <f t="shared" si="60"/>
        <v>0</v>
      </c>
      <c r="P66" s="290">
        <f t="shared" si="66"/>
        <v>0</v>
      </c>
      <c r="Q66" s="290">
        <f t="shared" si="61"/>
        <v>0</v>
      </c>
      <c r="R66" s="290">
        <f t="array" ref="R66">_xll.ACC(DB,_xll.ArrayDPT($AA66:$AE66),_xll.ArrayCOA($AG66:$BR66),YR-1,PRD,_xll.ArrayDIM($BT66:$BW66))</f>
        <v>0</v>
      </c>
      <c r="S66" s="290">
        <f t="shared" si="62"/>
        <v>0</v>
      </c>
      <c r="T66" s="290"/>
      <c r="U66" s="290"/>
      <c r="V66" s="290"/>
      <c r="W66" s="290"/>
      <c r="X66" s="290"/>
      <c r="Y66" s="290"/>
      <c r="Z66" s="290"/>
      <c r="AA66" s="95"/>
      <c r="AB66" s="96"/>
      <c r="AC66" s="96"/>
      <c r="AD66" s="96"/>
      <c r="AE66" s="96"/>
      <c r="AF66" s="97"/>
      <c r="AG66" s="95"/>
      <c r="AH66" s="96"/>
      <c r="AI66" s="95"/>
      <c r="AJ66" s="96"/>
      <c r="AK66" s="95"/>
      <c r="AL66" s="96"/>
      <c r="AM66" s="95"/>
      <c r="AN66" s="98"/>
      <c r="AO66" s="96"/>
      <c r="AP66" s="96"/>
      <c r="AQ66" s="95"/>
      <c r="AR66" s="98"/>
      <c r="AS66" s="96"/>
      <c r="AT66" s="96"/>
      <c r="AU66" s="95"/>
      <c r="AV66" s="98"/>
      <c r="AW66" s="95"/>
      <c r="AX66" s="98"/>
      <c r="AY66" s="95"/>
      <c r="AZ66" s="98"/>
      <c r="BA66" s="95"/>
      <c r="BB66" s="98"/>
      <c r="BC66" s="95"/>
      <c r="BD66" s="96"/>
      <c r="BE66" s="95"/>
      <c r="BF66" s="98"/>
      <c r="BG66" s="95"/>
      <c r="BH66" s="98"/>
      <c r="BI66" s="95"/>
      <c r="BJ66" s="98"/>
      <c r="BK66" s="95"/>
      <c r="BL66" s="98"/>
      <c r="BM66" s="95"/>
      <c r="BN66" s="98"/>
      <c r="BO66" s="95"/>
      <c r="BP66" s="98"/>
      <c r="BQ66" s="96"/>
      <c r="BR66" s="98"/>
      <c r="BS66" s="99"/>
      <c r="BT66" s="95"/>
      <c r="BU66" s="96"/>
      <c r="BV66" s="96"/>
      <c r="BW66" s="98"/>
    </row>
    <row r="67" spans="1:75" ht="11.25" hidden="1" customHeight="1">
      <c r="A67" s="290">
        <f t="array" ref="A67">_xll.AC(DB,_xll.ArrayDPT($AA67:$AE67),_xll.ArrayCOA($AG67:$BR67),YR-1,PRD,_xll.ArrayDIM($BT67:$BW67))</f>
        <v>0</v>
      </c>
      <c r="B67" s="290">
        <f t="shared" si="55"/>
        <v>0</v>
      </c>
      <c r="C67" s="290">
        <f t="shared" si="65"/>
        <v>0</v>
      </c>
      <c r="D67" s="290">
        <f t="shared" si="56"/>
        <v>0</v>
      </c>
      <c r="E67" s="290">
        <f t="array" ref="E67">_xll.BC(DB,_xll.ArrayDPT($AA67:$AE67),_xll.ArrayCOA($AG67:$BR67),YR,PRD,RV,_xll.ArrayDIM($BT67:$BW67))</f>
        <v>0</v>
      </c>
      <c r="F67" s="290">
        <f t="shared" si="57"/>
        <v>0</v>
      </c>
      <c r="G67" s="290">
        <f t="array" ref="G67">_xll.AC(DB,_xll.ArrayDPT($AA67:$AE67),_xll.ArrayCOA($AG67:$BR67),YR,PRD,_xll.ArrayDIM($BT67:$BW67))</f>
        <v>0</v>
      </c>
      <c r="H67" s="290">
        <f t="shared" si="58"/>
        <v>0</v>
      </c>
      <c r="I67" s="290"/>
      <c r="J67" s="294" t="s">
        <v>572</v>
      </c>
      <c r="K67" s="290"/>
      <c r="L67" s="290">
        <f t="array" ref="L67">_xll.ACC(DB,_xll.ArrayDPT($AA67:$AE67),_xll.ArrayCOA($AG67:$BR67),YR,PRD,_xll.ArrayDIM($BT67:$BW67))</f>
        <v>0</v>
      </c>
      <c r="M67" s="290">
        <f t="shared" si="59"/>
        <v>0</v>
      </c>
      <c r="N67" s="290">
        <f t="array" ref="N67">_xll.BCC(DB,_xll.ArrayDPT($AA67:$AE67),_xll.ArrayCOA($AG67:$BR67),YR,PRD,RV,_xll.ArrayDIM($BT67:$BW67))</f>
        <v>0</v>
      </c>
      <c r="O67" s="292">
        <f t="shared" si="60"/>
        <v>0</v>
      </c>
      <c r="P67" s="290">
        <f t="shared" si="66"/>
        <v>0</v>
      </c>
      <c r="Q67" s="290">
        <f t="shared" si="61"/>
        <v>0</v>
      </c>
      <c r="R67" s="290">
        <f t="array" ref="R67">_xll.ACC(DB,_xll.ArrayDPT($AA67:$AE67),_xll.ArrayCOA($AG67:$BR67),YR-1,PRD,_xll.ArrayDIM($BT67:$BW67))</f>
        <v>0</v>
      </c>
      <c r="S67" s="290">
        <f t="shared" si="62"/>
        <v>0</v>
      </c>
      <c r="T67" s="290"/>
      <c r="U67" s="290"/>
      <c r="V67" s="290"/>
      <c r="W67" s="290"/>
      <c r="X67" s="290"/>
      <c r="Y67" s="290"/>
      <c r="Z67" s="290"/>
      <c r="AA67" s="95" t="s">
        <v>561</v>
      </c>
      <c r="AB67" s="96"/>
      <c r="AC67" s="96"/>
      <c r="AD67" s="96"/>
      <c r="AE67" s="96"/>
      <c r="AF67" s="97"/>
      <c r="AG67" s="95" t="s">
        <v>573</v>
      </c>
      <c r="AH67" s="96" t="s">
        <v>573</v>
      </c>
      <c r="AI67" s="95"/>
      <c r="AJ67" s="96"/>
      <c r="AK67" s="95"/>
      <c r="AL67" s="96"/>
      <c r="AM67" s="95"/>
      <c r="AN67" s="98"/>
      <c r="AO67" s="96"/>
      <c r="AP67" s="96"/>
      <c r="AQ67" s="95"/>
      <c r="AR67" s="98"/>
      <c r="AS67" s="96"/>
      <c r="AT67" s="96"/>
      <c r="AU67" s="95"/>
      <c r="AV67" s="98"/>
      <c r="AW67" s="95"/>
      <c r="AX67" s="98"/>
      <c r="AY67" s="95"/>
      <c r="AZ67" s="98"/>
      <c r="BA67" s="95"/>
      <c r="BB67" s="98"/>
      <c r="BC67" s="95"/>
      <c r="BD67" s="96"/>
      <c r="BE67" s="95"/>
      <c r="BF67" s="98"/>
      <c r="BG67" s="95"/>
      <c r="BH67" s="98"/>
      <c r="BI67" s="95"/>
      <c r="BJ67" s="98"/>
      <c r="BK67" s="95"/>
      <c r="BL67" s="98"/>
      <c r="BM67" s="95"/>
      <c r="BN67" s="98"/>
      <c r="BO67" s="95"/>
      <c r="BP67" s="98"/>
      <c r="BQ67" s="96"/>
      <c r="BR67" s="98"/>
      <c r="BS67" s="99"/>
      <c r="BT67" s="95"/>
      <c r="BU67" s="96"/>
      <c r="BV67" s="96"/>
      <c r="BW67" s="98"/>
    </row>
    <row r="68" spans="1:75" ht="11.25" hidden="1" customHeight="1">
      <c r="A68" s="290">
        <f t="array" ref="A68">_xll.AC(DB,_xll.ArrayDPT($AA68:$AE68),_xll.ArrayCOA($AG68:$BR68),YR-1,PRD,_xll.ArrayDIM($BT68:$BW68))</f>
        <v>0</v>
      </c>
      <c r="B68" s="290">
        <f t="shared" si="55"/>
        <v>0</v>
      </c>
      <c r="C68" s="290">
        <f t="shared" si="65"/>
        <v>0</v>
      </c>
      <c r="D68" s="290">
        <f t="shared" si="56"/>
        <v>0</v>
      </c>
      <c r="E68" s="290">
        <f t="array" ref="E68">_xll.BC(DB,_xll.ArrayDPT($AA68:$AE68),_xll.ArrayCOA($AG68:$BR68),YR,PRD,RV,_xll.ArrayDIM($BT68:$BW68))</f>
        <v>0</v>
      </c>
      <c r="F68" s="290">
        <f t="shared" si="57"/>
        <v>0</v>
      </c>
      <c r="G68" s="290">
        <f t="array" ref="G68">_xll.AC(DB,_xll.ArrayDPT($AA68:$AE68),_xll.ArrayCOA($AG68:$BR68),YR,PRD,_xll.ArrayDIM($BT68:$BW68))</f>
        <v>0</v>
      </c>
      <c r="H68" s="290">
        <f t="shared" si="58"/>
        <v>0</v>
      </c>
      <c r="I68" s="290"/>
      <c r="J68" s="290" t="s">
        <v>574</v>
      </c>
      <c r="K68" s="290"/>
      <c r="L68" s="290">
        <f t="array" ref="L68">_xll.ACC(DB,_xll.ArrayDPT($AA68:$AE68),_xll.ArrayCOA($AG68:$BR68),YR,PRD,_xll.ArrayDIM($BT68:$BW68))</f>
        <v>0</v>
      </c>
      <c r="M68" s="290">
        <f t="shared" si="59"/>
        <v>0</v>
      </c>
      <c r="N68" s="290">
        <f t="array" ref="N68">_xll.BCC(DB,_xll.ArrayDPT($AA68:$AE68),_xll.ArrayCOA($AG68:$BR68),YR,PRD,RV,_xll.ArrayDIM($BT68:$BW68))</f>
        <v>0</v>
      </c>
      <c r="O68" s="292">
        <f t="shared" si="60"/>
        <v>0</v>
      </c>
      <c r="P68" s="290">
        <f t="shared" si="66"/>
        <v>0</v>
      </c>
      <c r="Q68" s="290">
        <f t="shared" si="61"/>
        <v>0</v>
      </c>
      <c r="R68" s="290">
        <f t="array" ref="R68">_xll.ACC(DB,_xll.ArrayDPT($AA68:$AE68),_xll.ArrayCOA($AG68:$BR68),YR-1,PRD,_xll.ArrayDIM($BT68:$BW68))</f>
        <v>0</v>
      </c>
      <c r="S68" s="290">
        <f t="shared" si="62"/>
        <v>0</v>
      </c>
      <c r="T68" s="290"/>
      <c r="U68" s="290"/>
      <c r="V68" s="290"/>
      <c r="W68" s="290"/>
      <c r="X68" s="290"/>
      <c r="Y68" s="290"/>
      <c r="Z68" s="290"/>
      <c r="AA68" s="95" t="s">
        <v>561</v>
      </c>
      <c r="AB68" s="96"/>
      <c r="AC68" s="96"/>
      <c r="AD68" s="96"/>
      <c r="AE68" s="96"/>
      <c r="AF68" s="97"/>
      <c r="AG68" s="95"/>
      <c r="AH68" s="96"/>
      <c r="AI68" s="95"/>
      <c r="AJ68" s="96"/>
      <c r="AK68" s="95"/>
      <c r="AL68" s="96"/>
      <c r="AM68" s="95"/>
      <c r="AN68" s="98"/>
      <c r="AO68" s="96"/>
      <c r="AP68" s="96"/>
      <c r="AQ68" s="95"/>
      <c r="AR68" s="98"/>
      <c r="AS68" s="96"/>
      <c r="AT68" s="96"/>
      <c r="AU68" s="95"/>
      <c r="AV68" s="98"/>
      <c r="AW68" s="95"/>
      <c r="AX68" s="98"/>
      <c r="AY68" s="95"/>
      <c r="AZ68" s="98"/>
      <c r="BA68" s="95"/>
      <c r="BB68" s="98"/>
      <c r="BC68" s="95"/>
      <c r="BD68" s="96"/>
      <c r="BE68" s="95"/>
      <c r="BF68" s="98"/>
      <c r="BG68" s="95"/>
      <c r="BH68" s="98"/>
      <c r="BI68" s="95"/>
      <c r="BJ68" s="98"/>
      <c r="BK68" s="95"/>
      <c r="BL68" s="98"/>
      <c r="BM68" s="95"/>
      <c r="BN68" s="98"/>
      <c r="BO68" s="95"/>
      <c r="BP68" s="98"/>
      <c r="BQ68" s="96"/>
      <c r="BR68" s="98"/>
      <c r="BS68" s="99"/>
      <c r="BT68" s="95"/>
      <c r="BU68" s="96"/>
      <c r="BV68" s="96"/>
      <c r="BW68" s="98"/>
    </row>
    <row r="69" spans="1:75" ht="11.25" hidden="1" customHeight="1">
      <c r="A69" s="290">
        <f t="array" ref="A69">_xll.AC(DB,_xll.ArrayDPT($AA69:$AE69),_xll.ArrayCOA($AG69:$BR69),YR-1,PRD,_xll.ArrayDIM($BT69:$BW69))</f>
        <v>0</v>
      </c>
      <c r="B69" s="290">
        <f t="shared" si="55"/>
        <v>0</v>
      </c>
      <c r="C69" s="290">
        <f t="shared" si="65"/>
        <v>0</v>
      </c>
      <c r="D69" s="290">
        <f t="shared" si="56"/>
        <v>0</v>
      </c>
      <c r="E69" s="290">
        <f t="array" ref="E69">_xll.BC(DB,_xll.ArrayDPT($AA69:$AE69),_xll.ArrayCOA($AG69:$BR69),YR,PRD,RV,_xll.ArrayDIM($BT69:$BW69))</f>
        <v>0</v>
      </c>
      <c r="F69" s="290">
        <f t="shared" si="57"/>
        <v>0</v>
      </c>
      <c r="G69" s="290">
        <f t="array" ref="G69">_xll.AC(DB,_xll.ArrayDPT($AA69:$AE69),_xll.ArrayCOA($AG69:$BR69),YR,PRD,_xll.ArrayDIM($BT69:$BW69))</f>
        <v>0</v>
      </c>
      <c r="H69" s="290">
        <f t="shared" si="58"/>
        <v>0</v>
      </c>
      <c r="I69" s="290"/>
      <c r="J69" s="290" t="s">
        <v>575</v>
      </c>
      <c r="K69" s="290"/>
      <c r="L69" s="290">
        <f t="array" ref="L69">_xll.ACC(DB,_xll.ArrayDPT($AA69:$AE69),_xll.ArrayCOA($AG69:$BR69),YR,PRD,_xll.ArrayDIM($BT69:$BW69))</f>
        <v>0</v>
      </c>
      <c r="M69" s="290">
        <f t="shared" si="59"/>
        <v>0</v>
      </c>
      <c r="N69" s="290">
        <f t="array" ref="N69">_xll.BCC(DB,_xll.ArrayDPT($AA69:$AE69),_xll.ArrayCOA($AG69:$BR69),YR,PRD,RV,_xll.ArrayDIM($BT69:$BW69))</f>
        <v>0</v>
      </c>
      <c r="O69" s="292">
        <f t="shared" si="60"/>
        <v>0</v>
      </c>
      <c r="P69" s="290">
        <f t="shared" si="66"/>
        <v>0</v>
      </c>
      <c r="Q69" s="290">
        <f t="shared" si="61"/>
        <v>0</v>
      </c>
      <c r="R69" s="290">
        <f t="array" ref="R69">_xll.ACC(DB,_xll.ArrayDPT($AA69:$AE69),_xll.ArrayCOA($AG69:$BR69),YR-1,PRD,_xll.ArrayDIM($BT69:$BW69))</f>
        <v>0</v>
      </c>
      <c r="S69" s="290">
        <f t="shared" si="62"/>
        <v>0</v>
      </c>
      <c r="T69" s="290"/>
      <c r="U69" s="290"/>
      <c r="V69" s="290"/>
      <c r="W69" s="290"/>
      <c r="X69" s="290"/>
      <c r="Y69" s="290"/>
      <c r="Z69" s="290"/>
      <c r="AA69" s="95"/>
      <c r="AB69" s="96"/>
      <c r="AC69" s="96"/>
      <c r="AD69" s="96"/>
      <c r="AE69" s="96"/>
      <c r="AF69" s="97"/>
      <c r="AG69" s="95"/>
      <c r="AH69" s="96"/>
      <c r="AI69" s="95"/>
      <c r="AJ69" s="96"/>
      <c r="AK69" s="95"/>
      <c r="AL69" s="96"/>
      <c r="AM69" s="95"/>
      <c r="AN69" s="98"/>
      <c r="AO69" s="96"/>
      <c r="AP69" s="96"/>
      <c r="AQ69" s="95"/>
      <c r="AR69" s="98"/>
      <c r="AS69" s="96"/>
      <c r="AT69" s="96"/>
      <c r="AU69" s="95"/>
      <c r="AV69" s="98"/>
      <c r="AW69" s="95"/>
      <c r="AX69" s="98"/>
      <c r="AY69" s="95"/>
      <c r="AZ69" s="98"/>
      <c r="BA69" s="95"/>
      <c r="BB69" s="98"/>
      <c r="BC69" s="95"/>
      <c r="BD69" s="96"/>
      <c r="BE69" s="95"/>
      <c r="BF69" s="98"/>
      <c r="BG69" s="95"/>
      <c r="BH69" s="98"/>
      <c r="BI69" s="95"/>
      <c r="BJ69" s="98"/>
      <c r="BK69" s="95"/>
      <c r="BL69" s="98"/>
      <c r="BM69" s="95"/>
      <c r="BN69" s="98"/>
      <c r="BO69" s="95"/>
      <c r="BP69" s="98"/>
      <c r="BQ69" s="96"/>
      <c r="BR69" s="98"/>
      <c r="BS69" s="99"/>
      <c r="BT69" s="95"/>
      <c r="BU69" s="96"/>
      <c r="BV69" s="96"/>
      <c r="BW69" s="98"/>
    </row>
    <row r="70" spans="1:75" ht="11.25" hidden="1" customHeight="1">
      <c r="A70" s="290">
        <f t="array" ref="A70">_xll.AC(DB,_xll.ArrayDPT($AA70:$AE70),_xll.ArrayCOA($AG70:$BR70),YR-1,PRD,_xll.ArrayDIM($BT70:$BW70))</f>
        <v>0</v>
      </c>
      <c r="B70" s="290">
        <f t="shared" si="55"/>
        <v>0</v>
      </c>
      <c r="C70" s="290">
        <f t="shared" si="65"/>
        <v>0</v>
      </c>
      <c r="D70" s="290">
        <f t="shared" si="56"/>
        <v>0</v>
      </c>
      <c r="E70" s="290">
        <f t="array" ref="E70">_xll.BC(DB,_xll.ArrayDPT($AA70:$AE70),_xll.ArrayCOA($AG70:$BR70),YR,PRD,RV,_xll.ArrayDIM($BT70:$BW70))</f>
        <v>0</v>
      </c>
      <c r="F70" s="290">
        <f t="shared" si="57"/>
        <v>0</v>
      </c>
      <c r="G70" s="290">
        <f t="array" ref="G70">_xll.AC(DB,_xll.ArrayDPT($AA70:$AE70),_xll.ArrayCOA($AG70:$BR70),YR,PRD,_xll.ArrayDIM($BT70:$BW70))</f>
        <v>0</v>
      </c>
      <c r="H70" s="290">
        <f t="shared" si="58"/>
        <v>0</v>
      </c>
      <c r="I70" s="290"/>
      <c r="J70" s="290" t="s">
        <v>576</v>
      </c>
      <c r="K70" s="290"/>
      <c r="L70" s="290">
        <f t="array" ref="L70">_xll.ACC(DB,_xll.ArrayDPT($AA70:$AE70),_xll.ArrayCOA($AG70:$BR70),YR,PRD,_xll.ArrayDIM($BT70:$BW70))</f>
        <v>0</v>
      </c>
      <c r="M70" s="290">
        <f t="shared" si="59"/>
        <v>0</v>
      </c>
      <c r="N70" s="290">
        <f t="array" ref="N70">_xll.BCC(DB,_xll.ArrayDPT($AA70:$AE70),_xll.ArrayCOA($AG70:$BR70),YR,PRD,RV,_xll.ArrayDIM($BT70:$BW70))</f>
        <v>0</v>
      </c>
      <c r="O70" s="292">
        <f t="shared" si="60"/>
        <v>0</v>
      </c>
      <c r="P70" s="290">
        <f t="shared" si="66"/>
        <v>0</v>
      </c>
      <c r="Q70" s="290">
        <f t="shared" si="61"/>
        <v>0</v>
      </c>
      <c r="R70" s="290">
        <f t="array" ref="R70">_xll.ACC(DB,_xll.ArrayDPT($AA70:$AE70),_xll.ArrayCOA($AG70:$BR70),YR-1,PRD,_xll.ArrayDIM($BT70:$BW70))</f>
        <v>0</v>
      </c>
      <c r="S70" s="290">
        <f t="shared" si="62"/>
        <v>0</v>
      </c>
      <c r="T70" s="290"/>
      <c r="U70" s="290"/>
      <c r="V70" s="290"/>
      <c r="W70" s="290"/>
      <c r="X70" s="290"/>
      <c r="Y70" s="290"/>
      <c r="Z70" s="290"/>
      <c r="AA70" s="95" t="s">
        <v>561</v>
      </c>
      <c r="AB70" s="96"/>
      <c r="AC70" s="96"/>
      <c r="AD70" s="96"/>
      <c r="AE70" s="96"/>
      <c r="AF70" s="97"/>
      <c r="AG70" s="95" t="s">
        <v>577</v>
      </c>
      <c r="AH70" s="96" t="s">
        <v>577</v>
      </c>
      <c r="AI70" s="95" t="s">
        <v>578</v>
      </c>
      <c r="AJ70" s="96" t="s">
        <v>578</v>
      </c>
      <c r="AK70" s="95" t="s">
        <v>579</v>
      </c>
      <c r="AL70" s="96" t="s">
        <v>579</v>
      </c>
      <c r="AM70" s="95" t="s">
        <v>580</v>
      </c>
      <c r="AN70" s="98" t="s">
        <v>580</v>
      </c>
      <c r="AO70" s="96"/>
      <c r="AP70" s="96"/>
      <c r="AQ70" s="95"/>
      <c r="AR70" s="98"/>
      <c r="AS70" s="96"/>
      <c r="AT70" s="96"/>
      <c r="AU70" s="95"/>
      <c r="AV70" s="98"/>
      <c r="AW70" s="95"/>
      <c r="AX70" s="98"/>
      <c r="AY70" s="95"/>
      <c r="AZ70" s="98"/>
      <c r="BA70" s="95"/>
      <c r="BB70" s="98"/>
      <c r="BC70" s="95"/>
      <c r="BD70" s="96"/>
      <c r="BE70" s="95"/>
      <c r="BF70" s="98"/>
      <c r="BG70" s="95"/>
      <c r="BH70" s="98"/>
      <c r="BI70" s="95"/>
      <c r="BJ70" s="98"/>
      <c r="BK70" s="95"/>
      <c r="BL70" s="98"/>
      <c r="BM70" s="95"/>
      <c r="BN70" s="98"/>
      <c r="BO70" s="95"/>
      <c r="BP70" s="98"/>
      <c r="BQ70" s="96"/>
      <c r="BR70" s="98"/>
      <c r="BS70" s="99"/>
      <c r="BT70" s="95"/>
      <c r="BU70" s="96"/>
      <c r="BV70" s="96"/>
      <c r="BW70" s="98"/>
    </row>
    <row r="71" spans="1:75" ht="11.25" hidden="1" customHeight="1">
      <c r="A71" s="290">
        <f t="array" ref="A71">_xll.AC(DB,_xll.ArrayDPT($AA71:$AE71),_xll.ArrayCOA($AG71:$BR71),YR-1,PRD,_xll.ArrayDIM($BT71:$BW71))</f>
        <v>0</v>
      </c>
      <c r="B71" s="290">
        <f t="shared" si="55"/>
        <v>0</v>
      </c>
      <c r="C71" s="290">
        <f t="shared" si="65"/>
        <v>0</v>
      </c>
      <c r="D71" s="290">
        <f t="shared" si="56"/>
        <v>0</v>
      </c>
      <c r="E71" s="290">
        <f t="array" ref="E71">_xll.BC(DB,_xll.ArrayDPT($AA71:$AE71),_xll.ArrayCOA($AG71:$BR71),YR,PRD,RV,_xll.ArrayDIM($BT71:$BW71))</f>
        <v>0</v>
      </c>
      <c r="F71" s="290">
        <f t="shared" si="57"/>
        <v>0</v>
      </c>
      <c r="G71" s="290">
        <f t="array" ref="G71">_xll.AC(DB,_xll.ArrayDPT($AA71:$AE71),_xll.ArrayCOA($AG71:$BR71),YR,PRD,_xll.ArrayDIM($BT71:$BW71))</f>
        <v>0</v>
      </c>
      <c r="H71" s="290">
        <f t="shared" si="58"/>
        <v>0</v>
      </c>
      <c r="I71" s="290"/>
      <c r="J71" s="290" t="s">
        <v>581</v>
      </c>
      <c r="K71" s="290"/>
      <c r="L71" s="290">
        <f t="array" ref="L71">_xll.ACC(DB,_xll.ArrayDPT($AA71:$AE71),_xll.ArrayCOA($AG71:$BR71),YR,PRD,_xll.ArrayDIM($BT71:$BW71))</f>
        <v>0</v>
      </c>
      <c r="M71" s="290">
        <f t="shared" si="59"/>
        <v>0</v>
      </c>
      <c r="N71" s="290">
        <f t="array" ref="N71">_xll.BCC(DB,_xll.ArrayDPT($AA71:$AE71),_xll.ArrayCOA($AG71:$BR71),YR,PRD,RV,_xll.ArrayDIM($BT71:$BW71))</f>
        <v>0</v>
      </c>
      <c r="O71" s="292">
        <f t="shared" si="60"/>
        <v>0</v>
      </c>
      <c r="P71" s="290">
        <f t="shared" si="66"/>
        <v>0</v>
      </c>
      <c r="Q71" s="290">
        <f t="shared" si="61"/>
        <v>0</v>
      </c>
      <c r="R71" s="290">
        <f t="array" ref="R71">_xll.ACC(DB,_xll.ArrayDPT($AA71:$AE71),_xll.ArrayCOA($AG71:$BR71),YR-1,PRD,_xll.ArrayDIM($BT71:$BW71))</f>
        <v>0</v>
      </c>
      <c r="S71" s="290">
        <f t="shared" si="62"/>
        <v>0</v>
      </c>
      <c r="T71" s="290"/>
      <c r="U71" s="290"/>
      <c r="V71" s="290"/>
      <c r="W71" s="290"/>
      <c r="X71" s="290"/>
      <c r="Y71" s="290"/>
      <c r="Z71" s="290"/>
      <c r="AA71" s="95" t="s">
        <v>561</v>
      </c>
      <c r="AB71" s="96"/>
      <c r="AC71" s="96"/>
      <c r="AD71" s="96"/>
      <c r="AE71" s="96"/>
      <c r="AF71" s="97"/>
      <c r="AG71" s="95" t="s">
        <v>582</v>
      </c>
      <c r="AH71" s="96" t="s">
        <v>582</v>
      </c>
      <c r="AI71" s="95"/>
      <c r="AJ71" s="96"/>
      <c r="AK71" s="95"/>
      <c r="AL71" s="96"/>
      <c r="AM71" s="95"/>
      <c r="AN71" s="98"/>
      <c r="AO71" s="96"/>
      <c r="AP71" s="96"/>
      <c r="AQ71" s="95"/>
      <c r="AR71" s="98"/>
      <c r="AS71" s="96"/>
      <c r="AT71" s="96"/>
      <c r="AU71" s="95"/>
      <c r="AV71" s="98"/>
      <c r="AW71" s="95"/>
      <c r="AX71" s="98"/>
      <c r="AY71" s="95"/>
      <c r="AZ71" s="98"/>
      <c r="BA71" s="95"/>
      <c r="BB71" s="98"/>
      <c r="BC71" s="95"/>
      <c r="BD71" s="96"/>
      <c r="BE71" s="95"/>
      <c r="BF71" s="98"/>
      <c r="BG71" s="95"/>
      <c r="BH71" s="98"/>
      <c r="BI71" s="95"/>
      <c r="BJ71" s="98"/>
      <c r="BK71" s="95"/>
      <c r="BL71" s="98"/>
      <c r="BM71" s="95"/>
      <c r="BN71" s="98"/>
      <c r="BO71" s="95"/>
      <c r="BP71" s="98"/>
      <c r="BQ71" s="96"/>
      <c r="BR71" s="98"/>
      <c r="BS71" s="99"/>
      <c r="BT71" s="95"/>
      <c r="BU71" s="96"/>
      <c r="BV71" s="96"/>
      <c r="BW71" s="98"/>
    </row>
    <row r="72" spans="1:75" ht="11.25" hidden="1" customHeight="1">
      <c r="A72" s="290">
        <f t="array" ref="A72">_xll.AC(DB,_xll.ArrayDPT($AA72:$AE72),_xll.ArrayCOA($AG72:$BR72),YR-1,PRD,_xll.ArrayDIM($BT72:$BW72))</f>
        <v>0</v>
      </c>
      <c r="B72" s="290">
        <f t="shared" si="55"/>
        <v>0</v>
      </c>
      <c r="C72" s="290">
        <f t="shared" si="65"/>
        <v>0</v>
      </c>
      <c r="D72" s="290">
        <f t="shared" si="56"/>
        <v>0</v>
      </c>
      <c r="E72" s="290">
        <f t="array" ref="E72">_xll.BC(DB,_xll.ArrayDPT($AA72:$AE72),_xll.ArrayCOA($AG72:$BR72),YR,PRD,RV,_xll.ArrayDIM($BT72:$BW72))</f>
        <v>0</v>
      </c>
      <c r="F72" s="290">
        <f t="shared" si="57"/>
        <v>0</v>
      </c>
      <c r="G72" s="290">
        <f t="array" ref="G72">_xll.AC(DB,_xll.ArrayDPT($AA72:$AE72),_xll.ArrayCOA($AG72:$BR72),YR,PRD,_xll.ArrayDIM($BT72:$BW72))</f>
        <v>0</v>
      </c>
      <c r="H72" s="290">
        <f t="shared" si="58"/>
        <v>0</v>
      </c>
      <c r="I72" s="290"/>
      <c r="J72" s="290" t="s">
        <v>583</v>
      </c>
      <c r="K72" s="290"/>
      <c r="L72" s="290">
        <f t="array" ref="L72">_xll.ACC(DB,_xll.ArrayDPT($AA72:$AE72),_xll.ArrayCOA($AG72:$BR72),YR,PRD,_xll.ArrayDIM($BT72:$BW72))</f>
        <v>0</v>
      </c>
      <c r="M72" s="290">
        <f t="shared" si="59"/>
        <v>0</v>
      </c>
      <c r="N72" s="290">
        <f t="array" ref="N72">_xll.BCC(DB,_xll.ArrayDPT($AA72:$AE72),_xll.ArrayCOA($AG72:$BR72),YR,PRD,RV,_xll.ArrayDIM($BT72:$BW72))</f>
        <v>0</v>
      </c>
      <c r="O72" s="292">
        <f t="shared" si="60"/>
        <v>0</v>
      </c>
      <c r="P72" s="290">
        <f t="shared" si="66"/>
        <v>0</v>
      </c>
      <c r="Q72" s="290">
        <f t="shared" si="61"/>
        <v>0</v>
      </c>
      <c r="R72" s="290">
        <f t="array" ref="R72">_xll.ACC(DB,_xll.ArrayDPT($AA72:$AE72),_xll.ArrayCOA($AG72:$BR72),YR-1,PRD,_xll.ArrayDIM($BT72:$BW72))</f>
        <v>0</v>
      </c>
      <c r="S72" s="290">
        <f t="shared" si="62"/>
        <v>0</v>
      </c>
      <c r="T72" s="290"/>
      <c r="U72" s="290"/>
      <c r="V72" s="290"/>
      <c r="W72" s="290"/>
      <c r="X72" s="290"/>
      <c r="Y72" s="290"/>
      <c r="Z72" s="290"/>
      <c r="AA72" s="95"/>
      <c r="AB72" s="96"/>
      <c r="AC72" s="96"/>
      <c r="AD72" s="96"/>
      <c r="AE72" s="96"/>
      <c r="AF72" s="97"/>
      <c r="AG72" s="95"/>
      <c r="AH72" s="96"/>
      <c r="AI72" s="95"/>
      <c r="AJ72" s="96"/>
      <c r="AK72" s="95"/>
      <c r="AL72" s="96"/>
      <c r="AM72" s="95"/>
      <c r="AN72" s="98"/>
      <c r="AO72" s="96"/>
      <c r="AP72" s="96"/>
      <c r="AQ72" s="95"/>
      <c r="AR72" s="98"/>
      <c r="AS72" s="96"/>
      <c r="AT72" s="96"/>
      <c r="AU72" s="95"/>
      <c r="AV72" s="98"/>
      <c r="AW72" s="95"/>
      <c r="AX72" s="98"/>
      <c r="AY72" s="95"/>
      <c r="AZ72" s="98"/>
      <c r="BA72" s="95"/>
      <c r="BB72" s="98"/>
      <c r="BC72" s="95"/>
      <c r="BD72" s="96"/>
      <c r="BE72" s="95"/>
      <c r="BF72" s="98"/>
      <c r="BG72" s="95"/>
      <c r="BH72" s="98"/>
      <c r="BI72" s="95"/>
      <c r="BJ72" s="98"/>
      <c r="BK72" s="95"/>
      <c r="BL72" s="98"/>
      <c r="BM72" s="95"/>
      <c r="BN72" s="98"/>
      <c r="BO72" s="95"/>
      <c r="BP72" s="98"/>
      <c r="BQ72" s="96"/>
      <c r="BR72" s="98"/>
      <c r="BS72" s="99"/>
      <c r="BT72" s="95"/>
      <c r="BU72" s="96"/>
      <c r="BV72" s="96"/>
      <c r="BW72" s="98"/>
    </row>
    <row r="73" spans="1:75" ht="12.75" hidden="1" customHeight="1">
      <c r="A73" s="255">
        <f>+A62-A63-A64-A65-A68-A71-A72-A66-A67-A69-A70</f>
        <v>5169618.9700000007</v>
      </c>
      <c r="B73" s="256">
        <f t="shared" si="55"/>
        <v>62.086915201211902</v>
      </c>
      <c r="C73" s="256">
        <f>+C62-C63-C64-C65-C68-C71-C72-C66-C67-C69-C70</f>
        <v>-5604188.2500000009</v>
      </c>
      <c r="D73" s="256">
        <f t="shared" si="56"/>
        <v>64.714097421195888</v>
      </c>
      <c r="E73" s="256">
        <f>+E62-E63-E64-E65-E68-E71-E72-E66-E67-E69-E70</f>
        <v>0</v>
      </c>
      <c r="F73" s="256">
        <f t="shared" si="57"/>
        <v>0</v>
      </c>
      <c r="G73" s="256">
        <f>+G62-G63-G64-G65-G68-G71-G72-G66-G67-G69-G70</f>
        <v>4478042.7700000005</v>
      </c>
      <c r="H73" s="256">
        <f t="shared" si="58"/>
        <v>51.709986022339969</v>
      </c>
      <c r="I73" s="257"/>
      <c r="J73" s="258" t="s">
        <v>584</v>
      </c>
      <c r="K73" s="259"/>
      <c r="L73" s="256">
        <f>+L62-L63-L64-L65-L68-L71-L72-L66-L67-L69-L70</f>
        <v>7171311.8000000007</v>
      </c>
      <c r="M73" s="256">
        <f t="shared" si="59"/>
        <v>70.121073098642682</v>
      </c>
      <c r="N73" s="256">
        <f>+N62-N63-N64-N65-N68-N71-N72-N66-N67-N69-N70</f>
        <v>0</v>
      </c>
      <c r="O73" s="260">
        <f t="shared" si="60"/>
        <v>0</v>
      </c>
      <c r="P73" s="256">
        <f>+P62-P63-P64-P65-P68-P71-P72-P66-P67-P69-P70</f>
        <v>-7171311.8000000007</v>
      </c>
      <c r="Q73" s="256">
        <f t="shared" si="61"/>
        <v>70.121073098642682</v>
      </c>
      <c r="R73" s="256">
        <f>+R62-R63-R64-R65-R68-R71-R72-R66-R67-R69-R70</f>
        <v>6685795.5000000019</v>
      </c>
      <c r="S73" s="261">
        <f t="shared" si="62"/>
        <v>67.927133653734771</v>
      </c>
      <c r="T73" s="262"/>
      <c r="U73" s="262"/>
      <c r="V73" s="262"/>
      <c r="W73" s="262"/>
      <c r="X73" s="262"/>
      <c r="Y73" s="262"/>
      <c r="Z73" s="262"/>
      <c r="AA73" s="95"/>
      <c r="AB73" s="96"/>
      <c r="AC73" s="96"/>
      <c r="AD73" s="96"/>
      <c r="AE73" s="96"/>
      <c r="AF73" s="97"/>
      <c r="AG73" s="95"/>
      <c r="AH73" s="96"/>
      <c r="AI73" s="95"/>
      <c r="AJ73" s="96"/>
      <c r="AK73" s="95"/>
      <c r="AL73" s="96"/>
      <c r="AM73" s="95"/>
      <c r="AN73" s="98"/>
      <c r="AO73" s="96"/>
      <c r="AP73" s="96"/>
      <c r="AQ73" s="95"/>
      <c r="AR73" s="98"/>
      <c r="AS73" s="96"/>
      <c r="AT73" s="96"/>
      <c r="AU73" s="95"/>
      <c r="AV73" s="98"/>
      <c r="AW73" s="95"/>
      <c r="AX73" s="98"/>
      <c r="AY73" s="95"/>
      <c r="AZ73" s="98"/>
      <c r="BA73" s="95"/>
      <c r="BB73" s="98"/>
      <c r="BC73" s="95"/>
      <c r="BD73" s="96"/>
      <c r="BE73" s="95"/>
      <c r="BF73" s="98"/>
      <c r="BG73" s="95"/>
      <c r="BH73" s="98"/>
      <c r="BI73" s="95"/>
      <c r="BJ73" s="98"/>
      <c r="BK73" s="95"/>
      <c r="BL73" s="98"/>
      <c r="BM73" s="95"/>
      <c r="BN73" s="98"/>
      <c r="BO73" s="95"/>
      <c r="BP73" s="98"/>
      <c r="BQ73" s="96"/>
      <c r="BR73" s="98"/>
      <c r="BS73" s="99"/>
      <c r="BT73" s="95"/>
      <c r="BU73" s="96"/>
      <c r="BV73" s="96"/>
      <c r="BW73" s="98"/>
    </row>
    <row r="74" spans="1:75" ht="11.25" hidden="1" customHeight="1">
      <c r="A74" s="290">
        <f t="array" ref="A74">_xll.AC(DB,_xll.ArrayDPT($AA74:$AE74),_xll.ArrayCOA($AG74:$BR74),YR-1,PRD,_xll.ArrayDIM($BT74:$BW74))</f>
        <v>0</v>
      </c>
      <c r="B74" s="290">
        <f t="shared" si="55"/>
        <v>0</v>
      </c>
      <c r="C74" s="290">
        <f t="shared" ref="C74:C76" si="67">+E74-G74</f>
        <v>0</v>
      </c>
      <c r="D74" s="290">
        <f t="shared" si="56"/>
        <v>0</v>
      </c>
      <c r="E74" s="290">
        <f t="array" ref="E74">_xll.BC(DB,_xll.ArrayDPT($AA74:$AE74),_xll.ArrayCOA($AG74:$BR74),YR,PRD,RV,_xll.ArrayDIM($BT74:$BW74))</f>
        <v>0</v>
      </c>
      <c r="F74" s="290">
        <f t="shared" si="57"/>
        <v>0</v>
      </c>
      <c r="G74" s="290">
        <f t="array" ref="G74">_xll.AC(DB,_xll.ArrayDPT($AA74:$AE74),_xll.ArrayCOA($AG74:$BR74),YR,PRD,_xll.ArrayDIM($BT74:$BW74))</f>
        <v>0</v>
      </c>
      <c r="H74" s="290">
        <f t="shared" si="58"/>
        <v>0</v>
      </c>
      <c r="I74" s="290"/>
      <c r="J74" s="290" t="s">
        <v>585</v>
      </c>
      <c r="K74" s="290"/>
      <c r="L74" s="290">
        <f t="array" ref="L74">_xll.ACC(DB,_xll.ArrayDPT($AA74:$AE74),_xll.ArrayCOA($AG74:$BR74),YR,PRD,_xll.ArrayDIM($BT74:$BW74))</f>
        <v>0</v>
      </c>
      <c r="M74" s="290">
        <f t="shared" si="59"/>
        <v>0</v>
      </c>
      <c r="N74" s="290">
        <f t="array" ref="N74">_xll.BCC(DB,_xll.ArrayDPT($AA74:$AE74),_xll.ArrayCOA($AG74:$BR74),YR,PRD,RV,_xll.ArrayDIM($BT74:$BW74))</f>
        <v>0</v>
      </c>
      <c r="O74" s="292">
        <f t="shared" si="60"/>
        <v>0</v>
      </c>
      <c r="P74" s="290">
        <f t="shared" ref="P74:P76" si="68">+N74-L74</f>
        <v>0</v>
      </c>
      <c r="Q74" s="290">
        <f t="shared" si="61"/>
        <v>0</v>
      </c>
      <c r="R74" s="290">
        <f t="array" ref="R74">_xll.ACC(DB,_xll.ArrayDPT($AA74:$AE74),_xll.ArrayCOA($AG74:$BR74),YR-1,PRD,_xll.ArrayDIM($BT74:$BW74))</f>
        <v>0</v>
      </c>
      <c r="S74" s="290">
        <f t="shared" si="62"/>
        <v>0</v>
      </c>
      <c r="T74" s="290"/>
      <c r="U74" s="290"/>
      <c r="V74" s="290"/>
      <c r="W74" s="290"/>
      <c r="X74" s="290"/>
      <c r="Y74" s="290"/>
      <c r="Z74" s="290"/>
      <c r="AA74" s="95"/>
      <c r="AB74" s="96"/>
      <c r="AC74" s="96"/>
      <c r="AD74" s="96"/>
      <c r="AE74" s="96"/>
      <c r="AF74" s="97"/>
      <c r="AG74" s="95"/>
      <c r="AH74" s="96"/>
      <c r="AI74" s="95"/>
      <c r="AJ74" s="96"/>
      <c r="AK74" s="95"/>
      <c r="AL74" s="96"/>
      <c r="AM74" s="95"/>
      <c r="AN74" s="98"/>
      <c r="AO74" s="96"/>
      <c r="AP74" s="96"/>
      <c r="AQ74" s="95"/>
      <c r="AR74" s="98"/>
      <c r="AS74" s="96"/>
      <c r="AT74" s="96"/>
      <c r="AU74" s="95"/>
      <c r="AV74" s="98"/>
      <c r="AW74" s="95"/>
      <c r="AX74" s="98"/>
      <c r="AY74" s="95"/>
      <c r="AZ74" s="98"/>
      <c r="BA74" s="95"/>
      <c r="BB74" s="98"/>
      <c r="BC74" s="95"/>
      <c r="BD74" s="96"/>
      <c r="BE74" s="95"/>
      <c r="BF74" s="98"/>
      <c r="BG74" s="95"/>
      <c r="BH74" s="98"/>
      <c r="BI74" s="95"/>
      <c r="BJ74" s="98"/>
      <c r="BK74" s="95"/>
      <c r="BL74" s="98"/>
      <c r="BM74" s="95"/>
      <c r="BN74" s="98"/>
      <c r="BO74" s="95"/>
      <c r="BP74" s="98"/>
      <c r="BQ74" s="96"/>
      <c r="BR74" s="98"/>
      <c r="BS74" s="99"/>
      <c r="BT74" s="95"/>
      <c r="BU74" s="96"/>
      <c r="BV74" s="96"/>
      <c r="BW74" s="98"/>
    </row>
    <row r="75" spans="1:75" ht="11.25" hidden="1" customHeight="1">
      <c r="A75" s="290">
        <f t="array" ref="A75">_xll.AC(DB,_xll.ArrayDPT($AA75:$AE75),_xll.ArrayCOA($AG75:$BR75),YR-1,PRD,_xll.ArrayDIM($BT75:$BW75))</f>
        <v>0</v>
      </c>
      <c r="B75" s="290">
        <f t="shared" si="55"/>
        <v>0</v>
      </c>
      <c r="C75" s="290">
        <f t="shared" si="67"/>
        <v>0</v>
      </c>
      <c r="D75" s="290">
        <f t="shared" si="56"/>
        <v>0</v>
      </c>
      <c r="E75" s="290">
        <f t="array" ref="E75">_xll.BC(DB,_xll.ArrayDPT($AA75:$AE75),_xll.ArrayCOA($AG75:$BR75),YR,PRD,RV,_xll.ArrayDIM($BT75:$BW75))</f>
        <v>0</v>
      </c>
      <c r="F75" s="290">
        <f t="shared" si="57"/>
        <v>0</v>
      </c>
      <c r="G75" s="290">
        <f t="array" ref="G75">_xll.AC(DB,_xll.ArrayDPT($AA75:$AE75),_xll.ArrayCOA($AG75:$BR75),YR,PRD,_xll.ArrayDIM($BT75:$BW75))</f>
        <v>0</v>
      </c>
      <c r="H75" s="290">
        <f t="shared" si="58"/>
        <v>0</v>
      </c>
      <c r="I75" s="290"/>
      <c r="J75" s="294" t="s">
        <v>586</v>
      </c>
      <c r="K75" s="290"/>
      <c r="L75" s="290">
        <f t="array" ref="L75">_xll.ACC(DB,_xll.ArrayDPT($AA75:$AE75),_xll.ArrayCOA($AG75:$BR75),YR,PRD,_xll.ArrayDIM($BT75:$BW75))</f>
        <v>0</v>
      </c>
      <c r="M75" s="290">
        <f t="shared" si="59"/>
        <v>0</v>
      </c>
      <c r="N75" s="290">
        <f t="array" ref="N75">_xll.BCC(DB,_xll.ArrayDPT($AA75:$AE75),_xll.ArrayCOA($AG75:$BR75),YR,PRD,RV,_xll.ArrayDIM($BT75:$BW75))</f>
        <v>0</v>
      </c>
      <c r="O75" s="292">
        <f t="shared" si="60"/>
        <v>0</v>
      </c>
      <c r="P75" s="290">
        <f t="shared" si="68"/>
        <v>0</v>
      </c>
      <c r="Q75" s="290">
        <f t="shared" si="61"/>
        <v>0</v>
      </c>
      <c r="R75" s="290">
        <f t="array" ref="R75">_xll.ACC(DB,_xll.ArrayDPT($AA75:$AE75),_xll.ArrayCOA($AG75:$BR75),YR-1,PRD,_xll.ArrayDIM($BT75:$BW75))</f>
        <v>0</v>
      </c>
      <c r="S75" s="290">
        <f t="shared" si="62"/>
        <v>0</v>
      </c>
      <c r="T75" s="290"/>
      <c r="U75" s="290"/>
      <c r="V75" s="290"/>
      <c r="W75" s="290"/>
      <c r="X75" s="290"/>
      <c r="Y75" s="290"/>
      <c r="Z75" s="290"/>
      <c r="AA75" s="95"/>
      <c r="AB75" s="96"/>
      <c r="AC75" s="96"/>
      <c r="AD75" s="96"/>
      <c r="AE75" s="96"/>
      <c r="AF75" s="97"/>
      <c r="AG75" s="95"/>
      <c r="AH75" s="96"/>
      <c r="AI75" s="95"/>
      <c r="AJ75" s="96"/>
      <c r="AK75" s="95"/>
      <c r="AL75" s="96"/>
      <c r="AM75" s="95"/>
      <c r="AN75" s="98"/>
      <c r="AO75" s="96"/>
      <c r="AP75" s="96"/>
      <c r="AQ75" s="95"/>
      <c r="AR75" s="98"/>
      <c r="AS75" s="96"/>
      <c r="AT75" s="96"/>
      <c r="AU75" s="95"/>
      <c r="AV75" s="98"/>
      <c r="AW75" s="95"/>
      <c r="AX75" s="98"/>
      <c r="AY75" s="95"/>
      <c r="AZ75" s="98"/>
      <c r="BA75" s="95"/>
      <c r="BB75" s="98"/>
      <c r="BC75" s="95"/>
      <c r="BD75" s="96"/>
      <c r="BE75" s="95"/>
      <c r="BF75" s="98"/>
      <c r="BG75" s="95"/>
      <c r="BH75" s="98"/>
      <c r="BI75" s="95"/>
      <c r="BJ75" s="98"/>
      <c r="BK75" s="95"/>
      <c r="BL75" s="98"/>
      <c r="BM75" s="95"/>
      <c r="BN75" s="98"/>
      <c r="BO75" s="95"/>
      <c r="BP75" s="98"/>
      <c r="BQ75" s="96"/>
      <c r="BR75" s="98"/>
      <c r="BS75" s="99"/>
      <c r="BT75" s="95"/>
      <c r="BU75" s="96"/>
      <c r="BV75" s="96"/>
      <c r="BW75" s="98"/>
    </row>
    <row r="76" spans="1:75" ht="11.25" hidden="1" customHeight="1">
      <c r="A76" s="290">
        <f t="array" ref="A76">_xll.AC(DB,_xll.ArrayDPT($AA76:$AE76),_xll.ArrayCOA($AG76:$BR76),YR-1,PRD,_xll.ArrayDIM($BT76:$BW76))</f>
        <v>0</v>
      </c>
      <c r="B76" s="290">
        <f t="shared" si="55"/>
        <v>0</v>
      </c>
      <c r="C76" s="290">
        <f t="shared" si="67"/>
        <v>0</v>
      </c>
      <c r="D76" s="290">
        <f t="shared" si="56"/>
        <v>0</v>
      </c>
      <c r="E76" s="290">
        <f t="array" ref="E76">_xll.BC(DB,_xll.ArrayDPT($AA76:$AE76),_xll.ArrayCOA($AG76:$BR76),YR,PRD,RV,_xll.ArrayDIM($BT76:$BW76))</f>
        <v>0</v>
      </c>
      <c r="F76" s="290">
        <f t="shared" si="57"/>
        <v>0</v>
      </c>
      <c r="G76" s="290">
        <f t="array" ref="G76">_xll.AC(DB,_xll.ArrayDPT($AA76:$AE76),_xll.ArrayCOA($AG76:$BR76),YR,PRD,_xll.ArrayDIM($BT76:$BW76))</f>
        <v>0</v>
      </c>
      <c r="H76" s="290">
        <f t="shared" si="58"/>
        <v>0</v>
      </c>
      <c r="I76" s="290"/>
      <c r="J76" s="290" t="s">
        <v>587</v>
      </c>
      <c r="K76" s="290"/>
      <c r="L76" s="290">
        <f t="array" ref="L76">_xll.ACC(DB,_xll.ArrayDPT($AA76:$AE76),_xll.ArrayCOA($AG76:$BR76),YR,PRD,_xll.ArrayDIM($BT76:$BW76))</f>
        <v>0</v>
      </c>
      <c r="M76" s="290">
        <f t="shared" si="59"/>
        <v>0</v>
      </c>
      <c r="N76" s="290">
        <f t="array" ref="N76">_xll.BCC(DB,_xll.ArrayDPT($AA76:$AE76),_xll.ArrayCOA($AG76:$BR76),YR,PRD,RV,_xll.ArrayDIM($BT76:$BW76))</f>
        <v>0</v>
      </c>
      <c r="O76" s="292">
        <f t="shared" si="60"/>
        <v>0</v>
      </c>
      <c r="P76" s="290">
        <f t="shared" si="68"/>
        <v>0</v>
      </c>
      <c r="Q76" s="290">
        <f t="shared" si="61"/>
        <v>0</v>
      </c>
      <c r="R76" s="290">
        <f t="array" ref="R76">_xll.ACC(DB,_xll.ArrayDPT($AA76:$AE76),_xll.ArrayCOA($AG76:$BR76),YR-1,PRD,_xll.ArrayDIM($BT76:$BW76))</f>
        <v>0</v>
      </c>
      <c r="S76" s="290">
        <f t="shared" si="62"/>
        <v>0</v>
      </c>
      <c r="T76" s="290"/>
      <c r="U76" s="290"/>
      <c r="V76" s="290"/>
      <c r="W76" s="290"/>
      <c r="X76" s="290"/>
      <c r="Y76" s="290"/>
      <c r="Z76" s="290"/>
      <c r="AA76" s="95"/>
      <c r="AB76" s="96"/>
      <c r="AC76" s="96"/>
      <c r="AD76" s="96"/>
      <c r="AE76" s="96"/>
      <c r="AF76" s="97"/>
      <c r="AG76" s="95"/>
      <c r="AH76" s="96"/>
      <c r="AI76" s="95"/>
      <c r="AJ76" s="96"/>
      <c r="AK76" s="95"/>
      <c r="AL76" s="96"/>
      <c r="AM76" s="95"/>
      <c r="AN76" s="98"/>
      <c r="AO76" s="96"/>
      <c r="AP76" s="96"/>
      <c r="AQ76" s="95"/>
      <c r="AR76" s="98"/>
      <c r="AS76" s="96"/>
      <c r="AT76" s="96"/>
      <c r="AU76" s="95"/>
      <c r="AV76" s="98"/>
      <c r="AW76" s="95"/>
      <c r="AX76" s="98"/>
      <c r="AY76" s="95"/>
      <c r="AZ76" s="98"/>
      <c r="BA76" s="95"/>
      <c r="BB76" s="98"/>
      <c r="BC76" s="95"/>
      <c r="BD76" s="96"/>
      <c r="BE76" s="95"/>
      <c r="BF76" s="98"/>
      <c r="BG76" s="95"/>
      <c r="BH76" s="98"/>
      <c r="BI76" s="95"/>
      <c r="BJ76" s="98"/>
      <c r="BK76" s="95"/>
      <c r="BL76" s="98"/>
      <c r="BM76" s="95"/>
      <c r="BN76" s="98"/>
      <c r="BO76" s="95"/>
      <c r="BP76" s="98"/>
      <c r="BQ76" s="96"/>
      <c r="BR76" s="98"/>
      <c r="BS76" s="99"/>
      <c r="BT76" s="95"/>
      <c r="BU76" s="96"/>
      <c r="BV76" s="96"/>
      <c r="BW76" s="98"/>
    </row>
    <row r="77" spans="1:75" ht="12.75" hidden="1" customHeight="1">
      <c r="A77" s="256">
        <f>+A73-A74-A75-A76</f>
        <v>5169618.9700000007</v>
      </c>
      <c r="B77" s="260">
        <f t="shared" si="55"/>
        <v>62.086915201211902</v>
      </c>
      <c r="C77" s="256">
        <f>+C73-C74-C75-C76</f>
        <v>-5604188.2500000009</v>
      </c>
      <c r="D77" s="256">
        <f t="shared" si="56"/>
        <v>64.714097421195888</v>
      </c>
      <c r="E77" s="256">
        <f>+E73-E74-E75-E76</f>
        <v>0</v>
      </c>
      <c r="F77" s="256">
        <f t="shared" si="57"/>
        <v>0</v>
      </c>
      <c r="G77" s="256">
        <f>+G73-G74-G75-G76</f>
        <v>4478042.7700000005</v>
      </c>
      <c r="H77" s="256">
        <f t="shared" si="58"/>
        <v>51.709986022339969</v>
      </c>
      <c r="I77" s="257"/>
      <c r="J77" s="258" t="s">
        <v>588</v>
      </c>
      <c r="K77" s="259"/>
      <c r="L77" s="256">
        <f>+L73-L74-L75-L76</f>
        <v>7171311.8000000007</v>
      </c>
      <c r="M77" s="256">
        <f t="shared" si="59"/>
        <v>70.121073098642682</v>
      </c>
      <c r="N77" s="256">
        <f>+N73-N74-N75-N76</f>
        <v>0</v>
      </c>
      <c r="O77" s="260">
        <f t="shared" si="60"/>
        <v>0</v>
      </c>
      <c r="P77" s="256">
        <f>+P73-P74-P75-P76</f>
        <v>-7171311.8000000007</v>
      </c>
      <c r="Q77" s="256">
        <f t="shared" si="61"/>
        <v>70.121073098642682</v>
      </c>
      <c r="R77" s="256">
        <f>+R73-R74-R75-R76</f>
        <v>6685795.5000000019</v>
      </c>
      <c r="S77" s="261">
        <f t="shared" si="62"/>
        <v>67.927133653734771</v>
      </c>
      <c r="T77" s="262"/>
      <c r="U77" s="262"/>
      <c r="V77" s="262"/>
      <c r="W77" s="262"/>
      <c r="X77" s="262"/>
      <c r="Y77" s="262"/>
      <c r="Z77" s="262"/>
      <c r="AA77" s="95"/>
      <c r="AB77" s="96"/>
      <c r="AC77" s="96"/>
      <c r="AD77" s="96"/>
      <c r="AE77" s="96"/>
      <c r="AF77" s="97"/>
      <c r="AG77" s="95"/>
      <c r="AH77" s="96"/>
      <c r="AI77" s="95"/>
      <c r="AJ77" s="96"/>
      <c r="AK77" s="95"/>
      <c r="AL77" s="96"/>
      <c r="AM77" s="95"/>
      <c r="AN77" s="98"/>
      <c r="AO77" s="96"/>
      <c r="AP77" s="96"/>
      <c r="AQ77" s="95"/>
      <c r="AR77" s="98"/>
      <c r="AS77" s="96"/>
      <c r="AT77" s="96"/>
      <c r="AU77" s="95"/>
      <c r="AV77" s="98"/>
      <c r="AW77" s="95"/>
      <c r="AX77" s="98"/>
      <c r="AY77" s="95"/>
      <c r="AZ77" s="98"/>
      <c r="BA77" s="95"/>
      <c r="BB77" s="98"/>
      <c r="BC77" s="95"/>
      <c r="BD77" s="96"/>
      <c r="BE77" s="95"/>
      <c r="BF77" s="98"/>
      <c r="BG77" s="95"/>
      <c r="BH77" s="98"/>
      <c r="BI77" s="95"/>
      <c r="BJ77" s="98"/>
      <c r="BK77" s="95"/>
      <c r="BL77" s="98"/>
      <c r="BM77" s="95"/>
      <c r="BN77" s="98"/>
      <c r="BO77" s="95"/>
      <c r="BP77" s="98"/>
      <c r="BQ77" s="96"/>
      <c r="BR77" s="98"/>
      <c r="BS77" s="99"/>
      <c r="BT77" s="95"/>
      <c r="BU77" s="96"/>
      <c r="BV77" s="96"/>
      <c r="BW77" s="98"/>
    </row>
    <row r="78" spans="1:75" ht="11.25" hidden="1" customHeight="1">
      <c r="A78" s="290">
        <f t="array" ref="A78">_xll.AC(DB,_xll.ArrayDPT($AA78:$AE78),_xll.ArrayCOA($AG78:$BR78),YR-1,PRD,_xll.ArrayDIM($BT78:$BW78))</f>
        <v>0</v>
      </c>
      <c r="B78" s="292">
        <f t="shared" si="55"/>
        <v>0</v>
      </c>
      <c r="C78" s="290">
        <f t="shared" ref="C78:C79" si="69">+E78-G78</f>
        <v>0</v>
      </c>
      <c r="D78" s="290">
        <f t="shared" si="56"/>
        <v>0</v>
      </c>
      <c r="E78" s="290">
        <f t="array" ref="E78">_xll.BC(DB,_xll.ArrayDPT($AA78:$AE78),_xll.ArrayCOA($AG78:$BR78),YR,PRD,RV,_xll.ArrayDIM($BT78:$BW78))</f>
        <v>0</v>
      </c>
      <c r="F78" s="290">
        <f t="shared" si="57"/>
        <v>0</v>
      </c>
      <c r="G78" s="290">
        <f t="array" ref="G78">_xll.AC(DB,_xll.ArrayDPT($AA78:$AE78),_xll.ArrayCOA($AG78:$BR78),YR,PRD,_xll.ArrayDIM($BT78:$BW78))</f>
        <v>0</v>
      </c>
      <c r="H78" s="290">
        <f t="shared" si="58"/>
        <v>0</v>
      </c>
      <c r="I78" s="290"/>
      <c r="J78" s="290" t="s">
        <v>589</v>
      </c>
      <c r="K78" s="290"/>
      <c r="L78" s="290">
        <f t="array" ref="L78">_xll.ACC(DB,_xll.ArrayDPT($AA78:$AE78),_xll.ArrayCOA($AG78:$BR78),YR,PRD,_xll.ArrayDIM($BT78:$BW78))</f>
        <v>0</v>
      </c>
      <c r="M78" s="290">
        <f t="shared" si="59"/>
        <v>0</v>
      </c>
      <c r="N78" s="290">
        <f t="array" ref="N78">_xll.BCC(DB,_xll.ArrayDPT($AA78:$AE78),_xll.ArrayCOA($AG78:$BR78),YR,PRD,RV,_xll.ArrayDIM($BT78:$BW78))</f>
        <v>0</v>
      </c>
      <c r="O78" s="292">
        <f t="shared" si="60"/>
        <v>0</v>
      </c>
      <c r="P78" s="290">
        <f t="shared" ref="P78:P79" si="70">+N78-L78</f>
        <v>0</v>
      </c>
      <c r="Q78" s="290">
        <f t="shared" si="61"/>
        <v>0</v>
      </c>
      <c r="R78" s="290">
        <f t="array" ref="R78">_xll.ACC(DB,_xll.ArrayDPT($AA78:$AE78),_xll.ArrayCOA($AG78:$BR78),YR-1,PRD,_xll.ArrayDIM($BT78:$BW78))</f>
        <v>0</v>
      </c>
      <c r="S78" s="290">
        <f t="shared" si="62"/>
        <v>0</v>
      </c>
      <c r="T78" s="290"/>
      <c r="U78" s="290"/>
      <c r="V78" s="290"/>
      <c r="W78" s="290"/>
      <c r="X78" s="290"/>
      <c r="Y78" s="290"/>
      <c r="Z78" s="290"/>
      <c r="AA78" s="95" t="s">
        <v>561</v>
      </c>
      <c r="AB78" s="96"/>
      <c r="AC78" s="96"/>
      <c r="AD78" s="96"/>
      <c r="AE78" s="96"/>
      <c r="AF78" s="97"/>
      <c r="AG78" s="95" t="s">
        <v>590</v>
      </c>
      <c r="AH78" s="96" t="s">
        <v>590</v>
      </c>
      <c r="AI78" s="95" t="s">
        <v>591</v>
      </c>
      <c r="AJ78" s="96" t="s">
        <v>591</v>
      </c>
      <c r="AK78" s="95" t="s">
        <v>592</v>
      </c>
      <c r="AL78" s="96" t="s">
        <v>592</v>
      </c>
      <c r="AM78" s="95" t="s">
        <v>593</v>
      </c>
      <c r="AN78" s="98" t="s">
        <v>593</v>
      </c>
      <c r="AO78" s="96" t="s">
        <v>594</v>
      </c>
      <c r="AP78" s="96" t="s">
        <v>594</v>
      </c>
      <c r="AQ78" s="95" t="s">
        <v>595</v>
      </c>
      <c r="AR78" s="98" t="s">
        <v>595</v>
      </c>
      <c r="AS78" s="96" t="s">
        <v>596</v>
      </c>
      <c r="AT78" s="96" t="s">
        <v>596</v>
      </c>
      <c r="AU78" s="95" t="s">
        <v>597</v>
      </c>
      <c r="AV78" s="98" t="s">
        <v>597</v>
      </c>
      <c r="AW78" s="95" t="s">
        <v>598</v>
      </c>
      <c r="AX78" s="98" t="s">
        <v>598</v>
      </c>
      <c r="AY78" s="95" t="s">
        <v>599</v>
      </c>
      <c r="AZ78" s="98" t="s">
        <v>599</v>
      </c>
      <c r="BA78" s="95" t="s">
        <v>600</v>
      </c>
      <c r="BB78" s="98" t="s">
        <v>600</v>
      </c>
      <c r="BC78" s="95" t="s">
        <v>601</v>
      </c>
      <c r="BD78" s="96" t="s">
        <v>601</v>
      </c>
      <c r="BE78" s="95" t="s">
        <v>602</v>
      </c>
      <c r="BF78" s="98" t="s">
        <v>602</v>
      </c>
      <c r="BG78" s="95" t="s">
        <v>603</v>
      </c>
      <c r="BH78" s="98" t="s">
        <v>603</v>
      </c>
      <c r="BI78" s="95" t="s">
        <v>604</v>
      </c>
      <c r="BJ78" s="98" t="s">
        <v>604</v>
      </c>
      <c r="BK78" s="95" t="s">
        <v>605</v>
      </c>
      <c r="BL78" s="98" t="s">
        <v>605</v>
      </c>
      <c r="BM78" s="95" t="s">
        <v>606</v>
      </c>
      <c r="BN78" s="98" t="s">
        <v>606</v>
      </c>
      <c r="BO78" s="95" t="s">
        <v>607</v>
      </c>
      <c r="BP78" s="98" t="s">
        <v>607</v>
      </c>
      <c r="BQ78" s="96" t="s">
        <v>608</v>
      </c>
      <c r="BR78" s="98" t="s">
        <v>608</v>
      </c>
      <c r="BS78" s="99"/>
      <c r="BT78" s="95"/>
      <c r="BU78" s="96"/>
      <c r="BV78" s="96"/>
      <c r="BW78" s="98"/>
    </row>
    <row r="79" spans="1:75" ht="11.25" hidden="1" customHeight="1">
      <c r="A79" s="290">
        <f t="array" ref="A79">_xll.AC(DB,_xll.ArrayDPT($AA79:$AE79),_xll.ArrayCOA($AG79:$BR79),YR-1,PRD,_xll.ArrayDIM($BT79:$BW79))</f>
        <v>0</v>
      </c>
      <c r="B79" s="292">
        <f t="shared" si="55"/>
        <v>0</v>
      </c>
      <c r="C79" s="290">
        <f t="shared" si="69"/>
        <v>0</v>
      </c>
      <c r="D79" s="290">
        <f t="shared" si="56"/>
        <v>0</v>
      </c>
      <c r="E79" s="290">
        <f t="array" ref="E79">_xll.BC(DB,_xll.ArrayDPT($AA79:$AE79),_xll.ArrayCOA($AG79:$BR79),YR,PRD,RV,_xll.ArrayDIM($BT79:$BW79))</f>
        <v>0</v>
      </c>
      <c r="F79" s="290">
        <f t="shared" si="57"/>
        <v>0</v>
      </c>
      <c r="G79" s="290">
        <f t="array" ref="G79">_xll.AC(DB,_xll.ArrayDPT($AA79:$AE79),_xll.ArrayCOA($AG79:$BR79),YR,PRD,_xll.ArrayDIM($BT79:$BW79))</f>
        <v>0</v>
      </c>
      <c r="H79" s="290">
        <f t="shared" si="58"/>
        <v>0</v>
      </c>
      <c r="I79" s="290"/>
      <c r="J79" s="290" t="s">
        <v>609</v>
      </c>
      <c r="K79" s="290"/>
      <c r="L79" s="290">
        <f t="array" ref="L79">_xll.ACC(DB,_xll.ArrayDPT($AA79:$AE79),_xll.ArrayCOA($AG79:$BR79),YR,PRD,_xll.ArrayDIM($BT79:$BW79))</f>
        <v>0</v>
      </c>
      <c r="M79" s="290">
        <f t="shared" si="59"/>
        <v>0</v>
      </c>
      <c r="N79" s="290">
        <f t="array" ref="N79">_xll.BCC(DB,_xll.ArrayDPT($AA79:$AE79),_xll.ArrayCOA($AG79:$BR79),YR,PRD,RV,_xll.ArrayDIM($BT79:$BW79))</f>
        <v>0</v>
      </c>
      <c r="O79" s="292">
        <f t="shared" si="60"/>
        <v>0</v>
      </c>
      <c r="P79" s="290">
        <f t="shared" si="70"/>
        <v>0</v>
      </c>
      <c r="Q79" s="290">
        <f t="shared" si="61"/>
        <v>0</v>
      </c>
      <c r="R79" s="290">
        <f t="array" ref="R79">_xll.ACC(DB,_xll.ArrayDPT($AA79:$AE79),_xll.ArrayCOA($AG79:$BR79),YR-1,PRD,_xll.ArrayDIM($BT79:$BW79))</f>
        <v>0</v>
      </c>
      <c r="S79" s="290">
        <f t="shared" si="62"/>
        <v>0</v>
      </c>
      <c r="T79" s="290"/>
      <c r="U79" s="290"/>
      <c r="V79" s="290"/>
      <c r="W79" s="290"/>
      <c r="X79" s="290"/>
      <c r="Y79" s="290"/>
      <c r="Z79" s="290"/>
      <c r="AA79" s="95"/>
      <c r="AB79" s="96"/>
      <c r="AC79" s="96"/>
      <c r="AD79" s="96"/>
      <c r="AE79" s="96"/>
      <c r="AF79" s="97"/>
      <c r="AG79" s="95"/>
      <c r="AH79" s="96"/>
      <c r="AI79" s="95"/>
      <c r="AJ79" s="96"/>
      <c r="AK79" s="95"/>
      <c r="AL79" s="96"/>
      <c r="AM79" s="95"/>
      <c r="AN79" s="98"/>
      <c r="AO79" s="96"/>
      <c r="AP79" s="96"/>
      <c r="AQ79" s="95"/>
      <c r="AR79" s="98"/>
      <c r="AS79" s="96"/>
      <c r="AT79" s="96"/>
      <c r="AU79" s="95"/>
      <c r="AV79" s="98"/>
      <c r="AW79" s="95"/>
      <c r="AX79" s="98"/>
      <c r="AY79" s="95"/>
      <c r="AZ79" s="98"/>
      <c r="BA79" s="95"/>
      <c r="BB79" s="98"/>
      <c r="BC79" s="95"/>
      <c r="BD79" s="96"/>
      <c r="BE79" s="95"/>
      <c r="BF79" s="98"/>
      <c r="BG79" s="95"/>
      <c r="BH79" s="98"/>
      <c r="BI79" s="95"/>
      <c r="BJ79" s="98"/>
      <c r="BK79" s="95"/>
      <c r="BL79" s="98"/>
      <c r="BM79" s="95"/>
      <c r="BN79" s="98"/>
      <c r="BO79" s="95"/>
      <c r="BP79" s="98"/>
      <c r="BQ79" s="96"/>
      <c r="BR79" s="98"/>
      <c r="BS79" s="99"/>
      <c r="BT79" s="95"/>
      <c r="BU79" s="96"/>
      <c r="BV79" s="96"/>
      <c r="BW79" s="98"/>
    </row>
    <row r="80" spans="1:75" ht="13.5" hidden="1" customHeight="1">
      <c r="A80" s="256">
        <f>+A77-A78-A79</f>
        <v>5169618.9700000007</v>
      </c>
      <c r="B80" s="260">
        <f t="shared" si="55"/>
        <v>62.086915201211902</v>
      </c>
      <c r="C80" s="256">
        <f>+C77-C78-C79</f>
        <v>-5604188.2500000009</v>
      </c>
      <c r="D80" s="256">
        <f t="shared" si="56"/>
        <v>64.714097421195888</v>
      </c>
      <c r="E80" s="256">
        <f>+E77-E78-E79</f>
        <v>0</v>
      </c>
      <c r="F80" s="256">
        <f t="shared" si="57"/>
        <v>0</v>
      </c>
      <c r="G80" s="256">
        <f>+G77-G78-G79</f>
        <v>4478042.7700000005</v>
      </c>
      <c r="H80" s="256">
        <f t="shared" si="58"/>
        <v>51.709986022339969</v>
      </c>
      <c r="I80" s="257"/>
      <c r="J80" s="258" t="s">
        <v>610</v>
      </c>
      <c r="K80" s="259"/>
      <c r="L80" s="256">
        <f>+L77-L78-L79</f>
        <v>7171311.8000000007</v>
      </c>
      <c r="M80" s="256">
        <f t="shared" si="59"/>
        <v>70.121073098642682</v>
      </c>
      <c r="N80" s="256">
        <f>+N77-N78-N79</f>
        <v>0</v>
      </c>
      <c r="O80" s="260">
        <f t="shared" si="60"/>
        <v>0</v>
      </c>
      <c r="P80" s="256">
        <f>+P77-P78-P79</f>
        <v>-7171311.8000000007</v>
      </c>
      <c r="Q80" s="256">
        <f t="shared" si="61"/>
        <v>70.121073098642682</v>
      </c>
      <c r="R80" s="256">
        <f>+R77-R78-R79</f>
        <v>6685795.5000000019</v>
      </c>
      <c r="S80" s="261">
        <f t="shared" si="62"/>
        <v>67.927133653734771</v>
      </c>
      <c r="T80" s="262"/>
      <c r="U80" s="262"/>
      <c r="V80" s="262"/>
      <c r="W80" s="262"/>
      <c r="X80" s="262"/>
      <c r="Y80" s="262"/>
      <c r="Z80" s="262"/>
      <c r="AA80" s="95"/>
      <c r="AB80" s="96"/>
      <c r="AC80" s="96"/>
      <c r="AD80" s="96"/>
      <c r="AE80" s="96"/>
      <c r="AF80" s="97"/>
      <c r="AG80" s="95"/>
      <c r="AH80" s="96"/>
      <c r="AI80" s="95"/>
      <c r="AJ80" s="96"/>
      <c r="AK80" s="95"/>
      <c r="AL80" s="96"/>
      <c r="AM80" s="95"/>
      <c r="AN80" s="98"/>
      <c r="AO80" s="96"/>
      <c r="AP80" s="96"/>
      <c r="AQ80" s="95"/>
      <c r="AR80" s="98"/>
      <c r="AS80" s="96"/>
      <c r="AT80" s="96"/>
      <c r="AU80" s="95"/>
      <c r="AV80" s="98"/>
      <c r="AW80" s="95"/>
      <c r="AX80" s="98"/>
      <c r="AY80" s="95"/>
      <c r="AZ80" s="98"/>
      <c r="BA80" s="95"/>
      <c r="BB80" s="98"/>
      <c r="BC80" s="95"/>
      <c r="BD80" s="96"/>
      <c r="BE80" s="95"/>
      <c r="BF80" s="98"/>
      <c r="BG80" s="95"/>
      <c r="BH80" s="98"/>
      <c r="BI80" s="95"/>
      <c r="BJ80" s="98"/>
      <c r="BK80" s="95"/>
      <c r="BL80" s="98"/>
      <c r="BM80" s="95"/>
      <c r="BN80" s="98"/>
      <c r="BO80" s="95"/>
      <c r="BP80" s="98"/>
      <c r="BQ80" s="96"/>
      <c r="BR80" s="98"/>
      <c r="BS80" s="99"/>
      <c r="BT80" s="95"/>
      <c r="BU80" s="96"/>
      <c r="BV80" s="96"/>
      <c r="BW80" s="98"/>
    </row>
    <row r="81" spans="1:75" ht="12.75" hidden="1" customHeight="1">
      <c r="A81" s="290">
        <f t="array" ref="A81">_xll.AC(DB,_xll.ArrayDPT($AA81:$AE81),_xll.ArrayCOA($AG81:$BR81),YR-1,PRD,_xll.ArrayDIM($BT81:$BW81))</f>
        <v>0</v>
      </c>
      <c r="B81" s="292">
        <f t="shared" si="55"/>
        <v>0</v>
      </c>
      <c r="C81" s="290">
        <f>+E81-G81</f>
        <v>0</v>
      </c>
      <c r="D81" s="290">
        <f t="shared" si="56"/>
        <v>0</v>
      </c>
      <c r="E81" s="290">
        <f t="array" ref="E81">_xll.BC(DB,_xll.ArrayDPT($AA81:$AE81),_xll.ArrayCOA($AG81:$BR81),YR,PRD,RV,_xll.ArrayDIM($BT81:$BW81))</f>
        <v>0</v>
      </c>
      <c r="F81" s="290">
        <f t="shared" si="57"/>
        <v>0</v>
      </c>
      <c r="G81" s="290">
        <f t="array" ref="G81">_xll.AC(DB,_xll.ArrayDPT($AA81:$AE81),_xll.ArrayCOA($AG81:$BR81),YR,PRD,_xll.ArrayDIM($BT81:$BW81))</f>
        <v>0</v>
      </c>
      <c r="H81" s="290">
        <f t="shared" si="58"/>
        <v>0</v>
      </c>
      <c r="I81" s="290"/>
      <c r="J81" s="290" t="s">
        <v>611</v>
      </c>
      <c r="K81" s="290"/>
      <c r="L81" s="290">
        <f t="array" ref="L81">_xll.ACC(DB,_xll.ArrayDPT($AA81:$AE81),_xll.ArrayCOA($AG81:$BR81),YR,PRD,_xll.ArrayDIM($BT81:$BW81))</f>
        <v>0</v>
      </c>
      <c r="M81" s="290">
        <f t="shared" si="59"/>
        <v>0</v>
      </c>
      <c r="N81" s="290">
        <f t="array" ref="N81">_xll.BCC(DB,_xll.ArrayDPT($AA81:$AE81),_xll.ArrayCOA($AG81:$BR81),YR,PRD,RV,_xll.ArrayDIM($BT81:$BW81))</f>
        <v>0</v>
      </c>
      <c r="O81" s="292">
        <f t="shared" si="60"/>
        <v>0</v>
      </c>
      <c r="P81" s="290">
        <f>+N81-L81</f>
        <v>0</v>
      </c>
      <c r="Q81" s="290">
        <f t="shared" si="61"/>
        <v>0</v>
      </c>
      <c r="R81" s="290">
        <f t="array" ref="R81">_xll.ACC(DB,_xll.ArrayDPT($AA81:$AE81),_xll.ArrayCOA($AG81:$BR81),YR-1,PRD,_xll.ArrayDIM($BT81:$BW81))</f>
        <v>0</v>
      </c>
      <c r="S81" s="290">
        <f t="shared" si="62"/>
        <v>0</v>
      </c>
      <c r="T81" s="290"/>
      <c r="U81" s="290"/>
      <c r="V81" s="290"/>
      <c r="W81" s="290"/>
      <c r="X81" s="290"/>
      <c r="Y81" s="290"/>
      <c r="Z81" s="290"/>
      <c r="AA81" s="95"/>
      <c r="AB81" s="96"/>
      <c r="AC81" s="96"/>
      <c r="AD81" s="96"/>
      <c r="AE81" s="96"/>
      <c r="AF81" s="97"/>
      <c r="AG81" s="95"/>
      <c r="AH81" s="96"/>
      <c r="AI81" s="95"/>
      <c r="AJ81" s="96"/>
      <c r="AK81" s="95"/>
      <c r="AL81" s="96"/>
      <c r="AM81" s="95"/>
      <c r="AN81" s="98"/>
      <c r="AO81" s="96"/>
      <c r="AP81" s="96"/>
      <c r="AQ81" s="95"/>
      <c r="AR81" s="98"/>
      <c r="AS81" s="96"/>
      <c r="AT81" s="96"/>
      <c r="AU81" s="95"/>
      <c r="AV81" s="98"/>
      <c r="AW81" s="95"/>
      <c r="AX81" s="98"/>
      <c r="AY81" s="95"/>
      <c r="AZ81" s="98"/>
      <c r="BA81" s="95"/>
      <c r="BB81" s="98"/>
      <c r="BC81" s="95"/>
      <c r="BD81" s="96"/>
      <c r="BE81" s="95"/>
      <c r="BF81" s="98"/>
      <c r="BG81" s="95"/>
      <c r="BH81" s="98"/>
      <c r="BI81" s="95"/>
      <c r="BJ81" s="98"/>
      <c r="BK81" s="95"/>
      <c r="BL81" s="98"/>
      <c r="BM81" s="95"/>
      <c r="BN81" s="98"/>
      <c r="BO81" s="95"/>
      <c r="BP81" s="98"/>
      <c r="BQ81" s="96"/>
      <c r="BR81" s="98"/>
      <c r="BS81" s="99"/>
      <c r="BT81" s="95"/>
      <c r="BU81" s="96"/>
      <c r="BV81" s="96"/>
      <c r="BW81" s="98"/>
    </row>
    <row r="82" spans="1:75" ht="13.5" hidden="1" customHeight="1">
      <c r="A82" s="256">
        <f>+A80-A81</f>
        <v>5169618.9700000007</v>
      </c>
      <c r="B82" s="260">
        <f t="shared" si="55"/>
        <v>62.086915201211902</v>
      </c>
      <c r="C82" s="256">
        <f>+C80-C81</f>
        <v>-5604188.2500000009</v>
      </c>
      <c r="D82" s="256">
        <f t="shared" si="56"/>
        <v>64.714097421195888</v>
      </c>
      <c r="E82" s="256">
        <f>+E80-E81</f>
        <v>0</v>
      </c>
      <c r="F82" s="256">
        <f t="shared" si="57"/>
        <v>0</v>
      </c>
      <c r="G82" s="256">
        <f>+G80-G81</f>
        <v>4478042.7700000005</v>
      </c>
      <c r="H82" s="256">
        <f t="shared" si="58"/>
        <v>51.709986022339969</v>
      </c>
      <c r="I82" s="257"/>
      <c r="J82" s="258" t="s">
        <v>612</v>
      </c>
      <c r="K82" s="259"/>
      <c r="L82" s="256">
        <f>+L80-L81</f>
        <v>7171311.8000000007</v>
      </c>
      <c r="M82" s="256">
        <f t="shared" si="59"/>
        <v>70.121073098642682</v>
      </c>
      <c r="N82" s="256">
        <f>+N80-N81</f>
        <v>0</v>
      </c>
      <c r="O82" s="260">
        <f t="shared" si="60"/>
        <v>0</v>
      </c>
      <c r="P82" s="256">
        <f>+P80-P81</f>
        <v>-7171311.8000000007</v>
      </c>
      <c r="Q82" s="256">
        <f t="shared" si="61"/>
        <v>70.121073098642682</v>
      </c>
      <c r="R82" s="256">
        <f>+R80-R81</f>
        <v>6685795.5000000019</v>
      </c>
      <c r="S82" s="261">
        <f t="shared" si="62"/>
        <v>67.927133653734771</v>
      </c>
      <c r="T82" s="262"/>
      <c r="U82" s="262"/>
      <c r="V82" s="262"/>
      <c r="W82" s="262"/>
      <c r="X82" s="262"/>
      <c r="Y82" s="262"/>
      <c r="Z82" s="262"/>
      <c r="AA82" s="95"/>
      <c r="AB82" s="96"/>
      <c r="AC82" s="96"/>
      <c r="AD82" s="96"/>
      <c r="AE82" s="96"/>
      <c r="AF82" s="97"/>
      <c r="AG82" s="95"/>
      <c r="AH82" s="96"/>
      <c r="AI82" s="95"/>
      <c r="AJ82" s="96"/>
      <c r="AK82" s="95"/>
      <c r="AL82" s="96"/>
      <c r="AM82" s="95"/>
      <c r="AN82" s="98"/>
      <c r="AO82" s="96"/>
      <c r="AP82" s="96"/>
      <c r="AQ82" s="95"/>
      <c r="AR82" s="98"/>
      <c r="AS82" s="96"/>
      <c r="AT82" s="96"/>
      <c r="AU82" s="95"/>
      <c r="AV82" s="98"/>
      <c r="AW82" s="95"/>
      <c r="AX82" s="98"/>
      <c r="AY82" s="95"/>
      <c r="AZ82" s="98"/>
      <c r="BA82" s="95"/>
      <c r="BB82" s="98"/>
      <c r="BC82" s="95"/>
      <c r="BD82" s="96"/>
      <c r="BE82" s="95"/>
      <c r="BF82" s="98"/>
      <c r="BG82" s="95"/>
      <c r="BH82" s="98"/>
      <c r="BI82" s="95"/>
      <c r="BJ82" s="98"/>
      <c r="BK82" s="95"/>
      <c r="BL82" s="98"/>
      <c r="BM82" s="95"/>
      <c r="BN82" s="98"/>
      <c r="BO82" s="95"/>
      <c r="BP82" s="98"/>
      <c r="BQ82" s="96"/>
      <c r="BR82" s="98"/>
      <c r="BS82" s="99"/>
      <c r="BT82" s="95"/>
      <c r="BU82" s="96"/>
      <c r="BV82" s="96"/>
      <c r="BW82" s="98"/>
    </row>
    <row r="83" spans="1:75" ht="12" customHeight="1">
      <c r="A83" s="237"/>
      <c r="B83" s="237"/>
      <c r="C83" s="237"/>
      <c r="D83" s="237"/>
      <c r="E83" s="237"/>
      <c r="F83" s="237"/>
      <c r="G83" s="237"/>
      <c r="H83" s="237"/>
      <c r="I83" s="237"/>
      <c r="J83" s="237"/>
      <c r="K83" s="237"/>
      <c r="L83" s="237"/>
      <c r="M83" s="237"/>
      <c r="N83" s="237"/>
      <c r="O83" s="254"/>
      <c r="P83" s="237"/>
      <c r="Q83" s="237"/>
      <c r="R83" s="237"/>
      <c r="S83" s="237"/>
      <c r="T83" s="295"/>
      <c r="U83" s="295"/>
      <c r="V83" s="295"/>
      <c r="W83" s="295"/>
      <c r="X83" s="295"/>
      <c r="Y83" s="295"/>
      <c r="Z83" s="295"/>
      <c r="BD83" s="1"/>
      <c r="BE83" s="296"/>
      <c r="BF83" s="297"/>
      <c r="BG83" s="296"/>
      <c r="BH83" s="297"/>
      <c r="BI83" s="296"/>
      <c r="BJ83" s="297"/>
      <c r="BK83" s="296"/>
      <c r="BL83" s="297"/>
      <c r="BM83" s="296"/>
      <c r="BN83" s="297"/>
      <c r="BO83" s="296"/>
      <c r="BP83" s="297"/>
      <c r="BQ83" s="1"/>
    </row>
    <row r="84" spans="1:75" ht="12" customHeight="1">
      <c r="A84" s="244"/>
      <c r="B84" s="244" t="s">
        <v>2</v>
      </c>
      <c r="C84" s="244"/>
      <c r="D84" s="244"/>
      <c r="E84" s="244"/>
      <c r="F84" s="244"/>
      <c r="G84" s="244">
        <f>+G82-G86</f>
        <v>4478042.7700000005</v>
      </c>
      <c r="H84" s="244"/>
      <c r="I84" s="244"/>
      <c r="J84" s="244"/>
      <c r="K84" s="244"/>
      <c r="L84" s="237"/>
      <c r="M84" s="244"/>
      <c r="N84" s="251"/>
      <c r="O84" s="298"/>
      <c r="P84" s="251"/>
      <c r="Q84" s="299"/>
      <c r="R84" s="251"/>
      <c r="S84" s="300"/>
      <c r="T84" s="226"/>
      <c r="U84" s="226"/>
      <c r="V84" s="226"/>
      <c r="W84" s="226"/>
      <c r="X84" s="226"/>
      <c r="Y84" s="226"/>
      <c r="Z84" s="226"/>
    </row>
    <row r="85" spans="1:75" ht="12" customHeight="1">
      <c r="A85" s="301">
        <f>+A84-A82</f>
        <v>-5169618.9700000007</v>
      </c>
      <c r="B85" s="244"/>
      <c r="C85" s="244"/>
      <c r="D85" s="244"/>
      <c r="E85" s="244"/>
      <c r="F85" s="244"/>
      <c r="G85" s="302">
        <f>+A85-L85</f>
        <v>-5169618.9700000007</v>
      </c>
      <c r="H85" s="244"/>
      <c r="I85" s="244"/>
      <c r="J85" s="244"/>
      <c r="K85" s="244"/>
      <c r="L85" s="244">
        <f>+G78-L78</f>
        <v>0</v>
      </c>
      <c r="M85" s="244"/>
      <c r="N85" s="251"/>
      <c r="O85" s="298"/>
      <c r="P85" s="251"/>
      <c r="Q85" s="299"/>
      <c r="R85" s="251"/>
      <c r="S85" s="300"/>
      <c r="T85" s="226"/>
      <c r="U85" s="226"/>
      <c r="V85" s="226"/>
      <c r="W85" s="226"/>
      <c r="X85" s="226"/>
      <c r="Y85" s="226"/>
      <c r="Z85" s="226"/>
    </row>
    <row r="86" spans="1:75" ht="12" customHeight="1">
      <c r="A86" s="251" t="s">
        <v>2</v>
      </c>
      <c r="B86" s="299"/>
      <c r="C86" s="251"/>
      <c r="D86" s="299"/>
      <c r="E86" s="251"/>
      <c r="F86" s="299"/>
      <c r="G86" s="251"/>
      <c r="H86" s="243"/>
      <c r="I86" s="243"/>
      <c r="J86" s="245"/>
      <c r="K86" s="245"/>
      <c r="L86" s="303"/>
      <c r="M86" s="299"/>
      <c r="N86" s="251"/>
      <c r="O86" s="298"/>
      <c r="P86" s="251"/>
      <c r="Q86" s="299"/>
      <c r="R86" s="251"/>
      <c r="S86" s="300"/>
      <c r="T86" s="226"/>
      <c r="U86" s="226"/>
      <c r="V86" s="226"/>
      <c r="W86" s="226"/>
      <c r="X86" s="226"/>
      <c r="Y86" s="226"/>
      <c r="Z86" s="226"/>
    </row>
    <row r="87" spans="1:75" ht="12" customHeight="1">
      <c r="A87" s="237"/>
      <c r="B87" s="299"/>
      <c r="C87" s="251"/>
      <c r="D87" s="299"/>
      <c r="E87" s="251"/>
      <c r="F87" s="299"/>
      <c r="G87" s="251"/>
      <c r="H87" s="243"/>
      <c r="I87" s="243"/>
      <c r="J87" s="245"/>
      <c r="K87" s="245"/>
      <c r="L87" s="303"/>
      <c r="M87" s="299"/>
      <c r="N87" s="251"/>
      <c r="O87" s="298"/>
      <c r="P87" s="251"/>
      <c r="Q87" s="299"/>
      <c r="R87" s="251"/>
      <c r="S87" s="300"/>
      <c r="T87" s="226"/>
      <c r="U87" s="226"/>
      <c r="V87" s="226"/>
      <c r="W87" s="226"/>
      <c r="X87" s="226"/>
      <c r="Y87" s="226"/>
      <c r="Z87" s="226"/>
    </row>
    <row r="88" spans="1:75" ht="12" customHeight="1">
      <c r="A88" s="251"/>
      <c r="B88" s="299"/>
      <c r="C88" s="251"/>
      <c r="D88" s="299"/>
      <c r="E88" s="251"/>
      <c r="F88" s="299"/>
      <c r="G88" s="251"/>
      <c r="H88" s="243"/>
      <c r="I88" s="243"/>
      <c r="J88" s="245"/>
      <c r="K88" s="245"/>
      <c r="L88" s="303"/>
      <c r="M88" s="299"/>
      <c r="N88" s="251"/>
      <c r="O88" s="298"/>
      <c r="P88" s="251"/>
      <c r="Q88" s="299"/>
      <c r="R88" s="251"/>
      <c r="S88" s="300"/>
      <c r="T88" s="226"/>
      <c r="U88" s="226"/>
      <c r="V88" s="226"/>
      <c r="W88" s="226"/>
      <c r="X88" s="226"/>
      <c r="Y88" s="226"/>
      <c r="Z88" s="226"/>
    </row>
    <row r="89" spans="1:75" ht="12" customHeight="1">
      <c r="A89" s="251"/>
      <c r="B89" s="299"/>
      <c r="C89" s="251"/>
      <c r="D89" s="299"/>
      <c r="E89" s="251"/>
      <c r="F89" s="299"/>
      <c r="G89" s="251"/>
      <c r="H89" s="243"/>
      <c r="I89" s="243"/>
      <c r="J89" s="245"/>
      <c r="K89" s="245"/>
      <c r="L89" s="303"/>
      <c r="M89" s="299"/>
      <c r="N89" s="251"/>
      <c r="O89" s="298"/>
      <c r="P89" s="251"/>
      <c r="Q89" s="299"/>
      <c r="R89" s="251"/>
      <c r="S89" s="300"/>
      <c r="T89" s="226"/>
      <c r="U89" s="226"/>
      <c r="V89" s="226"/>
      <c r="W89" s="226"/>
      <c r="X89" s="226"/>
      <c r="Y89" s="226"/>
      <c r="Z89" s="226"/>
    </row>
    <row r="90" spans="1:75" ht="12" customHeight="1">
      <c r="A90" s="251"/>
      <c r="B90" s="299"/>
      <c r="C90" s="251"/>
      <c r="D90" s="299"/>
      <c r="E90" s="251"/>
      <c r="F90" s="299"/>
      <c r="G90" s="251"/>
      <c r="H90" s="243"/>
      <c r="I90" s="243"/>
      <c r="J90" s="245"/>
      <c r="K90" s="245"/>
      <c r="L90" s="303"/>
      <c r="M90" s="299"/>
      <c r="N90" s="251"/>
      <c r="O90" s="298"/>
      <c r="P90" s="251"/>
      <c r="Q90" s="299"/>
      <c r="R90" s="251"/>
      <c r="S90" s="300"/>
      <c r="T90" s="226"/>
      <c r="U90" s="226"/>
      <c r="V90" s="226"/>
      <c r="W90" s="226"/>
      <c r="X90" s="226"/>
      <c r="Y90" s="226"/>
      <c r="Z90" s="226"/>
    </row>
    <row r="91" spans="1:75" ht="12" customHeight="1">
      <c r="A91" s="251"/>
      <c r="B91" s="299"/>
      <c r="C91" s="251"/>
      <c r="D91" s="299"/>
      <c r="E91" s="251"/>
      <c r="F91" s="299"/>
      <c r="G91" s="251"/>
      <c r="H91" s="243"/>
      <c r="I91" s="243"/>
      <c r="J91" s="245"/>
      <c r="K91" s="245"/>
      <c r="L91" s="303"/>
      <c r="M91" s="299"/>
      <c r="N91" s="251"/>
      <c r="O91" s="298"/>
      <c r="P91" s="251"/>
      <c r="Q91" s="299"/>
      <c r="R91" s="251"/>
      <c r="S91" s="300"/>
      <c r="T91" s="226"/>
      <c r="U91" s="226"/>
      <c r="V91" s="226"/>
      <c r="W91" s="226"/>
      <c r="X91" s="226"/>
      <c r="Y91" s="226"/>
      <c r="Z91" s="226"/>
    </row>
    <row r="92" spans="1:75" ht="12" customHeight="1">
      <c r="A92" s="251"/>
      <c r="B92" s="299"/>
      <c r="C92" s="251"/>
      <c r="D92" s="299"/>
      <c r="E92" s="251"/>
      <c r="F92" s="299"/>
      <c r="G92" s="251"/>
      <c r="H92" s="243"/>
      <c r="I92" s="243"/>
      <c r="J92" s="245"/>
      <c r="K92" s="245"/>
      <c r="L92" s="303"/>
      <c r="M92" s="299"/>
      <c r="N92" s="251"/>
      <c r="O92" s="298"/>
      <c r="P92" s="251"/>
      <c r="Q92" s="299"/>
      <c r="R92" s="251"/>
      <c r="S92" s="300"/>
      <c r="T92" s="226"/>
      <c r="U92" s="226"/>
      <c r="V92" s="226"/>
      <c r="W92" s="226"/>
      <c r="X92" s="226"/>
      <c r="Y92" s="226"/>
      <c r="Z92" s="226"/>
    </row>
    <row r="93" spans="1:75" ht="12" customHeight="1">
      <c r="A93" s="251"/>
      <c r="B93" s="299"/>
      <c r="C93" s="251"/>
      <c r="D93" s="299"/>
      <c r="E93" s="251"/>
      <c r="F93" s="299"/>
      <c r="G93" s="251"/>
      <c r="H93" s="243"/>
      <c r="I93" s="243"/>
      <c r="J93" s="245"/>
      <c r="K93" s="245"/>
      <c r="L93" s="303"/>
      <c r="M93" s="299"/>
      <c r="N93" s="251"/>
      <c r="O93" s="298"/>
      <c r="P93" s="251"/>
      <c r="Q93" s="299"/>
      <c r="R93" s="251"/>
      <c r="S93" s="300"/>
      <c r="T93" s="226"/>
      <c r="U93" s="226"/>
      <c r="V93" s="226"/>
      <c r="W93" s="226"/>
      <c r="X93" s="226"/>
      <c r="Y93" s="226"/>
      <c r="Z93" s="226"/>
    </row>
    <row r="94" spans="1:75" ht="12" customHeight="1">
      <c r="A94" s="251"/>
      <c r="B94" s="299"/>
      <c r="C94" s="251"/>
      <c r="D94" s="299"/>
      <c r="E94" s="251"/>
      <c r="F94" s="299"/>
      <c r="G94" s="251"/>
      <c r="H94" s="243"/>
      <c r="I94" s="243"/>
      <c r="J94" s="245"/>
      <c r="K94" s="245"/>
      <c r="L94" s="303"/>
      <c r="M94" s="299"/>
      <c r="N94" s="251"/>
      <c r="O94" s="298"/>
      <c r="P94" s="251"/>
      <c r="Q94" s="299"/>
      <c r="R94" s="251"/>
      <c r="S94" s="300"/>
      <c r="T94" s="226"/>
      <c r="U94" s="226"/>
      <c r="V94" s="226"/>
      <c r="W94" s="226"/>
      <c r="X94" s="226"/>
      <c r="Y94" s="226"/>
      <c r="Z94" s="226"/>
    </row>
    <row r="95" spans="1:75" ht="12" customHeight="1">
      <c r="A95" s="251"/>
      <c r="B95" s="299"/>
      <c r="C95" s="251"/>
      <c r="D95" s="299"/>
      <c r="E95" s="251"/>
      <c r="F95" s="299"/>
      <c r="G95" s="251"/>
      <c r="H95" s="243"/>
      <c r="I95" s="243"/>
      <c r="J95" s="245"/>
      <c r="K95" s="245"/>
      <c r="L95" s="303"/>
      <c r="M95" s="299"/>
      <c r="N95" s="251"/>
      <c r="O95" s="298"/>
      <c r="P95" s="251"/>
      <c r="Q95" s="299"/>
      <c r="R95" s="251"/>
      <c r="S95" s="300"/>
      <c r="T95" s="226"/>
      <c r="U95" s="226"/>
      <c r="V95" s="226"/>
      <c r="W95" s="226"/>
      <c r="X95" s="226"/>
      <c r="Y95" s="226"/>
      <c r="Z95" s="226"/>
    </row>
    <row r="96" spans="1:75" ht="12" customHeight="1">
      <c r="A96" s="251"/>
      <c r="B96" s="299"/>
      <c r="C96" s="251"/>
      <c r="D96" s="299"/>
      <c r="E96" s="251"/>
      <c r="F96" s="299"/>
      <c r="G96" s="251"/>
      <c r="H96" s="243"/>
      <c r="I96" s="243"/>
      <c r="J96" s="245"/>
      <c r="K96" s="245"/>
      <c r="L96" s="303"/>
      <c r="M96" s="299"/>
      <c r="N96" s="251"/>
      <c r="O96" s="298"/>
      <c r="P96" s="251"/>
      <c r="Q96" s="299"/>
      <c r="R96" s="251"/>
      <c r="S96" s="300"/>
      <c r="T96" s="226"/>
      <c r="U96" s="226"/>
      <c r="V96" s="226"/>
      <c r="W96" s="226"/>
      <c r="X96" s="226"/>
      <c r="Y96" s="226"/>
      <c r="Z96" s="226"/>
    </row>
    <row r="97" spans="1:26" ht="12" customHeight="1">
      <c r="A97" s="251"/>
      <c r="B97" s="299"/>
      <c r="C97" s="251"/>
      <c r="D97" s="299"/>
      <c r="E97" s="251"/>
      <c r="F97" s="299"/>
      <c r="G97" s="251"/>
      <c r="H97" s="243"/>
      <c r="I97" s="243"/>
      <c r="J97" s="245"/>
      <c r="K97" s="245"/>
      <c r="L97" s="303"/>
      <c r="M97" s="299"/>
      <c r="N97" s="251"/>
      <c r="O97" s="298"/>
      <c r="P97" s="251"/>
      <c r="Q97" s="299"/>
      <c r="R97" s="251"/>
      <c r="S97" s="300"/>
      <c r="T97" s="226"/>
      <c r="U97" s="226"/>
      <c r="V97" s="226"/>
      <c r="W97" s="226"/>
      <c r="X97" s="226"/>
      <c r="Y97" s="226"/>
      <c r="Z97" s="226"/>
    </row>
    <row r="98" spans="1:26" ht="12" customHeight="1">
      <c r="A98" s="251"/>
      <c r="B98" s="299"/>
      <c r="C98" s="251"/>
      <c r="D98" s="299"/>
      <c r="E98" s="251"/>
      <c r="F98" s="299"/>
      <c r="G98" s="251"/>
      <c r="H98" s="243"/>
      <c r="I98" s="243"/>
      <c r="J98" s="245"/>
      <c r="K98" s="245"/>
      <c r="L98" s="303"/>
      <c r="M98" s="299"/>
      <c r="N98" s="251"/>
      <c r="O98" s="298"/>
      <c r="P98" s="251"/>
      <c r="Q98" s="299"/>
      <c r="R98" s="251"/>
      <c r="S98" s="300"/>
      <c r="T98" s="226"/>
      <c r="U98" s="226"/>
      <c r="V98" s="226"/>
      <c r="W98" s="226"/>
      <c r="X98" s="226"/>
      <c r="Y98" s="226"/>
      <c r="Z98" s="226"/>
    </row>
    <row r="99" spans="1:26" ht="12" customHeight="1">
      <c r="A99" s="251"/>
      <c r="B99" s="299"/>
      <c r="C99" s="251"/>
      <c r="D99" s="299"/>
      <c r="E99" s="251"/>
      <c r="F99" s="299"/>
      <c r="G99" s="251"/>
      <c r="H99" s="243"/>
      <c r="I99" s="243"/>
      <c r="J99" s="245"/>
      <c r="K99" s="245"/>
      <c r="L99" s="303"/>
      <c r="M99" s="299"/>
      <c r="N99" s="251"/>
      <c r="O99" s="298"/>
      <c r="P99" s="251"/>
      <c r="Q99" s="299"/>
      <c r="R99" s="251"/>
      <c r="S99" s="300"/>
      <c r="T99" s="226"/>
      <c r="U99" s="226"/>
      <c r="V99" s="226"/>
      <c r="W99" s="226"/>
      <c r="X99" s="226"/>
      <c r="Y99" s="226"/>
      <c r="Z99" s="226"/>
    </row>
    <row r="100" spans="1:26" ht="12" customHeight="1">
      <c r="A100" s="251"/>
      <c r="B100" s="299"/>
      <c r="C100" s="251"/>
      <c r="D100" s="299"/>
      <c r="E100" s="251"/>
      <c r="F100" s="299"/>
      <c r="G100" s="251"/>
      <c r="H100" s="243"/>
      <c r="I100" s="243"/>
      <c r="J100" s="245"/>
      <c r="K100" s="245"/>
      <c r="L100" s="303"/>
      <c r="M100" s="299"/>
      <c r="N100" s="251"/>
      <c r="O100" s="298"/>
      <c r="P100" s="251"/>
      <c r="Q100" s="299"/>
      <c r="R100" s="251"/>
      <c r="S100" s="300"/>
      <c r="T100" s="226"/>
      <c r="U100" s="226"/>
      <c r="V100" s="226"/>
      <c r="W100" s="226"/>
      <c r="X100" s="226"/>
      <c r="Y100" s="226"/>
      <c r="Z100" s="226"/>
    </row>
    <row r="101" spans="1:26" ht="12" customHeight="1">
      <c r="A101" s="251"/>
      <c r="B101" s="243"/>
      <c r="C101" s="251"/>
      <c r="D101" s="299"/>
      <c r="E101" s="251"/>
      <c r="F101" s="299"/>
      <c r="G101" s="251"/>
      <c r="H101" s="243"/>
      <c r="I101" s="243"/>
      <c r="J101" s="245"/>
      <c r="K101" s="245"/>
      <c r="L101" s="303"/>
      <c r="M101" s="299"/>
      <c r="N101" s="251"/>
      <c r="O101" s="298"/>
      <c r="P101" s="251"/>
      <c r="Q101" s="299"/>
      <c r="R101" s="251"/>
      <c r="S101" s="300"/>
      <c r="T101" s="226"/>
      <c r="U101" s="226"/>
      <c r="V101" s="226"/>
      <c r="W101" s="226"/>
      <c r="X101" s="226"/>
      <c r="Y101" s="226"/>
      <c r="Z101" s="226"/>
    </row>
    <row r="102" spans="1:26" ht="12" customHeight="1">
      <c r="A102" s="251"/>
      <c r="B102" s="243"/>
      <c r="C102" s="251"/>
      <c r="D102" s="299"/>
      <c r="E102" s="251"/>
      <c r="F102" s="299"/>
      <c r="G102" s="251"/>
      <c r="H102" s="243"/>
      <c r="I102" s="243"/>
      <c r="J102" s="245"/>
      <c r="K102" s="245"/>
      <c r="L102" s="303"/>
      <c r="M102" s="299"/>
      <c r="N102" s="251"/>
      <c r="O102" s="298"/>
      <c r="P102" s="251"/>
      <c r="Q102" s="299"/>
      <c r="R102" s="251"/>
      <c r="S102" s="300"/>
      <c r="T102" s="226"/>
      <c r="U102" s="226"/>
      <c r="V102" s="226"/>
      <c r="W102" s="226"/>
      <c r="X102" s="226"/>
      <c r="Y102" s="226"/>
      <c r="Z102" s="226"/>
    </row>
    <row r="103" spans="1:26" ht="12" customHeight="1">
      <c r="A103" s="251"/>
      <c r="B103" s="243"/>
      <c r="C103" s="251"/>
      <c r="D103" s="299"/>
      <c r="E103" s="251"/>
      <c r="F103" s="299"/>
      <c r="G103" s="251"/>
      <c r="H103" s="243"/>
      <c r="I103" s="243"/>
      <c r="J103" s="245"/>
      <c r="K103" s="245"/>
      <c r="L103" s="303"/>
      <c r="M103" s="299"/>
      <c r="N103" s="251"/>
      <c r="O103" s="298"/>
      <c r="P103" s="251"/>
      <c r="Q103" s="299"/>
      <c r="R103" s="251"/>
      <c r="S103" s="300"/>
      <c r="T103" s="226"/>
      <c r="U103" s="226"/>
      <c r="V103" s="226"/>
      <c r="W103" s="226"/>
      <c r="X103" s="226"/>
      <c r="Y103" s="226"/>
      <c r="Z103" s="226"/>
    </row>
    <row r="104" spans="1:26" ht="12" customHeight="1">
      <c r="A104" s="251"/>
      <c r="B104" s="243"/>
      <c r="C104" s="251"/>
      <c r="D104" s="299"/>
      <c r="E104" s="251"/>
      <c r="F104" s="299"/>
      <c r="G104" s="251"/>
      <c r="H104" s="243"/>
      <c r="I104" s="243"/>
      <c r="J104" s="245"/>
      <c r="K104" s="245"/>
      <c r="L104" s="303"/>
      <c r="M104" s="299"/>
      <c r="N104" s="251"/>
      <c r="O104" s="298"/>
      <c r="P104" s="251"/>
      <c r="Q104" s="299"/>
      <c r="R104" s="251"/>
      <c r="S104" s="300"/>
      <c r="T104" s="226"/>
      <c r="U104" s="226"/>
      <c r="V104" s="226"/>
      <c r="W104" s="226"/>
      <c r="X104" s="226"/>
      <c r="Y104" s="226"/>
      <c r="Z104" s="226"/>
    </row>
    <row r="105" spans="1:26" ht="12" customHeight="1">
      <c r="A105" s="251"/>
      <c r="B105" s="243"/>
      <c r="C105" s="251"/>
      <c r="D105" s="299"/>
      <c r="E105" s="251"/>
      <c r="F105" s="299"/>
      <c r="G105" s="251"/>
      <c r="H105" s="243"/>
      <c r="I105" s="243"/>
      <c r="J105" s="245"/>
      <c r="K105" s="245"/>
      <c r="L105" s="303"/>
      <c r="M105" s="299"/>
      <c r="N105" s="251"/>
      <c r="O105" s="298"/>
      <c r="P105" s="251"/>
      <c r="Q105" s="299"/>
      <c r="R105" s="251"/>
      <c r="S105" s="300"/>
      <c r="T105" s="226"/>
      <c r="U105" s="226"/>
      <c r="V105" s="226"/>
      <c r="W105" s="226"/>
      <c r="X105" s="226"/>
      <c r="Y105" s="226"/>
      <c r="Z105" s="226"/>
    </row>
    <row r="106" spans="1:26" ht="12" customHeight="1">
      <c r="A106" s="251"/>
      <c r="B106" s="243"/>
      <c r="C106" s="251"/>
      <c r="D106" s="299"/>
      <c r="E106" s="251"/>
      <c r="F106" s="299"/>
      <c r="G106" s="251"/>
      <c r="H106" s="243"/>
      <c r="I106" s="243"/>
      <c r="J106" s="245"/>
      <c r="K106" s="245"/>
      <c r="L106" s="303"/>
      <c r="M106" s="299"/>
      <c r="N106" s="251"/>
      <c r="O106" s="243"/>
      <c r="P106" s="251"/>
      <c r="Q106" s="243"/>
      <c r="R106" s="251"/>
      <c r="S106" s="300"/>
      <c r="T106" s="226"/>
      <c r="U106" s="226"/>
      <c r="V106" s="226"/>
      <c r="W106" s="226"/>
      <c r="X106" s="226"/>
      <c r="Y106" s="226"/>
      <c r="Z106" s="226"/>
    </row>
    <row r="107" spans="1:26" ht="12" customHeight="1">
      <c r="A107" s="251"/>
      <c r="B107" s="243"/>
      <c r="C107" s="251"/>
      <c r="D107" s="299"/>
      <c r="E107" s="251"/>
      <c r="F107" s="299"/>
      <c r="G107" s="251"/>
      <c r="H107" s="243"/>
      <c r="I107" s="243"/>
      <c r="J107" s="245"/>
      <c r="K107" s="245"/>
      <c r="L107" s="251"/>
      <c r="M107" s="299"/>
      <c r="N107" s="251"/>
      <c r="O107" s="243"/>
      <c r="P107" s="251"/>
      <c r="Q107" s="243"/>
      <c r="R107" s="251"/>
      <c r="S107" s="300"/>
      <c r="T107" s="226"/>
      <c r="U107" s="226"/>
      <c r="V107" s="226"/>
      <c r="W107" s="226"/>
      <c r="X107" s="226"/>
      <c r="Y107" s="226"/>
      <c r="Z107" s="226"/>
    </row>
    <row r="108" spans="1:26" ht="12" customHeight="1">
      <c r="A108" s="251"/>
      <c r="B108" s="243"/>
      <c r="C108" s="251"/>
      <c r="D108" s="299"/>
      <c r="E108" s="251"/>
      <c r="F108" s="299"/>
      <c r="G108" s="251"/>
      <c r="H108" s="243"/>
      <c r="I108" s="243"/>
      <c r="J108" s="245"/>
      <c r="K108" s="245"/>
      <c r="L108" s="251"/>
      <c r="M108" s="299"/>
      <c r="N108" s="251"/>
      <c r="O108" s="243"/>
      <c r="P108" s="251"/>
      <c r="Q108" s="243"/>
      <c r="R108" s="251"/>
      <c r="S108" s="300"/>
      <c r="T108" s="226"/>
      <c r="U108" s="226"/>
      <c r="V108" s="226"/>
      <c r="W108" s="226"/>
      <c r="X108" s="226"/>
      <c r="Y108" s="226"/>
      <c r="Z108" s="226"/>
    </row>
    <row r="109" spans="1:26" ht="12" customHeight="1">
      <c r="A109" s="251"/>
      <c r="B109" s="243"/>
      <c r="C109" s="251"/>
      <c r="D109" s="299"/>
      <c r="E109" s="251"/>
      <c r="F109" s="299"/>
      <c r="G109" s="251"/>
      <c r="H109" s="243"/>
      <c r="I109" s="243"/>
      <c r="J109" s="245"/>
      <c r="K109" s="245"/>
      <c r="L109" s="251"/>
      <c r="M109" s="299"/>
      <c r="N109" s="251"/>
      <c r="O109" s="243"/>
      <c r="P109" s="251"/>
      <c r="Q109" s="243"/>
      <c r="R109" s="251"/>
      <c r="S109" s="300"/>
      <c r="T109" s="226"/>
      <c r="U109" s="226"/>
      <c r="V109" s="226"/>
      <c r="W109" s="226"/>
      <c r="X109" s="226"/>
      <c r="Y109" s="226"/>
      <c r="Z109" s="226"/>
    </row>
    <row r="110" spans="1:26" ht="12" customHeight="1">
      <c r="A110" s="251"/>
      <c r="B110" s="243"/>
      <c r="C110" s="251"/>
      <c r="D110" s="299"/>
      <c r="E110" s="251"/>
      <c r="F110" s="299"/>
      <c r="G110" s="251"/>
      <c r="H110" s="243"/>
      <c r="I110" s="243"/>
      <c r="J110" s="245"/>
      <c r="K110" s="245"/>
      <c r="L110" s="251"/>
      <c r="M110" s="299"/>
      <c r="N110" s="251"/>
      <c r="O110" s="243"/>
      <c r="P110" s="251"/>
      <c r="Q110" s="243"/>
      <c r="R110" s="251"/>
      <c r="S110" s="300"/>
      <c r="T110" s="226"/>
      <c r="U110" s="226"/>
      <c r="V110" s="226"/>
      <c r="W110" s="226"/>
      <c r="X110" s="226"/>
      <c r="Y110" s="226"/>
      <c r="Z110" s="226"/>
    </row>
    <row r="111" spans="1:26" ht="12" customHeight="1">
      <c r="A111" s="251"/>
      <c r="B111" s="243"/>
      <c r="C111" s="251"/>
      <c r="D111" s="299"/>
      <c r="E111" s="251"/>
      <c r="F111" s="299"/>
      <c r="G111" s="251"/>
      <c r="H111" s="243"/>
      <c r="I111" s="243"/>
      <c r="J111" s="245"/>
      <c r="K111" s="245"/>
      <c r="L111" s="251"/>
      <c r="M111" s="299"/>
      <c r="N111" s="251"/>
      <c r="O111" s="243"/>
      <c r="P111" s="251"/>
      <c r="Q111" s="243"/>
      <c r="R111" s="251"/>
      <c r="S111" s="300"/>
      <c r="T111" s="226"/>
      <c r="U111" s="226"/>
      <c r="V111" s="226"/>
      <c r="W111" s="226"/>
      <c r="X111" s="226"/>
      <c r="Y111" s="226"/>
      <c r="Z111" s="226"/>
    </row>
    <row r="112" spans="1:26" ht="12" customHeight="1">
      <c r="A112" s="251"/>
      <c r="B112" s="243"/>
      <c r="C112" s="251"/>
      <c r="D112" s="299"/>
      <c r="E112" s="251"/>
      <c r="F112" s="299"/>
      <c r="G112" s="251"/>
      <c r="H112" s="243"/>
      <c r="I112" s="243"/>
      <c r="J112" s="245"/>
      <c r="K112" s="245"/>
      <c r="L112" s="251"/>
      <c r="M112" s="299"/>
      <c r="N112" s="251"/>
      <c r="O112" s="243"/>
      <c r="P112" s="251"/>
      <c r="Q112" s="243"/>
      <c r="R112" s="251"/>
      <c r="S112" s="300"/>
      <c r="T112" s="226"/>
      <c r="U112" s="226"/>
      <c r="V112" s="226"/>
      <c r="W112" s="226"/>
      <c r="X112" s="226"/>
      <c r="Y112" s="226"/>
      <c r="Z112" s="226"/>
    </row>
    <row r="113" spans="1:26" ht="12" customHeight="1">
      <c r="A113" s="251"/>
      <c r="B113" s="243"/>
      <c r="C113" s="251"/>
      <c r="D113" s="299"/>
      <c r="E113" s="251"/>
      <c r="F113" s="299"/>
      <c r="G113" s="251"/>
      <c r="H113" s="243"/>
      <c r="I113" s="243"/>
      <c r="J113" s="245"/>
      <c r="K113" s="245"/>
      <c r="L113" s="251"/>
      <c r="M113" s="299"/>
      <c r="N113" s="251"/>
      <c r="O113" s="243"/>
      <c r="P113" s="251"/>
      <c r="Q113" s="243"/>
      <c r="R113" s="251"/>
      <c r="S113" s="300"/>
      <c r="T113" s="226"/>
      <c r="U113" s="226"/>
      <c r="V113" s="226"/>
      <c r="W113" s="226"/>
      <c r="X113" s="226"/>
      <c r="Y113" s="226"/>
      <c r="Z113" s="226"/>
    </row>
    <row r="114" spans="1:26" ht="12" customHeight="1">
      <c r="A114" s="251"/>
      <c r="B114" s="243"/>
      <c r="C114" s="251"/>
      <c r="D114" s="299"/>
      <c r="E114" s="251"/>
      <c r="F114" s="299"/>
      <c r="G114" s="251"/>
      <c r="H114" s="243"/>
      <c r="I114" s="243"/>
      <c r="J114" s="245"/>
      <c r="K114" s="245"/>
      <c r="L114" s="251"/>
      <c r="M114" s="299"/>
      <c r="N114" s="251"/>
      <c r="O114" s="243"/>
      <c r="P114" s="251"/>
      <c r="Q114" s="243"/>
      <c r="R114" s="251"/>
      <c r="S114" s="300"/>
      <c r="T114" s="226"/>
      <c r="U114" s="226"/>
      <c r="V114" s="226"/>
      <c r="W114" s="226"/>
      <c r="X114" s="226"/>
      <c r="Y114" s="226"/>
      <c r="Z114" s="226"/>
    </row>
    <row r="115" spans="1:26" ht="12" customHeight="1">
      <c r="A115" s="251"/>
      <c r="B115" s="243"/>
      <c r="C115" s="251"/>
      <c r="D115" s="299"/>
      <c r="E115" s="251"/>
      <c r="F115" s="299"/>
      <c r="G115" s="251"/>
      <c r="H115" s="243"/>
      <c r="I115" s="243"/>
      <c r="J115" s="245"/>
      <c r="K115" s="245"/>
      <c r="L115" s="251"/>
      <c r="M115" s="299"/>
      <c r="N115" s="251"/>
      <c r="O115" s="243"/>
      <c r="P115" s="251"/>
      <c r="Q115" s="243"/>
      <c r="R115" s="251"/>
      <c r="S115" s="300"/>
      <c r="T115" s="226"/>
      <c r="U115" s="226"/>
      <c r="V115" s="226"/>
      <c r="W115" s="226"/>
      <c r="X115" s="226"/>
      <c r="Y115" s="226"/>
      <c r="Z115" s="226"/>
    </row>
    <row r="116" spans="1:26" ht="12" customHeight="1">
      <c r="A116" s="251"/>
      <c r="B116" s="243"/>
      <c r="C116" s="251"/>
      <c r="D116" s="299"/>
      <c r="E116" s="251"/>
      <c r="F116" s="299"/>
      <c r="G116" s="251"/>
      <c r="H116" s="243"/>
      <c r="I116" s="243"/>
      <c r="J116" s="245"/>
      <c r="K116" s="245"/>
      <c r="L116" s="251"/>
      <c r="M116" s="299"/>
      <c r="N116" s="251"/>
      <c r="O116" s="243"/>
      <c r="P116" s="251"/>
      <c r="Q116" s="243"/>
      <c r="R116" s="251"/>
      <c r="S116" s="300"/>
      <c r="T116" s="226"/>
      <c r="U116" s="226"/>
      <c r="V116" s="226"/>
      <c r="W116" s="226"/>
      <c r="X116" s="226"/>
      <c r="Y116" s="226"/>
      <c r="Z116" s="226"/>
    </row>
    <row r="117" spans="1:26" ht="12" customHeight="1">
      <c r="A117" s="251"/>
      <c r="B117" s="243"/>
      <c r="C117" s="251"/>
      <c r="D117" s="299"/>
      <c r="E117" s="251"/>
      <c r="F117" s="299"/>
      <c r="G117" s="251"/>
      <c r="H117" s="243"/>
      <c r="I117" s="243"/>
      <c r="J117" s="245"/>
      <c r="K117" s="245"/>
      <c r="L117" s="251"/>
      <c r="M117" s="299"/>
      <c r="N117" s="251"/>
      <c r="O117" s="243"/>
      <c r="P117" s="251"/>
      <c r="Q117" s="243"/>
      <c r="R117" s="251"/>
      <c r="S117" s="300"/>
      <c r="T117" s="226"/>
      <c r="U117" s="226"/>
      <c r="V117" s="226"/>
      <c r="W117" s="226"/>
      <c r="X117" s="226"/>
      <c r="Y117" s="226"/>
      <c r="Z117" s="226"/>
    </row>
    <row r="118" spans="1:26" ht="12" customHeight="1">
      <c r="A118" s="251"/>
      <c r="B118" s="243"/>
      <c r="C118" s="251"/>
      <c r="D118" s="299"/>
      <c r="E118" s="251"/>
      <c r="F118" s="299"/>
      <c r="G118" s="251"/>
      <c r="H118" s="243"/>
      <c r="I118" s="243"/>
      <c r="J118" s="245"/>
      <c r="K118" s="245"/>
      <c r="L118" s="251"/>
      <c r="M118" s="299"/>
      <c r="N118" s="251"/>
      <c r="O118" s="243"/>
      <c r="P118" s="251"/>
      <c r="Q118" s="243"/>
      <c r="R118" s="251"/>
      <c r="S118" s="300"/>
      <c r="T118" s="226"/>
      <c r="U118" s="226"/>
      <c r="V118" s="226"/>
      <c r="W118" s="226"/>
      <c r="X118" s="226"/>
      <c r="Y118" s="226"/>
      <c r="Z118" s="226"/>
    </row>
    <row r="119" spans="1:26" ht="12" customHeight="1">
      <c r="A119" s="251"/>
      <c r="B119" s="243"/>
      <c r="C119" s="251"/>
      <c r="D119" s="299"/>
      <c r="E119" s="251"/>
      <c r="F119" s="299"/>
      <c r="G119" s="251"/>
      <c r="H119" s="243"/>
      <c r="I119" s="243"/>
      <c r="J119" s="245"/>
      <c r="K119" s="245"/>
      <c r="L119" s="251"/>
      <c r="M119" s="299"/>
      <c r="N119" s="251"/>
      <c r="O119" s="243"/>
      <c r="P119" s="251"/>
      <c r="Q119" s="243"/>
      <c r="R119" s="251"/>
      <c r="S119" s="300"/>
      <c r="T119" s="226"/>
      <c r="U119" s="226"/>
      <c r="V119" s="226"/>
      <c r="W119" s="226"/>
      <c r="X119" s="226"/>
      <c r="Y119" s="226"/>
      <c r="Z119" s="226"/>
    </row>
    <row r="120" spans="1:26" ht="12" customHeight="1">
      <c r="A120" s="251"/>
      <c r="B120" s="243"/>
      <c r="C120" s="251"/>
      <c r="D120" s="299"/>
      <c r="E120" s="251"/>
      <c r="F120" s="299"/>
      <c r="G120" s="251"/>
      <c r="H120" s="243"/>
      <c r="I120" s="243"/>
      <c r="J120" s="245"/>
      <c r="K120" s="245"/>
      <c r="L120" s="251"/>
      <c r="M120" s="299"/>
      <c r="N120" s="251"/>
      <c r="O120" s="243"/>
      <c r="P120" s="251"/>
      <c r="Q120" s="243"/>
      <c r="R120" s="251"/>
      <c r="S120" s="300"/>
      <c r="T120" s="226"/>
      <c r="U120" s="226"/>
      <c r="V120" s="226"/>
      <c r="W120" s="226"/>
      <c r="X120" s="226"/>
      <c r="Y120" s="226"/>
      <c r="Z120" s="226"/>
    </row>
    <row r="121" spans="1:26" ht="12" customHeight="1">
      <c r="A121" s="251"/>
      <c r="B121" s="243"/>
      <c r="C121" s="251"/>
      <c r="D121" s="299"/>
      <c r="E121" s="251"/>
      <c r="F121" s="299"/>
      <c r="G121" s="251"/>
      <c r="H121" s="243"/>
      <c r="I121" s="243"/>
      <c r="J121" s="245"/>
      <c r="K121" s="245"/>
      <c r="L121" s="251"/>
      <c r="M121" s="299"/>
      <c r="N121" s="251"/>
      <c r="O121" s="243"/>
      <c r="P121" s="251"/>
      <c r="Q121" s="243"/>
      <c r="R121" s="251"/>
      <c r="S121" s="300"/>
      <c r="T121" s="226"/>
      <c r="U121" s="226"/>
      <c r="V121" s="226"/>
      <c r="W121" s="226"/>
      <c r="X121" s="226"/>
      <c r="Y121" s="226"/>
      <c r="Z121" s="226"/>
    </row>
    <row r="122" spans="1:26" ht="12" customHeight="1">
      <c r="A122" s="251"/>
      <c r="B122" s="243"/>
      <c r="C122" s="251"/>
      <c r="D122" s="299"/>
      <c r="E122" s="251"/>
      <c r="F122" s="299"/>
      <c r="G122" s="251"/>
      <c r="H122" s="243"/>
      <c r="I122" s="243"/>
      <c r="J122" s="245"/>
      <c r="K122" s="245"/>
      <c r="L122" s="251"/>
      <c r="M122" s="299"/>
      <c r="N122" s="251"/>
      <c r="O122" s="243"/>
      <c r="P122" s="251"/>
      <c r="Q122" s="243"/>
      <c r="R122" s="251"/>
      <c r="S122" s="300"/>
      <c r="T122" s="226"/>
      <c r="U122" s="226"/>
      <c r="V122" s="226"/>
      <c r="W122" s="226"/>
      <c r="X122" s="226"/>
      <c r="Y122" s="226"/>
      <c r="Z122" s="226"/>
    </row>
    <row r="123" spans="1:26" ht="12" customHeight="1">
      <c r="A123" s="251"/>
      <c r="B123" s="243"/>
      <c r="C123" s="251"/>
      <c r="D123" s="299"/>
      <c r="E123" s="251"/>
      <c r="F123" s="299"/>
      <c r="G123" s="251"/>
      <c r="H123" s="243"/>
      <c r="I123" s="243"/>
      <c r="J123" s="245"/>
      <c r="K123" s="245"/>
      <c r="L123" s="251"/>
      <c r="M123" s="299"/>
      <c r="N123" s="251"/>
      <c r="O123" s="243"/>
      <c r="P123" s="251"/>
      <c r="Q123" s="243"/>
      <c r="R123" s="251"/>
      <c r="S123" s="300"/>
      <c r="T123" s="226"/>
      <c r="U123" s="226"/>
      <c r="V123" s="226"/>
      <c r="W123" s="226"/>
      <c r="X123" s="226"/>
      <c r="Y123" s="226"/>
      <c r="Z123" s="226"/>
    </row>
    <row r="124" spans="1:26" ht="12" customHeight="1">
      <c r="A124" s="251"/>
      <c r="B124" s="243"/>
      <c r="C124" s="251"/>
      <c r="D124" s="299"/>
      <c r="E124" s="251"/>
      <c r="F124" s="299"/>
      <c r="G124" s="251"/>
      <c r="H124" s="243"/>
      <c r="I124" s="243"/>
      <c r="J124" s="245"/>
      <c r="K124" s="245"/>
      <c r="L124" s="251"/>
      <c r="M124" s="299"/>
      <c r="N124" s="251"/>
      <c r="O124" s="243"/>
      <c r="P124" s="251"/>
      <c r="Q124" s="243"/>
      <c r="R124" s="251"/>
      <c r="S124" s="300"/>
      <c r="T124" s="226"/>
      <c r="U124" s="226"/>
      <c r="V124" s="226"/>
      <c r="W124" s="226"/>
      <c r="X124" s="226"/>
      <c r="Y124" s="226"/>
      <c r="Z124" s="226"/>
    </row>
    <row r="125" spans="1:26" ht="12" customHeight="1">
      <c r="A125" s="251"/>
      <c r="B125" s="243"/>
      <c r="C125" s="251"/>
      <c r="D125" s="299"/>
      <c r="E125" s="251"/>
      <c r="F125" s="299"/>
      <c r="G125" s="251"/>
      <c r="H125" s="243"/>
      <c r="I125" s="243"/>
      <c r="J125" s="245"/>
      <c r="K125" s="245"/>
      <c r="L125" s="251"/>
      <c r="M125" s="299"/>
      <c r="N125" s="251"/>
      <c r="O125" s="243"/>
      <c r="P125" s="251"/>
      <c r="Q125" s="243"/>
      <c r="R125" s="251"/>
      <c r="S125" s="300"/>
      <c r="T125" s="226"/>
      <c r="U125" s="226"/>
      <c r="V125" s="226"/>
      <c r="W125" s="226"/>
      <c r="X125" s="226"/>
      <c r="Y125" s="226"/>
      <c r="Z125" s="226"/>
    </row>
    <row r="126" spans="1:26" ht="12" customHeight="1">
      <c r="A126" s="304"/>
      <c r="B126" s="305"/>
      <c r="C126" s="304"/>
      <c r="D126" s="306"/>
      <c r="E126" s="304"/>
      <c r="F126" s="306"/>
      <c r="G126" s="304"/>
      <c r="H126" s="305"/>
      <c r="I126" s="305"/>
      <c r="J126" s="226"/>
      <c r="K126" s="226"/>
      <c r="L126" s="304"/>
      <c r="M126" s="306"/>
      <c r="N126" s="304"/>
      <c r="O126" s="305"/>
      <c r="P126" s="304"/>
      <c r="Q126" s="305"/>
      <c r="R126" s="304"/>
      <c r="S126" s="307"/>
      <c r="T126" s="226"/>
      <c r="U126" s="226"/>
      <c r="V126" s="226"/>
      <c r="W126" s="226"/>
      <c r="X126" s="226"/>
      <c r="Y126" s="226"/>
      <c r="Z126" s="226"/>
    </row>
    <row r="127" spans="1:26" ht="12" customHeight="1">
      <c r="A127" s="304"/>
      <c r="B127" s="305"/>
      <c r="C127" s="304"/>
      <c r="D127" s="306"/>
      <c r="E127" s="304"/>
      <c r="F127" s="306"/>
      <c r="G127" s="304"/>
      <c r="H127" s="305"/>
      <c r="I127" s="305"/>
      <c r="J127" s="226"/>
      <c r="K127" s="226"/>
      <c r="L127" s="304"/>
      <c r="M127" s="306"/>
      <c r="N127" s="304"/>
      <c r="O127" s="305"/>
      <c r="P127" s="304"/>
      <c r="Q127" s="305"/>
      <c r="R127" s="304"/>
      <c r="S127" s="307"/>
      <c r="T127" s="226"/>
      <c r="U127" s="226"/>
      <c r="V127" s="226"/>
      <c r="W127" s="226"/>
      <c r="X127" s="226"/>
      <c r="Y127" s="226"/>
      <c r="Z127" s="226"/>
    </row>
    <row r="128" spans="1:26" ht="12" customHeight="1">
      <c r="A128" s="304"/>
      <c r="B128" s="305"/>
      <c r="C128" s="304"/>
      <c r="D128" s="306"/>
      <c r="E128" s="304"/>
      <c r="F128" s="306"/>
      <c r="G128" s="304"/>
      <c r="H128" s="305"/>
      <c r="I128" s="305"/>
      <c r="J128" s="226"/>
      <c r="K128" s="226"/>
      <c r="L128" s="304"/>
      <c r="M128" s="306"/>
      <c r="N128" s="304"/>
      <c r="O128" s="305"/>
      <c r="P128" s="304"/>
      <c r="Q128" s="305"/>
      <c r="R128" s="304"/>
      <c r="S128" s="307"/>
      <c r="T128" s="226"/>
      <c r="U128" s="226"/>
      <c r="V128" s="226"/>
      <c r="W128" s="226"/>
      <c r="X128" s="226"/>
      <c r="Y128" s="226"/>
      <c r="Z128" s="226"/>
    </row>
    <row r="129" spans="1:26" ht="12" customHeight="1">
      <c r="A129" s="304"/>
      <c r="B129" s="305"/>
      <c r="C129" s="304"/>
      <c r="D129" s="306"/>
      <c r="E129" s="304"/>
      <c r="F129" s="306"/>
      <c r="G129" s="304"/>
      <c r="H129" s="305"/>
      <c r="I129" s="305"/>
      <c r="J129" s="226"/>
      <c r="K129" s="226"/>
      <c r="L129" s="304"/>
      <c r="M129" s="306"/>
      <c r="N129" s="304"/>
      <c r="O129" s="305"/>
      <c r="P129" s="304"/>
      <c r="Q129" s="305"/>
      <c r="R129" s="304"/>
      <c r="S129" s="307"/>
      <c r="T129" s="226"/>
      <c r="U129" s="226"/>
      <c r="V129" s="226"/>
      <c r="W129" s="226"/>
      <c r="X129" s="226"/>
      <c r="Y129" s="226"/>
      <c r="Z129" s="226"/>
    </row>
    <row r="130" spans="1:26" ht="12" customHeight="1">
      <c r="A130" s="304"/>
      <c r="B130" s="305"/>
      <c r="C130" s="304"/>
      <c r="D130" s="306"/>
      <c r="E130" s="304"/>
      <c r="F130" s="306"/>
      <c r="G130" s="304"/>
      <c r="H130" s="305"/>
      <c r="I130" s="305"/>
      <c r="J130" s="226"/>
      <c r="K130" s="226"/>
      <c r="L130" s="304"/>
      <c r="M130" s="306"/>
      <c r="N130" s="304"/>
      <c r="O130" s="305"/>
      <c r="P130" s="304"/>
      <c r="Q130" s="305"/>
      <c r="R130" s="304"/>
      <c r="S130" s="307"/>
      <c r="T130" s="226"/>
      <c r="U130" s="226"/>
      <c r="V130" s="226"/>
      <c r="W130" s="226"/>
      <c r="X130" s="226"/>
      <c r="Y130" s="226"/>
      <c r="Z130" s="226"/>
    </row>
    <row r="131" spans="1:26" ht="12" customHeight="1">
      <c r="A131" s="304"/>
      <c r="B131" s="305"/>
      <c r="C131" s="304"/>
      <c r="D131" s="306"/>
      <c r="E131" s="304"/>
      <c r="F131" s="306"/>
      <c r="G131" s="304"/>
      <c r="H131" s="305"/>
      <c r="I131" s="305"/>
      <c r="J131" s="226"/>
      <c r="K131" s="226"/>
      <c r="L131" s="304"/>
      <c r="M131" s="306"/>
      <c r="N131" s="304"/>
      <c r="O131" s="305"/>
      <c r="P131" s="304"/>
      <c r="Q131" s="305"/>
      <c r="R131" s="304"/>
      <c r="S131" s="307"/>
      <c r="T131" s="226"/>
      <c r="U131" s="226"/>
      <c r="V131" s="226"/>
      <c r="W131" s="226"/>
      <c r="X131" s="226"/>
      <c r="Y131" s="226"/>
      <c r="Z131" s="226"/>
    </row>
    <row r="132" spans="1:26" ht="12" customHeight="1">
      <c r="A132" s="304"/>
      <c r="B132" s="305"/>
      <c r="C132" s="304"/>
      <c r="D132" s="306"/>
      <c r="E132" s="304"/>
      <c r="F132" s="306"/>
      <c r="G132" s="304"/>
      <c r="H132" s="305"/>
      <c r="I132" s="305"/>
      <c r="J132" s="226"/>
      <c r="K132" s="226"/>
      <c r="L132" s="304"/>
      <c r="M132" s="306"/>
      <c r="N132" s="304"/>
      <c r="O132" s="305"/>
      <c r="P132" s="304"/>
      <c r="Q132" s="305"/>
      <c r="R132" s="304"/>
      <c r="S132" s="307"/>
      <c r="T132" s="226"/>
      <c r="U132" s="226"/>
      <c r="V132" s="226"/>
      <c r="W132" s="226"/>
      <c r="X132" s="226"/>
      <c r="Y132" s="226"/>
      <c r="Z132" s="226"/>
    </row>
    <row r="133" spans="1:26" ht="12" customHeight="1">
      <c r="A133" s="304"/>
      <c r="B133" s="305"/>
      <c r="C133" s="304"/>
      <c r="D133" s="306"/>
      <c r="E133" s="304"/>
      <c r="F133" s="306"/>
      <c r="G133" s="304"/>
      <c r="H133" s="305"/>
      <c r="I133" s="305"/>
      <c r="J133" s="226"/>
      <c r="K133" s="226"/>
      <c r="L133" s="304"/>
      <c r="M133" s="306"/>
      <c r="N133" s="304"/>
      <c r="O133" s="305"/>
      <c r="P133" s="304"/>
      <c r="Q133" s="305"/>
      <c r="R133" s="304"/>
      <c r="S133" s="307"/>
      <c r="T133" s="226"/>
      <c r="U133" s="226"/>
      <c r="V133" s="226"/>
      <c r="W133" s="226"/>
      <c r="X133" s="226"/>
      <c r="Y133" s="226"/>
      <c r="Z133" s="226"/>
    </row>
    <row r="134" spans="1:26" ht="12" customHeight="1">
      <c r="A134" s="304"/>
      <c r="B134" s="305"/>
      <c r="C134" s="304"/>
      <c r="D134" s="306"/>
      <c r="E134" s="304"/>
      <c r="F134" s="306"/>
      <c r="G134" s="304"/>
      <c r="H134" s="305"/>
      <c r="I134" s="305"/>
      <c r="J134" s="226"/>
      <c r="K134" s="226"/>
      <c r="L134" s="304"/>
      <c r="M134" s="306"/>
      <c r="N134" s="304"/>
      <c r="O134" s="305"/>
      <c r="P134" s="304"/>
      <c r="Q134" s="305"/>
      <c r="R134" s="304"/>
      <c r="S134" s="307"/>
      <c r="T134" s="226"/>
      <c r="U134" s="226"/>
      <c r="V134" s="226"/>
      <c r="W134" s="226"/>
      <c r="X134" s="226"/>
      <c r="Y134" s="226"/>
      <c r="Z134" s="226"/>
    </row>
    <row r="135" spans="1:26" ht="12" customHeight="1">
      <c r="A135" s="304"/>
      <c r="B135" s="305"/>
      <c r="C135" s="304"/>
      <c r="D135" s="306"/>
      <c r="E135" s="304"/>
      <c r="F135" s="306"/>
      <c r="G135" s="304"/>
      <c r="H135" s="305"/>
      <c r="I135" s="305"/>
      <c r="J135" s="226"/>
      <c r="K135" s="226"/>
      <c r="L135" s="304"/>
      <c r="M135" s="306"/>
      <c r="N135" s="304"/>
      <c r="O135" s="305"/>
      <c r="P135" s="304"/>
      <c r="Q135" s="305"/>
      <c r="R135" s="304"/>
      <c r="S135" s="307"/>
      <c r="T135" s="226"/>
      <c r="U135" s="226"/>
      <c r="V135" s="226"/>
      <c r="W135" s="226"/>
      <c r="X135" s="226"/>
      <c r="Y135" s="226"/>
      <c r="Z135" s="226"/>
    </row>
    <row r="136" spans="1:26" ht="12" customHeight="1">
      <c r="A136" s="304"/>
      <c r="B136" s="305"/>
      <c r="C136" s="304"/>
      <c r="D136" s="306"/>
      <c r="E136" s="304"/>
      <c r="F136" s="306"/>
      <c r="G136" s="304"/>
      <c r="H136" s="305"/>
      <c r="I136" s="305"/>
      <c r="J136" s="226"/>
      <c r="K136" s="226"/>
      <c r="L136" s="304"/>
      <c r="M136" s="306"/>
      <c r="N136" s="304"/>
      <c r="O136" s="305"/>
      <c r="P136" s="304"/>
      <c r="Q136" s="305"/>
      <c r="R136" s="304"/>
      <c r="S136" s="307"/>
      <c r="T136" s="226"/>
      <c r="U136" s="226"/>
      <c r="V136" s="226"/>
      <c r="W136" s="226"/>
      <c r="X136" s="226"/>
      <c r="Y136" s="226"/>
      <c r="Z136" s="226"/>
    </row>
    <row r="137" spans="1:26" ht="12" customHeight="1">
      <c r="A137" s="304"/>
      <c r="B137" s="305"/>
      <c r="C137" s="304"/>
      <c r="D137" s="306"/>
      <c r="E137" s="304"/>
      <c r="F137" s="306"/>
      <c r="G137" s="304"/>
      <c r="H137" s="305"/>
      <c r="I137" s="305"/>
      <c r="J137" s="226"/>
      <c r="K137" s="226"/>
      <c r="L137" s="304"/>
      <c r="M137" s="306"/>
      <c r="N137" s="304"/>
      <c r="O137" s="305"/>
      <c r="P137" s="304"/>
      <c r="Q137" s="305"/>
      <c r="R137" s="304"/>
      <c r="S137" s="307"/>
      <c r="T137" s="226"/>
      <c r="U137" s="226"/>
      <c r="V137" s="226"/>
      <c r="W137" s="226"/>
      <c r="X137" s="226"/>
      <c r="Y137" s="226"/>
      <c r="Z137" s="226"/>
    </row>
    <row r="138" spans="1:26" ht="12" customHeight="1">
      <c r="A138" s="304"/>
      <c r="B138" s="305"/>
      <c r="C138" s="304"/>
      <c r="D138" s="306"/>
      <c r="E138" s="304"/>
      <c r="F138" s="306"/>
      <c r="G138" s="304"/>
      <c r="H138" s="305"/>
      <c r="I138" s="305"/>
      <c r="J138" s="226"/>
      <c r="K138" s="226"/>
      <c r="L138" s="304"/>
      <c r="M138" s="306"/>
      <c r="N138" s="304"/>
      <c r="O138" s="305"/>
      <c r="P138" s="304"/>
      <c r="Q138" s="305"/>
      <c r="R138" s="304"/>
      <c r="S138" s="307"/>
      <c r="T138" s="226"/>
      <c r="U138" s="226"/>
      <c r="V138" s="226"/>
      <c r="W138" s="226"/>
      <c r="X138" s="226"/>
      <c r="Y138" s="226"/>
      <c r="Z138" s="226"/>
    </row>
    <row r="139" spans="1:26" ht="12" customHeight="1">
      <c r="A139" s="304"/>
      <c r="B139" s="305"/>
      <c r="C139" s="304"/>
      <c r="D139" s="306"/>
      <c r="E139" s="304"/>
      <c r="F139" s="306"/>
      <c r="G139" s="304"/>
      <c r="H139" s="305"/>
      <c r="I139" s="305"/>
      <c r="J139" s="226"/>
      <c r="K139" s="226"/>
      <c r="L139" s="304"/>
      <c r="M139" s="306"/>
      <c r="N139" s="304"/>
      <c r="O139" s="305"/>
      <c r="P139" s="304"/>
      <c r="Q139" s="305"/>
      <c r="R139" s="304"/>
      <c r="S139" s="307"/>
      <c r="T139" s="226"/>
      <c r="U139" s="226"/>
      <c r="V139" s="226"/>
      <c r="W139" s="226"/>
      <c r="X139" s="226"/>
      <c r="Y139" s="226"/>
      <c r="Z139" s="226"/>
    </row>
    <row r="140" spans="1:26" ht="12" customHeight="1">
      <c r="A140" s="304"/>
      <c r="B140" s="305"/>
      <c r="C140" s="304"/>
      <c r="D140" s="306"/>
      <c r="E140" s="304"/>
      <c r="F140" s="306"/>
      <c r="G140" s="304"/>
      <c r="H140" s="305"/>
      <c r="I140" s="305"/>
      <c r="J140" s="226"/>
      <c r="K140" s="226"/>
      <c r="L140" s="304"/>
      <c r="M140" s="306"/>
      <c r="N140" s="304"/>
      <c r="O140" s="305"/>
      <c r="P140" s="304"/>
      <c r="Q140" s="305"/>
      <c r="R140" s="304"/>
      <c r="S140" s="307"/>
      <c r="T140" s="226"/>
      <c r="U140" s="226"/>
      <c r="V140" s="226"/>
      <c r="W140" s="226"/>
      <c r="X140" s="226"/>
      <c r="Y140" s="226"/>
      <c r="Z140" s="226"/>
    </row>
    <row r="141" spans="1:26" ht="12" customHeight="1">
      <c r="A141" s="304"/>
      <c r="B141" s="305"/>
      <c r="C141" s="304"/>
      <c r="D141" s="306"/>
      <c r="E141" s="304"/>
      <c r="F141" s="306"/>
      <c r="G141" s="304"/>
      <c r="H141" s="305"/>
      <c r="I141" s="305"/>
      <c r="J141" s="226"/>
      <c r="K141" s="226"/>
      <c r="L141" s="304"/>
      <c r="M141" s="306"/>
      <c r="N141" s="304"/>
      <c r="O141" s="305"/>
      <c r="P141" s="304"/>
      <c r="Q141" s="305"/>
      <c r="R141" s="304"/>
      <c r="S141" s="307"/>
      <c r="T141" s="226"/>
      <c r="U141" s="226"/>
      <c r="V141" s="226"/>
      <c r="W141" s="226"/>
      <c r="X141" s="226"/>
      <c r="Y141" s="226"/>
      <c r="Z141" s="226"/>
    </row>
    <row r="142" spans="1:26" ht="12" customHeight="1">
      <c r="A142" s="304"/>
      <c r="B142" s="305"/>
      <c r="C142" s="304"/>
      <c r="D142" s="306"/>
      <c r="E142" s="304"/>
      <c r="F142" s="306"/>
      <c r="G142" s="304"/>
      <c r="H142" s="305"/>
      <c r="I142" s="305"/>
      <c r="J142" s="226"/>
      <c r="K142" s="226"/>
      <c r="L142" s="304"/>
      <c r="M142" s="306"/>
      <c r="N142" s="304"/>
      <c r="O142" s="305"/>
      <c r="P142" s="304"/>
      <c r="Q142" s="305"/>
      <c r="R142" s="304"/>
      <c r="S142" s="307"/>
      <c r="T142" s="226"/>
      <c r="U142" s="226"/>
      <c r="V142" s="226"/>
      <c r="W142" s="226"/>
      <c r="X142" s="226"/>
      <c r="Y142" s="226"/>
      <c r="Z142" s="226"/>
    </row>
    <row r="143" spans="1:26" ht="12" customHeight="1">
      <c r="A143" s="304"/>
      <c r="B143" s="305"/>
      <c r="C143" s="304"/>
      <c r="D143" s="306"/>
      <c r="E143" s="304"/>
      <c r="F143" s="306"/>
      <c r="G143" s="304"/>
      <c r="H143" s="305"/>
      <c r="I143" s="305"/>
      <c r="J143" s="226"/>
      <c r="K143" s="226"/>
      <c r="L143" s="304"/>
      <c r="M143" s="306"/>
      <c r="N143" s="304"/>
      <c r="O143" s="305"/>
      <c r="P143" s="304"/>
      <c r="Q143" s="305"/>
      <c r="R143" s="304"/>
      <c r="S143" s="307"/>
      <c r="T143" s="226"/>
      <c r="U143" s="226"/>
      <c r="V143" s="226"/>
      <c r="W143" s="226"/>
      <c r="X143" s="226"/>
      <c r="Y143" s="226"/>
      <c r="Z143" s="226"/>
    </row>
    <row r="144" spans="1:26" ht="12" customHeight="1">
      <c r="A144" s="304"/>
      <c r="B144" s="305"/>
      <c r="C144" s="304"/>
      <c r="D144" s="306"/>
      <c r="E144" s="304"/>
      <c r="F144" s="306"/>
      <c r="G144" s="304"/>
      <c r="H144" s="305"/>
      <c r="I144" s="305"/>
      <c r="J144" s="226"/>
      <c r="K144" s="226"/>
      <c r="L144" s="304"/>
      <c r="M144" s="306"/>
      <c r="N144" s="304"/>
      <c r="O144" s="305"/>
      <c r="P144" s="304"/>
      <c r="Q144" s="305"/>
      <c r="R144" s="304"/>
      <c r="S144" s="307"/>
      <c r="T144" s="226"/>
      <c r="U144" s="226"/>
      <c r="V144" s="226"/>
      <c r="W144" s="226"/>
      <c r="X144" s="226"/>
      <c r="Y144" s="226"/>
      <c r="Z144" s="226"/>
    </row>
    <row r="145" spans="1:26" ht="12" customHeight="1">
      <c r="A145" s="304"/>
      <c r="B145" s="305"/>
      <c r="C145" s="304"/>
      <c r="D145" s="306"/>
      <c r="E145" s="304"/>
      <c r="F145" s="306"/>
      <c r="G145" s="304"/>
      <c r="H145" s="305"/>
      <c r="I145" s="305"/>
      <c r="J145" s="226"/>
      <c r="K145" s="226"/>
      <c r="L145" s="304"/>
      <c r="M145" s="306"/>
      <c r="N145" s="304"/>
      <c r="O145" s="305"/>
      <c r="P145" s="304"/>
      <c r="Q145" s="305"/>
      <c r="R145" s="304"/>
      <c r="S145" s="307"/>
      <c r="T145" s="226"/>
      <c r="U145" s="226"/>
      <c r="V145" s="226"/>
      <c r="W145" s="226"/>
      <c r="X145" s="226"/>
      <c r="Y145" s="226"/>
      <c r="Z145" s="226"/>
    </row>
    <row r="146" spans="1:26" ht="12" customHeight="1">
      <c r="A146" s="304"/>
      <c r="B146" s="305"/>
      <c r="C146" s="304"/>
      <c r="D146" s="306"/>
      <c r="E146" s="304"/>
      <c r="F146" s="306"/>
      <c r="G146" s="304"/>
      <c r="H146" s="305"/>
      <c r="I146" s="305"/>
      <c r="J146" s="226"/>
      <c r="K146" s="226"/>
      <c r="L146" s="304"/>
      <c r="M146" s="306"/>
      <c r="N146" s="304"/>
      <c r="O146" s="305"/>
      <c r="P146" s="304"/>
      <c r="Q146" s="305"/>
      <c r="R146" s="304"/>
      <c r="S146" s="307"/>
      <c r="T146" s="226"/>
      <c r="U146" s="226"/>
      <c r="V146" s="226"/>
      <c r="W146" s="226"/>
      <c r="X146" s="226"/>
      <c r="Y146" s="226"/>
      <c r="Z146" s="226"/>
    </row>
    <row r="147" spans="1:26" ht="12" customHeight="1">
      <c r="A147" s="304"/>
      <c r="B147" s="305"/>
      <c r="C147" s="304"/>
      <c r="D147" s="306"/>
      <c r="E147" s="304"/>
      <c r="F147" s="306"/>
      <c r="G147" s="304"/>
      <c r="H147" s="305"/>
      <c r="I147" s="305"/>
      <c r="J147" s="226"/>
      <c r="K147" s="226"/>
      <c r="L147" s="304"/>
      <c r="M147" s="306"/>
      <c r="N147" s="304"/>
      <c r="O147" s="305"/>
      <c r="P147" s="304"/>
      <c r="Q147" s="305"/>
      <c r="R147" s="304"/>
      <c r="S147" s="307"/>
      <c r="T147" s="226"/>
      <c r="U147" s="226"/>
      <c r="V147" s="226"/>
      <c r="W147" s="226"/>
      <c r="X147" s="226"/>
      <c r="Y147" s="226"/>
      <c r="Z147" s="226"/>
    </row>
    <row r="148" spans="1:26" ht="12" customHeight="1">
      <c r="A148" s="304"/>
      <c r="B148" s="305"/>
      <c r="C148" s="304"/>
      <c r="D148" s="306"/>
      <c r="E148" s="304"/>
      <c r="F148" s="306"/>
      <c r="G148" s="304"/>
      <c r="H148" s="305"/>
      <c r="I148" s="305"/>
      <c r="J148" s="226"/>
      <c r="K148" s="226"/>
      <c r="L148" s="304"/>
      <c r="M148" s="306"/>
      <c r="N148" s="304"/>
      <c r="O148" s="305"/>
      <c r="P148" s="304"/>
      <c r="Q148" s="305"/>
      <c r="R148" s="304"/>
      <c r="S148" s="307"/>
      <c r="T148" s="226"/>
      <c r="U148" s="226"/>
      <c r="V148" s="226"/>
      <c r="W148" s="226"/>
      <c r="X148" s="226"/>
      <c r="Y148" s="226"/>
      <c r="Z148" s="226"/>
    </row>
    <row r="149" spans="1:26" ht="12" customHeight="1">
      <c r="A149" s="304"/>
      <c r="B149" s="305"/>
      <c r="C149" s="304"/>
      <c r="D149" s="306"/>
      <c r="E149" s="304"/>
      <c r="F149" s="306"/>
      <c r="G149" s="304"/>
      <c r="H149" s="305"/>
      <c r="I149" s="305"/>
      <c r="J149" s="226"/>
      <c r="K149" s="226"/>
      <c r="L149" s="304"/>
      <c r="M149" s="306"/>
      <c r="N149" s="304"/>
      <c r="O149" s="305"/>
      <c r="P149" s="304"/>
      <c r="Q149" s="305"/>
      <c r="R149" s="304"/>
      <c r="S149" s="307"/>
      <c r="T149" s="226"/>
      <c r="U149" s="226"/>
      <c r="V149" s="226"/>
      <c r="W149" s="226"/>
      <c r="X149" s="226"/>
      <c r="Y149" s="226"/>
      <c r="Z149" s="226"/>
    </row>
    <row r="150" spans="1:26" ht="12" customHeight="1">
      <c r="A150" s="304"/>
      <c r="B150" s="305"/>
      <c r="C150" s="304"/>
      <c r="D150" s="306"/>
      <c r="E150" s="304"/>
      <c r="F150" s="306"/>
      <c r="G150" s="304"/>
      <c r="H150" s="305"/>
      <c r="I150" s="305"/>
      <c r="J150" s="226"/>
      <c r="K150" s="226"/>
      <c r="L150" s="304"/>
      <c r="M150" s="306"/>
      <c r="N150" s="304"/>
      <c r="O150" s="305"/>
      <c r="P150" s="304"/>
      <c r="Q150" s="305"/>
      <c r="R150" s="304"/>
      <c r="S150" s="307"/>
      <c r="T150" s="226"/>
      <c r="U150" s="226"/>
      <c r="V150" s="226"/>
      <c r="W150" s="226"/>
      <c r="X150" s="226"/>
      <c r="Y150" s="226"/>
      <c r="Z150" s="226"/>
    </row>
    <row r="151" spans="1:26" ht="12" customHeight="1">
      <c r="A151" s="304"/>
      <c r="B151" s="305"/>
      <c r="C151" s="304"/>
      <c r="D151" s="306"/>
      <c r="E151" s="304"/>
      <c r="F151" s="306"/>
      <c r="G151" s="304"/>
      <c r="H151" s="305"/>
      <c r="I151" s="305"/>
      <c r="J151" s="226"/>
      <c r="K151" s="226"/>
      <c r="L151" s="304"/>
      <c r="M151" s="306"/>
      <c r="N151" s="304"/>
      <c r="O151" s="305"/>
      <c r="P151" s="304"/>
      <c r="Q151" s="305"/>
      <c r="R151" s="304"/>
      <c r="S151" s="307"/>
      <c r="T151" s="226"/>
      <c r="U151" s="226"/>
      <c r="V151" s="226"/>
      <c r="W151" s="226"/>
      <c r="X151" s="226"/>
      <c r="Y151" s="226"/>
      <c r="Z151" s="226"/>
    </row>
    <row r="152" spans="1:26" ht="12" customHeight="1">
      <c r="A152" s="304"/>
      <c r="B152" s="305"/>
      <c r="C152" s="304"/>
      <c r="D152" s="306"/>
      <c r="E152" s="304"/>
      <c r="F152" s="306"/>
      <c r="G152" s="304"/>
      <c r="H152" s="305"/>
      <c r="I152" s="305"/>
      <c r="J152" s="226"/>
      <c r="K152" s="226"/>
      <c r="L152" s="304"/>
      <c r="M152" s="306"/>
      <c r="N152" s="304"/>
      <c r="O152" s="305"/>
      <c r="P152" s="304"/>
      <c r="Q152" s="305"/>
      <c r="R152" s="304"/>
      <c r="S152" s="307"/>
      <c r="T152" s="226"/>
      <c r="U152" s="226"/>
      <c r="V152" s="226"/>
      <c r="W152" s="226"/>
      <c r="X152" s="226"/>
      <c r="Y152" s="226"/>
      <c r="Z152" s="226"/>
    </row>
    <row r="153" spans="1:26" ht="12" customHeight="1">
      <c r="A153" s="304"/>
      <c r="B153" s="305"/>
      <c r="C153" s="304"/>
      <c r="D153" s="306"/>
      <c r="E153" s="304"/>
      <c r="F153" s="306"/>
      <c r="G153" s="304"/>
      <c r="H153" s="305"/>
      <c r="I153" s="305"/>
      <c r="J153" s="226"/>
      <c r="K153" s="226"/>
      <c r="L153" s="304"/>
      <c r="M153" s="306"/>
      <c r="N153" s="304"/>
      <c r="O153" s="305"/>
      <c r="P153" s="304"/>
      <c r="Q153" s="305"/>
      <c r="R153" s="304"/>
      <c r="S153" s="307"/>
      <c r="T153" s="226"/>
      <c r="U153" s="226"/>
      <c r="V153" s="226"/>
      <c r="W153" s="226"/>
      <c r="X153" s="226"/>
      <c r="Y153" s="226"/>
      <c r="Z153" s="226"/>
    </row>
    <row r="154" spans="1:26" ht="12" customHeight="1">
      <c r="A154" s="304"/>
      <c r="B154" s="305"/>
      <c r="C154" s="304"/>
      <c r="D154" s="306"/>
      <c r="E154" s="304"/>
      <c r="F154" s="306"/>
      <c r="G154" s="304"/>
      <c r="H154" s="305"/>
      <c r="I154" s="305"/>
      <c r="J154" s="226"/>
      <c r="K154" s="226"/>
      <c r="L154" s="304"/>
      <c r="M154" s="305"/>
      <c r="N154" s="304"/>
      <c r="O154" s="305"/>
      <c r="P154" s="304"/>
      <c r="Q154" s="305"/>
      <c r="R154" s="304"/>
      <c r="S154" s="307"/>
      <c r="T154" s="226"/>
      <c r="U154" s="226"/>
      <c r="V154" s="226"/>
      <c r="W154" s="226"/>
      <c r="X154" s="226"/>
      <c r="Y154" s="226"/>
      <c r="Z154" s="226"/>
    </row>
    <row r="155" spans="1:26" ht="12" customHeight="1">
      <c r="A155" s="304"/>
      <c r="B155" s="305"/>
      <c r="C155" s="304"/>
      <c r="D155" s="306"/>
      <c r="E155" s="304"/>
      <c r="F155" s="306"/>
      <c r="G155" s="304"/>
      <c r="H155" s="305"/>
      <c r="I155" s="305"/>
      <c r="J155" s="226"/>
      <c r="K155" s="226"/>
      <c r="L155" s="304"/>
      <c r="M155" s="305"/>
      <c r="N155" s="304"/>
      <c r="O155" s="305"/>
      <c r="P155" s="304"/>
      <c r="Q155" s="305"/>
      <c r="R155" s="304"/>
      <c r="S155" s="307"/>
      <c r="T155" s="226"/>
      <c r="U155" s="226"/>
      <c r="V155" s="226"/>
      <c r="W155" s="226"/>
      <c r="X155" s="226"/>
      <c r="Y155" s="226"/>
      <c r="Z155" s="226"/>
    </row>
    <row r="156" spans="1:26" ht="12" customHeight="1">
      <c r="A156" s="304"/>
      <c r="B156" s="305"/>
      <c r="C156" s="304"/>
      <c r="D156" s="306"/>
      <c r="E156" s="304"/>
      <c r="F156" s="306"/>
      <c r="G156" s="304"/>
      <c r="H156" s="305"/>
      <c r="I156" s="305"/>
      <c r="J156" s="226"/>
      <c r="K156" s="226"/>
      <c r="L156" s="304"/>
      <c r="M156" s="305"/>
      <c r="N156" s="304"/>
      <c r="O156" s="305"/>
      <c r="P156" s="304"/>
      <c r="Q156" s="305"/>
      <c r="R156" s="304"/>
      <c r="S156" s="307"/>
      <c r="T156" s="226"/>
      <c r="U156" s="226"/>
      <c r="V156" s="226"/>
      <c r="W156" s="226"/>
      <c r="X156" s="226"/>
      <c r="Y156" s="226"/>
      <c r="Z156" s="226"/>
    </row>
    <row r="157" spans="1:26" ht="12" customHeight="1">
      <c r="A157" s="304"/>
      <c r="B157" s="305"/>
      <c r="C157" s="304"/>
      <c r="D157" s="306"/>
      <c r="E157" s="304"/>
      <c r="F157" s="306"/>
      <c r="G157" s="304"/>
      <c r="H157" s="305"/>
      <c r="I157" s="305"/>
      <c r="J157" s="226"/>
      <c r="K157" s="226"/>
      <c r="L157" s="304"/>
      <c r="M157" s="305"/>
      <c r="N157" s="304"/>
      <c r="O157" s="305"/>
      <c r="P157" s="304"/>
      <c r="Q157" s="305"/>
      <c r="R157" s="304"/>
      <c r="S157" s="307"/>
      <c r="T157" s="226"/>
      <c r="U157" s="226"/>
      <c r="V157" s="226"/>
      <c r="W157" s="226"/>
      <c r="X157" s="226"/>
      <c r="Y157" s="226"/>
      <c r="Z157" s="226"/>
    </row>
    <row r="158" spans="1:26" ht="12" customHeight="1">
      <c r="A158" s="304"/>
      <c r="B158" s="305"/>
      <c r="C158" s="304"/>
      <c r="D158" s="306"/>
      <c r="E158" s="304"/>
      <c r="F158" s="306"/>
      <c r="G158" s="304"/>
      <c r="H158" s="305"/>
      <c r="I158" s="305"/>
      <c r="J158" s="226"/>
      <c r="K158" s="226"/>
      <c r="L158" s="304"/>
      <c r="M158" s="305"/>
      <c r="N158" s="304"/>
      <c r="O158" s="305"/>
      <c r="P158" s="304"/>
      <c r="Q158" s="305"/>
      <c r="R158" s="304"/>
      <c r="S158" s="307"/>
      <c r="T158" s="226"/>
      <c r="U158" s="226"/>
      <c r="V158" s="226"/>
      <c r="W158" s="226"/>
      <c r="X158" s="226"/>
      <c r="Y158" s="226"/>
      <c r="Z158" s="226"/>
    </row>
    <row r="159" spans="1:26" ht="12" customHeight="1">
      <c r="A159" s="304"/>
      <c r="B159" s="305"/>
      <c r="C159" s="304"/>
      <c r="D159" s="306"/>
      <c r="E159" s="304"/>
      <c r="F159" s="306"/>
      <c r="G159" s="304"/>
      <c r="H159" s="305"/>
      <c r="I159" s="305"/>
      <c r="J159" s="226"/>
      <c r="K159" s="226"/>
      <c r="L159" s="304"/>
      <c r="M159" s="305"/>
      <c r="N159" s="304"/>
      <c r="O159" s="305"/>
      <c r="P159" s="304"/>
      <c r="Q159" s="305"/>
      <c r="R159" s="304"/>
      <c r="S159" s="307"/>
      <c r="T159" s="226"/>
      <c r="U159" s="226"/>
      <c r="V159" s="226"/>
      <c r="W159" s="226"/>
      <c r="X159" s="226"/>
      <c r="Y159" s="226"/>
      <c r="Z159" s="226"/>
    </row>
    <row r="160" spans="1:26" ht="12" customHeight="1">
      <c r="A160" s="304"/>
      <c r="B160" s="305"/>
      <c r="C160" s="304"/>
      <c r="D160" s="306"/>
      <c r="E160" s="304"/>
      <c r="F160" s="306"/>
      <c r="G160" s="304"/>
      <c r="H160" s="305"/>
      <c r="I160" s="305"/>
      <c r="J160" s="226"/>
      <c r="K160" s="226"/>
      <c r="L160" s="304"/>
      <c r="M160" s="305"/>
      <c r="N160" s="304"/>
      <c r="O160" s="305"/>
      <c r="P160" s="304"/>
      <c r="Q160" s="305"/>
      <c r="R160" s="304"/>
      <c r="S160" s="307"/>
      <c r="T160" s="226"/>
      <c r="U160" s="226"/>
      <c r="V160" s="226"/>
      <c r="W160" s="226"/>
      <c r="X160" s="226"/>
      <c r="Y160" s="226"/>
      <c r="Z160" s="226"/>
    </row>
    <row r="161" spans="1:26" ht="12" customHeight="1">
      <c r="A161" s="304"/>
      <c r="B161" s="305"/>
      <c r="C161" s="304"/>
      <c r="D161" s="306"/>
      <c r="E161" s="304"/>
      <c r="F161" s="306"/>
      <c r="G161" s="304"/>
      <c r="H161" s="305"/>
      <c r="I161" s="305"/>
      <c r="J161" s="226"/>
      <c r="K161" s="226"/>
      <c r="L161" s="304"/>
      <c r="M161" s="305"/>
      <c r="N161" s="304"/>
      <c r="O161" s="305"/>
      <c r="P161" s="304"/>
      <c r="Q161" s="305"/>
      <c r="R161" s="304"/>
      <c r="S161" s="307"/>
      <c r="T161" s="226"/>
      <c r="U161" s="226"/>
      <c r="V161" s="226"/>
      <c r="W161" s="226"/>
      <c r="X161" s="226"/>
      <c r="Y161" s="226"/>
      <c r="Z161" s="226"/>
    </row>
    <row r="162" spans="1:26" ht="12" customHeight="1">
      <c r="A162" s="304"/>
      <c r="B162" s="305"/>
      <c r="C162" s="304"/>
      <c r="D162" s="306"/>
      <c r="E162" s="304"/>
      <c r="F162" s="306"/>
      <c r="G162" s="304"/>
      <c r="H162" s="305"/>
      <c r="I162" s="305"/>
      <c r="J162" s="226"/>
      <c r="K162" s="226"/>
      <c r="L162" s="304"/>
      <c r="M162" s="305"/>
      <c r="N162" s="304"/>
      <c r="O162" s="305"/>
      <c r="P162" s="304"/>
      <c r="Q162" s="305"/>
      <c r="R162" s="304"/>
      <c r="S162" s="307"/>
      <c r="T162" s="226"/>
      <c r="U162" s="226"/>
      <c r="V162" s="226"/>
      <c r="W162" s="226"/>
      <c r="X162" s="226"/>
      <c r="Y162" s="226"/>
      <c r="Z162" s="226"/>
    </row>
    <row r="163" spans="1:26" ht="12" customHeight="1">
      <c r="A163" s="304"/>
      <c r="B163" s="305"/>
      <c r="C163" s="304"/>
      <c r="D163" s="306"/>
      <c r="E163" s="304"/>
      <c r="F163" s="306"/>
      <c r="G163" s="304"/>
      <c r="H163" s="305"/>
      <c r="I163" s="305"/>
      <c r="J163" s="226"/>
      <c r="K163" s="226"/>
      <c r="L163" s="304"/>
      <c r="M163" s="305"/>
      <c r="N163" s="304"/>
      <c r="O163" s="305"/>
      <c r="P163" s="304"/>
      <c r="Q163" s="305"/>
      <c r="R163" s="304"/>
      <c r="S163" s="307"/>
      <c r="T163" s="226"/>
      <c r="U163" s="226"/>
      <c r="V163" s="226"/>
      <c r="W163" s="226"/>
      <c r="X163" s="226"/>
      <c r="Y163" s="226"/>
      <c r="Z163" s="226"/>
    </row>
    <row r="164" spans="1:26" ht="12" customHeight="1">
      <c r="A164" s="304"/>
      <c r="B164" s="305"/>
      <c r="C164" s="304"/>
      <c r="D164" s="306"/>
      <c r="E164" s="304"/>
      <c r="F164" s="306"/>
      <c r="G164" s="304"/>
      <c r="H164" s="305"/>
      <c r="I164" s="305"/>
      <c r="J164" s="226"/>
      <c r="K164" s="226"/>
      <c r="L164" s="304"/>
      <c r="M164" s="305"/>
      <c r="N164" s="304"/>
      <c r="O164" s="305"/>
      <c r="P164" s="304"/>
      <c r="Q164" s="305"/>
      <c r="R164" s="304"/>
      <c r="S164" s="307"/>
      <c r="T164" s="226"/>
      <c r="U164" s="226"/>
      <c r="V164" s="226"/>
      <c r="W164" s="226"/>
      <c r="X164" s="226"/>
      <c r="Y164" s="226"/>
      <c r="Z164" s="226"/>
    </row>
    <row r="165" spans="1:26" ht="12" customHeight="1">
      <c r="A165" s="304"/>
      <c r="B165" s="305"/>
      <c r="C165" s="304"/>
      <c r="D165" s="306"/>
      <c r="E165" s="304"/>
      <c r="F165" s="306"/>
      <c r="G165" s="304"/>
      <c r="H165" s="305"/>
      <c r="I165" s="305"/>
      <c r="J165" s="226"/>
      <c r="K165" s="226"/>
      <c r="L165" s="304"/>
      <c r="M165" s="305"/>
      <c r="N165" s="304"/>
      <c r="O165" s="305"/>
      <c r="P165" s="304"/>
      <c r="Q165" s="305"/>
      <c r="R165" s="304"/>
      <c r="S165" s="307"/>
      <c r="T165" s="226"/>
      <c r="U165" s="226"/>
      <c r="V165" s="226"/>
      <c r="W165" s="226"/>
      <c r="X165" s="226"/>
      <c r="Y165" s="226"/>
      <c r="Z165" s="226"/>
    </row>
    <row r="166" spans="1:26" ht="12" customHeight="1">
      <c r="A166" s="304"/>
      <c r="B166" s="305"/>
      <c r="C166" s="304"/>
      <c r="D166" s="306"/>
      <c r="E166" s="304"/>
      <c r="F166" s="306"/>
      <c r="G166" s="304"/>
      <c r="H166" s="305"/>
      <c r="I166" s="305"/>
      <c r="J166" s="226"/>
      <c r="K166" s="226"/>
      <c r="L166" s="304"/>
      <c r="M166" s="305"/>
      <c r="N166" s="304"/>
      <c r="O166" s="305"/>
      <c r="P166" s="304"/>
      <c r="Q166" s="305"/>
      <c r="R166" s="304"/>
      <c r="S166" s="307"/>
      <c r="T166" s="226"/>
      <c r="U166" s="226"/>
      <c r="V166" s="226"/>
      <c r="W166" s="226"/>
      <c r="X166" s="226"/>
      <c r="Y166" s="226"/>
      <c r="Z166" s="226"/>
    </row>
    <row r="167" spans="1:26" ht="12" customHeight="1">
      <c r="A167" s="304"/>
      <c r="B167" s="305"/>
      <c r="C167" s="304"/>
      <c r="D167" s="306"/>
      <c r="E167" s="304"/>
      <c r="F167" s="306"/>
      <c r="G167" s="304"/>
      <c r="H167" s="305"/>
      <c r="I167" s="305"/>
      <c r="J167" s="226"/>
      <c r="K167" s="226"/>
      <c r="L167" s="304"/>
      <c r="M167" s="305"/>
      <c r="N167" s="304"/>
      <c r="O167" s="305"/>
      <c r="P167" s="304"/>
      <c r="Q167" s="305"/>
      <c r="R167" s="304"/>
      <c r="S167" s="307"/>
      <c r="T167" s="226"/>
      <c r="U167" s="226"/>
      <c r="V167" s="226"/>
      <c r="W167" s="226"/>
      <c r="X167" s="226"/>
      <c r="Y167" s="226"/>
      <c r="Z167" s="226"/>
    </row>
    <row r="168" spans="1:26" ht="12" customHeight="1">
      <c r="A168" s="304"/>
      <c r="B168" s="305"/>
      <c r="C168" s="304"/>
      <c r="D168" s="306"/>
      <c r="E168" s="304"/>
      <c r="F168" s="306"/>
      <c r="G168" s="304"/>
      <c r="H168" s="305"/>
      <c r="I168" s="305"/>
      <c r="J168" s="226"/>
      <c r="K168" s="226"/>
      <c r="L168" s="304"/>
      <c r="M168" s="305"/>
      <c r="N168" s="304"/>
      <c r="O168" s="305"/>
      <c r="P168" s="304"/>
      <c r="Q168" s="305"/>
      <c r="R168" s="304"/>
      <c r="S168" s="307"/>
      <c r="T168" s="226"/>
      <c r="U168" s="226"/>
      <c r="V168" s="226"/>
      <c r="W168" s="226"/>
      <c r="X168" s="226"/>
      <c r="Y168" s="226"/>
      <c r="Z168" s="226"/>
    </row>
    <row r="169" spans="1:26" ht="12" customHeight="1">
      <c r="A169" s="304"/>
      <c r="B169" s="305"/>
      <c r="C169" s="304"/>
      <c r="D169" s="306"/>
      <c r="E169" s="304"/>
      <c r="F169" s="306"/>
      <c r="G169" s="304"/>
      <c r="H169" s="305"/>
      <c r="I169" s="305"/>
      <c r="J169" s="226"/>
      <c r="K169" s="226"/>
      <c r="L169" s="304"/>
      <c r="M169" s="305"/>
      <c r="N169" s="304"/>
      <c r="O169" s="305"/>
      <c r="P169" s="304"/>
      <c r="Q169" s="305"/>
      <c r="R169" s="304"/>
      <c r="S169" s="307"/>
      <c r="T169" s="226"/>
      <c r="U169" s="226"/>
      <c r="V169" s="226"/>
      <c r="W169" s="226"/>
      <c r="X169" s="226"/>
      <c r="Y169" s="226"/>
      <c r="Z169" s="226"/>
    </row>
    <row r="170" spans="1:26" ht="12" customHeight="1">
      <c r="A170" s="304"/>
      <c r="B170" s="305"/>
      <c r="C170" s="304"/>
      <c r="D170" s="306"/>
      <c r="E170" s="304"/>
      <c r="F170" s="306"/>
      <c r="G170" s="304"/>
      <c r="H170" s="305"/>
      <c r="I170" s="305"/>
      <c r="J170" s="226"/>
      <c r="K170" s="226"/>
      <c r="L170" s="304"/>
      <c r="M170" s="305"/>
      <c r="N170" s="304"/>
      <c r="O170" s="305"/>
      <c r="P170" s="304"/>
      <c r="Q170" s="305"/>
      <c r="R170" s="304"/>
      <c r="S170" s="307"/>
      <c r="T170" s="226"/>
      <c r="U170" s="226"/>
      <c r="V170" s="226"/>
      <c r="W170" s="226"/>
      <c r="X170" s="226"/>
      <c r="Y170" s="226"/>
      <c r="Z170" s="226"/>
    </row>
    <row r="171" spans="1:26" ht="12" customHeight="1">
      <c r="A171" s="304"/>
      <c r="B171" s="305"/>
      <c r="C171" s="304"/>
      <c r="D171" s="306"/>
      <c r="E171" s="304"/>
      <c r="F171" s="306"/>
      <c r="G171" s="304"/>
      <c r="H171" s="305"/>
      <c r="I171" s="305"/>
      <c r="J171" s="226"/>
      <c r="K171" s="226"/>
      <c r="L171" s="304"/>
      <c r="M171" s="305"/>
      <c r="N171" s="304"/>
      <c r="O171" s="305"/>
      <c r="P171" s="304"/>
      <c r="Q171" s="305"/>
      <c r="R171" s="304"/>
      <c r="S171" s="307"/>
      <c r="T171" s="226"/>
      <c r="U171" s="226"/>
      <c r="V171" s="226"/>
      <c r="W171" s="226"/>
      <c r="X171" s="226"/>
      <c r="Y171" s="226"/>
      <c r="Z171" s="226"/>
    </row>
    <row r="172" spans="1:26" ht="12" customHeight="1">
      <c r="A172" s="304"/>
      <c r="B172" s="305"/>
      <c r="C172" s="304"/>
      <c r="D172" s="306"/>
      <c r="E172" s="304"/>
      <c r="F172" s="306"/>
      <c r="G172" s="304"/>
      <c r="H172" s="305"/>
      <c r="I172" s="305"/>
      <c r="J172" s="226"/>
      <c r="K172" s="226"/>
      <c r="L172" s="304"/>
      <c r="M172" s="305"/>
      <c r="N172" s="304"/>
      <c r="O172" s="305"/>
      <c r="P172" s="304"/>
      <c r="Q172" s="305"/>
      <c r="R172" s="304"/>
      <c r="S172" s="307"/>
      <c r="T172" s="226"/>
      <c r="U172" s="226"/>
      <c r="V172" s="226"/>
      <c r="W172" s="226"/>
      <c r="X172" s="226"/>
      <c r="Y172" s="226"/>
      <c r="Z172" s="226"/>
    </row>
    <row r="173" spans="1:26" ht="12" customHeight="1">
      <c r="A173" s="304"/>
      <c r="B173" s="305"/>
      <c r="C173" s="304"/>
      <c r="D173" s="306"/>
      <c r="E173" s="304"/>
      <c r="F173" s="306"/>
      <c r="G173" s="304"/>
      <c r="H173" s="305"/>
      <c r="I173" s="305"/>
      <c r="J173" s="226"/>
      <c r="K173" s="226"/>
      <c r="L173" s="304"/>
      <c r="M173" s="305"/>
      <c r="N173" s="304"/>
      <c r="O173" s="305"/>
      <c r="P173" s="304"/>
      <c r="Q173" s="305"/>
      <c r="R173" s="304"/>
      <c r="S173" s="307"/>
      <c r="T173" s="226"/>
      <c r="U173" s="226"/>
      <c r="V173" s="226"/>
      <c r="W173" s="226"/>
      <c r="X173" s="226"/>
      <c r="Y173" s="226"/>
      <c r="Z173" s="226"/>
    </row>
    <row r="174" spans="1:26" ht="12" customHeight="1">
      <c r="A174" s="304"/>
      <c r="B174" s="305"/>
      <c r="C174" s="304"/>
      <c r="D174" s="306"/>
      <c r="E174" s="304"/>
      <c r="F174" s="306"/>
      <c r="G174" s="304"/>
      <c r="H174" s="305"/>
      <c r="I174" s="305"/>
      <c r="J174" s="226"/>
      <c r="K174" s="226"/>
      <c r="L174" s="304"/>
      <c r="M174" s="305"/>
      <c r="N174" s="304"/>
      <c r="O174" s="305"/>
      <c r="P174" s="304"/>
      <c r="Q174" s="305"/>
      <c r="R174" s="304"/>
      <c r="S174" s="307"/>
      <c r="T174" s="226"/>
      <c r="U174" s="226"/>
      <c r="V174" s="226"/>
      <c r="W174" s="226"/>
      <c r="X174" s="226"/>
      <c r="Y174" s="226"/>
      <c r="Z174" s="226"/>
    </row>
    <row r="175" spans="1:26" ht="12" customHeight="1">
      <c r="A175" s="304"/>
      <c r="B175" s="305"/>
      <c r="C175" s="304"/>
      <c r="D175" s="306"/>
      <c r="E175" s="304"/>
      <c r="F175" s="306"/>
      <c r="G175" s="304"/>
      <c r="H175" s="305"/>
      <c r="I175" s="305"/>
      <c r="J175" s="226"/>
      <c r="K175" s="226"/>
      <c r="L175" s="304"/>
      <c r="M175" s="305"/>
      <c r="N175" s="304"/>
      <c r="O175" s="305"/>
      <c r="P175" s="304"/>
      <c r="Q175" s="305"/>
      <c r="R175" s="304"/>
      <c r="S175" s="307"/>
      <c r="T175" s="226"/>
      <c r="U175" s="226"/>
      <c r="V175" s="226"/>
      <c r="W175" s="226"/>
      <c r="X175" s="226"/>
      <c r="Y175" s="226"/>
      <c r="Z175" s="226"/>
    </row>
    <row r="176" spans="1:26" ht="12" customHeight="1">
      <c r="A176" s="304"/>
      <c r="B176" s="305"/>
      <c r="C176" s="304"/>
      <c r="D176" s="306"/>
      <c r="E176" s="304"/>
      <c r="F176" s="306"/>
      <c r="G176" s="304"/>
      <c r="H176" s="305"/>
      <c r="I176" s="305"/>
      <c r="J176" s="226"/>
      <c r="K176" s="226"/>
      <c r="L176" s="304"/>
      <c r="M176" s="305"/>
      <c r="N176" s="304"/>
      <c r="O176" s="305"/>
      <c r="P176" s="304"/>
      <c r="Q176" s="305"/>
      <c r="R176" s="304"/>
      <c r="S176" s="307"/>
      <c r="T176" s="226"/>
      <c r="U176" s="226"/>
      <c r="V176" s="226"/>
      <c r="W176" s="226"/>
      <c r="X176" s="226"/>
      <c r="Y176" s="226"/>
      <c r="Z176" s="226"/>
    </row>
    <row r="177" spans="1:26" ht="12" customHeight="1">
      <c r="A177" s="304"/>
      <c r="B177" s="305"/>
      <c r="C177" s="304"/>
      <c r="D177" s="306"/>
      <c r="E177" s="304"/>
      <c r="F177" s="306"/>
      <c r="G177" s="304"/>
      <c r="H177" s="305"/>
      <c r="I177" s="305"/>
      <c r="J177" s="226"/>
      <c r="K177" s="226"/>
      <c r="L177" s="304"/>
      <c r="M177" s="305"/>
      <c r="N177" s="304"/>
      <c r="O177" s="305"/>
      <c r="P177" s="304"/>
      <c r="Q177" s="305"/>
      <c r="R177" s="304"/>
      <c r="S177" s="307"/>
      <c r="T177" s="226"/>
      <c r="U177" s="226"/>
      <c r="V177" s="226"/>
      <c r="W177" s="226"/>
      <c r="X177" s="226"/>
      <c r="Y177" s="226"/>
      <c r="Z177" s="226"/>
    </row>
    <row r="178" spans="1:26" ht="12" customHeight="1">
      <c r="A178" s="304"/>
      <c r="B178" s="305"/>
      <c r="C178" s="304"/>
      <c r="D178" s="306"/>
      <c r="E178" s="304"/>
      <c r="F178" s="306"/>
      <c r="G178" s="304"/>
      <c r="H178" s="305"/>
      <c r="I178" s="305"/>
      <c r="J178" s="226"/>
      <c r="K178" s="226"/>
      <c r="L178" s="304"/>
      <c r="M178" s="305"/>
      <c r="N178" s="304"/>
      <c r="O178" s="305"/>
      <c r="P178" s="304"/>
      <c r="Q178" s="305"/>
      <c r="R178" s="304"/>
      <c r="S178" s="307"/>
      <c r="T178" s="226"/>
      <c r="U178" s="226"/>
      <c r="V178" s="226"/>
      <c r="W178" s="226"/>
      <c r="X178" s="226"/>
      <c r="Y178" s="226"/>
      <c r="Z178" s="226"/>
    </row>
    <row r="179" spans="1:26" ht="12" customHeight="1">
      <c r="A179" s="304"/>
      <c r="B179" s="305"/>
      <c r="C179" s="304"/>
      <c r="D179" s="306"/>
      <c r="E179" s="304"/>
      <c r="F179" s="306"/>
      <c r="G179" s="304"/>
      <c r="H179" s="305"/>
      <c r="I179" s="305"/>
      <c r="J179" s="226"/>
      <c r="K179" s="226"/>
      <c r="L179" s="304"/>
      <c r="M179" s="305"/>
      <c r="N179" s="304"/>
      <c r="O179" s="305"/>
      <c r="P179" s="304"/>
      <c r="Q179" s="305"/>
      <c r="R179" s="304"/>
      <c r="S179" s="307"/>
      <c r="T179" s="226"/>
      <c r="U179" s="226"/>
      <c r="V179" s="226"/>
      <c r="W179" s="226"/>
      <c r="X179" s="226"/>
      <c r="Y179" s="226"/>
      <c r="Z179" s="226"/>
    </row>
    <row r="180" spans="1:26" ht="12" customHeight="1">
      <c r="A180" s="304"/>
      <c r="B180" s="305"/>
      <c r="C180" s="304"/>
      <c r="D180" s="306"/>
      <c r="E180" s="304"/>
      <c r="F180" s="306"/>
      <c r="G180" s="304"/>
      <c r="H180" s="305"/>
      <c r="I180" s="305"/>
      <c r="J180" s="226"/>
      <c r="K180" s="226"/>
      <c r="L180" s="304"/>
      <c r="M180" s="305"/>
      <c r="N180" s="304"/>
      <c r="O180" s="305"/>
      <c r="P180" s="304"/>
      <c r="Q180" s="305"/>
      <c r="R180" s="304"/>
      <c r="S180" s="307"/>
      <c r="T180" s="226"/>
      <c r="U180" s="226"/>
      <c r="V180" s="226"/>
      <c r="W180" s="226"/>
      <c r="X180" s="226"/>
      <c r="Y180" s="226"/>
      <c r="Z180" s="226"/>
    </row>
    <row r="181" spans="1:26" ht="12" customHeight="1">
      <c r="A181" s="304"/>
      <c r="B181" s="305"/>
      <c r="C181" s="304"/>
      <c r="D181" s="306"/>
      <c r="E181" s="304"/>
      <c r="F181" s="306"/>
      <c r="G181" s="304"/>
      <c r="H181" s="305"/>
      <c r="I181" s="305"/>
      <c r="J181" s="226"/>
      <c r="K181" s="226"/>
      <c r="L181" s="304"/>
      <c r="M181" s="305"/>
      <c r="N181" s="304"/>
      <c r="O181" s="305"/>
      <c r="P181" s="304"/>
      <c r="Q181" s="305"/>
      <c r="R181" s="304"/>
      <c r="S181" s="307"/>
      <c r="T181" s="226"/>
      <c r="U181" s="226"/>
      <c r="V181" s="226"/>
      <c r="W181" s="226"/>
      <c r="X181" s="226"/>
      <c r="Y181" s="226"/>
      <c r="Z181" s="226"/>
    </row>
    <row r="182" spans="1:26" ht="12" customHeight="1">
      <c r="A182" s="304"/>
      <c r="B182" s="305"/>
      <c r="C182" s="304"/>
      <c r="D182" s="306"/>
      <c r="E182" s="304"/>
      <c r="F182" s="306"/>
      <c r="G182" s="304"/>
      <c r="H182" s="305"/>
      <c r="I182" s="305"/>
      <c r="J182" s="226"/>
      <c r="K182" s="226"/>
      <c r="L182" s="304"/>
      <c r="M182" s="305"/>
      <c r="N182" s="304"/>
      <c r="O182" s="305"/>
      <c r="P182" s="304"/>
      <c r="Q182" s="305"/>
      <c r="R182" s="304"/>
      <c r="S182" s="307"/>
      <c r="T182" s="226"/>
      <c r="U182" s="226"/>
      <c r="V182" s="226"/>
      <c r="W182" s="226"/>
      <c r="X182" s="226"/>
      <c r="Y182" s="226"/>
      <c r="Z182" s="226"/>
    </row>
    <row r="183" spans="1:26" ht="12" customHeight="1">
      <c r="A183" s="304"/>
      <c r="B183" s="305"/>
      <c r="C183" s="304"/>
      <c r="D183" s="306"/>
      <c r="E183" s="304"/>
      <c r="F183" s="306"/>
      <c r="G183" s="304"/>
      <c r="H183" s="305"/>
      <c r="I183" s="305"/>
      <c r="J183" s="226"/>
      <c r="K183" s="226"/>
      <c r="L183" s="304"/>
      <c r="M183" s="305"/>
      <c r="N183" s="304"/>
      <c r="O183" s="305"/>
      <c r="P183" s="304"/>
      <c r="Q183" s="305"/>
      <c r="R183" s="304"/>
      <c r="S183" s="307"/>
      <c r="T183" s="226"/>
      <c r="U183" s="226"/>
      <c r="V183" s="226"/>
      <c r="W183" s="226"/>
      <c r="X183" s="226"/>
      <c r="Y183" s="226"/>
      <c r="Z183" s="226"/>
    </row>
    <row r="184" spans="1:26" ht="12" customHeight="1">
      <c r="A184" s="304"/>
      <c r="B184" s="305"/>
      <c r="C184" s="304"/>
      <c r="D184" s="306"/>
      <c r="E184" s="304"/>
      <c r="F184" s="306"/>
      <c r="G184" s="304"/>
      <c r="H184" s="305"/>
      <c r="I184" s="305"/>
      <c r="J184" s="226"/>
      <c r="K184" s="226"/>
      <c r="L184" s="304"/>
      <c r="M184" s="305"/>
      <c r="N184" s="304"/>
      <c r="O184" s="305"/>
      <c r="P184" s="304"/>
      <c r="Q184" s="305"/>
      <c r="R184" s="304"/>
      <c r="S184" s="307"/>
      <c r="T184" s="226"/>
      <c r="U184" s="226"/>
      <c r="V184" s="226"/>
      <c r="W184" s="226"/>
      <c r="X184" s="226"/>
      <c r="Y184" s="226"/>
      <c r="Z184" s="226"/>
    </row>
    <row r="185" spans="1:26" ht="12" customHeight="1">
      <c r="A185" s="304"/>
      <c r="B185" s="305"/>
      <c r="C185" s="304"/>
      <c r="D185" s="306"/>
      <c r="E185" s="304"/>
      <c r="F185" s="306"/>
      <c r="G185" s="304"/>
      <c r="H185" s="305"/>
      <c r="I185" s="305"/>
      <c r="J185" s="226"/>
      <c r="K185" s="226"/>
      <c r="L185" s="304"/>
      <c r="M185" s="305"/>
      <c r="N185" s="304"/>
      <c r="O185" s="305"/>
      <c r="P185" s="304"/>
      <c r="Q185" s="305"/>
      <c r="R185" s="304"/>
      <c r="S185" s="307"/>
      <c r="T185" s="226"/>
      <c r="U185" s="226"/>
      <c r="V185" s="226"/>
      <c r="W185" s="226"/>
      <c r="X185" s="226"/>
      <c r="Y185" s="226"/>
      <c r="Z185" s="226"/>
    </row>
    <row r="186" spans="1:26" ht="12" customHeight="1">
      <c r="A186" s="304"/>
      <c r="B186" s="305"/>
      <c r="C186" s="304"/>
      <c r="D186" s="306"/>
      <c r="E186" s="304"/>
      <c r="F186" s="306"/>
      <c r="G186" s="304"/>
      <c r="H186" s="305"/>
      <c r="I186" s="305"/>
      <c r="J186" s="226"/>
      <c r="K186" s="226"/>
      <c r="L186" s="304"/>
      <c r="M186" s="305"/>
      <c r="N186" s="304"/>
      <c r="O186" s="305"/>
      <c r="P186" s="304"/>
      <c r="Q186" s="305"/>
      <c r="R186" s="304"/>
      <c r="S186" s="307"/>
      <c r="T186" s="226"/>
      <c r="U186" s="226"/>
      <c r="V186" s="226"/>
      <c r="W186" s="226"/>
      <c r="X186" s="226"/>
      <c r="Y186" s="226"/>
      <c r="Z186" s="226"/>
    </row>
    <row r="187" spans="1:26" ht="12" customHeight="1">
      <c r="A187" s="304"/>
      <c r="B187" s="305"/>
      <c r="C187" s="304"/>
      <c r="D187" s="306"/>
      <c r="E187" s="304"/>
      <c r="F187" s="306"/>
      <c r="G187" s="304"/>
      <c r="H187" s="305"/>
      <c r="I187" s="305"/>
      <c r="J187" s="226"/>
      <c r="K187" s="226"/>
      <c r="L187" s="304"/>
      <c r="M187" s="305"/>
      <c r="N187" s="304"/>
      <c r="O187" s="305"/>
      <c r="P187" s="304"/>
      <c r="Q187" s="305"/>
      <c r="R187" s="304"/>
      <c r="S187" s="307"/>
      <c r="T187" s="226"/>
      <c r="U187" s="226"/>
      <c r="V187" s="226"/>
      <c r="W187" s="226"/>
      <c r="X187" s="226"/>
      <c r="Y187" s="226"/>
      <c r="Z187" s="226"/>
    </row>
    <row r="188" spans="1:26" ht="12" customHeight="1">
      <c r="A188" s="304"/>
      <c r="B188" s="305"/>
      <c r="C188" s="304"/>
      <c r="D188" s="306"/>
      <c r="E188" s="304"/>
      <c r="F188" s="306"/>
      <c r="G188" s="304"/>
      <c r="H188" s="305"/>
      <c r="I188" s="305"/>
      <c r="J188" s="226"/>
      <c r="K188" s="226"/>
      <c r="L188" s="304"/>
      <c r="M188" s="305"/>
      <c r="N188" s="304"/>
      <c r="O188" s="305"/>
      <c r="P188" s="304"/>
      <c r="Q188" s="305"/>
      <c r="R188" s="304"/>
      <c r="S188" s="307"/>
      <c r="T188" s="226"/>
      <c r="U188" s="226"/>
      <c r="V188" s="226"/>
      <c r="W188" s="226"/>
      <c r="X188" s="226"/>
      <c r="Y188" s="226"/>
      <c r="Z188" s="226"/>
    </row>
    <row r="189" spans="1:26" ht="12" customHeight="1">
      <c r="A189" s="304"/>
      <c r="B189" s="305"/>
      <c r="C189" s="304"/>
      <c r="D189" s="306"/>
      <c r="E189" s="304"/>
      <c r="F189" s="306"/>
      <c r="G189" s="304"/>
      <c r="H189" s="305"/>
      <c r="I189" s="305"/>
      <c r="J189" s="226"/>
      <c r="K189" s="226"/>
      <c r="L189" s="304"/>
      <c r="M189" s="305"/>
      <c r="N189" s="304"/>
      <c r="O189" s="305"/>
      <c r="P189" s="304"/>
      <c r="Q189" s="305"/>
      <c r="R189" s="304"/>
      <c r="S189" s="307"/>
      <c r="T189" s="226"/>
      <c r="U189" s="226"/>
      <c r="V189" s="226"/>
      <c r="W189" s="226"/>
      <c r="X189" s="226"/>
      <c r="Y189" s="226"/>
      <c r="Z189" s="226"/>
    </row>
    <row r="190" spans="1:26" ht="12" customHeight="1">
      <c r="A190" s="304"/>
      <c r="B190" s="305"/>
      <c r="C190" s="304"/>
      <c r="D190" s="306"/>
      <c r="E190" s="304"/>
      <c r="F190" s="306"/>
      <c r="G190" s="304"/>
      <c r="H190" s="305"/>
      <c r="I190" s="305"/>
      <c r="J190" s="226"/>
      <c r="K190" s="226"/>
      <c r="L190" s="304"/>
      <c r="M190" s="305"/>
      <c r="N190" s="304"/>
      <c r="O190" s="305"/>
      <c r="P190" s="304"/>
      <c r="Q190" s="305"/>
      <c r="R190" s="304"/>
      <c r="S190" s="307"/>
      <c r="T190" s="226"/>
      <c r="U190" s="226"/>
      <c r="V190" s="226"/>
      <c r="W190" s="226"/>
      <c r="X190" s="226"/>
      <c r="Y190" s="226"/>
      <c r="Z190" s="226"/>
    </row>
    <row r="191" spans="1:26" ht="12" customHeight="1">
      <c r="A191" s="304"/>
      <c r="B191" s="305"/>
      <c r="C191" s="304"/>
      <c r="D191" s="306"/>
      <c r="E191" s="304"/>
      <c r="F191" s="306"/>
      <c r="G191" s="304"/>
      <c r="H191" s="305"/>
      <c r="I191" s="305"/>
      <c r="J191" s="226"/>
      <c r="K191" s="226"/>
      <c r="L191" s="304"/>
      <c r="M191" s="305"/>
      <c r="N191" s="304"/>
      <c r="O191" s="305"/>
      <c r="P191" s="304"/>
      <c r="Q191" s="305"/>
      <c r="R191" s="304"/>
      <c r="S191" s="307"/>
      <c r="T191" s="226"/>
      <c r="U191" s="226"/>
      <c r="V191" s="226"/>
      <c r="W191" s="226"/>
      <c r="X191" s="226"/>
      <c r="Y191" s="226"/>
      <c r="Z191" s="226"/>
    </row>
    <row r="192" spans="1:26" ht="12" customHeight="1">
      <c r="A192" s="304"/>
      <c r="B192" s="305"/>
      <c r="C192" s="304"/>
      <c r="D192" s="306"/>
      <c r="E192" s="304"/>
      <c r="F192" s="306"/>
      <c r="G192" s="304"/>
      <c r="H192" s="305"/>
      <c r="I192" s="305"/>
      <c r="J192" s="226"/>
      <c r="K192" s="226"/>
      <c r="L192" s="304"/>
      <c r="M192" s="305"/>
      <c r="N192" s="304"/>
      <c r="O192" s="305"/>
      <c r="P192" s="304"/>
      <c r="Q192" s="305"/>
      <c r="R192" s="304"/>
      <c r="S192" s="307"/>
      <c r="T192" s="226"/>
      <c r="U192" s="226"/>
      <c r="V192" s="226"/>
      <c r="W192" s="226"/>
      <c r="X192" s="226"/>
      <c r="Y192" s="226"/>
      <c r="Z192" s="226"/>
    </row>
    <row r="193" spans="1:26" ht="12" customHeight="1">
      <c r="A193" s="304"/>
      <c r="B193" s="305"/>
      <c r="C193" s="304"/>
      <c r="D193" s="306"/>
      <c r="E193" s="304"/>
      <c r="F193" s="306"/>
      <c r="G193" s="304"/>
      <c r="H193" s="305"/>
      <c r="I193" s="305"/>
      <c r="J193" s="226"/>
      <c r="K193" s="226"/>
      <c r="L193" s="304"/>
      <c r="M193" s="305"/>
      <c r="N193" s="304"/>
      <c r="O193" s="305"/>
      <c r="P193" s="304"/>
      <c r="Q193" s="305"/>
      <c r="R193" s="304"/>
      <c r="S193" s="307"/>
      <c r="T193" s="226"/>
      <c r="U193" s="226"/>
      <c r="V193" s="226"/>
      <c r="W193" s="226"/>
      <c r="X193" s="226"/>
      <c r="Y193" s="226"/>
      <c r="Z193" s="226"/>
    </row>
    <row r="194" spans="1:26" ht="12" customHeight="1">
      <c r="A194" s="304"/>
      <c r="B194" s="305"/>
      <c r="C194" s="304"/>
      <c r="D194" s="306"/>
      <c r="E194" s="304"/>
      <c r="F194" s="306"/>
      <c r="G194" s="304"/>
      <c r="H194" s="305"/>
      <c r="I194" s="305"/>
      <c r="J194" s="226"/>
      <c r="K194" s="226"/>
      <c r="L194" s="304"/>
      <c r="M194" s="305"/>
      <c r="N194" s="304"/>
      <c r="O194" s="305"/>
      <c r="P194" s="304"/>
      <c r="Q194" s="305"/>
      <c r="R194" s="304"/>
      <c r="S194" s="307"/>
      <c r="T194" s="226"/>
      <c r="U194" s="226"/>
      <c r="V194" s="226"/>
      <c r="W194" s="226"/>
      <c r="X194" s="226"/>
      <c r="Y194" s="226"/>
      <c r="Z194" s="226"/>
    </row>
    <row r="195" spans="1:26" ht="12" customHeight="1">
      <c r="A195" s="304"/>
      <c r="B195" s="305"/>
      <c r="C195" s="304"/>
      <c r="D195" s="306"/>
      <c r="E195" s="304"/>
      <c r="F195" s="306"/>
      <c r="G195" s="304"/>
      <c r="H195" s="305"/>
      <c r="I195" s="305"/>
      <c r="J195" s="226"/>
      <c r="K195" s="226"/>
      <c r="L195" s="304"/>
      <c r="M195" s="305"/>
      <c r="N195" s="304"/>
      <c r="O195" s="305"/>
      <c r="P195" s="304"/>
      <c r="Q195" s="305"/>
      <c r="R195" s="304"/>
      <c r="S195" s="307"/>
      <c r="T195" s="226"/>
      <c r="U195" s="226"/>
      <c r="V195" s="226"/>
      <c r="W195" s="226"/>
      <c r="X195" s="226"/>
      <c r="Y195" s="226"/>
      <c r="Z195" s="226"/>
    </row>
    <row r="196" spans="1:26" ht="12" customHeight="1">
      <c r="A196" s="304"/>
      <c r="B196" s="305"/>
      <c r="C196" s="304"/>
      <c r="D196" s="306"/>
      <c r="E196" s="304"/>
      <c r="F196" s="306"/>
      <c r="G196" s="304"/>
      <c r="H196" s="305"/>
      <c r="I196" s="305"/>
      <c r="J196" s="226"/>
      <c r="K196" s="226"/>
      <c r="L196" s="304"/>
      <c r="M196" s="305"/>
      <c r="N196" s="304"/>
      <c r="O196" s="305"/>
      <c r="P196" s="304"/>
      <c r="Q196" s="305"/>
      <c r="R196" s="304"/>
      <c r="S196" s="307"/>
      <c r="T196" s="226"/>
      <c r="U196" s="226"/>
      <c r="V196" s="226"/>
      <c r="W196" s="226"/>
      <c r="X196" s="226"/>
      <c r="Y196" s="226"/>
      <c r="Z196" s="226"/>
    </row>
    <row r="197" spans="1:26" ht="12" customHeight="1">
      <c r="A197" s="304"/>
      <c r="B197" s="305"/>
      <c r="C197" s="304"/>
      <c r="D197" s="306"/>
      <c r="E197" s="304"/>
      <c r="F197" s="306"/>
      <c r="G197" s="304"/>
      <c r="H197" s="305"/>
      <c r="I197" s="305"/>
      <c r="J197" s="226"/>
      <c r="K197" s="226"/>
      <c r="L197" s="304"/>
      <c r="M197" s="305"/>
      <c r="N197" s="304"/>
      <c r="O197" s="305"/>
      <c r="P197" s="304"/>
      <c r="Q197" s="305"/>
      <c r="R197" s="304"/>
      <c r="S197" s="307"/>
      <c r="T197" s="226"/>
      <c r="U197" s="226"/>
      <c r="V197" s="226"/>
      <c r="W197" s="226"/>
      <c r="X197" s="226"/>
      <c r="Y197" s="226"/>
      <c r="Z197" s="226"/>
    </row>
    <row r="198" spans="1:26" ht="12" customHeight="1">
      <c r="A198" s="304"/>
      <c r="B198" s="305"/>
      <c r="C198" s="304"/>
      <c r="D198" s="306"/>
      <c r="E198" s="304"/>
      <c r="F198" s="306"/>
      <c r="G198" s="304"/>
      <c r="H198" s="305"/>
      <c r="I198" s="305"/>
      <c r="J198" s="226"/>
      <c r="K198" s="226"/>
      <c r="L198" s="304"/>
      <c r="M198" s="305"/>
      <c r="N198" s="304"/>
      <c r="O198" s="305"/>
      <c r="P198" s="304"/>
      <c r="Q198" s="305"/>
      <c r="R198" s="304"/>
      <c r="S198" s="307"/>
      <c r="T198" s="226"/>
      <c r="U198" s="226"/>
      <c r="V198" s="226"/>
      <c r="W198" s="226"/>
      <c r="X198" s="226"/>
      <c r="Y198" s="226"/>
      <c r="Z198" s="226"/>
    </row>
    <row r="199" spans="1:26" ht="12" customHeight="1">
      <c r="A199" s="304"/>
      <c r="B199" s="305"/>
      <c r="C199" s="304"/>
      <c r="D199" s="306"/>
      <c r="E199" s="304"/>
      <c r="F199" s="306"/>
      <c r="G199" s="304"/>
      <c r="H199" s="305"/>
      <c r="I199" s="305"/>
      <c r="J199" s="226"/>
      <c r="K199" s="226"/>
      <c r="L199" s="304"/>
      <c r="M199" s="305"/>
      <c r="N199" s="304"/>
      <c r="O199" s="305"/>
      <c r="P199" s="304"/>
      <c r="Q199" s="305"/>
      <c r="R199" s="304"/>
      <c r="S199" s="307"/>
      <c r="T199" s="226"/>
      <c r="U199" s="226"/>
      <c r="V199" s="226"/>
      <c r="W199" s="226"/>
      <c r="X199" s="226"/>
      <c r="Y199" s="226"/>
      <c r="Z199" s="226"/>
    </row>
    <row r="200" spans="1:26" ht="12" customHeight="1">
      <c r="A200" s="304"/>
      <c r="B200" s="305"/>
      <c r="C200" s="304"/>
      <c r="D200" s="306"/>
      <c r="E200" s="304"/>
      <c r="F200" s="306"/>
      <c r="G200" s="304"/>
      <c r="H200" s="305"/>
      <c r="I200" s="305"/>
      <c r="J200" s="226"/>
      <c r="K200" s="226"/>
      <c r="L200" s="304"/>
      <c r="M200" s="305"/>
      <c r="N200" s="304"/>
      <c r="O200" s="305"/>
      <c r="P200" s="304"/>
      <c r="Q200" s="305"/>
      <c r="R200" s="304"/>
      <c r="S200" s="307"/>
      <c r="T200" s="226"/>
      <c r="U200" s="226"/>
      <c r="V200" s="226"/>
      <c r="W200" s="226"/>
      <c r="X200" s="226"/>
      <c r="Y200" s="226"/>
      <c r="Z200" s="226"/>
    </row>
    <row r="201" spans="1:26" ht="12" customHeight="1">
      <c r="A201" s="304"/>
      <c r="B201" s="305"/>
      <c r="C201" s="304"/>
      <c r="D201" s="306"/>
      <c r="E201" s="304"/>
      <c r="F201" s="306"/>
      <c r="G201" s="304"/>
      <c r="H201" s="305"/>
      <c r="I201" s="305"/>
      <c r="J201" s="226"/>
      <c r="K201" s="226"/>
      <c r="L201" s="304"/>
      <c r="M201" s="305"/>
      <c r="N201" s="304"/>
      <c r="O201" s="305"/>
      <c r="P201" s="304"/>
      <c r="Q201" s="305"/>
      <c r="R201" s="304"/>
      <c r="S201" s="307"/>
      <c r="T201" s="226"/>
      <c r="U201" s="226"/>
      <c r="V201" s="226"/>
      <c r="W201" s="226"/>
      <c r="X201" s="226"/>
      <c r="Y201" s="226"/>
      <c r="Z201" s="226"/>
    </row>
    <row r="202" spans="1:26" ht="12" customHeight="1">
      <c r="A202" s="304"/>
      <c r="B202" s="305"/>
      <c r="C202" s="304"/>
      <c r="D202" s="306"/>
      <c r="E202" s="304"/>
      <c r="F202" s="306"/>
      <c r="G202" s="304"/>
      <c r="H202" s="305"/>
      <c r="I202" s="305"/>
      <c r="J202" s="226"/>
      <c r="K202" s="226"/>
      <c r="L202" s="304"/>
      <c r="M202" s="305"/>
      <c r="N202" s="304"/>
      <c r="O202" s="305"/>
      <c r="P202" s="304"/>
      <c r="Q202" s="305"/>
      <c r="R202" s="304"/>
      <c r="S202" s="307"/>
      <c r="T202" s="226"/>
      <c r="U202" s="226"/>
      <c r="V202" s="226"/>
      <c r="W202" s="226"/>
      <c r="X202" s="226"/>
      <c r="Y202" s="226"/>
      <c r="Z202" s="226"/>
    </row>
    <row r="203" spans="1:26" ht="12" customHeight="1">
      <c r="A203" s="304"/>
      <c r="B203" s="305"/>
      <c r="C203" s="304"/>
      <c r="D203" s="306"/>
      <c r="E203" s="304"/>
      <c r="F203" s="306"/>
      <c r="G203" s="304"/>
      <c r="H203" s="305"/>
      <c r="I203" s="305"/>
      <c r="J203" s="226"/>
      <c r="K203" s="226"/>
      <c r="L203" s="304"/>
      <c r="M203" s="305"/>
      <c r="N203" s="304"/>
      <c r="O203" s="305"/>
      <c r="P203" s="304"/>
      <c r="Q203" s="305"/>
      <c r="R203" s="304"/>
      <c r="S203" s="307"/>
      <c r="T203" s="226"/>
      <c r="U203" s="226"/>
      <c r="V203" s="226"/>
      <c r="W203" s="226"/>
      <c r="X203" s="226"/>
      <c r="Y203" s="226"/>
      <c r="Z203" s="226"/>
    </row>
    <row r="204" spans="1:26" ht="12" customHeight="1">
      <c r="A204" s="304"/>
      <c r="B204" s="305"/>
      <c r="C204" s="304"/>
      <c r="D204" s="306"/>
      <c r="E204" s="304"/>
      <c r="F204" s="306"/>
      <c r="G204" s="304"/>
      <c r="H204" s="305"/>
      <c r="I204" s="305"/>
      <c r="J204" s="226"/>
      <c r="K204" s="226"/>
      <c r="L204" s="304"/>
      <c r="M204" s="305"/>
      <c r="N204" s="304"/>
      <c r="O204" s="305"/>
      <c r="P204" s="304"/>
      <c r="Q204" s="305"/>
      <c r="R204" s="304"/>
      <c r="S204" s="307"/>
      <c r="T204" s="226"/>
      <c r="U204" s="226"/>
      <c r="V204" s="226"/>
      <c r="W204" s="226"/>
      <c r="X204" s="226"/>
      <c r="Y204" s="226"/>
      <c r="Z204" s="226"/>
    </row>
    <row r="205" spans="1:26" ht="12" customHeight="1">
      <c r="A205" s="304"/>
      <c r="B205" s="305"/>
      <c r="C205" s="304"/>
      <c r="D205" s="306"/>
      <c r="E205" s="304"/>
      <c r="F205" s="306"/>
      <c r="G205" s="304"/>
      <c r="H205" s="305"/>
      <c r="I205" s="305"/>
      <c r="J205" s="226"/>
      <c r="K205" s="226"/>
      <c r="L205" s="304"/>
      <c r="M205" s="305"/>
      <c r="N205" s="304"/>
      <c r="O205" s="305"/>
      <c r="P205" s="304"/>
      <c r="Q205" s="305"/>
      <c r="R205" s="304"/>
      <c r="S205" s="307"/>
      <c r="T205" s="226"/>
      <c r="U205" s="226"/>
      <c r="V205" s="226"/>
      <c r="W205" s="226"/>
      <c r="X205" s="226"/>
      <c r="Y205" s="226"/>
      <c r="Z205" s="226"/>
    </row>
    <row r="206" spans="1:26" ht="12" customHeight="1">
      <c r="A206" s="304"/>
      <c r="B206" s="305"/>
      <c r="C206" s="304"/>
      <c r="D206" s="306"/>
      <c r="E206" s="304"/>
      <c r="F206" s="306"/>
      <c r="G206" s="304"/>
      <c r="H206" s="305"/>
      <c r="I206" s="305"/>
      <c r="J206" s="226"/>
      <c r="K206" s="226"/>
      <c r="L206" s="304"/>
      <c r="M206" s="305"/>
      <c r="N206" s="304"/>
      <c r="O206" s="305"/>
      <c r="P206" s="304"/>
      <c r="Q206" s="305"/>
      <c r="R206" s="304"/>
      <c r="S206" s="307"/>
      <c r="T206" s="226"/>
      <c r="U206" s="226"/>
      <c r="V206" s="226"/>
      <c r="W206" s="226"/>
      <c r="X206" s="226"/>
      <c r="Y206" s="226"/>
      <c r="Z206" s="226"/>
    </row>
    <row r="207" spans="1:26" ht="12" customHeight="1">
      <c r="A207" s="304"/>
      <c r="B207" s="305"/>
      <c r="C207" s="304"/>
      <c r="D207" s="306"/>
      <c r="E207" s="304"/>
      <c r="F207" s="306"/>
      <c r="G207" s="304"/>
      <c r="H207" s="305"/>
      <c r="I207" s="305"/>
      <c r="J207" s="226"/>
      <c r="K207" s="226"/>
      <c r="L207" s="304"/>
      <c r="M207" s="305"/>
      <c r="N207" s="304"/>
      <c r="O207" s="305"/>
      <c r="P207" s="304"/>
      <c r="Q207" s="305"/>
      <c r="R207" s="304"/>
      <c r="S207" s="307"/>
      <c r="T207" s="226"/>
      <c r="U207" s="226"/>
      <c r="V207" s="226"/>
      <c r="W207" s="226"/>
      <c r="X207" s="226"/>
      <c r="Y207" s="226"/>
      <c r="Z207" s="226"/>
    </row>
    <row r="208" spans="1:26" ht="12" customHeight="1">
      <c r="A208" s="304"/>
      <c r="B208" s="305"/>
      <c r="C208" s="304"/>
      <c r="D208" s="306"/>
      <c r="E208" s="304"/>
      <c r="F208" s="306"/>
      <c r="G208" s="304"/>
      <c r="H208" s="305"/>
      <c r="I208" s="305"/>
      <c r="J208" s="226"/>
      <c r="K208" s="226"/>
      <c r="L208" s="304"/>
      <c r="M208" s="305"/>
      <c r="N208" s="304"/>
      <c r="O208" s="305"/>
      <c r="P208" s="304"/>
      <c r="Q208" s="305"/>
      <c r="R208" s="304"/>
      <c r="S208" s="307"/>
      <c r="T208" s="226"/>
      <c r="U208" s="226"/>
      <c r="V208" s="226"/>
      <c r="W208" s="226"/>
      <c r="X208" s="226"/>
      <c r="Y208" s="226"/>
      <c r="Z208" s="226"/>
    </row>
    <row r="209" spans="1:26" ht="12" customHeight="1">
      <c r="A209" s="304"/>
      <c r="B209" s="305"/>
      <c r="C209" s="304"/>
      <c r="D209" s="306"/>
      <c r="E209" s="304"/>
      <c r="F209" s="306"/>
      <c r="G209" s="304"/>
      <c r="H209" s="305"/>
      <c r="I209" s="305"/>
      <c r="J209" s="226"/>
      <c r="K209" s="226"/>
      <c r="L209" s="304"/>
      <c r="M209" s="305"/>
      <c r="N209" s="304"/>
      <c r="O209" s="305"/>
      <c r="P209" s="304"/>
      <c r="Q209" s="305"/>
      <c r="R209" s="304"/>
      <c r="S209" s="307"/>
      <c r="T209" s="226"/>
      <c r="U209" s="226"/>
      <c r="V209" s="226"/>
      <c r="W209" s="226"/>
      <c r="X209" s="226"/>
      <c r="Y209" s="226"/>
      <c r="Z209" s="226"/>
    </row>
    <row r="210" spans="1:26" ht="12" customHeight="1">
      <c r="A210" s="304"/>
      <c r="B210" s="305"/>
      <c r="C210" s="304"/>
      <c r="D210" s="306"/>
      <c r="E210" s="304"/>
      <c r="F210" s="306"/>
      <c r="G210" s="304"/>
      <c r="H210" s="305"/>
      <c r="I210" s="305"/>
      <c r="J210" s="226"/>
      <c r="K210" s="226"/>
      <c r="L210" s="304"/>
      <c r="M210" s="305"/>
      <c r="N210" s="304"/>
      <c r="O210" s="305"/>
      <c r="P210" s="304"/>
      <c r="Q210" s="305"/>
      <c r="R210" s="304"/>
      <c r="S210" s="307"/>
      <c r="T210" s="226"/>
      <c r="U210" s="226"/>
      <c r="V210" s="226"/>
      <c r="W210" s="226"/>
      <c r="X210" s="226"/>
      <c r="Y210" s="226"/>
      <c r="Z210" s="226"/>
    </row>
    <row r="211" spans="1:26" ht="12" customHeight="1">
      <c r="A211" s="304"/>
      <c r="B211" s="305"/>
      <c r="C211" s="304"/>
      <c r="D211" s="306"/>
      <c r="E211" s="304"/>
      <c r="F211" s="306"/>
      <c r="G211" s="304"/>
      <c r="H211" s="305"/>
      <c r="I211" s="305"/>
      <c r="J211" s="226"/>
      <c r="K211" s="226"/>
      <c r="L211" s="304"/>
      <c r="M211" s="305"/>
      <c r="N211" s="304"/>
      <c r="O211" s="305"/>
      <c r="P211" s="304"/>
      <c r="Q211" s="305"/>
      <c r="R211" s="304"/>
      <c r="S211" s="307"/>
      <c r="T211" s="226"/>
      <c r="U211" s="226"/>
      <c r="V211" s="226"/>
      <c r="W211" s="226"/>
      <c r="X211" s="226"/>
      <c r="Y211" s="226"/>
      <c r="Z211" s="226"/>
    </row>
    <row r="212" spans="1:26" ht="12" customHeight="1">
      <c r="A212" s="304"/>
      <c r="B212" s="305"/>
      <c r="C212" s="304"/>
      <c r="D212" s="306"/>
      <c r="E212" s="304"/>
      <c r="F212" s="306"/>
      <c r="G212" s="304"/>
      <c r="H212" s="305"/>
      <c r="I212" s="305"/>
      <c r="J212" s="226"/>
      <c r="K212" s="226"/>
      <c r="L212" s="304"/>
      <c r="M212" s="305"/>
      <c r="N212" s="304"/>
      <c r="O212" s="305"/>
      <c r="P212" s="304"/>
      <c r="Q212" s="305"/>
      <c r="R212" s="304"/>
      <c r="S212" s="307"/>
      <c r="T212" s="226"/>
      <c r="U212" s="226"/>
      <c r="V212" s="226"/>
      <c r="W212" s="226"/>
      <c r="X212" s="226"/>
      <c r="Y212" s="226"/>
      <c r="Z212" s="226"/>
    </row>
    <row r="213" spans="1:26" ht="12" customHeight="1">
      <c r="A213" s="304"/>
      <c r="B213" s="305"/>
      <c r="C213" s="304"/>
      <c r="D213" s="306"/>
      <c r="E213" s="304"/>
      <c r="F213" s="306"/>
      <c r="G213" s="304"/>
      <c r="H213" s="305"/>
      <c r="I213" s="305"/>
      <c r="J213" s="226"/>
      <c r="K213" s="226"/>
      <c r="L213" s="304"/>
      <c r="M213" s="305"/>
      <c r="N213" s="304"/>
      <c r="O213" s="305"/>
      <c r="P213" s="304"/>
      <c r="Q213" s="305"/>
      <c r="R213" s="304"/>
      <c r="S213" s="307"/>
      <c r="T213" s="226"/>
      <c r="U213" s="226"/>
      <c r="V213" s="226"/>
      <c r="W213" s="226"/>
      <c r="X213" s="226"/>
      <c r="Y213" s="226"/>
      <c r="Z213" s="226"/>
    </row>
    <row r="214" spans="1:26" ht="12" customHeight="1">
      <c r="A214" s="304"/>
      <c r="B214" s="305"/>
      <c r="C214" s="304"/>
      <c r="D214" s="306"/>
      <c r="E214" s="304"/>
      <c r="F214" s="306"/>
      <c r="G214" s="304"/>
      <c r="H214" s="305"/>
      <c r="I214" s="305"/>
      <c r="J214" s="226"/>
      <c r="K214" s="226"/>
      <c r="L214" s="304"/>
      <c r="M214" s="305"/>
      <c r="N214" s="304"/>
      <c r="O214" s="305"/>
      <c r="P214" s="304"/>
      <c r="Q214" s="305"/>
      <c r="R214" s="304"/>
      <c r="S214" s="307"/>
      <c r="T214" s="226"/>
      <c r="U214" s="226"/>
      <c r="V214" s="226"/>
      <c r="W214" s="226"/>
      <c r="X214" s="226"/>
      <c r="Y214" s="226"/>
      <c r="Z214" s="226"/>
    </row>
    <row r="215" spans="1:26" ht="12" customHeight="1">
      <c r="A215" s="304"/>
      <c r="B215" s="305"/>
      <c r="C215" s="304"/>
      <c r="D215" s="306"/>
      <c r="E215" s="304"/>
      <c r="F215" s="306"/>
      <c r="G215" s="304"/>
      <c r="H215" s="305"/>
      <c r="I215" s="305"/>
      <c r="J215" s="226"/>
      <c r="K215" s="226"/>
      <c r="L215" s="304"/>
      <c r="M215" s="305"/>
      <c r="N215" s="304"/>
      <c r="O215" s="305"/>
      <c r="P215" s="304"/>
      <c r="Q215" s="305"/>
      <c r="R215" s="304"/>
      <c r="S215" s="307"/>
      <c r="T215" s="226"/>
      <c r="U215" s="226"/>
      <c r="V215" s="226"/>
      <c r="W215" s="226"/>
      <c r="X215" s="226"/>
      <c r="Y215" s="226"/>
      <c r="Z215" s="226"/>
    </row>
    <row r="216" spans="1:26" ht="12" customHeight="1">
      <c r="A216" s="304"/>
      <c r="B216" s="305"/>
      <c r="C216" s="304"/>
      <c r="D216" s="306"/>
      <c r="E216" s="304"/>
      <c r="F216" s="306"/>
      <c r="G216" s="304"/>
      <c r="H216" s="305"/>
      <c r="I216" s="305"/>
      <c r="J216" s="226"/>
      <c r="K216" s="226"/>
      <c r="L216" s="304"/>
      <c r="M216" s="305"/>
      <c r="N216" s="304"/>
      <c r="O216" s="305"/>
      <c r="P216" s="304"/>
      <c r="Q216" s="305"/>
      <c r="R216" s="304"/>
      <c r="S216" s="307"/>
      <c r="T216" s="226"/>
      <c r="U216" s="226"/>
      <c r="V216" s="226"/>
      <c r="W216" s="226"/>
      <c r="X216" s="226"/>
      <c r="Y216" s="226"/>
      <c r="Z216" s="226"/>
    </row>
    <row r="217" spans="1:26" ht="12" customHeight="1">
      <c r="A217" s="304"/>
      <c r="B217" s="305"/>
      <c r="C217" s="304"/>
      <c r="D217" s="306"/>
      <c r="E217" s="304"/>
      <c r="F217" s="306"/>
      <c r="G217" s="304"/>
      <c r="H217" s="305"/>
      <c r="I217" s="305"/>
      <c r="J217" s="226"/>
      <c r="K217" s="226"/>
      <c r="L217" s="304"/>
      <c r="M217" s="305"/>
      <c r="N217" s="304"/>
      <c r="O217" s="305"/>
      <c r="P217" s="304"/>
      <c r="Q217" s="305"/>
      <c r="R217" s="304"/>
      <c r="S217" s="307"/>
      <c r="T217" s="226"/>
      <c r="U217" s="226"/>
      <c r="V217" s="226"/>
      <c r="W217" s="226"/>
      <c r="X217" s="226"/>
      <c r="Y217" s="226"/>
      <c r="Z217" s="226"/>
    </row>
    <row r="218" spans="1:26" ht="12" customHeight="1">
      <c r="A218" s="304"/>
      <c r="B218" s="305"/>
      <c r="C218" s="304"/>
      <c r="D218" s="306"/>
      <c r="E218" s="304"/>
      <c r="F218" s="306"/>
      <c r="G218" s="304"/>
      <c r="H218" s="305"/>
      <c r="I218" s="305"/>
      <c r="J218" s="226"/>
      <c r="K218" s="226"/>
      <c r="L218" s="304"/>
      <c r="M218" s="305"/>
      <c r="N218" s="304"/>
      <c r="O218" s="305"/>
      <c r="P218" s="304"/>
      <c r="Q218" s="305"/>
      <c r="R218" s="304"/>
      <c r="S218" s="307"/>
      <c r="T218" s="226"/>
      <c r="U218" s="226"/>
      <c r="V218" s="226"/>
      <c r="W218" s="226"/>
      <c r="X218" s="226"/>
      <c r="Y218" s="226"/>
      <c r="Z218" s="226"/>
    </row>
    <row r="219" spans="1:26" ht="12" customHeight="1">
      <c r="A219" s="304"/>
      <c r="B219" s="305"/>
      <c r="C219" s="304"/>
      <c r="D219" s="306"/>
      <c r="E219" s="304"/>
      <c r="F219" s="306"/>
      <c r="G219" s="304"/>
      <c r="H219" s="305"/>
      <c r="I219" s="305"/>
      <c r="J219" s="226"/>
      <c r="K219" s="226"/>
      <c r="L219" s="304"/>
      <c r="M219" s="305"/>
      <c r="N219" s="304"/>
      <c r="O219" s="305"/>
      <c r="P219" s="304"/>
      <c r="Q219" s="305"/>
      <c r="R219" s="304"/>
      <c r="S219" s="307"/>
      <c r="T219" s="226"/>
      <c r="U219" s="226"/>
      <c r="V219" s="226"/>
      <c r="W219" s="226"/>
      <c r="X219" s="226"/>
      <c r="Y219" s="226"/>
      <c r="Z219" s="226"/>
    </row>
    <row r="220" spans="1:26" ht="12" customHeight="1">
      <c r="A220" s="304"/>
      <c r="B220" s="305"/>
      <c r="C220" s="304"/>
      <c r="D220" s="306"/>
      <c r="E220" s="304"/>
      <c r="F220" s="306"/>
      <c r="G220" s="304"/>
      <c r="H220" s="305"/>
      <c r="I220" s="305"/>
      <c r="J220" s="226"/>
      <c r="K220" s="226"/>
      <c r="L220" s="304"/>
      <c r="M220" s="305"/>
      <c r="N220" s="304"/>
      <c r="O220" s="305"/>
      <c r="P220" s="304"/>
      <c r="Q220" s="305"/>
      <c r="R220" s="304"/>
      <c r="S220" s="307"/>
      <c r="T220" s="226"/>
      <c r="U220" s="226"/>
      <c r="V220" s="226"/>
      <c r="W220" s="226"/>
      <c r="X220" s="226"/>
      <c r="Y220" s="226"/>
      <c r="Z220" s="226"/>
    </row>
    <row r="221" spans="1:26" ht="12" customHeight="1">
      <c r="A221" s="304"/>
      <c r="B221" s="305"/>
      <c r="C221" s="304"/>
      <c r="D221" s="306"/>
      <c r="E221" s="304"/>
      <c r="F221" s="306"/>
      <c r="G221" s="304"/>
      <c r="H221" s="305"/>
      <c r="I221" s="305"/>
      <c r="J221" s="226"/>
      <c r="K221" s="226"/>
      <c r="L221" s="304"/>
      <c r="M221" s="305"/>
      <c r="N221" s="304"/>
      <c r="O221" s="305"/>
      <c r="P221" s="304"/>
      <c r="Q221" s="305"/>
      <c r="R221" s="304"/>
      <c r="S221" s="307"/>
      <c r="T221" s="226"/>
      <c r="U221" s="226"/>
      <c r="V221" s="226"/>
      <c r="W221" s="226"/>
      <c r="X221" s="226"/>
      <c r="Y221" s="226"/>
      <c r="Z221" s="226"/>
    </row>
    <row r="222" spans="1:26" ht="12" customHeight="1">
      <c r="A222" s="304"/>
      <c r="B222" s="305"/>
      <c r="C222" s="304"/>
      <c r="D222" s="306"/>
      <c r="E222" s="304"/>
      <c r="F222" s="306"/>
      <c r="G222" s="304"/>
      <c r="H222" s="305"/>
      <c r="I222" s="305"/>
      <c r="J222" s="226"/>
      <c r="K222" s="226"/>
      <c r="L222" s="304"/>
      <c r="M222" s="305"/>
      <c r="N222" s="304"/>
      <c r="O222" s="305"/>
      <c r="P222" s="304"/>
      <c r="Q222" s="305"/>
      <c r="R222" s="304"/>
      <c r="S222" s="307"/>
      <c r="T222" s="226"/>
      <c r="U222" s="226"/>
      <c r="V222" s="226"/>
      <c r="W222" s="226"/>
      <c r="X222" s="226"/>
      <c r="Y222" s="226"/>
      <c r="Z222" s="226"/>
    </row>
    <row r="223" spans="1:26" ht="12" customHeight="1">
      <c r="A223" s="304"/>
      <c r="B223" s="305"/>
      <c r="C223" s="304"/>
      <c r="D223" s="306"/>
      <c r="E223" s="304"/>
      <c r="F223" s="306"/>
      <c r="G223" s="304"/>
      <c r="H223" s="305"/>
      <c r="I223" s="305"/>
      <c r="J223" s="226"/>
      <c r="K223" s="226"/>
      <c r="L223" s="304"/>
      <c r="M223" s="305"/>
      <c r="N223" s="304"/>
      <c r="O223" s="305"/>
      <c r="P223" s="304"/>
      <c r="Q223" s="305"/>
      <c r="R223" s="304"/>
      <c r="S223" s="307"/>
      <c r="T223" s="226"/>
      <c r="U223" s="226"/>
      <c r="V223" s="226"/>
      <c r="W223" s="226"/>
      <c r="X223" s="226"/>
      <c r="Y223" s="226"/>
      <c r="Z223" s="226"/>
    </row>
    <row r="224" spans="1:26" ht="12" customHeight="1">
      <c r="A224" s="304"/>
      <c r="B224" s="305"/>
      <c r="C224" s="304"/>
      <c r="D224" s="306"/>
      <c r="E224" s="304"/>
      <c r="F224" s="306"/>
      <c r="G224" s="304"/>
      <c r="H224" s="305"/>
      <c r="I224" s="305"/>
      <c r="J224" s="226"/>
      <c r="K224" s="226"/>
      <c r="L224" s="304"/>
      <c r="M224" s="305"/>
      <c r="N224" s="304"/>
      <c r="O224" s="305"/>
      <c r="P224" s="304"/>
      <c r="Q224" s="305"/>
      <c r="R224" s="304"/>
      <c r="S224" s="307"/>
      <c r="T224" s="226"/>
      <c r="U224" s="226"/>
      <c r="V224" s="226"/>
      <c r="W224" s="226"/>
      <c r="X224" s="226"/>
      <c r="Y224" s="226"/>
      <c r="Z224" s="226"/>
    </row>
    <row r="225" spans="1:26" ht="12" customHeight="1">
      <c r="A225" s="304"/>
      <c r="B225" s="305"/>
      <c r="C225" s="304"/>
      <c r="D225" s="306"/>
      <c r="E225" s="304"/>
      <c r="F225" s="306"/>
      <c r="G225" s="304"/>
      <c r="H225" s="305"/>
      <c r="I225" s="305"/>
      <c r="J225" s="226"/>
      <c r="K225" s="226"/>
      <c r="L225" s="304"/>
      <c r="M225" s="305"/>
      <c r="N225" s="304"/>
      <c r="O225" s="305"/>
      <c r="P225" s="304"/>
      <c r="Q225" s="305"/>
      <c r="R225" s="304"/>
      <c r="S225" s="307"/>
      <c r="T225" s="226"/>
      <c r="U225" s="226"/>
      <c r="V225" s="226"/>
      <c r="W225" s="226"/>
      <c r="X225" s="226"/>
      <c r="Y225" s="226"/>
      <c r="Z225" s="226"/>
    </row>
    <row r="226" spans="1:26" ht="12" customHeight="1">
      <c r="A226" s="304"/>
      <c r="B226" s="305"/>
      <c r="C226" s="304"/>
      <c r="D226" s="306"/>
      <c r="E226" s="304"/>
      <c r="F226" s="306"/>
      <c r="G226" s="304"/>
      <c r="H226" s="305"/>
      <c r="I226" s="305"/>
      <c r="J226" s="226"/>
      <c r="K226" s="226"/>
      <c r="L226" s="304"/>
      <c r="M226" s="305"/>
      <c r="N226" s="304"/>
      <c r="O226" s="305"/>
      <c r="P226" s="304"/>
      <c r="Q226" s="305"/>
      <c r="R226" s="304"/>
      <c r="S226" s="307"/>
      <c r="T226" s="226"/>
      <c r="U226" s="226"/>
      <c r="V226" s="226"/>
      <c r="W226" s="226"/>
      <c r="X226" s="226"/>
      <c r="Y226" s="226"/>
      <c r="Z226" s="226"/>
    </row>
    <row r="227" spans="1:26" ht="12" customHeight="1">
      <c r="A227" s="304"/>
      <c r="B227" s="305"/>
      <c r="C227" s="304"/>
      <c r="D227" s="306"/>
      <c r="E227" s="304"/>
      <c r="F227" s="306"/>
      <c r="G227" s="304"/>
      <c r="H227" s="305"/>
      <c r="I227" s="305"/>
      <c r="J227" s="226"/>
      <c r="K227" s="226"/>
      <c r="L227" s="304"/>
      <c r="M227" s="305"/>
      <c r="N227" s="304"/>
      <c r="O227" s="305"/>
      <c r="P227" s="304"/>
      <c r="Q227" s="305"/>
      <c r="R227" s="304"/>
      <c r="S227" s="307"/>
      <c r="T227" s="226"/>
      <c r="U227" s="226"/>
      <c r="V227" s="226"/>
      <c r="W227" s="226"/>
      <c r="X227" s="226"/>
      <c r="Y227" s="226"/>
      <c r="Z227" s="226"/>
    </row>
    <row r="228" spans="1:26" ht="12" customHeight="1">
      <c r="A228" s="304"/>
      <c r="B228" s="305"/>
      <c r="C228" s="304"/>
      <c r="D228" s="306"/>
      <c r="E228" s="304"/>
      <c r="F228" s="306"/>
      <c r="G228" s="304"/>
      <c r="H228" s="305"/>
      <c r="I228" s="305"/>
      <c r="J228" s="226"/>
      <c r="K228" s="226"/>
      <c r="L228" s="304"/>
      <c r="M228" s="305"/>
      <c r="N228" s="304"/>
      <c r="O228" s="305"/>
      <c r="P228" s="304"/>
      <c r="Q228" s="305"/>
      <c r="R228" s="304"/>
      <c r="S228" s="307"/>
      <c r="T228" s="226"/>
      <c r="U228" s="226"/>
      <c r="V228" s="226"/>
      <c r="W228" s="226"/>
      <c r="X228" s="226"/>
      <c r="Y228" s="226"/>
      <c r="Z228" s="226"/>
    </row>
    <row r="229" spans="1:26" ht="12" customHeight="1">
      <c r="A229" s="304"/>
      <c r="B229" s="305"/>
      <c r="C229" s="304"/>
      <c r="D229" s="306"/>
      <c r="E229" s="304"/>
      <c r="F229" s="306"/>
      <c r="G229" s="304"/>
      <c r="H229" s="305"/>
      <c r="I229" s="305"/>
      <c r="J229" s="226"/>
      <c r="K229" s="226"/>
      <c r="L229" s="304"/>
      <c r="M229" s="305"/>
      <c r="N229" s="304"/>
      <c r="O229" s="305"/>
      <c r="P229" s="304"/>
      <c r="Q229" s="305"/>
      <c r="R229" s="304"/>
      <c r="S229" s="307"/>
      <c r="T229" s="226"/>
      <c r="U229" s="226"/>
      <c r="V229" s="226"/>
      <c r="W229" s="226"/>
      <c r="X229" s="226"/>
      <c r="Y229" s="226"/>
      <c r="Z229" s="226"/>
    </row>
    <row r="230" spans="1:26" ht="12" customHeight="1">
      <c r="A230" s="304"/>
      <c r="B230" s="305"/>
      <c r="C230" s="304"/>
      <c r="D230" s="306"/>
      <c r="E230" s="304"/>
      <c r="F230" s="306"/>
      <c r="G230" s="304"/>
      <c r="H230" s="305"/>
      <c r="I230" s="305"/>
      <c r="J230" s="226"/>
      <c r="K230" s="226"/>
      <c r="L230" s="304"/>
      <c r="M230" s="305"/>
      <c r="N230" s="304"/>
      <c r="O230" s="305"/>
      <c r="P230" s="304"/>
      <c r="Q230" s="305"/>
      <c r="R230" s="304"/>
      <c r="S230" s="307"/>
      <c r="T230" s="226"/>
      <c r="U230" s="226"/>
      <c r="V230" s="226"/>
      <c r="W230" s="226"/>
      <c r="X230" s="226"/>
      <c r="Y230" s="226"/>
      <c r="Z230" s="226"/>
    </row>
    <row r="231" spans="1:26" ht="12" customHeight="1">
      <c r="A231" s="304"/>
      <c r="B231" s="305"/>
      <c r="C231" s="304"/>
      <c r="D231" s="306"/>
      <c r="E231" s="304"/>
      <c r="F231" s="306"/>
      <c r="G231" s="304"/>
      <c r="H231" s="305"/>
      <c r="I231" s="305"/>
      <c r="J231" s="226"/>
      <c r="K231" s="226"/>
      <c r="L231" s="304"/>
      <c r="M231" s="305"/>
      <c r="N231" s="304"/>
      <c r="O231" s="305"/>
      <c r="P231" s="304"/>
      <c r="Q231" s="305"/>
      <c r="R231" s="304"/>
      <c r="S231" s="307"/>
      <c r="T231" s="226"/>
      <c r="U231" s="226"/>
      <c r="V231" s="226"/>
      <c r="W231" s="226"/>
      <c r="X231" s="226"/>
      <c r="Y231" s="226"/>
      <c r="Z231" s="226"/>
    </row>
    <row r="232" spans="1:26" ht="12" customHeight="1">
      <c r="A232" s="304"/>
      <c r="B232" s="305"/>
      <c r="C232" s="304"/>
      <c r="D232" s="306"/>
      <c r="E232" s="304"/>
      <c r="F232" s="306"/>
      <c r="G232" s="304"/>
      <c r="H232" s="305"/>
      <c r="I232" s="305"/>
      <c r="J232" s="226"/>
      <c r="K232" s="226"/>
      <c r="L232" s="304"/>
      <c r="M232" s="305"/>
      <c r="N232" s="304"/>
      <c r="O232" s="305"/>
      <c r="P232" s="304"/>
      <c r="Q232" s="305"/>
      <c r="R232" s="304"/>
      <c r="S232" s="307"/>
      <c r="T232" s="226"/>
      <c r="U232" s="226"/>
      <c r="V232" s="226"/>
      <c r="W232" s="226"/>
      <c r="X232" s="226"/>
      <c r="Y232" s="226"/>
      <c r="Z232" s="226"/>
    </row>
    <row r="233" spans="1:26" ht="12" customHeight="1">
      <c r="A233" s="304"/>
      <c r="B233" s="305"/>
      <c r="C233" s="304"/>
      <c r="D233" s="306"/>
      <c r="E233" s="304"/>
      <c r="F233" s="306"/>
      <c r="G233" s="304"/>
      <c r="H233" s="305"/>
      <c r="I233" s="305"/>
      <c r="J233" s="226"/>
      <c r="K233" s="226"/>
      <c r="L233" s="304"/>
      <c r="M233" s="305"/>
      <c r="N233" s="304"/>
      <c r="O233" s="305"/>
      <c r="P233" s="304"/>
      <c r="Q233" s="305"/>
      <c r="R233" s="304"/>
      <c r="S233" s="307"/>
      <c r="T233" s="226"/>
      <c r="U233" s="226"/>
      <c r="V233" s="226"/>
      <c r="W233" s="226"/>
      <c r="X233" s="226"/>
      <c r="Y233" s="226"/>
      <c r="Z233" s="226"/>
    </row>
    <row r="234" spans="1:26" ht="12" customHeight="1">
      <c r="A234" s="304"/>
      <c r="B234" s="305"/>
      <c r="C234" s="304"/>
      <c r="D234" s="306"/>
      <c r="E234" s="304"/>
      <c r="F234" s="306"/>
      <c r="G234" s="304"/>
      <c r="H234" s="305"/>
      <c r="I234" s="305"/>
      <c r="J234" s="226"/>
      <c r="K234" s="226"/>
      <c r="L234" s="304"/>
      <c r="M234" s="305"/>
      <c r="N234" s="304"/>
      <c r="O234" s="305"/>
      <c r="P234" s="304"/>
      <c r="Q234" s="305"/>
      <c r="R234" s="304"/>
      <c r="S234" s="307"/>
      <c r="T234" s="226"/>
      <c r="U234" s="226"/>
      <c r="V234" s="226"/>
      <c r="W234" s="226"/>
      <c r="X234" s="226"/>
      <c r="Y234" s="226"/>
      <c r="Z234" s="226"/>
    </row>
    <row r="235" spans="1:26" ht="12" customHeight="1">
      <c r="A235" s="304"/>
      <c r="B235" s="305"/>
      <c r="C235" s="304"/>
      <c r="D235" s="306"/>
      <c r="E235" s="304"/>
      <c r="F235" s="306"/>
      <c r="G235" s="304"/>
      <c r="H235" s="305"/>
      <c r="I235" s="305"/>
      <c r="J235" s="226"/>
      <c r="K235" s="226"/>
      <c r="L235" s="304"/>
      <c r="M235" s="305"/>
      <c r="N235" s="304"/>
      <c r="O235" s="305"/>
      <c r="P235" s="304"/>
      <c r="Q235" s="305"/>
      <c r="R235" s="304"/>
      <c r="S235" s="307"/>
      <c r="T235" s="226"/>
      <c r="U235" s="226"/>
      <c r="V235" s="226"/>
      <c r="W235" s="226"/>
      <c r="X235" s="226"/>
      <c r="Y235" s="226"/>
      <c r="Z235" s="226"/>
    </row>
    <row r="236" spans="1:26" ht="12" customHeight="1">
      <c r="A236" s="304"/>
      <c r="B236" s="305"/>
      <c r="C236" s="304"/>
      <c r="D236" s="306"/>
      <c r="E236" s="304"/>
      <c r="F236" s="306"/>
      <c r="G236" s="304"/>
      <c r="H236" s="305"/>
      <c r="I236" s="305"/>
      <c r="J236" s="226"/>
      <c r="K236" s="226"/>
      <c r="L236" s="304"/>
      <c r="M236" s="305"/>
      <c r="N236" s="304"/>
      <c r="O236" s="305"/>
      <c r="P236" s="304"/>
      <c r="Q236" s="305"/>
      <c r="R236" s="304"/>
      <c r="S236" s="307"/>
      <c r="T236" s="226"/>
      <c r="U236" s="226"/>
      <c r="V236" s="226"/>
      <c r="W236" s="226"/>
      <c r="X236" s="226"/>
      <c r="Y236" s="226"/>
      <c r="Z236" s="226"/>
    </row>
    <row r="237" spans="1:26" ht="12" customHeight="1">
      <c r="A237" s="304"/>
      <c r="B237" s="305"/>
      <c r="C237" s="304"/>
      <c r="D237" s="306"/>
      <c r="E237" s="304"/>
      <c r="F237" s="306"/>
      <c r="G237" s="304"/>
      <c r="H237" s="305"/>
      <c r="I237" s="305"/>
      <c r="J237" s="226"/>
      <c r="K237" s="226"/>
      <c r="L237" s="304"/>
      <c r="M237" s="305"/>
      <c r="N237" s="304"/>
      <c r="O237" s="305"/>
      <c r="P237" s="304"/>
      <c r="Q237" s="305"/>
      <c r="R237" s="304"/>
      <c r="S237" s="307"/>
      <c r="T237" s="226"/>
      <c r="U237" s="226"/>
      <c r="V237" s="226"/>
      <c r="W237" s="226"/>
      <c r="X237" s="226"/>
      <c r="Y237" s="226"/>
      <c r="Z237" s="226"/>
    </row>
    <row r="238" spans="1:26" ht="12" customHeight="1">
      <c r="A238" s="304"/>
      <c r="B238" s="305"/>
      <c r="C238" s="304"/>
      <c r="D238" s="306"/>
      <c r="E238" s="304"/>
      <c r="F238" s="306"/>
      <c r="G238" s="304"/>
      <c r="H238" s="305"/>
      <c r="I238" s="305"/>
      <c r="J238" s="226"/>
      <c r="K238" s="226"/>
      <c r="L238" s="304"/>
      <c r="M238" s="305"/>
      <c r="N238" s="304"/>
      <c r="O238" s="305"/>
      <c r="P238" s="304"/>
      <c r="Q238" s="305"/>
      <c r="R238" s="304"/>
      <c r="S238" s="307"/>
      <c r="T238" s="226"/>
      <c r="U238" s="226"/>
      <c r="V238" s="226"/>
      <c r="W238" s="226"/>
      <c r="X238" s="226"/>
      <c r="Y238" s="226"/>
      <c r="Z238" s="226"/>
    </row>
    <row r="239" spans="1:26" ht="12" customHeight="1">
      <c r="A239" s="304"/>
      <c r="B239" s="305"/>
      <c r="C239" s="304"/>
      <c r="D239" s="306"/>
      <c r="E239" s="304"/>
      <c r="F239" s="306"/>
      <c r="G239" s="304"/>
      <c r="H239" s="305"/>
      <c r="I239" s="305"/>
      <c r="J239" s="226"/>
      <c r="K239" s="226"/>
      <c r="L239" s="304"/>
      <c r="M239" s="305"/>
      <c r="N239" s="304"/>
      <c r="O239" s="305"/>
      <c r="P239" s="304"/>
      <c r="Q239" s="305"/>
      <c r="R239" s="304"/>
      <c r="S239" s="307"/>
      <c r="T239" s="226"/>
      <c r="U239" s="226"/>
      <c r="V239" s="226"/>
      <c r="W239" s="226"/>
      <c r="X239" s="226"/>
      <c r="Y239" s="226"/>
      <c r="Z239" s="226"/>
    </row>
    <row r="240" spans="1:26" ht="12" customHeight="1">
      <c r="A240" s="304"/>
      <c r="B240" s="305"/>
      <c r="C240" s="304"/>
      <c r="D240" s="306"/>
      <c r="E240" s="304"/>
      <c r="F240" s="306"/>
      <c r="G240" s="304"/>
      <c r="H240" s="305"/>
      <c r="I240" s="305"/>
      <c r="J240" s="226"/>
      <c r="K240" s="226"/>
      <c r="L240" s="304"/>
      <c r="M240" s="305"/>
      <c r="N240" s="304"/>
      <c r="O240" s="305"/>
      <c r="P240" s="304"/>
      <c r="Q240" s="305"/>
      <c r="R240" s="304"/>
      <c r="S240" s="307"/>
      <c r="T240" s="226"/>
      <c r="U240" s="226"/>
      <c r="V240" s="226"/>
      <c r="W240" s="226"/>
      <c r="X240" s="226"/>
      <c r="Y240" s="226"/>
      <c r="Z240" s="226"/>
    </row>
    <row r="241" spans="1:26" ht="12" customHeight="1">
      <c r="A241" s="304"/>
      <c r="B241" s="305"/>
      <c r="C241" s="304"/>
      <c r="D241" s="306"/>
      <c r="E241" s="304"/>
      <c r="F241" s="306"/>
      <c r="G241" s="304"/>
      <c r="H241" s="305"/>
      <c r="I241" s="305"/>
      <c r="J241" s="226"/>
      <c r="K241" s="226"/>
      <c r="L241" s="304"/>
      <c r="M241" s="305"/>
      <c r="N241" s="304"/>
      <c r="O241" s="305"/>
      <c r="P241" s="304"/>
      <c r="Q241" s="305"/>
      <c r="R241" s="304"/>
      <c r="S241" s="307"/>
      <c r="T241" s="226"/>
      <c r="U241" s="226"/>
      <c r="V241" s="226"/>
      <c r="W241" s="226"/>
      <c r="X241" s="226"/>
      <c r="Y241" s="226"/>
      <c r="Z241" s="226"/>
    </row>
    <row r="242" spans="1:26" ht="12" customHeight="1">
      <c r="A242" s="304"/>
      <c r="B242" s="305"/>
      <c r="C242" s="304"/>
      <c r="D242" s="306"/>
      <c r="E242" s="304"/>
      <c r="F242" s="306"/>
      <c r="G242" s="304"/>
      <c r="H242" s="305"/>
      <c r="I242" s="305"/>
      <c r="J242" s="226"/>
      <c r="K242" s="226"/>
      <c r="L242" s="304"/>
      <c r="M242" s="305"/>
      <c r="N242" s="304"/>
      <c r="O242" s="305"/>
      <c r="P242" s="304"/>
      <c r="Q242" s="305"/>
      <c r="R242" s="304"/>
      <c r="S242" s="307"/>
      <c r="T242" s="226"/>
      <c r="U242" s="226"/>
      <c r="V242" s="226"/>
      <c r="W242" s="226"/>
      <c r="X242" s="226"/>
      <c r="Y242" s="226"/>
      <c r="Z242" s="226"/>
    </row>
    <row r="243" spans="1:26" ht="12" customHeight="1">
      <c r="A243" s="304"/>
      <c r="B243" s="305"/>
      <c r="C243" s="304"/>
      <c r="D243" s="306"/>
      <c r="E243" s="304"/>
      <c r="F243" s="306"/>
      <c r="G243" s="304"/>
      <c r="H243" s="305"/>
      <c r="I243" s="305"/>
      <c r="J243" s="226"/>
      <c r="K243" s="226"/>
      <c r="L243" s="304"/>
      <c r="M243" s="305"/>
      <c r="N243" s="304"/>
      <c r="O243" s="305"/>
      <c r="P243" s="304"/>
      <c r="Q243" s="305"/>
      <c r="R243" s="304"/>
      <c r="S243" s="307"/>
      <c r="T243" s="226"/>
      <c r="U243" s="226"/>
      <c r="V243" s="226"/>
      <c r="W243" s="226"/>
      <c r="X243" s="226"/>
      <c r="Y243" s="226"/>
      <c r="Z243" s="226"/>
    </row>
    <row r="244" spans="1:26" ht="12" customHeight="1">
      <c r="A244" s="304"/>
      <c r="B244" s="305"/>
      <c r="C244" s="304"/>
      <c r="D244" s="306"/>
      <c r="E244" s="304"/>
      <c r="F244" s="306"/>
      <c r="G244" s="304"/>
      <c r="H244" s="305"/>
      <c r="I244" s="305"/>
      <c r="J244" s="226"/>
      <c r="K244" s="226"/>
      <c r="L244" s="304"/>
      <c r="M244" s="305"/>
      <c r="N244" s="304"/>
      <c r="O244" s="305"/>
      <c r="P244" s="304"/>
      <c r="Q244" s="305"/>
      <c r="R244" s="304"/>
      <c r="S244" s="307"/>
      <c r="T244" s="226"/>
      <c r="U244" s="226"/>
      <c r="V244" s="226"/>
      <c r="W244" s="226"/>
      <c r="X244" s="226"/>
      <c r="Y244" s="226"/>
      <c r="Z244" s="226"/>
    </row>
    <row r="245" spans="1:26" ht="12" customHeight="1">
      <c r="A245" s="304"/>
      <c r="B245" s="305"/>
      <c r="C245" s="304"/>
      <c r="D245" s="306"/>
      <c r="E245" s="304"/>
      <c r="F245" s="306"/>
      <c r="G245" s="304"/>
      <c r="H245" s="305"/>
      <c r="I245" s="305"/>
      <c r="J245" s="226"/>
      <c r="K245" s="226"/>
      <c r="L245" s="304"/>
      <c r="M245" s="305"/>
      <c r="N245" s="304"/>
      <c r="O245" s="305"/>
      <c r="P245" s="304"/>
      <c r="Q245" s="305"/>
      <c r="R245" s="304"/>
      <c r="S245" s="307"/>
      <c r="T245" s="226"/>
      <c r="U245" s="226"/>
      <c r="V245" s="226"/>
      <c r="W245" s="226"/>
      <c r="X245" s="226"/>
      <c r="Y245" s="226"/>
      <c r="Z245" s="226"/>
    </row>
    <row r="246" spans="1:26" ht="12" customHeight="1">
      <c r="A246" s="304"/>
      <c r="B246" s="305"/>
      <c r="C246" s="304"/>
      <c r="D246" s="306"/>
      <c r="E246" s="304"/>
      <c r="F246" s="306"/>
      <c r="G246" s="304"/>
      <c r="H246" s="305"/>
      <c r="I246" s="305"/>
      <c r="J246" s="226"/>
      <c r="K246" s="226"/>
      <c r="L246" s="304"/>
      <c r="M246" s="305"/>
      <c r="N246" s="304"/>
      <c r="O246" s="305"/>
      <c r="P246" s="304"/>
      <c r="Q246" s="305"/>
      <c r="R246" s="304"/>
      <c r="S246" s="307"/>
      <c r="T246" s="226"/>
      <c r="U246" s="226"/>
      <c r="V246" s="226"/>
      <c r="W246" s="226"/>
      <c r="X246" s="226"/>
      <c r="Y246" s="226"/>
      <c r="Z246" s="226"/>
    </row>
    <row r="247" spans="1:26" ht="12" customHeight="1">
      <c r="A247" s="304"/>
      <c r="B247" s="305"/>
      <c r="C247" s="304"/>
      <c r="D247" s="306"/>
      <c r="E247" s="304"/>
      <c r="F247" s="306"/>
      <c r="G247" s="304"/>
      <c r="H247" s="305"/>
      <c r="I247" s="305"/>
      <c r="J247" s="226"/>
      <c r="K247" s="226"/>
      <c r="L247" s="304"/>
      <c r="M247" s="305"/>
      <c r="N247" s="304"/>
      <c r="O247" s="305"/>
      <c r="P247" s="304"/>
      <c r="Q247" s="305"/>
      <c r="R247" s="304"/>
      <c r="S247" s="307"/>
      <c r="T247" s="226"/>
      <c r="U247" s="226"/>
      <c r="V247" s="226"/>
      <c r="W247" s="226"/>
      <c r="X247" s="226"/>
      <c r="Y247" s="226"/>
      <c r="Z247" s="226"/>
    </row>
    <row r="248" spans="1:26" ht="12" customHeight="1">
      <c r="A248" s="304"/>
      <c r="B248" s="305"/>
      <c r="C248" s="304"/>
      <c r="D248" s="306"/>
      <c r="E248" s="304"/>
      <c r="F248" s="306"/>
      <c r="G248" s="304"/>
      <c r="H248" s="305"/>
      <c r="I248" s="305"/>
      <c r="J248" s="226"/>
      <c r="K248" s="226"/>
      <c r="L248" s="304"/>
      <c r="M248" s="305"/>
      <c r="N248" s="304"/>
      <c r="O248" s="305"/>
      <c r="P248" s="304"/>
      <c r="Q248" s="305"/>
      <c r="R248" s="304"/>
      <c r="S248" s="307"/>
      <c r="T248" s="226"/>
      <c r="U248" s="226"/>
      <c r="V248" s="226"/>
      <c r="W248" s="226"/>
      <c r="X248" s="226"/>
      <c r="Y248" s="226"/>
      <c r="Z248" s="226"/>
    </row>
    <row r="249" spans="1:26" ht="12" customHeight="1">
      <c r="A249" s="304"/>
      <c r="B249" s="305"/>
      <c r="C249" s="304"/>
      <c r="D249" s="306"/>
      <c r="E249" s="304"/>
      <c r="F249" s="306"/>
      <c r="G249" s="304"/>
      <c r="H249" s="305"/>
      <c r="I249" s="305"/>
      <c r="J249" s="226"/>
      <c r="K249" s="226"/>
      <c r="L249" s="304"/>
      <c r="M249" s="305"/>
      <c r="N249" s="304"/>
      <c r="O249" s="305"/>
      <c r="P249" s="304"/>
      <c r="Q249" s="305"/>
      <c r="R249" s="304"/>
      <c r="S249" s="307"/>
      <c r="T249" s="226"/>
      <c r="U249" s="226"/>
      <c r="V249" s="226"/>
      <c r="W249" s="226"/>
      <c r="X249" s="226"/>
      <c r="Y249" s="226"/>
      <c r="Z249" s="226"/>
    </row>
    <row r="250" spans="1:26" ht="12" customHeight="1">
      <c r="A250" s="304"/>
      <c r="B250" s="305"/>
      <c r="C250" s="304"/>
      <c r="D250" s="306"/>
      <c r="E250" s="304"/>
      <c r="F250" s="306"/>
      <c r="G250" s="304"/>
      <c r="H250" s="305"/>
      <c r="I250" s="305"/>
      <c r="J250" s="226"/>
      <c r="K250" s="226"/>
      <c r="L250" s="304"/>
      <c r="M250" s="305"/>
      <c r="N250" s="304"/>
      <c r="O250" s="305"/>
      <c r="P250" s="304"/>
      <c r="Q250" s="305"/>
      <c r="R250" s="304"/>
      <c r="S250" s="307"/>
      <c r="T250" s="226"/>
      <c r="U250" s="226"/>
      <c r="V250" s="226"/>
      <c r="W250" s="226"/>
      <c r="X250" s="226"/>
      <c r="Y250" s="226"/>
      <c r="Z250" s="226"/>
    </row>
    <row r="251" spans="1:26" ht="12" customHeight="1">
      <c r="A251" s="304"/>
      <c r="B251" s="305"/>
      <c r="C251" s="304"/>
      <c r="D251" s="306"/>
      <c r="E251" s="304"/>
      <c r="F251" s="306"/>
      <c r="G251" s="304"/>
      <c r="H251" s="305"/>
      <c r="I251" s="305"/>
      <c r="J251" s="226"/>
      <c r="K251" s="226"/>
      <c r="L251" s="304"/>
      <c r="M251" s="305"/>
      <c r="N251" s="304"/>
      <c r="O251" s="305"/>
      <c r="P251" s="304"/>
      <c r="Q251" s="305"/>
      <c r="R251" s="304"/>
      <c r="S251" s="307"/>
      <c r="T251" s="226"/>
      <c r="U251" s="226"/>
      <c r="V251" s="226"/>
      <c r="W251" s="226"/>
      <c r="X251" s="226"/>
      <c r="Y251" s="226"/>
      <c r="Z251" s="226"/>
    </row>
    <row r="252" spans="1:26" ht="12" customHeight="1">
      <c r="A252" s="304"/>
      <c r="B252" s="305"/>
      <c r="C252" s="304"/>
      <c r="D252" s="306"/>
      <c r="E252" s="304"/>
      <c r="F252" s="306"/>
      <c r="G252" s="304"/>
      <c r="H252" s="305"/>
      <c r="I252" s="305"/>
      <c r="J252" s="226"/>
      <c r="K252" s="226"/>
      <c r="L252" s="304"/>
      <c r="M252" s="305"/>
      <c r="N252" s="304"/>
      <c r="O252" s="305"/>
      <c r="P252" s="304"/>
      <c r="Q252" s="305"/>
      <c r="R252" s="304"/>
      <c r="S252" s="307"/>
      <c r="T252" s="226"/>
      <c r="U252" s="226"/>
      <c r="V252" s="226"/>
      <c r="W252" s="226"/>
      <c r="X252" s="226"/>
      <c r="Y252" s="226"/>
      <c r="Z252" s="226"/>
    </row>
    <row r="253" spans="1:26" ht="12" customHeight="1">
      <c r="A253" s="304"/>
      <c r="B253" s="305"/>
      <c r="C253" s="304"/>
      <c r="D253" s="306"/>
      <c r="E253" s="304"/>
      <c r="F253" s="306"/>
      <c r="G253" s="304"/>
      <c r="H253" s="305"/>
      <c r="I253" s="305"/>
      <c r="J253" s="226"/>
      <c r="K253" s="226"/>
      <c r="L253" s="304"/>
      <c r="M253" s="305"/>
      <c r="N253" s="304"/>
      <c r="O253" s="305"/>
      <c r="P253" s="304"/>
      <c r="Q253" s="305"/>
      <c r="R253" s="304"/>
      <c r="S253" s="307"/>
      <c r="T253" s="226"/>
      <c r="U253" s="226"/>
      <c r="V253" s="226"/>
      <c r="W253" s="226"/>
      <c r="X253" s="226"/>
      <c r="Y253" s="226"/>
      <c r="Z253" s="226"/>
    </row>
    <row r="254" spans="1:26" ht="12" customHeight="1">
      <c r="A254" s="304"/>
      <c r="B254" s="305"/>
      <c r="C254" s="304"/>
      <c r="D254" s="306"/>
      <c r="E254" s="304"/>
      <c r="F254" s="306"/>
      <c r="G254" s="304"/>
      <c r="H254" s="305"/>
      <c r="I254" s="305"/>
      <c r="J254" s="226"/>
      <c r="K254" s="226"/>
      <c r="L254" s="304"/>
      <c r="M254" s="305"/>
      <c r="N254" s="304"/>
      <c r="O254" s="305"/>
      <c r="P254" s="304"/>
      <c r="Q254" s="305"/>
      <c r="R254" s="304"/>
      <c r="S254" s="307"/>
      <c r="T254" s="226"/>
      <c r="U254" s="226"/>
      <c r="V254" s="226"/>
      <c r="W254" s="226"/>
      <c r="X254" s="226"/>
      <c r="Y254" s="226"/>
      <c r="Z254" s="226"/>
    </row>
    <row r="255" spans="1:26" ht="12" customHeight="1">
      <c r="A255" s="304"/>
      <c r="B255" s="305"/>
      <c r="C255" s="304"/>
      <c r="D255" s="306"/>
      <c r="E255" s="304"/>
      <c r="F255" s="306"/>
      <c r="G255" s="304"/>
      <c r="H255" s="305"/>
      <c r="I255" s="305"/>
      <c r="J255" s="226"/>
      <c r="K255" s="226"/>
      <c r="L255" s="304"/>
      <c r="M255" s="305"/>
      <c r="N255" s="304"/>
      <c r="O255" s="305"/>
      <c r="P255" s="304"/>
      <c r="Q255" s="305"/>
      <c r="R255" s="304"/>
      <c r="S255" s="307"/>
      <c r="T255" s="226"/>
      <c r="U255" s="226"/>
      <c r="V255" s="226"/>
      <c r="W255" s="226"/>
      <c r="X255" s="226"/>
      <c r="Y255" s="226"/>
      <c r="Z255" s="226"/>
    </row>
    <row r="256" spans="1:26" ht="12" customHeight="1">
      <c r="A256" s="304"/>
      <c r="B256" s="305"/>
      <c r="C256" s="304"/>
      <c r="D256" s="306"/>
      <c r="E256" s="304"/>
      <c r="F256" s="306"/>
      <c r="G256" s="304"/>
      <c r="H256" s="305"/>
      <c r="I256" s="305"/>
      <c r="J256" s="226"/>
      <c r="K256" s="226"/>
      <c r="L256" s="304"/>
      <c r="M256" s="305"/>
      <c r="N256" s="304"/>
      <c r="O256" s="305"/>
      <c r="P256" s="304"/>
      <c r="Q256" s="305"/>
      <c r="R256" s="304"/>
      <c r="S256" s="307"/>
      <c r="T256" s="226"/>
      <c r="U256" s="226"/>
      <c r="V256" s="226"/>
      <c r="W256" s="226"/>
      <c r="X256" s="226"/>
      <c r="Y256" s="226"/>
      <c r="Z256" s="226"/>
    </row>
    <row r="257" spans="1:26" ht="12" customHeight="1">
      <c r="A257" s="304"/>
      <c r="B257" s="305"/>
      <c r="C257" s="304"/>
      <c r="D257" s="306"/>
      <c r="E257" s="304"/>
      <c r="F257" s="306"/>
      <c r="G257" s="304"/>
      <c r="H257" s="305"/>
      <c r="I257" s="305"/>
      <c r="J257" s="226"/>
      <c r="K257" s="226"/>
      <c r="L257" s="304"/>
      <c r="M257" s="305"/>
      <c r="N257" s="304"/>
      <c r="O257" s="305"/>
      <c r="P257" s="304"/>
      <c r="Q257" s="305"/>
      <c r="R257" s="304"/>
      <c r="S257" s="307"/>
      <c r="T257" s="226"/>
      <c r="U257" s="226"/>
      <c r="V257" s="226"/>
      <c r="W257" s="226"/>
      <c r="X257" s="226"/>
      <c r="Y257" s="226"/>
      <c r="Z257" s="226"/>
    </row>
    <row r="258" spans="1:26" ht="12" customHeight="1">
      <c r="A258" s="304"/>
      <c r="B258" s="305"/>
      <c r="C258" s="304"/>
      <c r="D258" s="306"/>
      <c r="E258" s="304"/>
      <c r="F258" s="306"/>
      <c r="G258" s="304"/>
      <c r="H258" s="305"/>
      <c r="I258" s="305"/>
      <c r="J258" s="226"/>
      <c r="K258" s="226"/>
      <c r="L258" s="304"/>
      <c r="M258" s="305"/>
      <c r="N258" s="304"/>
      <c r="O258" s="305"/>
      <c r="P258" s="304"/>
      <c r="Q258" s="305"/>
      <c r="R258" s="304"/>
      <c r="S258" s="307"/>
      <c r="T258" s="226"/>
      <c r="U258" s="226"/>
      <c r="V258" s="226"/>
      <c r="W258" s="226"/>
      <c r="X258" s="226"/>
      <c r="Y258" s="226"/>
      <c r="Z258" s="226"/>
    </row>
    <row r="259" spans="1:26" ht="12" customHeight="1">
      <c r="A259" s="304"/>
      <c r="B259" s="305"/>
      <c r="C259" s="304"/>
      <c r="D259" s="306"/>
      <c r="E259" s="304"/>
      <c r="F259" s="306"/>
      <c r="G259" s="304"/>
      <c r="H259" s="305"/>
      <c r="I259" s="305"/>
      <c r="J259" s="226"/>
      <c r="K259" s="226"/>
      <c r="L259" s="304"/>
      <c r="M259" s="305"/>
      <c r="N259" s="304"/>
      <c r="O259" s="305"/>
      <c r="P259" s="304"/>
      <c r="Q259" s="305"/>
      <c r="R259" s="304"/>
      <c r="S259" s="307"/>
      <c r="T259" s="226"/>
      <c r="U259" s="226"/>
      <c r="V259" s="226"/>
      <c r="W259" s="226"/>
      <c r="X259" s="226"/>
      <c r="Y259" s="226"/>
      <c r="Z259" s="226"/>
    </row>
    <row r="260" spans="1:26" ht="12" customHeight="1">
      <c r="A260" s="304"/>
      <c r="B260" s="305"/>
      <c r="C260" s="304"/>
      <c r="D260" s="306"/>
      <c r="E260" s="304"/>
      <c r="F260" s="306"/>
      <c r="G260" s="304"/>
      <c r="H260" s="305"/>
      <c r="I260" s="305"/>
      <c r="J260" s="226"/>
      <c r="K260" s="226"/>
      <c r="L260" s="304"/>
      <c r="M260" s="305"/>
      <c r="N260" s="304"/>
      <c r="O260" s="305"/>
      <c r="P260" s="304"/>
      <c r="Q260" s="305"/>
      <c r="R260" s="304"/>
      <c r="S260" s="307"/>
      <c r="T260" s="226"/>
      <c r="U260" s="226"/>
      <c r="V260" s="226"/>
      <c r="W260" s="226"/>
      <c r="X260" s="226"/>
      <c r="Y260" s="226"/>
      <c r="Z260" s="226"/>
    </row>
    <row r="261" spans="1:26" ht="12" customHeight="1">
      <c r="A261" s="304"/>
      <c r="B261" s="305"/>
      <c r="C261" s="304"/>
      <c r="D261" s="306"/>
      <c r="E261" s="304"/>
      <c r="F261" s="306"/>
      <c r="G261" s="304"/>
      <c r="H261" s="305"/>
      <c r="I261" s="305"/>
      <c r="J261" s="226"/>
      <c r="K261" s="226"/>
      <c r="L261" s="304"/>
      <c r="M261" s="305"/>
      <c r="N261" s="304"/>
      <c r="O261" s="305"/>
      <c r="P261" s="304"/>
      <c r="Q261" s="305"/>
      <c r="R261" s="304"/>
      <c r="S261" s="307"/>
      <c r="T261" s="226"/>
      <c r="U261" s="226"/>
      <c r="V261" s="226"/>
      <c r="W261" s="226"/>
      <c r="X261" s="226"/>
      <c r="Y261" s="226"/>
      <c r="Z261" s="226"/>
    </row>
    <row r="262" spans="1:26" ht="12" customHeight="1">
      <c r="A262" s="304"/>
      <c r="B262" s="305"/>
      <c r="C262" s="304"/>
      <c r="D262" s="306"/>
      <c r="E262" s="304"/>
      <c r="F262" s="306"/>
      <c r="G262" s="304"/>
      <c r="H262" s="305"/>
      <c r="I262" s="305"/>
      <c r="J262" s="226"/>
      <c r="K262" s="226"/>
      <c r="L262" s="304"/>
      <c r="M262" s="305"/>
      <c r="N262" s="304"/>
      <c r="O262" s="305"/>
      <c r="P262" s="304"/>
      <c r="Q262" s="305"/>
      <c r="R262" s="304"/>
      <c r="S262" s="307"/>
      <c r="T262" s="226"/>
      <c r="U262" s="226"/>
      <c r="V262" s="226"/>
      <c r="W262" s="226"/>
      <c r="X262" s="226"/>
      <c r="Y262" s="226"/>
      <c r="Z262" s="226"/>
    </row>
    <row r="263" spans="1:26" ht="12" customHeight="1">
      <c r="A263" s="304"/>
      <c r="B263" s="305"/>
      <c r="C263" s="304"/>
      <c r="D263" s="306"/>
      <c r="E263" s="304"/>
      <c r="F263" s="306"/>
      <c r="G263" s="304"/>
      <c r="H263" s="305"/>
      <c r="I263" s="305"/>
      <c r="J263" s="226"/>
      <c r="K263" s="226"/>
      <c r="L263" s="304"/>
      <c r="M263" s="305"/>
      <c r="N263" s="304"/>
      <c r="O263" s="305"/>
      <c r="P263" s="304"/>
      <c r="Q263" s="305"/>
      <c r="R263" s="304"/>
      <c r="S263" s="307"/>
      <c r="T263" s="226"/>
      <c r="U263" s="226"/>
      <c r="V263" s="226"/>
      <c r="W263" s="226"/>
      <c r="X263" s="226"/>
      <c r="Y263" s="226"/>
      <c r="Z263" s="226"/>
    </row>
    <row r="264" spans="1:26" ht="12" customHeight="1">
      <c r="A264" s="304"/>
      <c r="B264" s="305"/>
      <c r="C264" s="304"/>
      <c r="D264" s="306"/>
      <c r="E264" s="304"/>
      <c r="F264" s="306"/>
      <c r="G264" s="304"/>
      <c r="H264" s="305"/>
      <c r="I264" s="305"/>
      <c r="J264" s="226"/>
      <c r="K264" s="226"/>
      <c r="L264" s="304"/>
      <c r="M264" s="305"/>
      <c r="N264" s="304"/>
      <c r="O264" s="305"/>
      <c r="P264" s="304"/>
      <c r="Q264" s="305"/>
      <c r="R264" s="304"/>
      <c r="S264" s="307"/>
      <c r="T264" s="226"/>
      <c r="U264" s="226"/>
      <c r="V264" s="226"/>
      <c r="W264" s="226"/>
      <c r="X264" s="226"/>
      <c r="Y264" s="226"/>
      <c r="Z264" s="226"/>
    </row>
    <row r="265" spans="1:26" ht="12" customHeight="1">
      <c r="A265" s="304"/>
      <c r="B265" s="305"/>
      <c r="C265" s="304"/>
      <c r="D265" s="306"/>
      <c r="E265" s="304"/>
      <c r="F265" s="306"/>
      <c r="G265" s="304"/>
      <c r="H265" s="305"/>
      <c r="I265" s="305"/>
      <c r="J265" s="226"/>
      <c r="K265" s="226"/>
      <c r="L265" s="304"/>
      <c r="M265" s="305"/>
      <c r="N265" s="304"/>
      <c r="O265" s="305"/>
      <c r="P265" s="304"/>
      <c r="Q265" s="305"/>
      <c r="R265" s="304"/>
      <c r="S265" s="307"/>
      <c r="T265" s="226"/>
      <c r="U265" s="226"/>
      <c r="V265" s="226"/>
      <c r="W265" s="226"/>
      <c r="X265" s="226"/>
      <c r="Y265" s="226"/>
      <c r="Z265" s="226"/>
    </row>
    <row r="266" spans="1:26" ht="12" customHeight="1">
      <c r="A266" s="304"/>
      <c r="B266" s="305"/>
      <c r="C266" s="304"/>
      <c r="D266" s="306"/>
      <c r="E266" s="304"/>
      <c r="F266" s="306"/>
      <c r="G266" s="304"/>
      <c r="H266" s="305"/>
      <c r="I266" s="305"/>
      <c r="J266" s="226"/>
      <c r="K266" s="226"/>
      <c r="L266" s="304"/>
      <c r="M266" s="305"/>
      <c r="N266" s="304"/>
      <c r="O266" s="305"/>
      <c r="P266" s="304"/>
      <c r="Q266" s="305"/>
      <c r="R266" s="304"/>
      <c r="S266" s="307"/>
      <c r="T266" s="226"/>
      <c r="U266" s="226"/>
      <c r="V266" s="226"/>
      <c r="W266" s="226"/>
      <c r="X266" s="226"/>
      <c r="Y266" s="226"/>
      <c r="Z266" s="226"/>
    </row>
    <row r="267" spans="1:26" ht="12" customHeight="1">
      <c r="A267" s="304"/>
      <c r="B267" s="305"/>
      <c r="C267" s="304"/>
      <c r="D267" s="306"/>
      <c r="E267" s="304"/>
      <c r="F267" s="306"/>
      <c r="G267" s="304"/>
      <c r="H267" s="305"/>
      <c r="I267" s="305"/>
      <c r="J267" s="226"/>
      <c r="K267" s="226"/>
      <c r="L267" s="304"/>
      <c r="M267" s="305"/>
      <c r="N267" s="304"/>
      <c r="O267" s="305"/>
      <c r="P267" s="304"/>
      <c r="Q267" s="305"/>
      <c r="R267" s="304"/>
      <c r="S267" s="307"/>
      <c r="T267" s="226"/>
      <c r="U267" s="226"/>
      <c r="V267" s="226"/>
      <c r="W267" s="226"/>
      <c r="X267" s="226"/>
      <c r="Y267" s="226"/>
      <c r="Z267" s="226"/>
    </row>
    <row r="268" spans="1:26" ht="12" customHeight="1">
      <c r="A268" s="304"/>
      <c r="B268" s="305"/>
      <c r="C268" s="304"/>
      <c r="D268" s="306"/>
      <c r="E268" s="304"/>
      <c r="F268" s="306"/>
      <c r="G268" s="304"/>
      <c r="H268" s="305"/>
      <c r="I268" s="305"/>
      <c r="J268" s="226"/>
      <c r="K268" s="226"/>
      <c r="L268" s="304"/>
      <c r="M268" s="305"/>
      <c r="N268" s="304"/>
      <c r="O268" s="305"/>
      <c r="P268" s="304"/>
      <c r="Q268" s="305"/>
      <c r="R268" s="304"/>
      <c r="S268" s="307"/>
      <c r="T268" s="226"/>
      <c r="U268" s="226"/>
      <c r="V268" s="226"/>
      <c r="W268" s="226"/>
      <c r="X268" s="226"/>
      <c r="Y268" s="226"/>
      <c r="Z268" s="226"/>
    </row>
    <row r="269" spans="1:26" ht="12" customHeight="1">
      <c r="A269" s="304"/>
      <c r="B269" s="305"/>
      <c r="C269" s="304"/>
      <c r="D269" s="306"/>
      <c r="E269" s="304"/>
      <c r="F269" s="306"/>
      <c r="G269" s="304"/>
      <c r="H269" s="305"/>
      <c r="I269" s="305"/>
      <c r="J269" s="226"/>
      <c r="K269" s="226"/>
      <c r="L269" s="304"/>
      <c r="M269" s="305"/>
      <c r="N269" s="304"/>
      <c r="O269" s="305"/>
      <c r="P269" s="304"/>
      <c r="Q269" s="305"/>
      <c r="R269" s="304"/>
      <c r="S269" s="307"/>
      <c r="T269" s="226"/>
      <c r="U269" s="226"/>
      <c r="V269" s="226"/>
      <c r="W269" s="226"/>
      <c r="X269" s="226"/>
      <c r="Y269" s="226"/>
      <c r="Z269" s="226"/>
    </row>
    <row r="270" spans="1:26" ht="12" customHeight="1">
      <c r="A270" s="304"/>
      <c r="B270" s="305"/>
      <c r="C270" s="304"/>
      <c r="D270" s="306"/>
      <c r="E270" s="304"/>
      <c r="F270" s="306"/>
      <c r="G270" s="304"/>
      <c r="H270" s="305"/>
      <c r="I270" s="305"/>
      <c r="J270" s="226"/>
      <c r="K270" s="226"/>
      <c r="L270" s="304"/>
      <c r="M270" s="305"/>
      <c r="N270" s="304"/>
      <c r="O270" s="305"/>
      <c r="P270" s="304"/>
      <c r="Q270" s="305"/>
      <c r="R270" s="304"/>
      <c r="S270" s="307"/>
      <c r="T270" s="226"/>
      <c r="U270" s="226"/>
      <c r="V270" s="226"/>
      <c r="W270" s="226"/>
      <c r="X270" s="226"/>
      <c r="Y270" s="226"/>
      <c r="Z270" s="226"/>
    </row>
    <row r="271" spans="1:26" ht="12" customHeight="1">
      <c r="A271" s="304"/>
      <c r="B271" s="305"/>
      <c r="C271" s="304"/>
      <c r="D271" s="306"/>
      <c r="E271" s="304"/>
      <c r="F271" s="306"/>
      <c r="G271" s="304"/>
      <c r="H271" s="305"/>
      <c r="I271" s="305"/>
      <c r="J271" s="226"/>
      <c r="K271" s="226"/>
      <c r="L271" s="304"/>
      <c r="M271" s="305"/>
      <c r="N271" s="304"/>
      <c r="O271" s="305"/>
      <c r="P271" s="304"/>
      <c r="Q271" s="305"/>
      <c r="R271" s="304"/>
      <c r="S271" s="307"/>
      <c r="T271" s="226"/>
      <c r="U271" s="226"/>
      <c r="V271" s="226"/>
      <c r="W271" s="226"/>
      <c r="X271" s="226"/>
      <c r="Y271" s="226"/>
      <c r="Z271" s="226"/>
    </row>
    <row r="272" spans="1:26" ht="12" customHeight="1">
      <c r="A272" s="304"/>
      <c r="B272" s="305"/>
      <c r="C272" s="304"/>
      <c r="D272" s="306"/>
      <c r="E272" s="304"/>
      <c r="F272" s="306"/>
      <c r="G272" s="304"/>
      <c r="H272" s="305"/>
      <c r="I272" s="305"/>
      <c r="J272" s="226"/>
      <c r="K272" s="226"/>
      <c r="L272" s="304"/>
      <c r="M272" s="305"/>
      <c r="N272" s="304"/>
      <c r="O272" s="305"/>
      <c r="P272" s="304"/>
      <c r="Q272" s="305"/>
      <c r="R272" s="304"/>
      <c r="S272" s="307"/>
      <c r="T272" s="226"/>
      <c r="U272" s="226"/>
      <c r="V272" s="226"/>
      <c r="W272" s="226"/>
      <c r="X272" s="226"/>
      <c r="Y272" s="226"/>
      <c r="Z272" s="226"/>
    </row>
    <row r="273" spans="1:26" ht="12" customHeight="1">
      <c r="A273" s="304"/>
      <c r="B273" s="305"/>
      <c r="C273" s="304"/>
      <c r="D273" s="306"/>
      <c r="E273" s="304"/>
      <c r="F273" s="306"/>
      <c r="G273" s="304"/>
      <c r="H273" s="305"/>
      <c r="I273" s="305"/>
      <c r="J273" s="226"/>
      <c r="K273" s="226"/>
      <c r="L273" s="304"/>
      <c r="M273" s="305"/>
      <c r="N273" s="304"/>
      <c r="O273" s="305"/>
      <c r="P273" s="304"/>
      <c r="Q273" s="305"/>
      <c r="R273" s="304"/>
      <c r="S273" s="307"/>
      <c r="T273" s="226"/>
      <c r="U273" s="226"/>
      <c r="V273" s="226"/>
      <c r="W273" s="226"/>
      <c r="X273" s="226"/>
      <c r="Y273" s="226"/>
      <c r="Z273" s="226"/>
    </row>
    <row r="274" spans="1:26" ht="12" customHeight="1">
      <c r="A274" s="304"/>
      <c r="B274" s="305"/>
      <c r="C274" s="304"/>
      <c r="D274" s="306"/>
      <c r="E274" s="304"/>
      <c r="F274" s="306"/>
      <c r="G274" s="304"/>
      <c r="H274" s="305"/>
      <c r="I274" s="305"/>
      <c r="J274" s="226"/>
      <c r="K274" s="226"/>
      <c r="L274" s="304"/>
      <c r="M274" s="305"/>
      <c r="N274" s="304"/>
      <c r="O274" s="305"/>
      <c r="P274" s="304"/>
      <c r="Q274" s="305"/>
      <c r="R274" s="304"/>
      <c r="S274" s="307"/>
      <c r="T274" s="226"/>
      <c r="U274" s="226"/>
      <c r="V274" s="226"/>
      <c r="W274" s="226"/>
      <c r="X274" s="226"/>
      <c r="Y274" s="226"/>
      <c r="Z274" s="226"/>
    </row>
    <row r="275" spans="1:26" ht="12" customHeight="1">
      <c r="A275" s="304"/>
      <c r="B275" s="305"/>
      <c r="C275" s="304"/>
      <c r="D275" s="306"/>
      <c r="E275" s="304"/>
      <c r="F275" s="306"/>
      <c r="G275" s="304"/>
      <c r="H275" s="305"/>
      <c r="I275" s="305"/>
      <c r="J275" s="226"/>
      <c r="K275" s="226"/>
      <c r="L275" s="304"/>
      <c r="M275" s="305"/>
      <c r="N275" s="304"/>
      <c r="O275" s="305"/>
      <c r="P275" s="304"/>
      <c r="Q275" s="305"/>
      <c r="R275" s="304"/>
      <c r="S275" s="307"/>
      <c r="T275" s="226"/>
      <c r="U275" s="226"/>
      <c r="V275" s="226"/>
      <c r="W275" s="226"/>
      <c r="X275" s="226"/>
      <c r="Y275" s="226"/>
      <c r="Z275" s="226"/>
    </row>
    <row r="276" spans="1:26" ht="12" customHeight="1">
      <c r="A276" s="304"/>
      <c r="B276" s="305"/>
      <c r="C276" s="304"/>
      <c r="D276" s="306"/>
      <c r="E276" s="304"/>
      <c r="F276" s="306"/>
      <c r="G276" s="304"/>
      <c r="H276" s="305"/>
      <c r="I276" s="305"/>
      <c r="J276" s="226"/>
      <c r="K276" s="226"/>
      <c r="L276" s="304"/>
      <c r="M276" s="305"/>
      <c r="N276" s="304"/>
      <c r="O276" s="305"/>
      <c r="P276" s="304"/>
      <c r="Q276" s="305"/>
      <c r="R276" s="304"/>
      <c r="S276" s="307"/>
      <c r="T276" s="226"/>
      <c r="U276" s="226"/>
      <c r="V276" s="226"/>
      <c r="W276" s="226"/>
      <c r="X276" s="226"/>
      <c r="Y276" s="226"/>
      <c r="Z276" s="226"/>
    </row>
    <row r="277" spans="1:26" ht="12" customHeight="1">
      <c r="A277" s="304"/>
      <c r="B277" s="305"/>
      <c r="C277" s="304"/>
      <c r="D277" s="306"/>
      <c r="E277" s="304"/>
      <c r="F277" s="306"/>
      <c r="G277" s="304"/>
      <c r="H277" s="305"/>
      <c r="I277" s="305"/>
      <c r="J277" s="226"/>
      <c r="K277" s="226"/>
      <c r="L277" s="304"/>
      <c r="M277" s="305"/>
      <c r="N277" s="304"/>
      <c r="O277" s="305"/>
      <c r="P277" s="304"/>
      <c r="Q277" s="305"/>
      <c r="R277" s="304"/>
      <c r="S277" s="307"/>
      <c r="T277" s="226"/>
      <c r="U277" s="226"/>
      <c r="V277" s="226"/>
      <c r="W277" s="226"/>
      <c r="X277" s="226"/>
      <c r="Y277" s="226"/>
      <c r="Z277" s="226"/>
    </row>
    <row r="278" spans="1:26" ht="12" customHeight="1">
      <c r="A278" s="304"/>
      <c r="B278" s="305"/>
      <c r="C278" s="304"/>
      <c r="D278" s="306"/>
      <c r="E278" s="304"/>
      <c r="F278" s="306"/>
      <c r="G278" s="304"/>
      <c r="H278" s="305"/>
      <c r="I278" s="305"/>
      <c r="J278" s="226"/>
      <c r="K278" s="226"/>
      <c r="L278" s="304"/>
      <c r="M278" s="305"/>
      <c r="N278" s="304"/>
      <c r="O278" s="305"/>
      <c r="P278" s="304"/>
      <c r="Q278" s="305"/>
      <c r="R278" s="304"/>
      <c r="S278" s="307"/>
      <c r="T278" s="226"/>
      <c r="U278" s="226"/>
      <c r="V278" s="226"/>
      <c r="W278" s="226"/>
      <c r="X278" s="226"/>
      <c r="Y278" s="226"/>
      <c r="Z278" s="226"/>
    </row>
    <row r="279" spans="1:26" ht="12" customHeight="1">
      <c r="A279" s="304"/>
      <c r="B279" s="305"/>
      <c r="C279" s="304"/>
      <c r="D279" s="306"/>
      <c r="E279" s="304"/>
      <c r="F279" s="306"/>
      <c r="G279" s="304"/>
      <c r="H279" s="305"/>
      <c r="I279" s="305"/>
      <c r="J279" s="226"/>
      <c r="K279" s="226"/>
      <c r="L279" s="304"/>
      <c r="M279" s="305"/>
      <c r="N279" s="304"/>
      <c r="O279" s="305"/>
      <c r="P279" s="304"/>
      <c r="Q279" s="305"/>
      <c r="R279" s="304"/>
      <c r="S279" s="307"/>
      <c r="T279" s="226"/>
      <c r="U279" s="226"/>
      <c r="V279" s="226"/>
      <c r="W279" s="226"/>
      <c r="X279" s="226"/>
      <c r="Y279" s="226"/>
      <c r="Z279" s="226"/>
    </row>
    <row r="280" spans="1:26" ht="12" customHeight="1">
      <c r="A280" s="304"/>
      <c r="B280" s="305"/>
      <c r="C280" s="304"/>
      <c r="D280" s="306"/>
      <c r="E280" s="304"/>
      <c r="F280" s="306"/>
      <c r="G280" s="304"/>
      <c r="H280" s="305"/>
      <c r="I280" s="305"/>
      <c r="J280" s="226"/>
      <c r="K280" s="226"/>
      <c r="L280" s="304"/>
      <c r="M280" s="305"/>
      <c r="N280" s="304"/>
      <c r="O280" s="305"/>
      <c r="P280" s="304"/>
      <c r="Q280" s="305"/>
      <c r="R280" s="304"/>
      <c r="S280" s="307"/>
      <c r="T280" s="226"/>
      <c r="U280" s="226"/>
      <c r="V280" s="226"/>
      <c r="W280" s="226"/>
      <c r="X280" s="226"/>
      <c r="Y280" s="226"/>
      <c r="Z280" s="226"/>
    </row>
    <row r="281" spans="1:26" ht="12" customHeight="1">
      <c r="A281" s="304"/>
      <c r="B281" s="305"/>
      <c r="C281" s="304"/>
      <c r="D281" s="306"/>
      <c r="E281" s="304"/>
      <c r="F281" s="306"/>
      <c r="G281" s="304"/>
      <c r="H281" s="305"/>
      <c r="I281" s="305"/>
      <c r="J281" s="226"/>
      <c r="K281" s="226"/>
      <c r="L281" s="304"/>
      <c r="M281" s="305"/>
      <c r="N281" s="304"/>
      <c r="O281" s="305"/>
      <c r="P281" s="304"/>
      <c r="Q281" s="305"/>
      <c r="R281" s="304"/>
      <c r="S281" s="307"/>
      <c r="T281" s="226"/>
      <c r="U281" s="226"/>
      <c r="V281" s="226"/>
      <c r="W281" s="226"/>
      <c r="X281" s="226"/>
      <c r="Y281" s="226"/>
      <c r="Z281" s="226"/>
    </row>
    <row r="282" spans="1:26" ht="12" customHeight="1">
      <c r="A282" s="304"/>
      <c r="B282" s="305"/>
      <c r="C282" s="304"/>
      <c r="D282" s="306"/>
      <c r="E282" s="304"/>
      <c r="F282" s="306"/>
      <c r="G282" s="304"/>
      <c r="H282" s="305"/>
      <c r="I282" s="305"/>
      <c r="J282" s="226"/>
      <c r="K282" s="226"/>
      <c r="L282" s="304"/>
      <c r="M282" s="305"/>
      <c r="N282" s="304"/>
      <c r="O282" s="305"/>
      <c r="P282" s="304"/>
      <c r="Q282" s="305"/>
      <c r="R282" s="304"/>
      <c r="S282" s="307"/>
      <c r="T282" s="226"/>
      <c r="U282" s="226"/>
      <c r="V282" s="226"/>
      <c r="W282" s="226"/>
      <c r="X282" s="226"/>
      <c r="Y282" s="226"/>
      <c r="Z282" s="226"/>
    </row>
    <row r="283" spans="1:26" ht="12" customHeight="1">
      <c r="A283" s="304"/>
      <c r="B283" s="305"/>
      <c r="C283" s="304"/>
      <c r="D283" s="306"/>
      <c r="E283" s="304"/>
      <c r="F283" s="306"/>
      <c r="G283" s="304"/>
      <c r="H283" s="305"/>
      <c r="I283" s="305"/>
      <c r="J283" s="226"/>
      <c r="K283" s="226"/>
      <c r="L283" s="304"/>
      <c r="M283" s="305"/>
      <c r="N283" s="304"/>
      <c r="O283" s="305"/>
      <c r="P283" s="304"/>
      <c r="Q283" s="305"/>
      <c r="R283" s="304"/>
      <c r="S283" s="307"/>
      <c r="T283" s="226"/>
      <c r="U283" s="226"/>
      <c r="V283" s="226"/>
      <c r="W283" s="226"/>
      <c r="X283" s="226"/>
      <c r="Y283" s="226"/>
      <c r="Z283" s="226"/>
    </row>
    <row r="284" spans="1:26" ht="12" customHeight="1">
      <c r="A284" s="304"/>
      <c r="B284" s="305"/>
      <c r="C284" s="304"/>
      <c r="D284" s="306"/>
      <c r="E284" s="304"/>
      <c r="F284" s="306"/>
      <c r="G284" s="304"/>
      <c r="H284" s="305"/>
      <c r="I284" s="305"/>
      <c r="J284" s="226"/>
      <c r="K284" s="226"/>
      <c r="L284" s="304"/>
      <c r="M284" s="305"/>
      <c r="N284" s="304"/>
      <c r="O284" s="305"/>
      <c r="P284" s="304"/>
      <c r="Q284" s="305"/>
      <c r="R284" s="304"/>
      <c r="S284" s="307"/>
      <c r="T284" s="226"/>
      <c r="U284" s="226"/>
      <c r="V284" s="226"/>
      <c r="W284" s="226"/>
      <c r="X284" s="226"/>
      <c r="Y284" s="226"/>
      <c r="Z284" s="226"/>
    </row>
    <row r="285" spans="1:26" ht="12" customHeight="1">
      <c r="A285" s="304"/>
      <c r="B285" s="305"/>
      <c r="C285" s="304"/>
      <c r="D285" s="306"/>
      <c r="E285" s="304"/>
      <c r="F285" s="306"/>
      <c r="G285" s="304"/>
      <c r="H285" s="305"/>
      <c r="I285" s="305"/>
      <c r="J285" s="226"/>
      <c r="K285" s="226"/>
      <c r="L285" s="304"/>
      <c r="M285" s="305"/>
      <c r="N285" s="304"/>
      <c r="O285" s="305"/>
      <c r="P285" s="304"/>
      <c r="Q285" s="305"/>
      <c r="R285" s="304"/>
      <c r="S285" s="307"/>
      <c r="T285" s="226"/>
      <c r="U285" s="226"/>
      <c r="V285" s="226"/>
      <c r="W285" s="226"/>
      <c r="X285" s="226"/>
      <c r="Y285" s="226"/>
      <c r="Z285" s="226"/>
    </row>
    <row r="286" spans="1:26" ht="12" customHeight="1">
      <c r="A286" s="304"/>
      <c r="B286" s="305"/>
      <c r="C286" s="304"/>
      <c r="D286" s="306"/>
      <c r="E286" s="304"/>
      <c r="F286" s="306"/>
      <c r="G286" s="304"/>
      <c r="H286" s="305"/>
      <c r="I286" s="305"/>
      <c r="J286" s="226"/>
      <c r="K286" s="226"/>
      <c r="L286" s="304"/>
      <c r="M286" s="305"/>
      <c r="N286" s="304"/>
      <c r="O286" s="305"/>
      <c r="P286" s="304"/>
      <c r="Q286" s="305"/>
      <c r="R286" s="304"/>
      <c r="S286" s="307"/>
      <c r="T286" s="226"/>
      <c r="U286" s="226"/>
      <c r="V286" s="226"/>
      <c r="W286" s="226"/>
      <c r="X286" s="226"/>
      <c r="Y286" s="226"/>
      <c r="Z286" s="226"/>
    </row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A2:S2"/>
    <mergeCell ref="AA3:BW3"/>
    <mergeCell ref="A4:H4"/>
    <mergeCell ref="L4:S4"/>
    <mergeCell ref="AA4:AE4"/>
    <mergeCell ref="AG4:BR4"/>
    <mergeCell ref="BT4:BW5"/>
    <mergeCell ref="BQ5:BR5"/>
    <mergeCell ref="A5:B5"/>
    <mergeCell ref="C5:D5"/>
    <mergeCell ref="E5:F5"/>
    <mergeCell ref="G5:H5"/>
    <mergeCell ref="L5:M5"/>
    <mergeCell ref="N5:O5"/>
    <mergeCell ref="P5:Q5"/>
    <mergeCell ref="R5:S5"/>
    <mergeCell ref="AA5:AA6"/>
    <mergeCell ref="AB5:AB6"/>
    <mergeCell ref="AC5:AC6"/>
    <mergeCell ref="AM5:AN5"/>
    <mergeCell ref="AO5:AP5"/>
    <mergeCell ref="AQ5:AR5"/>
    <mergeCell ref="AD5:AD6"/>
    <mergeCell ref="AE5:AE6"/>
    <mergeCell ref="AG5:AH5"/>
    <mergeCell ref="AI5:AJ5"/>
    <mergeCell ref="AK5:AL5"/>
  </mergeCells>
  <dataValidations disablePrompts="1" count="1">
    <dataValidation type="list" allowBlank="1" showErrorMessage="1" sqref="BT7:BT82" xr:uid="{00000000-0002-0000-0400-000000000000}">
      <formula1>"A,O"</formula1>
    </dataValidation>
  </dataValidations>
  <printOptions horizontalCentered="1"/>
  <pageMargins left="0.19685039370078741" right="0.19685039370078741" top="0.31496062992125984" bottom="0.23622047244094491" header="0" footer="0"/>
  <pageSetup paperSize="9" scale="70" orientation="landscape" r:id="rId1"/>
  <headerFooter>
    <oddFooter>&amp;L&amp;F, &amp;A&amp;CPage &amp;P of &amp;RPrint on &amp;D, 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99"/>
  </sheetPr>
  <dimension ref="A1:BI1000"/>
  <sheetViews>
    <sheetView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G84" sqref="G84"/>
    </sheetView>
  </sheetViews>
  <sheetFormatPr defaultColWidth="14.42578125" defaultRowHeight="15" customHeight="1"/>
  <cols>
    <col min="1" max="1" width="12.28515625" customWidth="1"/>
    <col min="2" max="2" width="6.5703125" customWidth="1"/>
    <col min="3" max="3" width="12.28515625" customWidth="1"/>
    <col min="4" max="4" width="6.5703125" customWidth="1"/>
    <col min="5" max="5" width="12.28515625" customWidth="1"/>
    <col min="6" max="6" width="6.5703125" customWidth="1"/>
    <col min="7" max="7" width="12.28515625" customWidth="1"/>
    <col min="8" max="8" width="6.5703125" customWidth="1"/>
    <col min="9" max="9" width="2" customWidth="1"/>
    <col min="10" max="10" width="35.140625" customWidth="1"/>
    <col min="11" max="11" width="2" customWidth="1"/>
    <col min="12" max="12" width="12.28515625" customWidth="1"/>
    <col min="13" max="13" width="7.7109375" customWidth="1"/>
    <col min="14" max="14" width="12.28515625" customWidth="1"/>
    <col min="15" max="15" width="6.5703125" customWidth="1"/>
    <col min="16" max="16" width="12.28515625" customWidth="1"/>
    <col min="17" max="17" width="6.5703125" customWidth="1"/>
    <col min="18" max="18" width="12.28515625" customWidth="1"/>
    <col min="19" max="19" width="6.5703125" customWidth="1"/>
    <col min="20" max="20" width="10.42578125" customWidth="1"/>
    <col min="21" max="21" width="4.7109375" customWidth="1"/>
    <col min="22" max="26" width="2.5703125" customWidth="1"/>
  </cols>
  <sheetData>
    <row r="1" spans="1:61" ht="15" customHeight="1">
      <c r="A1" s="67"/>
      <c r="B1" s="67"/>
      <c r="C1" s="67"/>
      <c r="D1" s="67"/>
      <c r="E1" s="67"/>
      <c r="F1" s="67"/>
      <c r="G1" s="308"/>
      <c r="H1" s="67"/>
      <c r="I1" s="67"/>
      <c r="J1" s="67"/>
      <c r="K1" s="67"/>
      <c r="L1" s="67"/>
      <c r="M1" s="309"/>
      <c r="N1" s="310"/>
      <c r="O1" s="309"/>
      <c r="P1" s="310"/>
      <c r="Q1" s="309"/>
      <c r="R1" s="310"/>
      <c r="S1" s="309"/>
      <c r="T1" s="62"/>
      <c r="U1" s="62"/>
      <c r="V1" s="62"/>
      <c r="W1" s="62"/>
      <c r="X1" s="62"/>
      <c r="Y1" s="62"/>
      <c r="Z1" s="62"/>
    </row>
    <row r="2" spans="1:61" ht="15" customHeight="1">
      <c r="A2" s="664" t="s">
        <v>26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665"/>
      <c r="O2" s="665"/>
      <c r="P2" s="665"/>
      <c r="Q2" s="665"/>
      <c r="R2" s="665"/>
      <c r="S2" s="665"/>
      <c r="T2" s="64" t="s">
        <v>506</v>
      </c>
      <c r="U2" s="64">
        <f>PRD</f>
        <v>1</v>
      </c>
      <c r="V2" s="62"/>
      <c r="W2" s="62"/>
      <c r="X2" s="62"/>
      <c r="Y2" s="62"/>
      <c r="Z2" s="62"/>
    </row>
    <row r="3" spans="1:61" ht="15" customHeight="1">
      <c r="A3" s="311"/>
      <c r="B3" s="312"/>
      <c r="C3" s="311"/>
      <c r="D3" s="313"/>
      <c r="E3" s="311"/>
      <c r="F3" s="313"/>
      <c r="G3" s="218"/>
      <c r="H3" s="102"/>
      <c r="I3" s="313"/>
      <c r="J3" s="314" t="s">
        <v>613</v>
      </c>
      <c r="K3" s="313"/>
      <c r="L3" s="315"/>
      <c r="M3" s="316"/>
      <c r="N3" s="315"/>
      <c r="O3" s="316"/>
      <c r="P3" s="67"/>
      <c r="Q3" s="222" t="s">
        <v>614</v>
      </c>
      <c r="R3" s="67"/>
      <c r="S3" s="67"/>
      <c r="T3" s="62"/>
      <c r="U3" s="62"/>
      <c r="V3" s="62"/>
      <c r="W3" s="62"/>
      <c r="X3" s="62"/>
      <c r="Y3" s="62"/>
      <c r="Z3" s="62"/>
      <c r="AA3" s="656" t="s">
        <v>29</v>
      </c>
      <c r="AB3" s="660"/>
      <c r="AC3" s="660"/>
      <c r="AD3" s="660"/>
      <c r="AE3" s="660"/>
      <c r="AF3" s="660"/>
      <c r="AG3" s="660"/>
      <c r="AH3" s="660"/>
      <c r="AI3" s="660"/>
      <c r="AJ3" s="660"/>
      <c r="AK3" s="660"/>
      <c r="AL3" s="660"/>
      <c r="AM3" s="660"/>
      <c r="AN3" s="660"/>
      <c r="AO3" s="660"/>
      <c r="AP3" s="660"/>
      <c r="AQ3" s="660"/>
      <c r="AR3" s="660"/>
      <c r="AS3" s="660"/>
      <c r="AT3" s="660"/>
      <c r="AU3" s="660"/>
      <c r="AV3" s="660"/>
      <c r="AW3" s="660"/>
      <c r="AX3" s="660"/>
      <c r="AY3" s="660"/>
      <c r="AZ3" s="660"/>
      <c r="BA3" s="660"/>
      <c r="BB3" s="660"/>
      <c r="BC3" s="660"/>
      <c r="BD3" s="660"/>
      <c r="BE3" s="660"/>
      <c r="BF3" s="660"/>
      <c r="BG3" s="660"/>
      <c r="BH3" s="660"/>
      <c r="BI3" s="657"/>
    </row>
    <row r="4" spans="1:61" ht="13.5" customHeight="1">
      <c r="A4" s="666" t="s">
        <v>509</v>
      </c>
      <c r="B4" s="667"/>
      <c r="C4" s="667"/>
      <c r="D4" s="667"/>
      <c r="E4" s="667"/>
      <c r="F4" s="667"/>
      <c r="G4" s="667"/>
      <c r="H4" s="668"/>
      <c r="I4" s="317"/>
      <c r="J4" s="225"/>
      <c r="K4" s="317"/>
      <c r="L4" s="669" t="s">
        <v>510</v>
      </c>
      <c r="M4" s="667"/>
      <c r="N4" s="667"/>
      <c r="O4" s="667"/>
      <c r="P4" s="667"/>
      <c r="Q4" s="667"/>
      <c r="R4" s="667"/>
      <c r="S4" s="670"/>
      <c r="T4" s="226"/>
      <c r="U4" s="226"/>
      <c r="V4" s="226"/>
      <c r="W4" s="226"/>
      <c r="X4" s="226"/>
      <c r="Y4" s="226"/>
      <c r="Z4" s="226"/>
      <c r="AA4" s="671" t="s">
        <v>30</v>
      </c>
      <c r="AB4" s="665"/>
      <c r="AC4" s="665"/>
      <c r="AD4" s="665"/>
      <c r="AE4" s="665"/>
      <c r="AF4" s="73"/>
      <c r="AG4" s="671" t="s">
        <v>31</v>
      </c>
      <c r="AH4" s="665"/>
      <c r="AI4" s="665"/>
      <c r="AJ4" s="665"/>
      <c r="AK4" s="665"/>
      <c r="AL4" s="665"/>
      <c r="AM4" s="665"/>
      <c r="AN4" s="665"/>
      <c r="AO4" s="665"/>
      <c r="AP4" s="665"/>
      <c r="AQ4" s="665"/>
      <c r="AR4" s="665"/>
      <c r="AS4" s="665"/>
      <c r="AT4" s="665"/>
      <c r="AU4" s="665"/>
      <c r="AV4" s="665"/>
      <c r="AW4" s="665"/>
      <c r="AX4" s="665"/>
      <c r="AY4" s="665"/>
      <c r="AZ4" s="672"/>
      <c r="BA4" s="74"/>
      <c r="BB4" s="673" t="s">
        <v>32</v>
      </c>
      <c r="BC4" s="674"/>
      <c r="BD4" s="674"/>
      <c r="BE4" s="675"/>
      <c r="BF4" s="673" t="s">
        <v>32</v>
      </c>
      <c r="BG4" s="674"/>
      <c r="BH4" s="674"/>
      <c r="BI4" s="675"/>
    </row>
    <row r="5" spans="1:61" ht="14.25" customHeight="1">
      <c r="A5" s="679" t="s">
        <v>511</v>
      </c>
      <c r="B5" s="662"/>
      <c r="C5" s="661" t="s">
        <v>512</v>
      </c>
      <c r="D5" s="662"/>
      <c r="E5" s="661" t="s">
        <v>513</v>
      </c>
      <c r="F5" s="662"/>
      <c r="G5" s="661" t="s">
        <v>514</v>
      </c>
      <c r="H5" s="662"/>
      <c r="I5" s="318"/>
      <c r="J5" s="229" t="s">
        <v>515</v>
      </c>
      <c r="K5" s="318"/>
      <c r="L5" s="661" t="s">
        <v>514</v>
      </c>
      <c r="M5" s="662"/>
      <c r="N5" s="661" t="s">
        <v>513</v>
      </c>
      <c r="O5" s="662"/>
      <c r="P5" s="661" t="s">
        <v>512</v>
      </c>
      <c r="Q5" s="662"/>
      <c r="R5" s="661" t="s">
        <v>511</v>
      </c>
      <c r="S5" s="663"/>
      <c r="T5" s="319"/>
      <c r="U5" s="319"/>
      <c r="V5" s="319"/>
      <c r="W5" s="319"/>
      <c r="X5" s="319"/>
      <c r="Y5" s="319"/>
      <c r="Z5" s="319"/>
      <c r="AA5" s="658" t="s">
        <v>38</v>
      </c>
      <c r="AB5" s="658" t="s">
        <v>39</v>
      </c>
      <c r="AC5" s="658" t="s">
        <v>40</v>
      </c>
      <c r="AD5" s="658" t="s">
        <v>41</v>
      </c>
      <c r="AE5" s="673" t="s">
        <v>42</v>
      </c>
      <c r="AF5" s="80"/>
      <c r="AG5" s="656" t="s">
        <v>43</v>
      </c>
      <c r="AH5" s="660"/>
      <c r="AI5" s="656" t="s">
        <v>44</v>
      </c>
      <c r="AJ5" s="660"/>
      <c r="AK5" s="656" t="s">
        <v>45</v>
      </c>
      <c r="AL5" s="660"/>
      <c r="AM5" s="656" t="s">
        <v>46</v>
      </c>
      <c r="AN5" s="657"/>
      <c r="AO5" s="680" t="s">
        <v>47</v>
      </c>
      <c r="AP5" s="660"/>
      <c r="AQ5" s="656" t="s">
        <v>48</v>
      </c>
      <c r="AR5" s="657"/>
      <c r="AS5" s="680" t="s">
        <v>49</v>
      </c>
      <c r="AT5" s="660"/>
      <c r="AU5" s="656" t="s">
        <v>50</v>
      </c>
      <c r="AV5" s="657"/>
      <c r="AW5" s="680" t="s">
        <v>51</v>
      </c>
      <c r="AX5" s="657"/>
      <c r="AY5" s="656" t="s">
        <v>52</v>
      </c>
      <c r="AZ5" s="657"/>
      <c r="BA5" s="81"/>
      <c r="BB5" s="676"/>
      <c r="BC5" s="677"/>
      <c r="BD5" s="677"/>
      <c r="BE5" s="678"/>
      <c r="BF5" s="676"/>
      <c r="BG5" s="677"/>
      <c r="BH5" s="677"/>
      <c r="BI5" s="678"/>
    </row>
    <row r="6" spans="1:61" ht="13.5" customHeight="1">
      <c r="A6" s="230" t="s">
        <v>526</v>
      </c>
      <c r="B6" s="231" t="s">
        <v>37</v>
      </c>
      <c r="C6" s="232" t="s">
        <v>526</v>
      </c>
      <c r="D6" s="231" t="s">
        <v>37</v>
      </c>
      <c r="E6" s="232" t="s">
        <v>526</v>
      </c>
      <c r="F6" s="231" t="s">
        <v>37</v>
      </c>
      <c r="G6" s="232" t="s">
        <v>526</v>
      </c>
      <c r="H6" s="231" t="s">
        <v>37</v>
      </c>
      <c r="I6" s="233"/>
      <c r="J6" s="320"/>
      <c r="K6" s="233"/>
      <c r="L6" s="232" t="s">
        <v>526</v>
      </c>
      <c r="M6" s="231" t="s">
        <v>37</v>
      </c>
      <c r="N6" s="232" t="s">
        <v>526</v>
      </c>
      <c r="O6" s="231" t="s">
        <v>37</v>
      </c>
      <c r="P6" s="232" t="s">
        <v>526</v>
      </c>
      <c r="Q6" s="231" t="s">
        <v>37</v>
      </c>
      <c r="R6" s="232" t="s">
        <v>526</v>
      </c>
      <c r="S6" s="236" t="s">
        <v>37</v>
      </c>
      <c r="T6" s="226"/>
      <c r="U6" s="226"/>
      <c r="V6" s="226"/>
      <c r="W6" s="226"/>
      <c r="X6" s="226"/>
      <c r="Y6" s="226"/>
      <c r="Z6" s="226"/>
      <c r="AA6" s="659"/>
      <c r="AB6" s="659"/>
      <c r="AC6" s="659"/>
      <c r="AD6" s="659"/>
      <c r="AE6" s="676"/>
      <c r="AF6" s="84"/>
      <c r="AG6" s="85" t="s">
        <v>56</v>
      </c>
      <c r="AH6" s="86" t="s">
        <v>57</v>
      </c>
      <c r="AI6" s="85" t="s">
        <v>56</v>
      </c>
      <c r="AJ6" s="86" t="s">
        <v>57</v>
      </c>
      <c r="AK6" s="85" t="s">
        <v>56</v>
      </c>
      <c r="AL6" s="86" t="s">
        <v>57</v>
      </c>
      <c r="AM6" s="64" t="s">
        <v>56</v>
      </c>
      <c r="AN6" s="87" t="s">
        <v>57</v>
      </c>
      <c r="AO6" s="88" t="s">
        <v>56</v>
      </c>
      <c r="AP6" s="86" t="s">
        <v>57</v>
      </c>
      <c r="AQ6" s="85" t="s">
        <v>56</v>
      </c>
      <c r="AR6" s="89" t="s">
        <v>57</v>
      </c>
      <c r="AS6" s="88" t="s">
        <v>56</v>
      </c>
      <c r="AT6" s="86" t="s">
        <v>57</v>
      </c>
      <c r="AU6" s="85" t="s">
        <v>56</v>
      </c>
      <c r="AV6" s="89" t="s">
        <v>57</v>
      </c>
      <c r="AW6" s="88" t="s">
        <v>56</v>
      </c>
      <c r="AX6" s="89" t="s">
        <v>57</v>
      </c>
      <c r="AY6" s="85" t="s">
        <v>56</v>
      </c>
      <c r="AZ6" s="89" t="s">
        <v>57</v>
      </c>
      <c r="BA6" s="90"/>
      <c r="BB6" s="64" t="s">
        <v>58</v>
      </c>
      <c r="BC6" s="64" t="s">
        <v>59</v>
      </c>
      <c r="BD6" s="64" t="s">
        <v>60</v>
      </c>
      <c r="BE6" s="91" t="s">
        <v>61</v>
      </c>
      <c r="BF6" s="64" t="s">
        <v>58</v>
      </c>
      <c r="BG6" s="64" t="s">
        <v>59</v>
      </c>
      <c r="BH6" s="64" t="s">
        <v>60</v>
      </c>
      <c r="BI6" s="91" t="s">
        <v>61</v>
      </c>
    </row>
    <row r="7" spans="1:61" ht="12" customHeight="1">
      <c r="A7" s="321"/>
      <c r="B7" s="322"/>
      <c r="C7" s="321"/>
      <c r="D7" s="322"/>
      <c r="E7" s="321"/>
      <c r="F7" s="322"/>
      <c r="G7" s="321"/>
      <c r="H7" s="279"/>
      <c r="I7" s="322"/>
      <c r="J7" s="323" t="s">
        <v>615</v>
      </c>
      <c r="K7" s="322"/>
      <c r="L7" s="324"/>
      <c r="M7" s="325"/>
      <c r="N7" s="324"/>
      <c r="O7" s="262"/>
      <c r="P7" s="324"/>
      <c r="Q7" s="325"/>
      <c r="R7" s="324"/>
      <c r="S7" s="325"/>
      <c r="T7" s="326"/>
      <c r="U7" s="327"/>
      <c r="V7" s="327"/>
      <c r="W7" s="326"/>
      <c r="X7" s="326"/>
      <c r="Y7" s="326"/>
      <c r="Z7" s="326"/>
      <c r="AA7" s="95"/>
      <c r="AB7" s="96"/>
      <c r="AC7" s="96"/>
      <c r="AD7" s="96"/>
      <c r="AE7" s="96"/>
      <c r="AF7" s="97"/>
      <c r="AG7" s="95"/>
      <c r="AH7" s="96"/>
      <c r="AI7" s="95"/>
      <c r="AJ7" s="96"/>
      <c r="AK7" s="95"/>
      <c r="AL7" s="96"/>
      <c r="AM7" s="95"/>
      <c r="AN7" s="98"/>
      <c r="AO7" s="96"/>
      <c r="AP7" s="96"/>
      <c r="AQ7" s="95"/>
      <c r="AR7" s="98"/>
      <c r="AS7" s="96"/>
      <c r="AT7" s="96"/>
      <c r="AU7" s="95"/>
      <c r="AV7" s="98"/>
      <c r="AW7" s="96"/>
      <c r="AX7" s="96"/>
      <c r="AY7" s="95"/>
      <c r="AZ7" s="98"/>
      <c r="BA7" s="99"/>
      <c r="BB7" s="95" t="s">
        <v>616</v>
      </c>
      <c r="BC7" s="100" t="s">
        <v>617</v>
      </c>
      <c r="BD7" s="96" t="s">
        <v>618</v>
      </c>
      <c r="BE7" s="98" t="s">
        <v>619</v>
      </c>
      <c r="BF7" s="95" t="s">
        <v>616</v>
      </c>
      <c r="BG7" s="100" t="s">
        <v>620</v>
      </c>
      <c r="BH7" s="96" t="s">
        <v>618</v>
      </c>
      <c r="BI7" s="98" t="s">
        <v>621</v>
      </c>
    </row>
    <row r="8" spans="1:61" ht="12" customHeight="1">
      <c r="A8" s="254">
        <f t="array" ref="A8">_xll.AC(DB,_xll.ArrayDPT($AA8:$AE8),_xll.ArrayCOA($AG8:$AZ8),YR-1,PRD,_xll.ArrayDIM($BB8:$BE8))</f>
        <v>7234622.9299999997</v>
      </c>
      <c r="B8" s="254">
        <f t="shared" ref="B8:B12" si="0">IF(A8=0,0,(A8*100/A$14))</f>
        <v>99.794519065844113</v>
      </c>
      <c r="C8" s="254">
        <f t="shared" ref="C8:C12" si="1">+E8-G8</f>
        <v>-7896039.9800000004</v>
      </c>
      <c r="D8" s="254">
        <f t="shared" ref="D8:D12" si="2">IF(C8=0,0,(C8*100/C$14))</f>
        <v>99.674431075341033</v>
      </c>
      <c r="E8" s="254">
        <f t="array" ref="E8">_xll.BC(DB,_xll.ArrayDPT($AA8:$AE8),_xll.ArrayCOA($AG8:$AZ8),YR,PRD,RV,_xll.ArrayDIM($BB8:$BE8))</f>
        <v>0</v>
      </c>
      <c r="F8" s="254">
        <f t="shared" ref="F8:F12" si="3">IF(E8=0,0,(E8*100/E$14))</f>
        <v>0</v>
      </c>
      <c r="G8" s="254">
        <f>_xll.AC(DB,_xll.ArrayDPT($AA8:$AE8),_xll.ArrayCOA($AG8:$AZ8),YR,PRD,_xll.ArrayDIM($BB8:$BE8))</f>
        <v>7896039.9800000004</v>
      </c>
      <c r="H8" s="254">
        <f t="shared" ref="H8:H12" si="4">IF(G8=0,0,(G8*100/G$14))</f>
        <v>99.674431075341033</v>
      </c>
      <c r="I8" s="254"/>
      <c r="J8" s="328" t="s">
        <v>622</v>
      </c>
      <c r="K8" s="254"/>
      <c r="L8" s="254">
        <f>_xll.ACC(DB,_xll.ArrayDPT($AA8:$AE8),_xll.ArrayCOA($AG8:$AZ8),YR,PRD,_xll.ArrayDIM($BB8:$BE8))</f>
        <v>7896039.9800000004</v>
      </c>
      <c r="M8" s="237">
        <f t="shared" ref="M8:M12" si="5">IF(L8=0,0,(L8*100/L$14))</f>
        <v>99.674431075341033</v>
      </c>
      <c r="N8" s="254">
        <f t="array" ref="N8">_xll.BCC(DB,_xll.ArrayDPT($AA8:$AE8),_xll.ArrayCOA($AG8:$AZ8),YR,PRD,RV,_xll.ArrayDIM($BB8:$BE8))</f>
        <v>0</v>
      </c>
      <c r="O8" s="237">
        <f t="shared" ref="O8:O12" si="6">IF(N8=0,0,(N8*100/N$14))</f>
        <v>0</v>
      </c>
      <c r="P8" s="237">
        <f t="shared" ref="P8:P12" si="7">+N8-L8</f>
        <v>-7896039.9800000004</v>
      </c>
      <c r="Q8" s="237">
        <f t="shared" ref="Q8:Q12" si="8">IF(P8=0,0,(P8*100/P$14))</f>
        <v>99.674431075341033</v>
      </c>
      <c r="R8" s="254">
        <f t="array" ref="R8">_xll.ACC(DB,_xll.ArrayDPT($AA8:$AE8),_xll.ArrayCOA($AG8:$AZ8),YR-1,PRD,_xll.ArrayDIM($BB8:$BE8))</f>
        <v>7234622.9299999997</v>
      </c>
      <c r="S8" s="237">
        <f t="shared" ref="S8:S12" si="9">IF(R8=0,0,(R8*100/R$14))</f>
        <v>99.794519065844113</v>
      </c>
      <c r="T8" s="328"/>
      <c r="U8" s="328"/>
      <c r="V8" s="328"/>
      <c r="W8" s="328"/>
      <c r="X8" s="328"/>
      <c r="Y8" s="328"/>
      <c r="Z8" s="328"/>
      <c r="AA8" s="95" t="s">
        <v>623</v>
      </c>
      <c r="AB8" s="96"/>
      <c r="AC8" s="96"/>
      <c r="AD8" s="96"/>
      <c r="AE8" s="96"/>
      <c r="AF8" s="97"/>
      <c r="AG8" s="95" t="s">
        <v>624</v>
      </c>
      <c r="AH8" s="96" t="s">
        <v>624</v>
      </c>
      <c r="AI8" s="95"/>
      <c r="AJ8" s="96"/>
      <c r="AK8" s="95"/>
      <c r="AL8" s="96"/>
      <c r="AM8" s="95"/>
      <c r="AN8" s="98"/>
      <c r="AO8" s="96"/>
      <c r="AP8" s="96"/>
      <c r="AQ8" s="95"/>
      <c r="AR8" s="98"/>
      <c r="AS8" s="96"/>
      <c r="AT8" s="96"/>
      <c r="AU8" s="95"/>
      <c r="AV8" s="98"/>
      <c r="AW8" s="96"/>
      <c r="AX8" s="96"/>
      <c r="AY8" s="95"/>
      <c r="AZ8" s="98"/>
      <c r="BA8" s="99"/>
      <c r="BB8" s="95"/>
      <c r="BC8" s="96"/>
      <c r="BD8" s="96"/>
      <c r="BE8" s="98"/>
      <c r="BF8" s="95"/>
      <c r="BG8" s="96"/>
      <c r="BH8" s="96"/>
      <c r="BI8" s="98"/>
    </row>
    <row r="9" spans="1:61" ht="12" customHeight="1">
      <c r="A9" s="254">
        <f t="array" ref="A9">_xll.AC(DB,_xll.ArrayDPT($AA9:$AE9),_xll.ArrayCOA($AG9:$AZ9),YR-1,PRD,_xll.ArrayDIM($BB9:$BE9))</f>
        <v>0</v>
      </c>
      <c r="B9" s="254">
        <f t="shared" si="0"/>
        <v>0</v>
      </c>
      <c r="C9" s="254">
        <f t="shared" si="1"/>
        <v>0</v>
      </c>
      <c r="D9" s="254">
        <f t="shared" si="2"/>
        <v>0</v>
      </c>
      <c r="E9" s="254">
        <f t="array" ref="E9">_xll.BC(DB,_xll.ArrayDPT($AA9:$AE9),_xll.ArrayCOA($AG9:$AZ9),YR,PRD,RV,_xll.ArrayDIM($BB9:$BE9))</f>
        <v>0</v>
      </c>
      <c r="F9" s="254">
        <f t="shared" si="3"/>
        <v>0</v>
      </c>
      <c r="G9" s="254">
        <f t="array" ref="G9">_xll.AC(DB,_xll.ArrayDPT($AA9:$AE9),_xll.ArrayCOA($AG9:$AZ9),YR,PRD,_xll.ArrayDIM($BB9:$BE9))</f>
        <v>0</v>
      </c>
      <c r="H9" s="254">
        <f t="shared" si="4"/>
        <v>0</v>
      </c>
      <c r="I9" s="254"/>
      <c r="J9" s="328" t="s">
        <v>625</v>
      </c>
      <c r="K9" s="254"/>
      <c r="L9" s="254">
        <f t="array" ref="L9">_xll.ACC(DB,_xll.ArrayDPT($AA9:$AE9),_xll.ArrayCOA($AG9:$AZ9),YR,PRD,_xll.ArrayDIM($BB9:$BE9))</f>
        <v>0</v>
      </c>
      <c r="M9" s="237">
        <f t="shared" si="5"/>
        <v>0</v>
      </c>
      <c r="N9" s="254">
        <f t="array" ref="N9">_xll.BCC(DB,_xll.ArrayDPT($AA9:$AE9),_xll.ArrayCOA($AG9:$AZ9),YR,PRD,RV,_xll.ArrayDIM($BB9:$BE9))</f>
        <v>0</v>
      </c>
      <c r="O9" s="237">
        <f t="shared" si="6"/>
        <v>0</v>
      </c>
      <c r="P9" s="237">
        <f t="shared" si="7"/>
        <v>0</v>
      </c>
      <c r="Q9" s="237">
        <f t="shared" si="8"/>
        <v>0</v>
      </c>
      <c r="R9" s="254">
        <f t="array" ref="R9">_xll.ACC(DB,_xll.ArrayDPT($AA9:$AE9),_xll.ArrayCOA($AG9:$AZ9),YR-1,PRD,_xll.ArrayDIM($BB9:$BE9))</f>
        <v>0</v>
      </c>
      <c r="S9" s="237">
        <f t="shared" si="9"/>
        <v>0</v>
      </c>
      <c r="T9" s="328"/>
      <c r="U9" s="328"/>
      <c r="V9" s="328"/>
      <c r="W9" s="328"/>
      <c r="X9" s="328"/>
      <c r="Y9" s="328"/>
      <c r="Z9" s="328"/>
      <c r="AA9" s="95"/>
      <c r="AB9" s="96"/>
      <c r="AC9" s="96"/>
      <c r="AD9" s="96"/>
      <c r="AE9" s="96"/>
      <c r="AF9" s="97"/>
      <c r="AG9" s="95"/>
      <c r="AH9" s="96"/>
      <c r="AI9" s="95"/>
      <c r="AJ9" s="96"/>
      <c r="AK9" s="95"/>
      <c r="AL9" s="96"/>
      <c r="AM9" s="95"/>
      <c r="AN9" s="98"/>
      <c r="AO9" s="96"/>
      <c r="AP9" s="96"/>
      <c r="AQ9" s="95"/>
      <c r="AR9" s="98"/>
      <c r="AS9" s="96"/>
      <c r="AT9" s="96"/>
      <c r="AU9" s="95"/>
      <c r="AV9" s="98"/>
      <c r="AW9" s="96"/>
      <c r="AX9" s="96"/>
      <c r="AY9" s="95"/>
      <c r="AZ9" s="98"/>
      <c r="BA9" s="99"/>
      <c r="BB9" s="95"/>
      <c r="BC9" s="96"/>
      <c r="BD9" s="96"/>
      <c r="BE9" s="98"/>
      <c r="BF9" s="95"/>
      <c r="BG9" s="96"/>
      <c r="BH9" s="96"/>
      <c r="BI9" s="98"/>
    </row>
    <row r="10" spans="1:61" ht="12" customHeight="1">
      <c r="A10" s="254">
        <f t="array" ref="A10">_xll.AC(DB,_xll.ArrayDPT($AA10:$AE10),_xll.ArrayCOA($AG10:$AZ10),YR-1,PRD,_xll.ArrayDIM($BB10:$BE10))</f>
        <v>36402.76</v>
      </c>
      <c r="B10" s="254">
        <f t="shared" si="0"/>
        <v>0.50214032742537795</v>
      </c>
      <c r="C10" s="254">
        <f t="shared" si="1"/>
        <v>-38913.08</v>
      </c>
      <c r="D10" s="254">
        <f t="shared" si="2"/>
        <v>0.49121320563389947</v>
      </c>
      <c r="E10" s="254">
        <f t="array" ref="E10">_xll.BC(DB,_xll.ArrayDPT($AA10:$AE10),_xll.ArrayCOA($AG10:$AZ10),YR,PRD,RV,_xll.ArrayDIM($BB10:$BE10))</f>
        <v>0</v>
      </c>
      <c r="F10" s="254">
        <f t="shared" si="3"/>
        <v>0</v>
      </c>
      <c r="G10" s="254">
        <f t="array" ref="G10">_xll.AC(DB,_xll.ArrayDPT($AA10:$AE10),_xll.ArrayCOA($AG10:$AZ10),YR,PRD,_xll.ArrayDIM($BB10:$BE10))</f>
        <v>38913.08</v>
      </c>
      <c r="H10" s="254">
        <f t="shared" si="4"/>
        <v>0.49121320563389947</v>
      </c>
      <c r="I10" s="254"/>
      <c r="J10" s="328" t="s">
        <v>626</v>
      </c>
      <c r="K10" s="254"/>
      <c r="L10" s="254">
        <f t="array" ref="L10">_xll.ACC(DB,_xll.ArrayDPT($AA10:$AE10),_xll.ArrayCOA($AG10:$AZ10),YR,PRD,_xll.ArrayDIM($BB10:$BE10))</f>
        <v>38913.08</v>
      </c>
      <c r="M10" s="237">
        <f t="shared" si="5"/>
        <v>0.49121320563389947</v>
      </c>
      <c r="N10" s="254">
        <f t="array" ref="N10">_xll.BCC(DB,_xll.ArrayDPT($AA10:$AE10),_xll.ArrayCOA($AG10:$AZ10),YR,PRD,RV,_xll.ArrayDIM($BB10:$BE10))</f>
        <v>0</v>
      </c>
      <c r="O10" s="237">
        <f t="shared" si="6"/>
        <v>0</v>
      </c>
      <c r="P10" s="237">
        <f t="shared" si="7"/>
        <v>-38913.08</v>
      </c>
      <c r="Q10" s="237">
        <f t="shared" si="8"/>
        <v>0.49121320563389947</v>
      </c>
      <c r="R10" s="254">
        <f t="array" ref="R10">_xll.ACC(DB,_xll.ArrayDPT($AA10:$AE10),_xll.ArrayCOA($AG10:$AZ10),YR-1,PRD,_xll.ArrayDIM($BB10:$BE10))</f>
        <v>36402.76</v>
      </c>
      <c r="S10" s="237">
        <f t="shared" si="9"/>
        <v>0.50214032742537795</v>
      </c>
      <c r="T10" s="328"/>
      <c r="U10" s="328"/>
      <c r="V10" s="328"/>
      <c r="W10" s="328"/>
      <c r="X10" s="328"/>
      <c r="Y10" s="328"/>
      <c r="Z10" s="328"/>
      <c r="AA10" s="95" t="s">
        <v>623</v>
      </c>
      <c r="AB10" s="96"/>
      <c r="AC10" s="96"/>
      <c r="AD10" s="96"/>
      <c r="AE10" s="96"/>
      <c r="AF10" s="97"/>
      <c r="AG10" s="95" t="s">
        <v>627</v>
      </c>
      <c r="AH10" s="96" t="s">
        <v>627</v>
      </c>
      <c r="AI10" s="95"/>
      <c r="AJ10" s="96"/>
      <c r="AK10" s="95"/>
      <c r="AL10" s="96"/>
      <c r="AM10" s="95"/>
      <c r="AN10" s="98"/>
      <c r="AO10" s="96"/>
      <c r="AP10" s="96"/>
      <c r="AQ10" s="95"/>
      <c r="AR10" s="98"/>
      <c r="AS10" s="96"/>
      <c r="AT10" s="96"/>
      <c r="AU10" s="95"/>
      <c r="AV10" s="98"/>
      <c r="AW10" s="96"/>
      <c r="AX10" s="96"/>
      <c r="AY10" s="95"/>
      <c r="AZ10" s="98"/>
      <c r="BA10" s="99"/>
      <c r="BB10" s="95"/>
      <c r="BC10" s="96"/>
      <c r="BD10" s="96"/>
      <c r="BE10" s="98"/>
      <c r="BF10" s="95"/>
      <c r="BG10" s="96"/>
      <c r="BH10" s="96"/>
      <c r="BI10" s="98"/>
    </row>
    <row r="11" spans="1:61" ht="12" customHeight="1">
      <c r="A11" s="254">
        <f t="array" ref="A11">_xll.AC(DB,_xll.ArrayDPT($AA11:$AE11),_xll.ArrayCOA($AG11:$AZ11),YR-1,PRD,_xll.ArrayDIM($BB11:$BE11))</f>
        <v>-21506.38</v>
      </c>
      <c r="B11" s="254">
        <f t="shared" si="0"/>
        <v>-0.29665939326948287</v>
      </c>
      <c r="C11" s="254">
        <f t="shared" si="1"/>
        <v>13122.06</v>
      </c>
      <c r="D11" s="254">
        <f t="shared" si="2"/>
        <v>-0.16564428097494124</v>
      </c>
      <c r="E11" s="254">
        <f t="array" ref="E11">_xll.BC(DB,_xll.ArrayDPT($AA11:$AE11),_xll.ArrayCOA($AG11:$AZ11),YR,PRD,RV,_xll.ArrayDIM($BB11:$BE11))</f>
        <v>0</v>
      </c>
      <c r="F11" s="254">
        <f t="shared" si="3"/>
        <v>0</v>
      </c>
      <c r="G11" s="254">
        <f t="array" ref="G11">_xll.AC(DB,_xll.ArrayDPT($AA11:$AE11),_xll.ArrayCOA($AG11:$AZ11),YR,PRD,_xll.ArrayDIM($BB11:$BE11))</f>
        <v>-13122.06</v>
      </c>
      <c r="H11" s="254">
        <f t="shared" si="4"/>
        <v>-0.16564428097494124</v>
      </c>
      <c r="I11" s="254"/>
      <c r="J11" s="328" t="s">
        <v>628</v>
      </c>
      <c r="K11" s="254"/>
      <c r="L11" s="254">
        <f t="array" ref="L11">_xll.ACC(DB,_xll.ArrayDPT($AA11:$AE11),_xll.ArrayCOA($AG11:$AZ11),YR,PRD,_xll.ArrayDIM($BB11:$BE11))</f>
        <v>-13122.06</v>
      </c>
      <c r="M11" s="237">
        <f t="shared" si="5"/>
        <v>-0.16564428097494124</v>
      </c>
      <c r="N11" s="254">
        <f t="array" ref="N11">_xll.BCC(DB,_xll.ArrayDPT($AA11:$AE11),_xll.ArrayCOA($AG11:$AZ11),YR,PRD,RV,_xll.ArrayDIM($BB11:$BE11))</f>
        <v>0</v>
      </c>
      <c r="O11" s="237">
        <f t="shared" si="6"/>
        <v>0</v>
      </c>
      <c r="P11" s="237">
        <f t="shared" si="7"/>
        <v>13122.06</v>
      </c>
      <c r="Q11" s="237">
        <f t="shared" si="8"/>
        <v>-0.16564428097494124</v>
      </c>
      <c r="R11" s="254">
        <f t="array" ref="R11">_xll.ACC(DB,_xll.ArrayDPT($AA11:$AE11),_xll.ArrayCOA($AG11:$AZ11),YR-1,PRD,_xll.ArrayDIM($BB11:$BE11))</f>
        <v>-21506.38</v>
      </c>
      <c r="S11" s="237">
        <f t="shared" si="9"/>
        <v>-0.29665939326948287</v>
      </c>
      <c r="T11" s="328"/>
      <c r="U11" s="328"/>
      <c r="V11" s="328"/>
      <c r="W11" s="328"/>
      <c r="X11" s="328"/>
      <c r="Y11" s="328"/>
      <c r="Z11" s="328"/>
      <c r="AA11" s="95" t="s">
        <v>623</v>
      </c>
      <c r="AB11" s="96"/>
      <c r="AC11" s="96"/>
      <c r="AD11" s="96"/>
      <c r="AE11" s="96"/>
      <c r="AF11" s="97"/>
      <c r="AG11" s="95" t="s">
        <v>629</v>
      </c>
      <c r="AH11" s="96" t="s">
        <v>629</v>
      </c>
      <c r="AI11" s="95"/>
      <c r="AJ11" s="96"/>
      <c r="AK11" s="95"/>
      <c r="AL11" s="96"/>
      <c r="AM11" s="95"/>
      <c r="AN11" s="98"/>
      <c r="AO11" s="96"/>
      <c r="AP11" s="96"/>
      <c r="AQ11" s="95"/>
      <c r="AR11" s="98"/>
      <c r="AS11" s="96"/>
      <c r="AT11" s="96"/>
      <c r="AU11" s="95"/>
      <c r="AV11" s="98"/>
      <c r="AW11" s="96"/>
      <c r="AX11" s="96"/>
      <c r="AY11" s="95"/>
      <c r="AZ11" s="98"/>
      <c r="BA11" s="99"/>
      <c r="BB11" s="95"/>
      <c r="BC11" s="96"/>
      <c r="BD11" s="96"/>
      <c r="BE11" s="98"/>
      <c r="BF11" s="95"/>
      <c r="BG11" s="96"/>
      <c r="BH11" s="96"/>
      <c r="BI11" s="98"/>
    </row>
    <row r="12" spans="1:61" ht="12" hidden="1" customHeight="1">
      <c r="A12" s="254">
        <f t="array" ref="A12">_xll.AC(DB,_xll.ArrayDPT($AA12:$AE12),_xll.ArrayCOA($AG12:$AZ12),YR-1,PRD,_xll.ArrayDIM($BB12:$BE12))</f>
        <v>0</v>
      </c>
      <c r="B12" s="254">
        <f t="shared" si="0"/>
        <v>0</v>
      </c>
      <c r="C12" s="254">
        <f t="shared" si="1"/>
        <v>0</v>
      </c>
      <c r="D12" s="254">
        <f t="shared" si="2"/>
        <v>0</v>
      </c>
      <c r="E12" s="254">
        <f t="array" ref="E12">_xll.BC(DB,_xll.ArrayDPT($AA12:$AE12),_xll.ArrayCOA($AG12:$AZ12),YR,PRD,RV,_xll.ArrayDIM($BB12:$BE12))</f>
        <v>0</v>
      </c>
      <c r="F12" s="254">
        <f t="shared" si="3"/>
        <v>0</v>
      </c>
      <c r="G12" s="254">
        <f t="array" ref="G12">_xll.AC(DB,_xll.ArrayDPT($AA12:$AE12),_xll.ArrayCOA($AG12:$AZ12),YR,PRD,_xll.ArrayDIM($BB12:$BE12))</f>
        <v>0</v>
      </c>
      <c r="H12" s="254">
        <f t="shared" si="4"/>
        <v>0</v>
      </c>
      <c r="I12" s="254"/>
      <c r="J12" s="328" t="s">
        <v>630</v>
      </c>
      <c r="K12" s="254"/>
      <c r="L12" s="254">
        <f t="array" ref="L12">_xll.ACC(DB,_xll.ArrayDPT($AA12:$AE12),_xll.ArrayCOA($AG12:$AZ12),YR,PRD,_xll.ArrayDIM($BB12:$BE12))</f>
        <v>0</v>
      </c>
      <c r="M12" s="237">
        <f t="shared" si="5"/>
        <v>0</v>
      </c>
      <c r="N12" s="254">
        <f t="array" ref="N12">_xll.BCC(DB,_xll.ArrayDPT($AA12:$AE12),_xll.ArrayCOA($AG12:$AZ12),YR,PRD,RV,_xll.ArrayDIM($BB12:$BE12))</f>
        <v>0</v>
      </c>
      <c r="O12" s="237">
        <f t="shared" si="6"/>
        <v>0</v>
      </c>
      <c r="P12" s="237">
        <f t="shared" si="7"/>
        <v>0</v>
      </c>
      <c r="Q12" s="237">
        <f t="shared" si="8"/>
        <v>0</v>
      </c>
      <c r="R12" s="254">
        <f t="array" ref="R12">_xll.ACC(DB,_xll.ArrayDPT($AA12:$AE12),_xll.ArrayCOA($AG12:$AZ12),YR-1,PRD,_xll.ArrayDIM($BB12:$BE12))</f>
        <v>0</v>
      </c>
      <c r="S12" s="237">
        <f t="shared" si="9"/>
        <v>0</v>
      </c>
      <c r="T12" s="328"/>
      <c r="U12" s="328"/>
      <c r="V12" s="328"/>
      <c r="W12" s="328"/>
      <c r="X12" s="328"/>
      <c r="Y12" s="328"/>
      <c r="Z12" s="328"/>
      <c r="AA12" s="95" t="s">
        <v>623</v>
      </c>
      <c r="AB12" s="96"/>
      <c r="AC12" s="96"/>
      <c r="AD12" s="96"/>
      <c r="AE12" s="96"/>
      <c r="AF12" s="97"/>
      <c r="AG12" s="95"/>
      <c r="AH12" s="96"/>
      <c r="AI12" s="95"/>
      <c r="AJ12" s="96"/>
      <c r="AK12" s="95"/>
      <c r="AL12" s="96"/>
      <c r="AM12" s="95"/>
      <c r="AN12" s="98"/>
      <c r="AO12" s="96"/>
      <c r="AP12" s="96"/>
      <c r="AQ12" s="95"/>
      <c r="AR12" s="98"/>
      <c r="AS12" s="96"/>
      <c r="AT12" s="96"/>
      <c r="AU12" s="95"/>
      <c r="AV12" s="98"/>
      <c r="AW12" s="96"/>
      <c r="AX12" s="96"/>
      <c r="AY12" s="95"/>
      <c r="AZ12" s="98"/>
      <c r="BA12" s="99"/>
      <c r="BB12" s="95"/>
      <c r="BC12" s="96"/>
      <c r="BD12" s="96"/>
      <c r="BE12" s="98"/>
      <c r="BF12" s="95"/>
      <c r="BG12" s="96"/>
      <c r="BH12" s="96"/>
      <c r="BI12" s="98"/>
    </row>
    <row r="13" spans="1:61" ht="6" customHeight="1">
      <c r="A13" s="329"/>
      <c r="B13" s="329"/>
      <c r="C13" s="329"/>
      <c r="D13" s="329"/>
      <c r="E13" s="329"/>
      <c r="F13" s="329"/>
      <c r="G13" s="329"/>
      <c r="H13" s="329"/>
      <c r="I13" s="330"/>
      <c r="J13" s="331"/>
      <c r="K13" s="332"/>
      <c r="L13" s="333"/>
      <c r="M13" s="333"/>
      <c r="N13" s="333"/>
      <c r="O13" s="333"/>
      <c r="P13" s="333"/>
      <c r="Q13" s="333"/>
      <c r="R13" s="333"/>
      <c r="S13" s="333"/>
      <c r="T13" s="328"/>
      <c r="U13" s="328"/>
      <c r="V13" s="328"/>
      <c r="W13" s="328"/>
      <c r="X13" s="328"/>
      <c r="Y13" s="328"/>
      <c r="Z13" s="328"/>
      <c r="AA13" s="95"/>
      <c r="AB13" s="96"/>
      <c r="AC13" s="96"/>
      <c r="AD13" s="96"/>
      <c r="AE13" s="96"/>
      <c r="AF13" s="97"/>
      <c r="AG13" s="95"/>
      <c r="AH13" s="96"/>
      <c r="AI13" s="95"/>
      <c r="AJ13" s="96"/>
      <c r="AK13" s="95"/>
      <c r="AL13" s="96"/>
      <c r="AM13" s="95"/>
      <c r="AN13" s="98"/>
      <c r="AO13" s="96"/>
      <c r="AP13" s="96"/>
      <c r="AQ13" s="95"/>
      <c r="AR13" s="98"/>
      <c r="AS13" s="96"/>
      <c r="AT13" s="96"/>
      <c r="AU13" s="95"/>
      <c r="AV13" s="98"/>
      <c r="AW13" s="96"/>
      <c r="AX13" s="96"/>
      <c r="AY13" s="95"/>
      <c r="AZ13" s="98"/>
      <c r="BA13" s="99"/>
      <c r="BB13" s="95"/>
      <c r="BC13" s="96"/>
      <c r="BD13" s="96"/>
      <c r="BE13" s="98"/>
      <c r="BF13" s="95"/>
      <c r="BG13" s="96"/>
      <c r="BH13" s="96"/>
      <c r="BI13" s="98"/>
    </row>
    <row r="14" spans="1:61" ht="12" customHeight="1">
      <c r="A14" s="334">
        <f>SUM(A8:A13)</f>
        <v>7249519.3099999996</v>
      </c>
      <c r="B14" s="334">
        <f>IF(A14=0,0,(A14*100/A$14))</f>
        <v>100</v>
      </c>
      <c r="C14" s="334">
        <f>SUM(C8:C13)</f>
        <v>-7921831.0000000009</v>
      </c>
      <c r="D14" s="334">
        <f>IF(C14=0,0,(C14*100/C$14))</f>
        <v>100</v>
      </c>
      <c r="E14" s="334">
        <f>SUM(E8:E13)</f>
        <v>0</v>
      </c>
      <c r="F14" s="334">
        <f>IF(E14=0,0,(E14*100/E$14))</f>
        <v>0</v>
      </c>
      <c r="G14" s="334">
        <f>SUM(G8:G13)</f>
        <v>7921831.0000000009</v>
      </c>
      <c r="H14" s="334">
        <f>IF(G14=0,0,(G14*100/G$14))</f>
        <v>100</v>
      </c>
      <c r="I14" s="335"/>
      <c r="J14" s="336" t="s">
        <v>631</v>
      </c>
      <c r="K14" s="337"/>
      <c r="L14" s="338">
        <f>SUM(L8:L13)</f>
        <v>7921831.0000000009</v>
      </c>
      <c r="M14" s="338">
        <f>IF(L14=0,0,(L14*100/L$14))</f>
        <v>100</v>
      </c>
      <c r="N14" s="338">
        <f>SUM(N8:N13)</f>
        <v>0</v>
      </c>
      <c r="O14" s="338">
        <f>IF(N14=0,0,(N14*100/N$14))</f>
        <v>0</v>
      </c>
      <c r="P14" s="338">
        <f>SUM(P8:P13)</f>
        <v>-7921831.0000000009</v>
      </c>
      <c r="Q14" s="338">
        <f>IF(P14=0,0,(P14*100/P$14))</f>
        <v>100</v>
      </c>
      <c r="R14" s="338">
        <f>SUM(R8:R13)</f>
        <v>7249519.3099999996</v>
      </c>
      <c r="S14" s="338">
        <f>IF(R14=0,0,(R14*100/R$14))</f>
        <v>100</v>
      </c>
      <c r="T14" s="339"/>
      <c r="U14" s="339"/>
      <c r="V14" s="339"/>
      <c r="W14" s="339"/>
      <c r="X14" s="339"/>
      <c r="Y14" s="339"/>
      <c r="Z14" s="339"/>
      <c r="AA14" s="95"/>
      <c r="AB14" s="96"/>
      <c r="AC14" s="96"/>
      <c r="AD14" s="96"/>
      <c r="AE14" s="96"/>
      <c r="AF14" s="97"/>
      <c r="AG14" s="95"/>
      <c r="AH14" s="96"/>
      <c r="AI14" s="95"/>
      <c r="AJ14" s="96"/>
      <c r="AK14" s="95"/>
      <c r="AL14" s="96"/>
      <c r="AM14" s="95"/>
      <c r="AN14" s="98"/>
      <c r="AO14" s="96"/>
      <c r="AP14" s="96"/>
      <c r="AQ14" s="95"/>
      <c r="AR14" s="98"/>
      <c r="AS14" s="96"/>
      <c r="AT14" s="96"/>
      <c r="AU14" s="95"/>
      <c r="AV14" s="98"/>
      <c r="AW14" s="96"/>
      <c r="AX14" s="96"/>
      <c r="AY14" s="95"/>
      <c r="AZ14" s="98"/>
      <c r="BA14" s="99"/>
      <c r="BB14" s="95"/>
      <c r="BC14" s="96"/>
      <c r="BD14" s="96"/>
      <c r="BE14" s="98"/>
      <c r="BF14" s="95"/>
      <c r="BG14" s="96"/>
      <c r="BH14" s="96"/>
      <c r="BI14" s="98"/>
    </row>
    <row r="15" spans="1:61" ht="12" customHeight="1">
      <c r="A15" s="279"/>
      <c r="B15" s="279"/>
      <c r="C15" s="279"/>
      <c r="D15" s="279"/>
      <c r="E15" s="279"/>
      <c r="F15" s="279"/>
      <c r="G15" s="279"/>
      <c r="H15" s="254"/>
      <c r="I15" s="279"/>
      <c r="J15" s="340" t="s">
        <v>632</v>
      </c>
      <c r="K15" s="279"/>
      <c r="L15" s="262"/>
      <c r="M15" s="237"/>
      <c r="N15" s="262"/>
      <c r="O15" s="262"/>
      <c r="P15" s="262"/>
      <c r="Q15" s="262"/>
      <c r="R15" s="262"/>
      <c r="S15" s="262"/>
      <c r="T15" s="339"/>
      <c r="U15" s="339"/>
      <c r="V15" s="339"/>
      <c r="W15" s="339"/>
      <c r="X15" s="339"/>
      <c r="Y15" s="339"/>
      <c r="Z15" s="339"/>
      <c r="AA15" s="95"/>
      <c r="AB15" s="96"/>
      <c r="AC15" s="96"/>
      <c r="AD15" s="96"/>
      <c r="AE15" s="96"/>
      <c r="AF15" s="97"/>
      <c r="AG15" s="95"/>
      <c r="AH15" s="96"/>
      <c r="AI15" s="95"/>
      <c r="AJ15" s="96"/>
      <c r="AK15" s="95"/>
      <c r="AL15" s="96"/>
      <c r="AM15" s="95"/>
      <c r="AN15" s="98"/>
      <c r="AO15" s="96"/>
      <c r="AP15" s="96"/>
      <c r="AQ15" s="95"/>
      <c r="AR15" s="98"/>
      <c r="AS15" s="96"/>
      <c r="AT15" s="96"/>
      <c r="AU15" s="95"/>
      <c r="AV15" s="98"/>
      <c r="AW15" s="96"/>
      <c r="AX15" s="96"/>
      <c r="AY15" s="95"/>
      <c r="AZ15" s="98"/>
      <c r="BA15" s="99"/>
      <c r="BB15" s="95"/>
      <c r="BC15" s="96"/>
      <c r="BD15" s="96"/>
      <c r="BE15" s="98"/>
      <c r="BF15" s="95"/>
      <c r="BG15" s="96"/>
      <c r="BH15" s="96"/>
      <c r="BI15" s="98"/>
    </row>
    <row r="16" spans="1:61" ht="12" customHeight="1">
      <c r="A16" s="254">
        <f t="array" ref="A16">_xll.AC(DB,_xll.ArrayDPT($AA16:$AE16),_xll.ArrayCOA($AG16:$AZ16),YR-1,PRD,_xll.ArrayDIM($BB16:$BE16))</f>
        <v>0</v>
      </c>
      <c r="B16" s="254">
        <f t="shared" ref="B16:B24" si="10">IF(A16=0,0,(A16*100/A$14))</f>
        <v>0</v>
      </c>
      <c r="C16" s="254">
        <f t="shared" ref="C16:C24" si="11">+E16-G16</f>
        <v>0</v>
      </c>
      <c r="D16" s="254">
        <f t="shared" ref="D16:D24" si="12">IF(C16=0,0,(C16*100/C$14))</f>
        <v>0</v>
      </c>
      <c r="E16" s="254">
        <f t="array" ref="E16">_xll.BC(DB,_xll.ArrayDPT($AA16:$AE16),_xll.ArrayCOA($AG16:$AZ16),YR,PRD,RV,_xll.ArrayDIM($BB16:$BE16))</f>
        <v>0</v>
      </c>
      <c r="F16" s="254">
        <f t="shared" ref="F16:F24" si="13">IF(E16=0,0,(E16*100/E$14))</f>
        <v>0</v>
      </c>
      <c r="G16" s="254">
        <f>_xll.AC(DB,_xll.ArrayDPT($AA16:$AE16),_xll.ArrayCOA($AG16:$AZ16),YR,PRD,_xll.ArrayDIM($BB16:$BE16))</f>
        <v>0</v>
      </c>
      <c r="H16" s="254">
        <f t="shared" ref="H16:H24" si="14">IF(G16=0,0,(G16*100/G$14))</f>
        <v>0</v>
      </c>
      <c r="I16" s="254"/>
      <c r="J16" s="328" t="s">
        <v>633</v>
      </c>
      <c r="K16" s="254"/>
      <c r="L16" s="254">
        <f t="array" ref="L16">_xll.ACC(DB,_xll.ArrayDPT($AA16:$AE16),_xll.ArrayCOA($AG16:$AZ16),YR,PRD,_xll.ArrayDIM($BB16:$BE16))</f>
        <v>0</v>
      </c>
      <c r="M16" s="237">
        <f t="shared" ref="M16:M24" si="15">IF(L16=0,0,(L16*100/L$14))</f>
        <v>0</v>
      </c>
      <c r="N16" s="254">
        <f t="array" ref="N16">_xll.BCC(DB,_xll.ArrayDPT($AA16:$AE16),_xll.ArrayCOA($AG16:$AZ16),YR,PRD,RV,_xll.ArrayDIM($BB16:$BE16))</f>
        <v>0</v>
      </c>
      <c r="O16" s="237">
        <f t="shared" ref="O16:O24" si="16">IF(N16=0,0,(N16*100/N$14))</f>
        <v>0</v>
      </c>
      <c r="P16" s="237">
        <f t="shared" ref="P16:P24" si="17">+N16-L16</f>
        <v>0</v>
      </c>
      <c r="Q16" s="254">
        <f t="shared" ref="Q16:Q24" si="18">IF(P16=0,0,(P16*100/P$14))</f>
        <v>0</v>
      </c>
      <c r="R16" s="254">
        <f t="array" ref="R16">_xll.ACC(DB,_xll.ArrayDPT($AA16:$AE16),_xll.ArrayCOA($AG16:$AZ16),YR-1,PRD,_xll.ArrayDIM($BB16:$BE16))</f>
        <v>0</v>
      </c>
      <c r="S16" s="237">
        <f t="shared" ref="S16:S24" si="19">IF(R16=0,0,(R16*100/R$14))</f>
        <v>0</v>
      </c>
      <c r="T16" s="328"/>
      <c r="U16" s="328"/>
      <c r="V16" s="328"/>
      <c r="W16" s="328"/>
      <c r="X16" s="328"/>
      <c r="Y16" s="328"/>
      <c r="Z16" s="328"/>
      <c r="AA16" s="95" t="s">
        <v>634</v>
      </c>
      <c r="AB16" s="96"/>
      <c r="AC16" s="96"/>
      <c r="AD16" s="96"/>
      <c r="AE16" s="96"/>
      <c r="AF16" s="97"/>
      <c r="AG16" s="95" t="s">
        <v>635</v>
      </c>
      <c r="AH16" s="96" t="s">
        <v>635</v>
      </c>
      <c r="AI16" s="95"/>
      <c r="AJ16" s="96"/>
      <c r="AK16" s="95"/>
      <c r="AL16" s="96"/>
      <c r="AM16" s="95"/>
      <c r="AN16" s="98"/>
      <c r="AO16" s="96"/>
      <c r="AP16" s="96"/>
      <c r="AQ16" s="95"/>
      <c r="AR16" s="98"/>
      <c r="AS16" s="96"/>
      <c r="AT16" s="96"/>
      <c r="AU16" s="95"/>
      <c r="AV16" s="98"/>
      <c r="AW16" s="96"/>
      <c r="AX16" s="96"/>
      <c r="AY16" s="95"/>
      <c r="AZ16" s="98"/>
      <c r="BA16" s="99"/>
      <c r="BB16" s="95"/>
      <c r="BC16" s="96"/>
      <c r="BD16" s="96"/>
      <c r="BE16" s="98"/>
      <c r="BF16" s="95"/>
      <c r="BG16" s="96"/>
      <c r="BH16" s="96"/>
      <c r="BI16" s="98"/>
    </row>
    <row r="17" spans="1:61" ht="12" customHeight="1">
      <c r="A17" s="254">
        <f t="array" ref="A17">_xll.AC(DB,_xll.ArrayDPT($AA17:$AE17),_xll.ArrayCOA($AG17:$AZ17),YR-1,PRD,_xll.ArrayDIM($BB17:$BE17))</f>
        <v>0</v>
      </c>
      <c r="B17" s="254">
        <f t="shared" si="10"/>
        <v>0</v>
      </c>
      <c r="C17" s="254">
        <f t="shared" si="11"/>
        <v>-53066.67</v>
      </c>
      <c r="D17" s="254">
        <f t="shared" si="12"/>
        <v>0.66987884492865346</v>
      </c>
      <c r="E17" s="254">
        <f t="array" ref="E17">_xll.BC(DB,_xll.ArrayDPT($AA17:$AE17),_xll.ArrayCOA($AG17:$AZ17),YR,PRD,RV,_xll.ArrayDIM($BB17:$BE17))</f>
        <v>0</v>
      </c>
      <c r="F17" s="254">
        <f t="shared" si="13"/>
        <v>0</v>
      </c>
      <c r="G17" s="254">
        <f t="array" ref="G17">_xll.AC(DB,_xll.ArrayDPT($AA17:$AE17),_xll.ArrayCOA($AG17:$AZ17),YR,PRD,_xll.ArrayDIM($BB17:$BE17))</f>
        <v>53066.67</v>
      </c>
      <c r="H17" s="254">
        <f t="shared" si="14"/>
        <v>0.66987884492865346</v>
      </c>
      <c r="I17" s="254"/>
      <c r="J17" s="328" t="s">
        <v>636</v>
      </c>
      <c r="K17" s="254"/>
      <c r="L17" s="254">
        <f t="array" ref="L17">_xll.ACC(DB,_xll.ArrayDPT($AA17:$AE17),_xll.ArrayCOA($AG17:$AZ17),YR,PRD,_xll.ArrayDIM($BB17:$BE17))</f>
        <v>53066.67</v>
      </c>
      <c r="M17" s="237">
        <f t="shared" si="15"/>
        <v>0.66987884492865346</v>
      </c>
      <c r="N17" s="254">
        <f t="array" ref="N17">_xll.BCC(DB,_xll.ArrayDPT($AA17:$AE17),_xll.ArrayCOA($AG17:$AZ17),YR,PRD,RV,_xll.ArrayDIM($BB17:$BE17))</f>
        <v>0</v>
      </c>
      <c r="O17" s="237">
        <f t="shared" si="16"/>
        <v>0</v>
      </c>
      <c r="P17" s="237">
        <f t="shared" si="17"/>
        <v>-53066.67</v>
      </c>
      <c r="Q17" s="254">
        <f t="shared" si="18"/>
        <v>0.66987884492865346</v>
      </c>
      <c r="R17" s="254">
        <f t="array" ref="R17">_xll.ACC(DB,_xll.ArrayDPT($AA17:$AE17),_xll.ArrayCOA($AG17:$AZ17),YR-1,PRD,_xll.ArrayDIM($BB17:$BE17))</f>
        <v>0</v>
      </c>
      <c r="S17" s="237">
        <f t="shared" si="19"/>
        <v>0</v>
      </c>
      <c r="T17" s="328"/>
      <c r="U17" s="328"/>
      <c r="V17" s="328"/>
      <c r="W17" s="328"/>
      <c r="X17" s="328"/>
      <c r="Y17" s="328"/>
      <c r="Z17" s="328"/>
      <c r="AA17" s="95" t="s">
        <v>634</v>
      </c>
      <c r="AB17" s="96" t="s">
        <v>637</v>
      </c>
      <c r="AC17" s="96"/>
      <c r="AD17" s="96"/>
      <c r="AE17" s="96"/>
      <c r="AF17" s="97"/>
      <c r="AG17" s="95" t="s">
        <v>638</v>
      </c>
      <c r="AH17" s="96" t="s">
        <v>638</v>
      </c>
      <c r="AI17" s="95"/>
      <c r="AJ17" s="96"/>
      <c r="AK17" s="95"/>
      <c r="AL17" s="96"/>
      <c r="AM17" s="95"/>
      <c r="AN17" s="98"/>
      <c r="AO17" s="96"/>
      <c r="AP17" s="96"/>
      <c r="AQ17" s="95"/>
      <c r="AR17" s="98"/>
      <c r="AS17" s="96"/>
      <c r="AT17" s="96"/>
      <c r="AU17" s="95"/>
      <c r="AV17" s="98"/>
      <c r="AW17" s="96"/>
      <c r="AX17" s="96"/>
      <c r="AY17" s="95"/>
      <c r="AZ17" s="98"/>
      <c r="BA17" s="99"/>
      <c r="BB17" s="95"/>
      <c r="BC17" s="96"/>
      <c r="BD17" s="96"/>
      <c r="BE17" s="98"/>
      <c r="BF17" s="95"/>
      <c r="BG17" s="96"/>
      <c r="BH17" s="96"/>
      <c r="BI17" s="98"/>
    </row>
    <row r="18" spans="1:61" ht="12" customHeight="1">
      <c r="A18" s="254">
        <f t="array" ref="A18">_xll.AC(DB,_xll.ArrayDPT($AA18:$AE18),_xll.ArrayCOA($AG18:$AZ18),YR-1,PRD,_xll.ArrayDIM($BB18:$BE18))</f>
        <v>273833.34000000003</v>
      </c>
      <c r="B18" s="254">
        <f t="shared" si="10"/>
        <v>3.7772620264942787</v>
      </c>
      <c r="C18" s="254">
        <f t="shared" si="11"/>
        <v>-219666.67</v>
      </c>
      <c r="D18" s="254">
        <f t="shared" si="12"/>
        <v>2.7729280011148933</v>
      </c>
      <c r="E18" s="254">
        <f t="array" ref="E18">_xll.BC(DB,_xll.ArrayDPT($AA18:$AE18),_xll.ArrayCOA($AG18:$AZ18),YR,PRD,RV,_xll.ArrayDIM($BB18:$BE18))</f>
        <v>0</v>
      </c>
      <c r="F18" s="254">
        <f t="shared" si="13"/>
        <v>0</v>
      </c>
      <c r="G18" s="254">
        <f t="array" ref="G18">_xll.AC(DB,_xll.ArrayDPT($AA18:$AE18),_xll.ArrayCOA($AG18:$AZ18),YR,PRD,_xll.ArrayDIM($BB18:$BE18))</f>
        <v>219666.67</v>
      </c>
      <c r="H18" s="254">
        <f t="shared" si="14"/>
        <v>2.7729280011148933</v>
      </c>
      <c r="I18" s="254"/>
      <c r="J18" s="328" t="s">
        <v>639</v>
      </c>
      <c r="K18" s="254"/>
      <c r="L18" s="254">
        <f t="array" ref="L18">_xll.ACC(DB,_xll.ArrayDPT($AA18:$AE18),_xll.ArrayCOA($AG18:$AZ18),YR,PRD,_xll.ArrayDIM($BB18:$BE18))</f>
        <v>219666.67</v>
      </c>
      <c r="M18" s="237">
        <f t="shared" si="15"/>
        <v>2.7729280011148933</v>
      </c>
      <c r="N18" s="254">
        <f t="array" ref="N18">_xll.BCC(DB,_xll.ArrayDPT($AA18:$AE18),_xll.ArrayCOA($AG18:$AZ18),YR,PRD,RV,_xll.ArrayDIM($BB18:$BE18))</f>
        <v>0</v>
      </c>
      <c r="O18" s="237">
        <f t="shared" si="16"/>
        <v>0</v>
      </c>
      <c r="P18" s="237">
        <f t="shared" si="17"/>
        <v>-219666.67</v>
      </c>
      <c r="Q18" s="254">
        <f t="shared" si="18"/>
        <v>2.7729280011148933</v>
      </c>
      <c r="R18" s="254">
        <f t="array" ref="R18">_xll.ACC(DB,_xll.ArrayDPT($AA18:$AE18),_xll.ArrayCOA($AG18:$AZ18),YR-1,PRD,_xll.ArrayDIM($BB18:$BE18))</f>
        <v>273833.34000000003</v>
      </c>
      <c r="S18" s="237">
        <f t="shared" si="19"/>
        <v>3.7772620264942787</v>
      </c>
      <c r="T18" s="328"/>
      <c r="U18" s="328"/>
      <c r="V18" s="328"/>
      <c r="W18" s="328"/>
      <c r="X18" s="328"/>
      <c r="Y18" s="328"/>
      <c r="Z18" s="328"/>
      <c r="AA18" s="95" t="s">
        <v>634</v>
      </c>
      <c r="AB18" s="96" t="s">
        <v>637</v>
      </c>
      <c r="AC18" s="96" t="s">
        <v>640</v>
      </c>
      <c r="AD18" s="96"/>
      <c r="AE18" s="96"/>
      <c r="AF18" s="97"/>
      <c r="AG18" s="95" t="s">
        <v>641</v>
      </c>
      <c r="AH18" s="96" t="s">
        <v>641</v>
      </c>
      <c r="AI18" s="95"/>
      <c r="AJ18" s="96"/>
      <c r="AK18" s="95"/>
      <c r="AL18" s="96"/>
      <c r="AM18" s="95"/>
      <c r="AN18" s="98"/>
      <c r="AO18" s="96"/>
      <c r="AP18" s="96"/>
      <c r="AQ18" s="95"/>
      <c r="AR18" s="98"/>
      <c r="AS18" s="96"/>
      <c r="AT18" s="96"/>
      <c r="AU18" s="95"/>
      <c r="AV18" s="98"/>
      <c r="AW18" s="96"/>
      <c r="AX18" s="96"/>
      <c r="AY18" s="95"/>
      <c r="AZ18" s="98"/>
      <c r="BA18" s="99"/>
      <c r="BB18" s="95"/>
      <c r="BC18" s="96"/>
      <c r="BD18" s="96"/>
      <c r="BE18" s="98"/>
      <c r="BF18" s="95"/>
      <c r="BG18" s="96"/>
      <c r="BH18" s="96"/>
      <c r="BI18" s="98"/>
    </row>
    <row r="19" spans="1:61" ht="12" customHeight="1">
      <c r="A19" s="254">
        <f t="array" ref="A19">_xll.AC(DB,_xll.ArrayDPT($AA19:$AE19),_xll.ArrayCOA($AG19:$AZ19),YR-1,PRD,_xll.ArrayDIM($BB19:$BE19))</f>
        <v>0</v>
      </c>
      <c r="B19" s="254">
        <f t="shared" si="10"/>
        <v>0</v>
      </c>
      <c r="C19" s="254">
        <f t="shared" si="11"/>
        <v>0</v>
      </c>
      <c r="D19" s="254">
        <f t="shared" si="12"/>
        <v>0</v>
      </c>
      <c r="E19" s="254">
        <f t="array" ref="E19">_xll.BC(DB,_xll.ArrayDPT($AA19:$AE19),_xll.ArrayCOA($AG19:$AZ19),YR,PRD,RV,_xll.ArrayDIM($BB19:$BE19))</f>
        <v>0</v>
      </c>
      <c r="F19" s="254">
        <f t="shared" si="13"/>
        <v>0</v>
      </c>
      <c r="G19" s="254">
        <f>_xll.AC(DB,_xll.ArrayDPT($AA19:$AE19),_xll.ArrayCOA($AG19:$AZ19),YR,PRD,_xll.ArrayDIM($BB19:$BE19))</f>
        <v>0</v>
      </c>
      <c r="H19" s="254">
        <f t="shared" si="14"/>
        <v>0</v>
      </c>
      <c r="I19" s="254"/>
      <c r="J19" s="328" t="s">
        <v>642</v>
      </c>
      <c r="K19" s="254"/>
      <c r="L19" s="254">
        <f t="array" ref="L19">_xll.ACC(DB,_xll.ArrayDPT($AA19:$AE19),_xll.ArrayCOA($AG19:$AZ19),YR,PRD,_xll.ArrayDIM($BB19:$BE19))</f>
        <v>0</v>
      </c>
      <c r="M19" s="237">
        <f t="shared" si="15"/>
        <v>0</v>
      </c>
      <c r="N19" s="254">
        <f t="array" ref="N19">_xll.BCC(DB,_xll.ArrayDPT($AA19:$AE19),_xll.ArrayCOA($AG19:$AZ19),YR,PRD,RV,_xll.ArrayDIM($BB19:$BE19))</f>
        <v>0</v>
      </c>
      <c r="O19" s="237">
        <f t="shared" si="16"/>
        <v>0</v>
      </c>
      <c r="P19" s="237">
        <f t="shared" si="17"/>
        <v>0</v>
      </c>
      <c r="Q19" s="254">
        <f t="shared" si="18"/>
        <v>0</v>
      </c>
      <c r="R19" s="254">
        <f t="array" ref="R19">_xll.ACC(DB,_xll.ArrayDPT($AA19:$AE19),_xll.ArrayCOA($AG19:$AZ19),YR-1,PRD,_xll.ArrayDIM($BB19:$BE19))</f>
        <v>0</v>
      </c>
      <c r="S19" s="237">
        <f t="shared" si="19"/>
        <v>0</v>
      </c>
      <c r="T19" s="328"/>
      <c r="U19" s="328"/>
      <c r="V19" s="328"/>
      <c r="W19" s="328"/>
      <c r="X19" s="328"/>
      <c r="Y19" s="328"/>
      <c r="Z19" s="328"/>
      <c r="AA19" s="95" t="s">
        <v>640</v>
      </c>
      <c r="AB19" s="96"/>
      <c r="AC19" s="96"/>
      <c r="AD19" s="96"/>
      <c r="AE19" s="96"/>
      <c r="AF19" s="97"/>
      <c r="AG19" s="95" t="s">
        <v>643</v>
      </c>
      <c r="AH19" s="96" t="s">
        <v>643</v>
      </c>
      <c r="AI19" s="95"/>
      <c r="AJ19" s="96"/>
      <c r="AK19" s="95"/>
      <c r="AL19" s="96"/>
      <c r="AM19" s="95"/>
      <c r="AN19" s="98"/>
      <c r="AO19" s="96"/>
      <c r="AP19" s="96"/>
      <c r="AQ19" s="95"/>
      <c r="AR19" s="98"/>
      <c r="AS19" s="96"/>
      <c r="AT19" s="96"/>
      <c r="AU19" s="95"/>
      <c r="AV19" s="98"/>
      <c r="AW19" s="96"/>
      <c r="AX19" s="96"/>
      <c r="AY19" s="95"/>
      <c r="AZ19" s="98"/>
      <c r="BA19" s="99"/>
      <c r="BB19" s="95"/>
      <c r="BC19" s="96"/>
      <c r="BD19" s="96"/>
      <c r="BE19" s="98"/>
      <c r="BF19" s="95"/>
      <c r="BG19" s="96"/>
      <c r="BH19" s="96"/>
      <c r="BI19" s="98"/>
    </row>
    <row r="20" spans="1:61" ht="12" customHeight="1">
      <c r="A20" s="254">
        <f t="array" ref="A20">_xll.AC(DB,_xll.ArrayDPT($AA20:$AE20),_xll.ArrayCOA($AG20:$AZ20),YR-1,PRD,_xll.ArrayDIM($BB20:$BE20))</f>
        <v>0</v>
      </c>
      <c r="B20" s="254">
        <f t="shared" si="10"/>
        <v>0</v>
      </c>
      <c r="C20" s="254">
        <f t="shared" si="11"/>
        <v>0</v>
      </c>
      <c r="D20" s="254">
        <f t="shared" si="12"/>
        <v>0</v>
      </c>
      <c r="E20" s="254">
        <f t="array" ref="E20">_xll.BC(DB,_xll.ArrayDPT($AA20:$AE20),_xll.ArrayCOA($AG20:$AZ20),YR,PRD,RV,_xll.ArrayDIM($BB20:$BE20))</f>
        <v>0</v>
      </c>
      <c r="F20" s="254">
        <f t="shared" si="13"/>
        <v>0</v>
      </c>
      <c r="G20" s="254">
        <f t="array" ref="G20">_xll.AC(DB,_xll.ArrayDPT($AA20:$AE20),_xll.ArrayCOA($AG20:$AZ20),YR,PRD,_xll.ArrayDIM($BB20:$BE20))</f>
        <v>0</v>
      </c>
      <c r="H20" s="254">
        <f t="shared" si="14"/>
        <v>0</v>
      </c>
      <c r="I20" s="254"/>
      <c r="J20" s="328" t="s">
        <v>644</v>
      </c>
      <c r="K20" s="254"/>
      <c r="L20" s="254">
        <f t="array" ref="L20">_xll.ACC(DB,_xll.ArrayDPT($AA20:$AE20),_xll.ArrayCOA($AG20:$AZ20),YR,PRD,_xll.ArrayDIM($BB20:$BE20))</f>
        <v>0</v>
      </c>
      <c r="M20" s="237">
        <f t="shared" si="15"/>
        <v>0</v>
      </c>
      <c r="N20" s="254">
        <f t="array" ref="N20">_xll.BCC(DB,_xll.ArrayDPT($AA20:$AE20),_xll.ArrayCOA($AG20:$AZ20),YR,PRD,RV,_xll.ArrayDIM($BB20:$BE20))</f>
        <v>0</v>
      </c>
      <c r="O20" s="237">
        <f t="shared" si="16"/>
        <v>0</v>
      </c>
      <c r="P20" s="237">
        <f t="shared" si="17"/>
        <v>0</v>
      </c>
      <c r="Q20" s="254">
        <f t="shared" si="18"/>
        <v>0</v>
      </c>
      <c r="R20" s="254">
        <f t="array" ref="R20">_xll.ACC(DB,_xll.ArrayDPT($AA20:$AE20),_xll.ArrayCOA($AG20:$AZ20),YR-1,PRD,_xll.ArrayDIM($BB20:$BE20))</f>
        <v>0</v>
      </c>
      <c r="S20" s="237">
        <f t="shared" si="19"/>
        <v>0</v>
      </c>
      <c r="T20" s="328"/>
      <c r="U20" s="328"/>
      <c r="V20" s="328"/>
      <c r="W20" s="328"/>
      <c r="X20" s="328"/>
      <c r="Y20" s="328"/>
      <c r="Z20" s="328"/>
      <c r="AA20" s="95" t="s">
        <v>637</v>
      </c>
      <c r="AB20" s="96"/>
      <c r="AC20" s="96"/>
      <c r="AD20" s="96"/>
      <c r="AE20" s="96"/>
      <c r="AF20" s="97"/>
      <c r="AG20" s="95" t="s">
        <v>645</v>
      </c>
      <c r="AH20" s="96" t="s">
        <v>645</v>
      </c>
      <c r="AI20" s="95"/>
      <c r="AJ20" s="96"/>
      <c r="AK20" s="95"/>
      <c r="AL20" s="96"/>
      <c r="AM20" s="95"/>
      <c r="AN20" s="98"/>
      <c r="AO20" s="96"/>
      <c r="AP20" s="96"/>
      <c r="AQ20" s="95"/>
      <c r="AR20" s="98"/>
      <c r="AS20" s="96"/>
      <c r="AT20" s="96"/>
      <c r="AU20" s="95"/>
      <c r="AV20" s="98"/>
      <c r="AW20" s="96"/>
      <c r="AX20" s="96"/>
      <c r="AY20" s="95"/>
      <c r="AZ20" s="98"/>
      <c r="BA20" s="99"/>
      <c r="BB20" s="95"/>
      <c r="BC20" s="96"/>
      <c r="BD20" s="96"/>
      <c r="BE20" s="98"/>
      <c r="BF20" s="95"/>
      <c r="BG20" s="96"/>
      <c r="BH20" s="96"/>
      <c r="BI20" s="98"/>
    </row>
    <row r="21" spans="1:61" ht="12" customHeight="1">
      <c r="A21" s="254">
        <f t="array" ref="A21">_xll.AC(DB,_xll.ArrayDPT($AA21:$AE21),_xll.ArrayCOA($AG21:$AZ21),YR-1,PRD,_xll.ArrayDIM($BB21:$BE21))</f>
        <v>0</v>
      </c>
      <c r="B21" s="254">
        <f t="shared" si="10"/>
        <v>0</v>
      </c>
      <c r="C21" s="254">
        <f t="shared" si="11"/>
        <v>-10436</v>
      </c>
      <c r="D21" s="254">
        <f t="shared" si="12"/>
        <v>0.13173722085209844</v>
      </c>
      <c r="E21" s="254">
        <f t="array" ref="E21">_xll.BC(DB,_xll.ArrayDPT($AA21:$AE21),_xll.ArrayCOA($AG21:$AZ21),YR,PRD,RV,_xll.ArrayDIM($BB21:$BE21))</f>
        <v>0</v>
      </c>
      <c r="F21" s="254">
        <f t="shared" si="13"/>
        <v>0</v>
      </c>
      <c r="G21" s="254">
        <f t="array" ref="G21">_xll.AC(DB,_xll.ArrayDPT($AA21:$AE21),_xll.ArrayCOA($AG21:$AZ21),YR,PRD,_xll.ArrayDIM($BB21:$BE21))</f>
        <v>10436</v>
      </c>
      <c r="H21" s="254">
        <f t="shared" si="14"/>
        <v>0.13173722085209844</v>
      </c>
      <c r="I21" s="254"/>
      <c r="J21" s="328" t="s">
        <v>646</v>
      </c>
      <c r="K21" s="254"/>
      <c r="L21" s="254">
        <f t="array" ref="L21">_xll.ACC(DB,_xll.ArrayDPT($AA21:$AE21),_xll.ArrayCOA($AG21:$AZ21),YR,PRD,_xll.ArrayDIM($BB21:$BE21))</f>
        <v>10436</v>
      </c>
      <c r="M21" s="237">
        <f t="shared" si="15"/>
        <v>0.13173722085209844</v>
      </c>
      <c r="N21" s="254">
        <f t="array" ref="N21">_xll.BCC(DB,_xll.ArrayDPT($AA21:$AE21),_xll.ArrayCOA($AG21:$AZ21),YR,PRD,RV,_xll.ArrayDIM($BB21:$BE21))</f>
        <v>0</v>
      </c>
      <c r="O21" s="237">
        <f t="shared" si="16"/>
        <v>0</v>
      </c>
      <c r="P21" s="237">
        <f t="shared" si="17"/>
        <v>-10436</v>
      </c>
      <c r="Q21" s="254">
        <f t="shared" si="18"/>
        <v>0.13173722085209844</v>
      </c>
      <c r="R21" s="254">
        <f t="array" ref="R21">_xll.ACC(DB,_xll.ArrayDPT($AA21:$AE21),_xll.ArrayCOA($AG21:$AZ21),YR-1,PRD,_xll.ArrayDIM($BB21:$BE21))</f>
        <v>0</v>
      </c>
      <c r="S21" s="237">
        <f t="shared" si="19"/>
        <v>0</v>
      </c>
      <c r="T21" s="328"/>
      <c r="U21" s="328"/>
      <c r="V21" s="328"/>
      <c r="W21" s="328"/>
      <c r="X21" s="328"/>
      <c r="Y21" s="328"/>
      <c r="Z21" s="328"/>
      <c r="AA21" s="95" t="s">
        <v>634</v>
      </c>
      <c r="AB21" s="96" t="s">
        <v>637</v>
      </c>
      <c r="AC21" s="96" t="s">
        <v>640</v>
      </c>
      <c r="AD21" s="96"/>
      <c r="AE21" s="96"/>
      <c r="AF21" s="97"/>
      <c r="AG21" s="95" t="s">
        <v>647</v>
      </c>
      <c r="AH21" s="96" t="s">
        <v>647</v>
      </c>
      <c r="AI21" s="95"/>
      <c r="AJ21" s="96"/>
      <c r="AK21" s="95"/>
      <c r="AL21" s="96"/>
      <c r="AM21" s="95"/>
      <c r="AN21" s="98"/>
      <c r="AO21" s="96"/>
      <c r="AP21" s="96"/>
      <c r="AQ21" s="95"/>
      <c r="AR21" s="98"/>
      <c r="AS21" s="96"/>
      <c r="AT21" s="96"/>
      <c r="AU21" s="95"/>
      <c r="AV21" s="98"/>
      <c r="AW21" s="96"/>
      <c r="AX21" s="96"/>
      <c r="AY21" s="95"/>
      <c r="AZ21" s="98"/>
      <c r="BA21" s="99"/>
      <c r="BB21" s="95"/>
      <c r="BC21" s="96"/>
      <c r="BD21" s="96"/>
      <c r="BE21" s="98"/>
      <c r="BF21" s="95"/>
      <c r="BG21" s="96"/>
      <c r="BH21" s="96"/>
      <c r="BI21" s="98"/>
    </row>
    <row r="22" spans="1:61" ht="12" customHeight="1">
      <c r="A22" s="254">
        <f t="array" ref="A22">_xll.AC(DB,_xll.ArrayDPT($AA22:$AE22),_xll.ArrayCOA($AG22:$AZ22),YR-1,PRD,_xll.ArrayDIM($BB22:$BE22))</f>
        <v>0</v>
      </c>
      <c r="B22" s="254">
        <f t="shared" si="10"/>
        <v>0</v>
      </c>
      <c r="C22" s="254">
        <f t="shared" si="11"/>
        <v>0</v>
      </c>
      <c r="D22" s="254">
        <f t="shared" si="12"/>
        <v>0</v>
      </c>
      <c r="E22" s="254">
        <f t="array" ref="E22">_xll.BC(DB,_xll.ArrayDPT($AA22:$AE22),_xll.ArrayCOA($AG22:$AZ22),YR,PRD,RV,_xll.ArrayDIM($BB22:$BE22))</f>
        <v>0</v>
      </c>
      <c r="F22" s="254">
        <f t="shared" si="13"/>
        <v>0</v>
      </c>
      <c r="G22" s="254">
        <f t="array" ref="G22">_xll.AC(DB,_xll.ArrayDPT($AA22:$AE22),_xll.ArrayCOA($AG22:$AZ22),YR,PRD,_xll.ArrayDIM($BB22:$BE22))</f>
        <v>0</v>
      </c>
      <c r="H22" s="254">
        <f t="shared" si="14"/>
        <v>0</v>
      </c>
      <c r="I22" s="254"/>
      <c r="J22" s="328" t="s">
        <v>648</v>
      </c>
      <c r="K22" s="254"/>
      <c r="L22" s="254">
        <f t="array" ref="L22">_xll.ACC(DB,_xll.ArrayDPT($AA22:$AE22),_xll.ArrayCOA($AG22:$AZ22),YR,PRD,_xll.ArrayDIM($BB22:$BE22))</f>
        <v>0</v>
      </c>
      <c r="M22" s="237">
        <f t="shared" si="15"/>
        <v>0</v>
      </c>
      <c r="N22" s="254">
        <f t="array" ref="N22">_xll.BCC(DB,_xll.ArrayDPT($AA22:$AE22),_xll.ArrayCOA($AG22:$AZ22),YR,PRD,RV,_xll.ArrayDIM($BB22:$BE22))</f>
        <v>0</v>
      </c>
      <c r="O22" s="237">
        <f t="shared" si="16"/>
        <v>0</v>
      </c>
      <c r="P22" s="237">
        <f t="shared" si="17"/>
        <v>0</v>
      </c>
      <c r="Q22" s="254">
        <f t="shared" si="18"/>
        <v>0</v>
      </c>
      <c r="R22" s="254">
        <f t="array" ref="R22">_xll.ACC(DB,_xll.ArrayDPT($AA22:$AE22),_xll.ArrayCOA($AG22:$AZ22),YR-1,PRD,_xll.ArrayDIM($BB22:$BE22))</f>
        <v>0</v>
      </c>
      <c r="S22" s="237">
        <f t="shared" si="19"/>
        <v>0</v>
      </c>
      <c r="T22" s="328"/>
      <c r="U22" s="328"/>
      <c r="V22" s="328"/>
      <c r="W22" s="328"/>
      <c r="X22" s="328"/>
      <c r="Y22" s="328"/>
      <c r="Z22" s="328"/>
      <c r="AA22" s="95" t="s">
        <v>637</v>
      </c>
      <c r="AB22" s="96"/>
      <c r="AC22" s="96"/>
      <c r="AD22" s="96"/>
      <c r="AE22" s="96"/>
      <c r="AF22" s="97"/>
      <c r="AG22" s="95" t="s">
        <v>649</v>
      </c>
      <c r="AH22" s="96" t="s">
        <v>649</v>
      </c>
      <c r="AI22" s="95"/>
      <c r="AJ22" s="96"/>
      <c r="AK22" s="95"/>
      <c r="AL22" s="96"/>
      <c r="AM22" s="95"/>
      <c r="AN22" s="98"/>
      <c r="AO22" s="96"/>
      <c r="AP22" s="96"/>
      <c r="AQ22" s="95"/>
      <c r="AR22" s="98"/>
      <c r="AS22" s="96"/>
      <c r="AT22" s="96"/>
      <c r="AU22" s="95"/>
      <c r="AV22" s="98"/>
      <c r="AW22" s="96"/>
      <c r="AX22" s="96"/>
      <c r="AY22" s="95"/>
      <c r="AZ22" s="98"/>
      <c r="BA22" s="99"/>
      <c r="BB22" s="95"/>
      <c r="BC22" s="96"/>
      <c r="BD22" s="96"/>
      <c r="BE22" s="98"/>
      <c r="BF22" s="95"/>
      <c r="BG22" s="96"/>
      <c r="BH22" s="96"/>
      <c r="BI22" s="98"/>
    </row>
    <row r="23" spans="1:61" ht="12" customHeight="1">
      <c r="A23" s="254">
        <f t="array" ref="A23">_xll.AC(DB,_xll.ArrayDPT($AA23:$AE23),_xll.ArrayCOA($AG23:$AZ23),YR-1,PRD,_xll.ArrayDIM($BB23:$BE23))</f>
        <v>0</v>
      </c>
      <c r="B23" s="254">
        <f t="shared" si="10"/>
        <v>0</v>
      </c>
      <c r="C23" s="254">
        <f t="shared" si="11"/>
        <v>-5835.94</v>
      </c>
      <c r="D23" s="254">
        <f t="shared" si="12"/>
        <v>7.3669079787236053E-2</v>
      </c>
      <c r="E23" s="254">
        <f t="array" ref="E23">_xll.BC(DB,_xll.ArrayDPT($AA23:$AE23),_xll.ArrayCOA($AG23:$AZ23),YR,PRD,RV,_xll.ArrayDIM($BB23:$BE23))</f>
        <v>0</v>
      </c>
      <c r="F23" s="254">
        <f t="shared" si="13"/>
        <v>0</v>
      </c>
      <c r="G23" s="254">
        <f t="array" ref="G23">_xll.AC(DB,_xll.ArrayDPT($AA23:$AE23),_xll.ArrayCOA($AG23:$AZ23),YR,PRD,_xll.ArrayDIM($BB23:$BE23))</f>
        <v>5835.94</v>
      </c>
      <c r="H23" s="254">
        <f t="shared" si="14"/>
        <v>7.3669079787236053E-2</v>
      </c>
      <c r="I23" s="254"/>
      <c r="J23" s="328" t="s">
        <v>650</v>
      </c>
      <c r="K23" s="254"/>
      <c r="L23" s="254">
        <f t="array" ref="L23">_xll.ACC(DB,_xll.ArrayDPT($AA23:$AE23),_xll.ArrayCOA($AG23:$AZ23),YR,PRD,_xll.ArrayDIM($BB23:$BE23))</f>
        <v>5835.94</v>
      </c>
      <c r="M23" s="237">
        <f t="shared" si="15"/>
        <v>7.3669079787236053E-2</v>
      </c>
      <c r="N23" s="254">
        <f t="array" ref="N23">_xll.BCC(DB,_xll.ArrayDPT($AA23:$AE23),_xll.ArrayCOA($AG23:$AZ23),YR,PRD,RV,_xll.ArrayDIM($BB23:$BE23))</f>
        <v>0</v>
      </c>
      <c r="O23" s="237">
        <f t="shared" si="16"/>
        <v>0</v>
      </c>
      <c r="P23" s="237">
        <f t="shared" si="17"/>
        <v>-5835.94</v>
      </c>
      <c r="Q23" s="254">
        <f t="shared" si="18"/>
        <v>7.3669079787236053E-2</v>
      </c>
      <c r="R23" s="254">
        <f t="array" ref="R23">_xll.ACC(DB,_xll.ArrayDPT($AA23:$AE23),_xll.ArrayCOA($AG23:$AZ23),YR-1,PRD,_xll.ArrayDIM($BB23:$BE23))</f>
        <v>0</v>
      </c>
      <c r="S23" s="237">
        <f t="shared" si="19"/>
        <v>0</v>
      </c>
      <c r="T23" s="328"/>
      <c r="U23" s="328"/>
      <c r="V23" s="328"/>
      <c r="W23" s="328"/>
      <c r="X23" s="328"/>
      <c r="Y23" s="328"/>
      <c r="Z23" s="328"/>
      <c r="AA23" s="95" t="s">
        <v>634</v>
      </c>
      <c r="AB23" s="96" t="s">
        <v>637</v>
      </c>
      <c r="AC23" s="96"/>
      <c r="AD23" s="96"/>
      <c r="AE23" s="96"/>
      <c r="AF23" s="97"/>
      <c r="AG23" s="95" t="s">
        <v>651</v>
      </c>
      <c r="AH23" s="96" t="s">
        <v>651</v>
      </c>
      <c r="AI23" s="95"/>
      <c r="AJ23" s="96"/>
      <c r="AK23" s="95"/>
      <c r="AL23" s="96"/>
      <c r="AM23" s="95"/>
      <c r="AN23" s="98"/>
      <c r="AO23" s="96"/>
      <c r="AP23" s="96"/>
      <c r="AQ23" s="95"/>
      <c r="AR23" s="98"/>
      <c r="AS23" s="96"/>
      <c r="AT23" s="96"/>
      <c r="AU23" s="95"/>
      <c r="AV23" s="98"/>
      <c r="AW23" s="96"/>
      <c r="AX23" s="96"/>
      <c r="AY23" s="95"/>
      <c r="AZ23" s="98"/>
      <c r="BA23" s="99"/>
      <c r="BB23" s="95"/>
      <c r="BC23" s="96"/>
      <c r="BD23" s="96"/>
      <c r="BE23" s="98"/>
      <c r="BF23" s="95"/>
      <c r="BG23" s="96"/>
      <c r="BH23" s="96"/>
      <c r="BI23" s="98"/>
    </row>
    <row r="24" spans="1:61" ht="12" customHeight="1">
      <c r="A24" s="254">
        <f t="array" ref="A24">_xll.AC(DB,_xll.ArrayDPT($AA24:$AE24),_xll.ArrayCOA($AG24:$AZ24),YR-1,PRD,_xll.ArrayDIM($BB24:$BE24))</f>
        <v>3800</v>
      </c>
      <c r="B24" s="254">
        <f t="shared" si="10"/>
        <v>5.2417268476797813E-2</v>
      </c>
      <c r="C24" s="254">
        <f t="shared" si="11"/>
        <v>0</v>
      </c>
      <c r="D24" s="254">
        <f t="shared" si="12"/>
        <v>0</v>
      </c>
      <c r="E24" s="254">
        <f t="array" ref="E24">_xll.BC(DB,_xll.ArrayDPT($AA24:$AE24),_xll.ArrayCOA($AG24:$AZ24),YR,PRD,RV,_xll.ArrayDIM($BB24:$BE24))</f>
        <v>0</v>
      </c>
      <c r="F24" s="254">
        <f t="shared" si="13"/>
        <v>0</v>
      </c>
      <c r="G24" s="254">
        <f t="array" ref="G24">_xll.AC(DB,_xll.ArrayDPT($AA24:$AE24),_xll.ArrayCOA($AG24:$AZ24),YR,PRD,_xll.ArrayDIM($BB24:$BE24))</f>
        <v>0</v>
      </c>
      <c r="H24" s="254">
        <f t="shared" si="14"/>
        <v>0</v>
      </c>
      <c r="I24" s="254"/>
      <c r="J24" s="328" t="s">
        <v>652</v>
      </c>
      <c r="K24" s="254"/>
      <c r="L24" s="254">
        <f t="array" ref="L24">_xll.ACC(DB,_xll.ArrayDPT($AA24:$AE24),_xll.ArrayCOA($AG24:$AZ24),YR,PRD,_xll.ArrayDIM($BB24:$BE24))</f>
        <v>0</v>
      </c>
      <c r="M24" s="237">
        <f t="shared" si="15"/>
        <v>0</v>
      </c>
      <c r="N24" s="254">
        <f t="array" ref="N24">_xll.BCC(DB,_xll.ArrayDPT($AA24:$AE24),_xll.ArrayCOA($AG24:$AZ24),YR,PRD,RV,_xll.ArrayDIM($BB24:$BE24))</f>
        <v>0</v>
      </c>
      <c r="O24" s="237">
        <f t="shared" si="16"/>
        <v>0</v>
      </c>
      <c r="P24" s="237">
        <f t="shared" si="17"/>
        <v>0</v>
      </c>
      <c r="Q24" s="254">
        <f t="shared" si="18"/>
        <v>0</v>
      </c>
      <c r="R24" s="254">
        <f t="array" ref="R24">_xll.ACC(DB,_xll.ArrayDPT($AA24:$AE24),_xll.ArrayCOA($AG24:$AZ24),YR-1,PRD,_xll.ArrayDIM($BB24:$BE24))</f>
        <v>3800</v>
      </c>
      <c r="S24" s="237">
        <f t="shared" si="19"/>
        <v>5.2417268476797813E-2</v>
      </c>
      <c r="T24" s="328"/>
      <c r="U24" s="328"/>
      <c r="V24" s="328"/>
      <c r="W24" s="328"/>
      <c r="X24" s="328"/>
      <c r="Y24" s="328"/>
      <c r="Z24" s="328"/>
      <c r="AA24" s="95" t="s">
        <v>634</v>
      </c>
      <c r="AB24" s="96" t="s">
        <v>637</v>
      </c>
      <c r="AC24" s="96" t="s">
        <v>640</v>
      </c>
      <c r="AD24" s="96"/>
      <c r="AE24" s="96"/>
      <c r="AF24" s="97"/>
      <c r="AG24" s="95" t="s">
        <v>579</v>
      </c>
      <c r="AH24" s="96" t="s">
        <v>579</v>
      </c>
      <c r="AI24" s="95"/>
      <c r="AJ24" s="96"/>
      <c r="AK24" s="95"/>
      <c r="AL24" s="96"/>
      <c r="AM24" s="95"/>
      <c r="AN24" s="98"/>
      <c r="AO24" s="96"/>
      <c r="AP24" s="96"/>
      <c r="AQ24" s="95"/>
      <c r="AR24" s="98"/>
      <c r="AS24" s="96"/>
      <c r="AT24" s="96"/>
      <c r="AU24" s="95"/>
      <c r="AV24" s="98"/>
      <c r="AW24" s="96"/>
      <c r="AX24" s="96"/>
      <c r="AY24" s="95"/>
      <c r="AZ24" s="98"/>
      <c r="BA24" s="99"/>
      <c r="BB24" s="95"/>
      <c r="BC24" s="96"/>
      <c r="BD24" s="96"/>
      <c r="BE24" s="98"/>
      <c r="BF24" s="95"/>
      <c r="BG24" s="96"/>
      <c r="BH24" s="96"/>
      <c r="BI24" s="98"/>
    </row>
    <row r="25" spans="1:61" ht="6" customHeight="1">
      <c r="A25" s="329"/>
      <c r="B25" s="329"/>
      <c r="C25" s="329"/>
      <c r="D25" s="329"/>
      <c r="E25" s="329"/>
      <c r="F25" s="329"/>
      <c r="G25" s="329"/>
      <c r="H25" s="329"/>
      <c r="I25" s="330"/>
      <c r="J25" s="331"/>
      <c r="K25" s="332"/>
      <c r="L25" s="333"/>
      <c r="M25" s="329"/>
      <c r="N25" s="333"/>
      <c r="O25" s="329"/>
      <c r="P25" s="333"/>
      <c r="Q25" s="329"/>
      <c r="R25" s="333"/>
      <c r="S25" s="329"/>
      <c r="T25" s="328"/>
      <c r="U25" s="328"/>
      <c r="V25" s="328"/>
      <c r="W25" s="328"/>
      <c r="X25" s="328"/>
      <c r="Y25" s="328"/>
      <c r="Z25" s="328"/>
      <c r="AA25" s="95"/>
      <c r="AB25" s="96"/>
      <c r="AC25" s="96"/>
      <c r="AD25" s="96"/>
      <c r="AE25" s="96"/>
      <c r="AF25" s="97"/>
      <c r="AG25" s="95"/>
      <c r="AH25" s="96"/>
      <c r="AI25" s="95"/>
      <c r="AJ25" s="96"/>
      <c r="AK25" s="95"/>
      <c r="AL25" s="96"/>
      <c r="AM25" s="95"/>
      <c r="AN25" s="98"/>
      <c r="AO25" s="96"/>
      <c r="AP25" s="96"/>
      <c r="AQ25" s="95"/>
      <c r="AR25" s="98"/>
      <c r="AS25" s="96"/>
      <c r="AT25" s="96"/>
      <c r="AU25" s="95"/>
      <c r="AV25" s="98"/>
      <c r="AW25" s="96"/>
      <c r="AX25" s="96"/>
      <c r="AY25" s="95"/>
      <c r="AZ25" s="98"/>
      <c r="BA25" s="99"/>
      <c r="BB25" s="95"/>
      <c r="BC25" s="96"/>
      <c r="BD25" s="96"/>
      <c r="BE25" s="98"/>
      <c r="BF25" s="95"/>
      <c r="BG25" s="96"/>
      <c r="BH25" s="96"/>
      <c r="BI25" s="98"/>
    </row>
    <row r="26" spans="1:61" ht="12" customHeight="1">
      <c r="A26" s="334">
        <f>SUM(A16:A25)</f>
        <v>277633.34000000003</v>
      </c>
      <c r="B26" s="334">
        <f>IF(A26=0,0,(A26*100/A$14))</f>
        <v>3.8296792949710765</v>
      </c>
      <c r="C26" s="334">
        <f>SUM(C16:C25)</f>
        <v>-289005.28000000003</v>
      </c>
      <c r="D26" s="334">
        <f>IF(C26=0,0,(C26*100/C$14))</f>
        <v>3.648213146682882</v>
      </c>
      <c r="E26" s="334">
        <f>SUM(E16:E25)</f>
        <v>0</v>
      </c>
      <c r="F26" s="334">
        <f>IF(E26=0,0,(E26*100/E$14))</f>
        <v>0</v>
      </c>
      <c r="G26" s="334">
        <f>SUM(G16:G25)</f>
        <v>289005.28000000003</v>
      </c>
      <c r="H26" s="334">
        <f>IF(G26=0,0,(G26*100/G$14))</f>
        <v>3.648213146682882</v>
      </c>
      <c r="I26" s="335"/>
      <c r="J26" s="336" t="s">
        <v>543</v>
      </c>
      <c r="K26" s="337"/>
      <c r="L26" s="338">
        <f>SUM(L16:L25)</f>
        <v>289005.28000000003</v>
      </c>
      <c r="M26" s="334">
        <f>IF(L26=0,0,(L26*100/L$14))</f>
        <v>3.648213146682882</v>
      </c>
      <c r="N26" s="338">
        <f>SUM(N16:N25)</f>
        <v>0</v>
      </c>
      <c r="O26" s="334">
        <f>IF(N26=0,0,(N26*100/N$14))</f>
        <v>0</v>
      </c>
      <c r="P26" s="338">
        <f>SUM(P16:P25)</f>
        <v>-289005.28000000003</v>
      </c>
      <c r="Q26" s="334">
        <f>IF(P26=0,0,(P26*100/P$14))</f>
        <v>3.648213146682882</v>
      </c>
      <c r="R26" s="338">
        <f>SUM(R16:R25)</f>
        <v>277633.34000000003</v>
      </c>
      <c r="S26" s="334">
        <f>IF(R26=0,0,(R26*100/R$14))</f>
        <v>3.8296792949710765</v>
      </c>
      <c r="T26" s="328"/>
      <c r="U26" s="328"/>
      <c r="V26" s="328"/>
      <c r="W26" s="328"/>
      <c r="X26" s="328"/>
      <c r="Y26" s="328"/>
      <c r="Z26" s="328"/>
      <c r="AA26" s="95"/>
      <c r="AB26" s="96"/>
      <c r="AC26" s="96"/>
      <c r="AD26" s="96"/>
      <c r="AE26" s="96"/>
      <c r="AF26" s="97"/>
      <c r="AG26" s="95"/>
      <c r="AH26" s="96"/>
      <c r="AI26" s="95"/>
      <c r="AJ26" s="96"/>
      <c r="AK26" s="95"/>
      <c r="AL26" s="96"/>
      <c r="AM26" s="95"/>
      <c r="AN26" s="98"/>
      <c r="AO26" s="96"/>
      <c r="AP26" s="96"/>
      <c r="AQ26" s="95"/>
      <c r="AR26" s="98"/>
      <c r="AS26" s="96"/>
      <c r="AT26" s="96"/>
      <c r="AU26" s="95"/>
      <c r="AV26" s="98"/>
      <c r="AW26" s="96"/>
      <c r="AX26" s="96"/>
      <c r="AY26" s="95"/>
      <c r="AZ26" s="98"/>
      <c r="BA26" s="99"/>
      <c r="BB26" s="95"/>
      <c r="BC26" s="96"/>
      <c r="BD26" s="96"/>
      <c r="BE26" s="98"/>
      <c r="BF26" s="95"/>
      <c r="BG26" s="96"/>
      <c r="BH26" s="96"/>
      <c r="BI26" s="98"/>
    </row>
    <row r="27" spans="1:61" ht="12" customHeight="1">
      <c r="A27" s="254"/>
      <c r="B27" s="254"/>
      <c r="C27" s="254"/>
      <c r="D27" s="254"/>
      <c r="E27" s="254"/>
      <c r="F27" s="254"/>
      <c r="G27" s="254"/>
      <c r="H27" s="254"/>
      <c r="I27" s="254"/>
      <c r="J27" s="340" t="s">
        <v>653</v>
      </c>
      <c r="K27" s="254"/>
      <c r="L27" s="237"/>
      <c r="M27" s="237"/>
      <c r="N27" s="237"/>
      <c r="O27" s="237"/>
      <c r="P27" s="237"/>
      <c r="Q27" s="237"/>
      <c r="R27" s="237"/>
      <c r="S27" s="237"/>
      <c r="T27" s="328"/>
      <c r="U27" s="328"/>
      <c r="V27" s="328"/>
      <c r="W27" s="328"/>
      <c r="X27" s="328"/>
      <c r="Y27" s="328"/>
      <c r="Z27" s="328"/>
      <c r="AA27" s="95"/>
      <c r="AB27" s="96"/>
      <c r="AC27" s="96"/>
      <c r="AD27" s="96"/>
      <c r="AE27" s="96"/>
      <c r="AF27" s="97"/>
      <c r="AG27" s="95"/>
      <c r="AH27" s="96"/>
      <c r="AI27" s="95"/>
      <c r="AJ27" s="96"/>
      <c r="AK27" s="95"/>
      <c r="AL27" s="96"/>
      <c r="AM27" s="95"/>
      <c r="AN27" s="98"/>
      <c r="AO27" s="96"/>
      <c r="AP27" s="96"/>
      <c r="AQ27" s="95"/>
      <c r="AR27" s="98"/>
      <c r="AS27" s="96"/>
      <c r="AT27" s="96"/>
      <c r="AU27" s="95"/>
      <c r="AV27" s="98"/>
      <c r="AW27" s="96"/>
      <c r="AX27" s="96"/>
      <c r="AY27" s="95"/>
      <c r="AZ27" s="98"/>
      <c r="BA27" s="99"/>
      <c r="BB27" s="95"/>
      <c r="BC27" s="96"/>
      <c r="BD27" s="96"/>
      <c r="BE27" s="98"/>
      <c r="BF27" s="95"/>
      <c r="BG27" s="96"/>
      <c r="BH27" s="96"/>
      <c r="BI27" s="98"/>
    </row>
    <row r="28" spans="1:61" ht="12" customHeight="1">
      <c r="A28" s="254">
        <f t="array" ref="A28">_xll.AC(DB,_xll.ArrayDPT($AA28:$AE28),_xll.ArrayCOA($AG28:$AZ28),YR-1,PRD,_xll.ArrayDIM($BB28:$BE28))</f>
        <v>254484.17</v>
      </c>
      <c r="B28" s="254">
        <f t="shared" ref="B28:B70" si="20">IF(A28=0,0,(A28*100/A$14))</f>
        <v>3.5103592268381725</v>
      </c>
      <c r="C28" s="254">
        <f t="shared" ref="C28:C70" si="21">+E28-G28</f>
        <v>-608078.65</v>
      </c>
      <c r="D28" s="254">
        <f t="shared" ref="D28:D70" si="22">IF(C28=0,0,(C28*100/C$14))</f>
        <v>7.6759861451222564</v>
      </c>
      <c r="E28" s="254">
        <f t="array" ref="E28">_xll.BC(DB,_xll.ArrayDPT($AA28:$AE28),_xll.ArrayCOA($AG28:$AZ28),YR,PRD,RV,_xll.ArrayDIM($BB28:$BE28))</f>
        <v>0</v>
      </c>
      <c r="F28" s="254">
        <f t="shared" ref="F28:F70" si="23">IF(E28=0,0,(E28*100/E$14))</f>
        <v>0</v>
      </c>
      <c r="G28" s="254">
        <f t="array" ref="G28">_xll.AC(DB,_xll.ArrayDPT($AA28:$AE28),_xll.ArrayCOA($AG28:$AZ28),YR,PRD,_xll.ArrayDIM($BB28:$BE28))</f>
        <v>608078.65</v>
      </c>
      <c r="H28" s="254">
        <f t="shared" ref="H28:H70" si="24">IF(G28=0,0,(G28*100/G$14))</f>
        <v>7.6759861451222564</v>
      </c>
      <c r="I28" s="254"/>
      <c r="J28" s="328" t="s">
        <v>654</v>
      </c>
      <c r="K28" s="254"/>
      <c r="L28" s="254">
        <f t="array" ref="L28">_xll.ACC(DB,_xll.ArrayDPT($AA28:$AE28),_xll.ArrayCOA($AG28:$AZ28),YR,PRD,_xll.ArrayDIM($BB28:$BE28))</f>
        <v>608078.65</v>
      </c>
      <c r="M28" s="237">
        <f t="shared" ref="M28:M70" si="25">IF(L28=0,0,(L28*100/L$14))</f>
        <v>7.6759861451222564</v>
      </c>
      <c r="N28" s="254">
        <f t="array" ref="N28">_xll.BCC(DB,_xll.ArrayDPT($AA28:$AE28),_xll.ArrayCOA($AG28:$AZ28),YR,PRD,RV,_xll.ArrayDIM($BB28:$BE28))</f>
        <v>0</v>
      </c>
      <c r="O28" s="237">
        <f t="shared" ref="O28:O70" si="26">IF(N28=0,0,(N28*100/N$14))</f>
        <v>0</v>
      </c>
      <c r="P28" s="237">
        <f t="shared" ref="P28:P70" si="27">+N28-L28</f>
        <v>-608078.65</v>
      </c>
      <c r="Q28" s="237">
        <f t="shared" ref="Q28:Q70" si="28">IF(P28=0,0,(P28*100/P$14))</f>
        <v>7.6759861451222564</v>
      </c>
      <c r="R28" s="254">
        <f t="array" ref="R28">_xll.ACC(DB,_xll.ArrayDPT($AA28:$AE28),_xll.ArrayCOA($AG28:$AZ28),YR-1,PRD,_xll.ArrayDIM($BB28:$BE28))</f>
        <v>254484.17</v>
      </c>
      <c r="S28" s="237">
        <f t="shared" ref="S28:S70" si="29">IF(R28=0,0,(R28*100/R$14))</f>
        <v>3.5103592268381725</v>
      </c>
      <c r="T28" s="328"/>
      <c r="U28" s="328"/>
      <c r="V28" s="328"/>
      <c r="W28" s="328"/>
      <c r="X28" s="328"/>
      <c r="Y28" s="328"/>
      <c r="Z28" s="328"/>
      <c r="AA28" s="95" t="s">
        <v>634</v>
      </c>
      <c r="AB28" s="96" t="s">
        <v>640</v>
      </c>
      <c r="AC28" s="96"/>
      <c r="AD28" s="96"/>
      <c r="AE28" s="96"/>
      <c r="AF28" s="97"/>
      <c r="AG28" s="95" t="s">
        <v>655</v>
      </c>
      <c r="AH28" s="96" t="s">
        <v>655</v>
      </c>
      <c r="AI28" s="95"/>
      <c r="AJ28" s="96"/>
      <c r="AK28" s="95"/>
      <c r="AL28" s="96"/>
      <c r="AM28" s="95"/>
      <c r="AN28" s="98"/>
      <c r="AO28" s="96"/>
      <c r="AP28" s="96"/>
      <c r="AQ28" s="95"/>
      <c r="AR28" s="98"/>
      <c r="AS28" s="96"/>
      <c r="AT28" s="96"/>
      <c r="AU28" s="95"/>
      <c r="AV28" s="98"/>
      <c r="AW28" s="96"/>
      <c r="AX28" s="96"/>
      <c r="AY28" s="95"/>
      <c r="AZ28" s="98"/>
      <c r="BA28" s="99"/>
      <c r="BB28" s="95"/>
      <c r="BC28" s="96"/>
      <c r="BD28" s="96"/>
      <c r="BE28" s="98"/>
      <c r="BF28" s="95"/>
      <c r="BG28" s="96"/>
      <c r="BH28" s="96"/>
      <c r="BI28" s="98"/>
    </row>
    <row r="29" spans="1:61" ht="12" customHeight="1">
      <c r="A29" s="254">
        <f t="array" ref="A29">_xll.AC(DB,_xll.ArrayDPT($AA29:$AE29),_xll.ArrayCOA($AG29:$AZ29),YR-1,PRD,_xll.ArrayDIM($BB29:$BE29))</f>
        <v>24772.01</v>
      </c>
      <c r="B29" s="254">
        <f t="shared" si="20"/>
        <v>0.34170555233682109</v>
      </c>
      <c r="C29" s="254">
        <f t="shared" si="21"/>
        <v>-9435.7999999999993</v>
      </c>
      <c r="D29" s="254">
        <f t="shared" si="22"/>
        <v>0.1191113519084161</v>
      </c>
      <c r="E29" s="254">
        <f t="array" ref="E29">_xll.BC(DB,_xll.ArrayDPT($AA29:$AE29),_xll.ArrayCOA($AG29:$AZ29),YR,PRD,RV,_xll.ArrayDIM($BB29:$BE29))</f>
        <v>0</v>
      </c>
      <c r="F29" s="254">
        <f t="shared" si="23"/>
        <v>0</v>
      </c>
      <c r="G29" s="254">
        <f t="array" ref="G29">_xll.AC(DB,_xll.ArrayDPT($AA29:$AE29),_xll.ArrayCOA($AG29:$AZ29),YR,PRD,_xll.ArrayDIM($BB29:$BE29))</f>
        <v>9435.7999999999993</v>
      </c>
      <c r="H29" s="254">
        <f t="shared" si="24"/>
        <v>0.1191113519084161</v>
      </c>
      <c r="I29" s="254"/>
      <c r="J29" s="328" t="s">
        <v>656</v>
      </c>
      <c r="K29" s="254"/>
      <c r="L29" s="254">
        <f t="array" ref="L29">_xll.ACC(DB,_xll.ArrayDPT($AA29:$AE29),_xll.ArrayCOA($AG29:$AZ29),YR,PRD,_xll.ArrayDIM($BB29:$BE29))</f>
        <v>9435.7999999999993</v>
      </c>
      <c r="M29" s="237">
        <f t="shared" si="25"/>
        <v>0.1191113519084161</v>
      </c>
      <c r="N29" s="254">
        <f t="array" ref="N29">_xll.BCC(DB,_xll.ArrayDPT($AA29:$AE29),_xll.ArrayCOA($AG29:$AZ29),YR,PRD,RV,_xll.ArrayDIM($BB29:$BE29))</f>
        <v>0</v>
      </c>
      <c r="O29" s="237">
        <f t="shared" si="26"/>
        <v>0</v>
      </c>
      <c r="P29" s="237">
        <f t="shared" si="27"/>
        <v>-9435.7999999999993</v>
      </c>
      <c r="Q29" s="237">
        <f t="shared" si="28"/>
        <v>0.1191113519084161</v>
      </c>
      <c r="R29" s="254">
        <f t="array" ref="R29">_xll.ACC(DB,_xll.ArrayDPT($AA29:$AE29),_xll.ArrayCOA($AG29:$AZ29),YR-1,PRD,_xll.ArrayDIM($BB29:$BE29))</f>
        <v>24772.01</v>
      </c>
      <c r="S29" s="237">
        <f t="shared" si="29"/>
        <v>0.34170555233682109</v>
      </c>
      <c r="T29" s="328"/>
      <c r="U29" s="328"/>
      <c r="V29" s="328"/>
      <c r="W29" s="328"/>
      <c r="X29" s="328"/>
      <c r="Y29" s="328"/>
      <c r="Z29" s="328"/>
      <c r="AA29" s="95" t="s">
        <v>634</v>
      </c>
      <c r="AB29" s="96"/>
      <c r="AC29" s="96"/>
      <c r="AD29" s="96"/>
      <c r="AE29" s="96"/>
      <c r="AF29" s="97"/>
      <c r="AG29" s="95" t="s">
        <v>657</v>
      </c>
      <c r="AH29" s="96" t="s">
        <v>657</v>
      </c>
      <c r="AI29" s="95"/>
      <c r="AJ29" s="96"/>
      <c r="AK29" s="95"/>
      <c r="AL29" s="96"/>
      <c r="AM29" s="95"/>
      <c r="AN29" s="98"/>
      <c r="AO29" s="96"/>
      <c r="AP29" s="96"/>
      <c r="AQ29" s="95"/>
      <c r="AR29" s="98"/>
      <c r="AS29" s="96"/>
      <c r="AT29" s="96"/>
      <c r="AU29" s="95"/>
      <c r="AV29" s="98"/>
      <c r="AW29" s="96"/>
      <c r="AX29" s="96"/>
      <c r="AY29" s="95"/>
      <c r="AZ29" s="98"/>
      <c r="BA29" s="99"/>
      <c r="BB29" s="95"/>
      <c r="BC29" s="96"/>
      <c r="BD29" s="96"/>
      <c r="BE29" s="98"/>
      <c r="BF29" s="95"/>
      <c r="BG29" s="96"/>
      <c r="BH29" s="96"/>
      <c r="BI29" s="98"/>
    </row>
    <row r="30" spans="1:61" ht="12" customHeight="1">
      <c r="A30" s="254">
        <f t="array" ref="A30">_xll.AC(DB,_xll.ArrayDPT($AA30:$AE30),_xll.ArrayCOA($AG30:$AZ30),YR-1,PRD,_xll.ArrayDIM($BB30:$BE30))</f>
        <v>269564.86</v>
      </c>
      <c r="B30" s="254">
        <f t="shared" si="20"/>
        <v>3.7183825364553726</v>
      </c>
      <c r="C30" s="254">
        <f t="shared" si="21"/>
        <v>-165220.04999999999</v>
      </c>
      <c r="D30" s="254">
        <f t="shared" si="22"/>
        <v>2.0856295722541915</v>
      </c>
      <c r="E30" s="254">
        <f t="array" ref="E30">_xll.BC(DB,_xll.ArrayDPT($AA30:$AE30),_xll.ArrayCOA($AG30:$AZ30),YR,PRD,RV,_xll.ArrayDIM($BB30:$BE30))</f>
        <v>0</v>
      </c>
      <c r="F30" s="254">
        <f t="shared" si="23"/>
        <v>0</v>
      </c>
      <c r="G30" s="254">
        <f t="array" ref="G30">_xll.AC(DB,_xll.ArrayDPT($AA30:$AE30),_xll.ArrayCOA($AG30:$AZ30),YR,PRD,_xll.ArrayDIM($BB30:$BE30))</f>
        <v>165220.04999999999</v>
      </c>
      <c r="H30" s="254">
        <f t="shared" si="24"/>
        <v>2.0856295722541915</v>
      </c>
      <c r="I30" s="254"/>
      <c r="J30" s="328" t="s">
        <v>658</v>
      </c>
      <c r="K30" s="254"/>
      <c r="L30" s="254">
        <f t="array" ref="L30">_xll.ACC(DB,_xll.ArrayDPT($AA30:$AE30),_xll.ArrayCOA($AG30:$AZ30),YR,PRD,_xll.ArrayDIM($BB30:$BE30))</f>
        <v>165220.04999999999</v>
      </c>
      <c r="M30" s="237">
        <f t="shared" si="25"/>
        <v>2.0856295722541915</v>
      </c>
      <c r="N30" s="254">
        <f t="array" ref="N30">_xll.BCC(DB,_xll.ArrayDPT($AA30:$AE30),_xll.ArrayCOA($AG30:$AZ30),YR,PRD,RV,_xll.ArrayDIM($BB30:$BE30))</f>
        <v>0</v>
      </c>
      <c r="O30" s="237">
        <f t="shared" si="26"/>
        <v>0</v>
      </c>
      <c r="P30" s="237">
        <f t="shared" si="27"/>
        <v>-165220.04999999999</v>
      </c>
      <c r="Q30" s="237">
        <f t="shared" si="28"/>
        <v>2.0856295722541915</v>
      </c>
      <c r="R30" s="254">
        <f t="array" ref="R30">_xll.ACC(DB,_xll.ArrayDPT($AA30:$AE30),_xll.ArrayCOA($AG30:$AZ30),YR-1,PRD,_xll.ArrayDIM($BB30:$BE30))</f>
        <v>269564.86</v>
      </c>
      <c r="S30" s="237">
        <f t="shared" si="29"/>
        <v>3.7183825364553726</v>
      </c>
      <c r="T30" s="328"/>
      <c r="U30" s="328"/>
      <c r="V30" s="328"/>
      <c r="W30" s="328"/>
      <c r="X30" s="328"/>
      <c r="Y30" s="328"/>
      <c r="Z30" s="328"/>
      <c r="AA30" s="95" t="s">
        <v>640</v>
      </c>
      <c r="AB30" s="96"/>
      <c r="AC30" s="96"/>
      <c r="AD30" s="96"/>
      <c r="AE30" s="96"/>
      <c r="AF30" s="97"/>
      <c r="AG30" s="95" t="s">
        <v>659</v>
      </c>
      <c r="AH30" s="96" t="s">
        <v>659</v>
      </c>
      <c r="AI30" s="95"/>
      <c r="AJ30" s="96"/>
      <c r="AK30" s="95"/>
      <c r="AL30" s="96"/>
      <c r="AM30" s="95"/>
      <c r="AN30" s="98"/>
      <c r="AO30" s="96"/>
      <c r="AP30" s="96"/>
      <c r="AQ30" s="95"/>
      <c r="AR30" s="98"/>
      <c r="AS30" s="96"/>
      <c r="AT30" s="96"/>
      <c r="AU30" s="95"/>
      <c r="AV30" s="98"/>
      <c r="AW30" s="96"/>
      <c r="AX30" s="96"/>
      <c r="AY30" s="95"/>
      <c r="AZ30" s="98"/>
      <c r="BA30" s="99"/>
      <c r="BB30" s="95"/>
      <c r="BC30" s="96"/>
      <c r="BD30" s="96"/>
      <c r="BE30" s="98"/>
      <c r="BF30" s="95"/>
      <c r="BG30" s="96"/>
      <c r="BH30" s="96"/>
      <c r="BI30" s="98"/>
    </row>
    <row r="31" spans="1:61" ht="12" customHeight="1">
      <c r="A31" s="254">
        <f t="array" ref="A31">_xll.AC(DB,_xll.ArrayDPT($AA31:$AE31),_xll.ArrayCOA($AG31:$AZ31),YR-1,PRD,_xll.ArrayDIM($BB31:$BE31))</f>
        <v>0</v>
      </c>
      <c r="B31" s="254">
        <f t="shared" si="20"/>
        <v>0</v>
      </c>
      <c r="C31" s="254">
        <f t="shared" si="21"/>
        <v>-42217.74</v>
      </c>
      <c r="D31" s="254">
        <f t="shared" si="22"/>
        <v>0.53292906652515049</v>
      </c>
      <c r="E31" s="254">
        <f t="array" ref="E31">_xll.BC(DB,_xll.ArrayDPT($AA31:$AE31),_xll.ArrayCOA($AG31:$AZ31),YR,PRD,RV,_xll.ArrayDIM($BB31:$BE31))</f>
        <v>0</v>
      </c>
      <c r="F31" s="254">
        <f t="shared" si="23"/>
        <v>0</v>
      </c>
      <c r="G31" s="254">
        <f t="array" ref="G31">_xll.AC(DB,_xll.ArrayDPT($AA31:$AE31),_xll.ArrayCOA($AG31:$AZ31),YR,PRD,_xll.ArrayDIM($BB31:$BE31))</f>
        <v>42217.74</v>
      </c>
      <c r="H31" s="254">
        <f t="shared" si="24"/>
        <v>0.53292906652515049</v>
      </c>
      <c r="I31" s="254"/>
      <c r="J31" s="328" t="s">
        <v>660</v>
      </c>
      <c r="K31" s="254"/>
      <c r="L31" s="254">
        <f t="array" ref="L31">_xll.ACC(DB,_xll.ArrayDPT($AA31:$AE31),_xll.ArrayCOA($AG31:$AZ31),YR,PRD,_xll.ArrayDIM($BB31:$BE31))</f>
        <v>42217.74</v>
      </c>
      <c r="M31" s="237">
        <f t="shared" si="25"/>
        <v>0.53292906652515049</v>
      </c>
      <c r="N31" s="254">
        <f t="array" ref="N31">_xll.BCC(DB,_xll.ArrayDPT($AA31:$AE31),_xll.ArrayCOA($AG31:$AZ31),YR,PRD,RV,_xll.ArrayDIM($BB31:$BE31))</f>
        <v>0</v>
      </c>
      <c r="O31" s="237">
        <f t="shared" si="26"/>
        <v>0</v>
      </c>
      <c r="P31" s="237">
        <f t="shared" si="27"/>
        <v>-42217.74</v>
      </c>
      <c r="Q31" s="237">
        <f t="shared" si="28"/>
        <v>0.53292906652515049</v>
      </c>
      <c r="R31" s="254">
        <f t="array" ref="R31">_xll.ACC(DB,_xll.ArrayDPT($AA31:$AE31),_xll.ArrayCOA($AG31:$AZ31),YR-1,PRD,_xll.ArrayDIM($BB31:$BE31))</f>
        <v>0</v>
      </c>
      <c r="S31" s="237">
        <f t="shared" si="29"/>
        <v>0</v>
      </c>
      <c r="T31" s="328"/>
      <c r="U31" s="328"/>
      <c r="V31" s="328"/>
      <c r="W31" s="328"/>
      <c r="X31" s="328"/>
      <c r="Y31" s="328"/>
      <c r="Z31" s="328"/>
      <c r="AA31" s="95" t="s">
        <v>634</v>
      </c>
      <c r="AB31" s="96" t="s">
        <v>637</v>
      </c>
      <c r="AC31" s="96"/>
      <c r="AD31" s="96"/>
      <c r="AE31" s="96"/>
      <c r="AF31" s="97"/>
      <c r="AG31" s="95" t="s">
        <v>580</v>
      </c>
      <c r="AH31" s="96" t="s">
        <v>580</v>
      </c>
      <c r="AI31" s="95"/>
      <c r="AJ31" s="96"/>
      <c r="AK31" s="95"/>
      <c r="AL31" s="96"/>
      <c r="AM31" s="95"/>
      <c r="AN31" s="98"/>
      <c r="AO31" s="96"/>
      <c r="AP31" s="96"/>
      <c r="AQ31" s="95"/>
      <c r="AR31" s="98"/>
      <c r="AS31" s="96"/>
      <c r="AT31" s="96"/>
      <c r="AU31" s="95"/>
      <c r="AV31" s="98"/>
      <c r="AW31" s="96"/>
      <c r="AX31" s="96"/>
      <c r="AY31" s="95"/>
      <c r="AZ31" s="98"/>
      <c r="BA31" s="99"/>
      <c r="BB31" s="95"/>
      <c r="BC31" s="96"/>
      <c r="BD31" s="96"/>
      <c r="BE31" s="98"/>
      <c r="BF31" s="95"/>
      <c r="BG31" s="96"/>
      <c r="BH31" s="96"/>
      <c r="BI31" s="98"/>
    </row>
    <row r="32" spans="1:61" ht="12" customHeight="1">
      <c r="A32" s="254">
        <f t="array" ref="A32">_xll.AC(DB,_xll.ArrayDPT($AA32:$AE32),_xll.ArrayCOA($AG32:$AZ32),YR-1,PRD,_xll.ArrayDIM($BB32:$BE32))</f>
        <v>0</v>
      </c>
      <c r="B32" s="254">
        <f t="shared" si="20"/>
        <v>0</v>
      </c>
      <c r="C32" s="254">
        <f t="shared" si="21"/>
        <v>0</v>
      </c>
      <c r="D32" s="254">
        <f t="shared" si="22"/>
        <v>0</v>
      </c>
      <c r="E32" s="254">
        <f t="array" ref="E32">_xll.BC(DB,_xll.ArrayDPT($AA32:$AE32),_xll.ArrayCOA($AG32:$AZ32),YR,PRD,RV,_xll.ArrayDIM($BB32:$BE32))</f>
        <v>0</v>
      </c>
      <c r="F32" s="254">
        <f t="shared" si="23"/>
        <v>0</v>
      </c>
      <c r="G32" s="254">
        <f t="array" ref="G32">_xll.AC(DB,_xll.ArrayDPT($AA32:$AE32),_xll.ArrayCOA($AG32:$AZ32),YR,PRD,_xll.ArrayDIM($BB32:$BE32))</f>
        <v>0</v>
      </c>
      <c r="H32" s="254">
        <f t="shared" si="24"/>
        <v>0</v>
      </c>
      <c r="I32" s="254"/>
      <c r="J32" s="328" t="s">
        <v>661</v>
      </c>
      <c r="K32" s="254"/>
      <c r="L32" s="254">
        <f t="array" ref="L32">_xll.ACC(DB,_xll.ArrayDPT($AA32:$AE32),_xll.ArrayCOA($AG32:$AZ32),YR,PRD,_xll.ArrayDIM($BB32:$BE32))</f>
        <v>0</v>
      </c>
      <c r="M32" s="237">
        <f t="shared" si="25"/>
        <v>0</v>
      </c>
      <c r="N32" s="254">
        <f t="array" ref="N32">_xll.BCC(DB,_xll.ArrayDPT($AA32:$AE32),_xll.ArrayCOA($AG32:$AZ32),YR,PRD,RV,_xll.ArrayDIM($BB32:$BE32))</f>
        <v>0</v>
      </c>
      <c r="O32" s="237">
        <f t="shared" si="26"/>
        <v>0</v>
      </c>
      <c r="P32" s="237">
        <f t="shared" si="27"/>
        <v>0</v>
      </c>
      <c r="Q32" s="237">
        <f t="shared" si="28"/>
        <v>0</v>
      </c>
      <c r="R32" s="254">
        <f t="array" ref="R32">_xll.ACC(DB,_xll.ArrayDPT($AA32:$AE32),_xll.ArrayCOA($AG32:$AZ32),YR-1,PRD,_xll.ArrayDIM($BB32:$BE32))</f>
        <v>0</v>
      </c>
      <c r="S32" s="237">
        <f t="shared" si="29"/>
        <v>0</v>
      </c>
      <c r="T32" s="328"/>
      <c r="U32" s="328"/>
      <c r="V32" s="328"/>
      <c r="W32" s="328"/>
      <c r="X32" s="328"/>
      <c r="Y32" s="328"/>
      <c r="Z32" s="328"/>
      <c r="AA32" s="95" t="s">
        <v>634</v>
      </c>
      <c r="AB32" s="96"/>
      <c r="AC32" s="96"/>
      <c r="AD32" s="96"/>
      <c r="AE32" s="96"/>
      <c r="AF32" s="97"/>
      <c r="AG32" s="95" t="s">
        <v>662</v>
      </c>
      <c r="AH32" s="96" t="s">
        <v>662</v>
      </c>
      <c r="AI32" s="95"/>
      <c r="AJ32" s="96"/>
      <c r="AK32" s="95"/>
      <c r="AL32" s="96"/>
      <c r="AM32" s="95"/>
      <c r="AN32" s="98"/>
      <c r="AO32" s="96"/>
      <c r="AP32" s="96"/>
      <c r="AQ32" s="95"/>
      <c r="AR32" s="98"/>
      <c r="AS32" s="96"/>
      <c r="AT32" s="96"/>
      <c r="AU32" s="95"/>
      <c r="AV32" s="98"/>
      <c r="AW32" s="96"/>
      <c r="AX32" s="96"/>
      <c r="AY32" s="95"/>
      <c r="AZ32" s="98"/>
      <c r="BA32" s="99"/>
      <c r="BB32" s="95"/>
      <c r="BC32" s="96"/>
      <c r="BD32" s="96"/>
      <c r="BE32" s="98"/>
      <c r="BF32" s="95"/>
      <c r="BG32" s="96"/>
      <c r="BH32" s="96"/>
      <c r="BI32" s="98"/>
    </row>
    <row r="33" spans="1:61" ht="12" customHeight="1">
      <c r="A33" s="254">
        <f t="array" ref="A33">_xll.AC(DB,_xll.ArrayDPT($AA33:$AE33),_xll.ArrayCOA($AG33:$AZ33),YR-1,PRD,_xll.ArrayDIM($BB33:$BE33))</f>
        <v>172926</v>
      </c>
      <c r="B33" s="254">
        <f t="shared" si="20"/>
        <v>2.3853443601628257</v>
      </c>
      <c r="C33" s="254">
        <f t="shared" si="21"/>
        <v>-105408.31</v>
      </c>
      <c r="D33" s="254">
        <f t="shared" si="22"/>
        <v>1.3306053865577288</v>
      </c>
      <c r="E33" s="254">
        <f t="array" ref="E33">_xll.BC(DB,_xll.ArrayDPT($AA33:$AE33),_xll.ArrayCOA($AG33:$AZ33),YR,PRD,RV,_xll.ArrayDIM($BB33:$BE33))</f>
        <v>0</v>
      </c>
      <c r="F33" s="254">
        <f t="shared" si="23"/>
        <v>0</v>
      </c>
      <c r="G33" s="254">
        <f t="array" ref="G33">_xll.AC(DB,_xll.ArrayDPT($AA33:$AE33),_xll.ArrayCOA($AG33:$AZ33),YR,PRD,_xll.ArrayDIM($BB33:$BE33))</f>
        <v>105408.31</v>
      </c>
      <c r="H33" s="254">
        <f t="shared" si="24"/>
        <v>1.3306053865577288</v>
      </c>
      <c r="I33" s="254"/>
      <c r="J33" s="328" t="s">
        <v>663</v>
      </c>
      <c r="K33" s="254"/>
      <c r="L33" s="254">
        <f t="array" ref="L33">_xll.ACC(DB,_xll.ArrayDPT($AA33:$AE33),_xll.ArrayCOA($AG33:$AZ33),YR,PRD,_xll.ArrayDIM($BB33:$BE33))</f>
        <v>105408.31</v>
      </c>
      <c r="M33" s="237">
        <f t="shared" si="25"/>
        <v>1.3306053865577288</v>
      </c>
      <c r="N33" s="254">
        <f t="array" ref="N33">_xll.BCC(DB,_xll.ArrayDPT($AA33:$AE33),_xll.ArrayCOA($AG33:$AZ33),YR,PRD,RV,_xll.ArrayDIM($BB33:$BE33))</f>
        <v>0</v>
      </c>
      <c r="O33" s="237">
        <f t="shared" si="26"/>
        <v>0</v>
      </c>
      <c r="P33" s="237">
        <f t="shared" si="27"/>
        <v>-105408.31</v>
      </c>
      <c r="Q33" s="237">
        <f t="shared" si="28"/>
        <v>1.3306053865577288</v>
      </c>
      <c r="R33" s="254">
        <f t="array" ref="R33">_xll.ACC(DB,_xll.ArrayDPT($AA33:$AE33),_xll.ArrayCOA($AG33:$AZ33),YR-1,PRD,_xll.ArrayDIM($BB33:$BE33))</f>
        <v>172926</v>
      </c>
      <c r="S33" s="237">
        <f t="shared" si="29"/>
        <v>2.3853443601628257</v>
      </c>
      <c r="T33" s="328"/>
      <c r="U33" s="328"/>
      <c r="V33" s="328"/>
      <c r="W33" s="328"/>
      <c r="X33" s="328"/>
      <c r="Y33" s="328"/>
      <c r="Z33" s="328"/>
      <c r="AA33" s="95" t="s">
        <v>637</v>
      </c>
      <c r="AB33" s="96"/>
      <c r="AC33" s="96"/>
      <c r="AD33" s="96"/>
      <c r="AE33" s="96"/>
      <c r="AF33" s="97"/>
      <c r="AG33" s="95" t="s">
        <v>664</v>
      </c>
      <c r="AH33" s="96" t="s">
        <v>664</v>
      </c>
      <c r="AI33" s="95"/>
      <c r="AJ33" s="96"/>
      <c r="AK33" s="95"/>
      <c r="AL33" s="96"/>
      <c r="AM33" s="95"/>
      <c r="AN33" s="98"/>
      <c r="AO33" s="96"/>
      <c r="AP33" s="96"/>
      <c r="AQ33" s="95"/>
      <c r="AR33" s="98"/>
      <c r="AS33" s="96"/>
      <c r="AT33" s="96"/>
      <c r="AU33" s="95"/>
      <c r="AV33" s="98"/>
      <c r="AW33" s="96"/>
      <c r="AX33" s="96"/>
      <c r="AY33" s="95"/>
      <c r="AZ33" s="98"/>
      <c r="BA33" s="99"/>
      <c r="BB33" s="95"/>
      <c r="BC33" s="96"/>
      <c r="BD33" s="96"/>
      <c r="BE33" s="98"/>
      <c r="BF33" s="95"/>
      <c r="BG33" s="96"/>
      <c r="BH33" s="96"/>
      <c r="BI33" s="98"/>
    </row>
    <row r="34" spans="1:61" ht="12" customHeight="1">
      <c r="A34" s="254">
        <f t="array" ref="A34">_xll.AC(DB,_xll.ArrayDPT($AA34:$AE34),_xll.ArrayCOA($AG34:$AZ34),YR-1,PRD,_xll.ArrayDIM($BB34:$BE34))</f>
        <v>0</v>
      </c>
      <c r="B34" s="254">
        <f t="shared" si="20"/>
        <v>0</v>
      </c>
      <c r="C34" s="254">
        <f t="shared" si="21"/>
        <v>0</v>
      </c>
      <c r="D34" s="254">
        <f t="shared" si="22"/>
        <v>0</v>
      </c>
      <c r="E34" s="254">
        <f t="array" ref="E34">_xll.BC(DB,_xll.ArrayDPT($AA34:$AE34),_xll.ArrayCOA($AG34:$AZ34),YR,PRD,RV,_xll.ArrayDIM($BB34:$BE34))</f>
        <v>0</v>
      </c>
      <c r="F34" s="254">
        <f t="shared" si="23"/>
        <v>0</v>
      </c>
      <c r="G34" s="254">
        <f t="array" ref="G34">_xll.AC(DB,_xll.ArrayDPT($AA34:$AE34),_xll.ArrayCOA($AG34:$AZ34),YR,PRD,_xll.ArrayDIM($BB34:$BE34))</f>
        <v>0</v>
      </c>
      <c r="H34" s="254">
        <f t="shared" si="24"/>
        <v>0</v>
      </c>
      <c r="I34" s="254"/>
      <c r="J34" s="328" t="s">
        <v>665</v>
      </c>
      <c r="K34" s="254"/>
      <c r="L34" s="254">
        <f t="array" ref="L34">_xll.ACC(DB,_xll.ArrayDPT($AA34:$AE34),_xll.ArrayCOA($AG34:$AZ34),YR,PRD,_xll.ArrayDIM($BB34:$BE34))</f>
        <v>0</v>
      </c>
      <c r="M34" s="237">
        <f t="shared" si="25"/>
        <v>0</v>
      </c>
      <c r="N34" s="254">
        <f t="array" ref="N34">_xll.BCC(DB,_xll.ArrayDPT($AA34:$AE34),_xll.ArrayCOA($AG34:$AZ34),YR,PRD,RV,_xll.ArrayDIM($BB34:$BE34))</f>
        <v>0</v>
      </c>
      <c r="O34" s="237">
        <f t="shared" si="26"/>
        <v>0</v>
      </c>
      <c r="P34" s="237">
        <f t="shared" si="27"/>
        <v>0</v>
      </c>
      <c r="Q34" s="237">
        <f t="shared" si="28"/>
        <v>0</v>
      </c>
      <c r="R34" s="254">
        <f t="array" ref="R34">_xll.ACC(DB,_xll.ArrayDPT($AA34:$AE34),_xll.ArrayCOA($AG34:$AZ34),YR-1,PRD,_xll.ArrayDIM($BB34:$BE34))</f>
        <v>0</v>
      </c>
      <c r="S34" s="237">
        <f t="shared" si="29"/>
        <v>0</v>
      </c>
      <c r="T34" s="328"/>
      <c r="U34" s="328"/>
      <c r="V34" s="328"/>
      <c r="W34" s="328"/>
      <c r="X34" s="328"/>
      <c r="Y34" s="328"/>
      <c r="Z34" s="328"/>
      <c r="AA34" s="95" t="s">
        <v>637</v>
      </c>
      <c r="AB34" s="96"/>
      <c r="AC34" s="96"/>
      <c r="AD34" s="96"/>
      <c r="AE34" s="96"/>
      <c r="AF34" s="97"/>
      <c r="AG34" s="95" t="s">
        <v>666</v>
      </c>
      <c r="AH34" s="96" t="s">
        <v>666</v>
      </c>
      <c r="AI34" s="95"/>
      <c r="AJ34" s="96"/>
      <c r="AK34" s="95"/>
      <c r="AL34" s="96"/>
      <c r="AM34" s="95"/>
      <c r="AN34" s="98"/>
      <c r="AO34" s="96"/>
      <c r="AP34" s="96"/>
      <c r="AQ34" s="95"/>
      <c r="AR34" s="98"/>
      <c r="AS34" s="96"/>
      <c r="AT34" s="96"/>
      <c r="AU34" s="95"/>
      <c r="AV34" s="98"/>
      <c r="AW34" s="96"/>
      <c r="AX34" s="96"/>
      <c r="AY34" s="95"/>
      <c r="AZ34" s="98"/>
      <c r="BA34" s="99"/>
      <c r="BB34" s="95"/>
      <c r="BC34" s="96"/>
      <c r="BD34" s="96"/>
      <c r="BE34" s="98"/>
      <c r="BF34" s="95"/>
      <c r="BG34" s="96"/>
      <c r="BH34" s="96"/>
      <c r="BI34" s="98"/>
    </row>
    <row r="35" spans="1:61" ht="12" customHeight="1">
      <c r="A35" s="254">
        <f t="array" ref="A35">_xll.AC(DB,_xll.ArrayDPT($AA35:$AE35),_xll.ArrayCOA($AG35:$AZ35),YR-1,PRD,_xll.ArrayDIM($BB35:$BE35))</f>
        <v>0</v>
      </c>
      <c r="B35" s="254">
        <f t="shared" si="20"/>
        <v>0</v>
      </c>
      <c r="C35" s="254">
        <f t="shared" si="21"/>
        <v>0</v>
      </c>
      <c r="D35" s="254">
        <f t="shared" si="22"/>
        <v>0</v>
      </c>
      <c r="E35" s="254">
        <f t="array" ref="E35">_xll.BC(DB,_xll.ArrayDPT($AA35:$AE35),_xll.ArrayCOA($AG35:$AZ35),YR,PRD,RV,_xll.ArrayDIM($BB35:$BE35))</f>
        <v>0</v>
      </c>
      <c r="F35" s="254">
        <f t="shared" si="23"/>
        <v>0</v>
      </c>
      <c r="G35" s="254">
        <f t="array" ref="G35">_xll.AC(DB,_xll.ArrayDPT($AA35:$AE35),_xll.ArrayCOA($AG35:$AZ35),YR,PRD,_xll.ArrayDIM($BB35:$BE35))</f>
        <v>0</v>
      </c>
      <c r="H35" s="254">
        <f t="shared" si="24"/>
        <v>0</v>
      </c>
      <c r="I35" s="254"/>
      <c r="J35" s="328" t="s">
        <v>667</v>
      </c>
      <c r="K35" s="254"/>
      <c r="L35" s="254">
        <f t="array" ref="L35">_xll.ACC(DB,_xll.ArrayDPT($AA35:$AE35),_xll.ArrayCOA($AG35:$AZ35),YR,PRD,_xll.ArrayDIM($BB35:$BE35))</f>
        <v>0</v>
      </c>
      <c r="M35" s="237">
        <f t="shared" si="25"/>
        <v>0</v>
      </c>
      <c r="N35" s="254">
        <f t="array" ref="N35">_xll.BCC(DB,_xll.ArrayDPT($AA35:$AE35),_xll.ArrayCOA($AG35:$AZ35),YR,PRD,RV,_xll.ArrayDIM($BB35:$BE35))</f>
        <v>0</v>
      </c>
      <c r="O35" s="237">
        <f t="shared" si="26"/>
        <v>0</v>
      </c>
      <c r="P35" s="237">
        <f t="shared" si="27"/>
        <v>0</v>
      </c>
      <c r="Q35" s="237">
        <f t="shared" si="28"/>
        <v>0</v>
      </c>
      <c r="R35" s="254">
        <f t="array" ref="R35">_xll.ACC(DB,_xll.ArrayDPT($AA35:$AE35),_xll.ArrayCOA($AG35:$AZ35),YR-1,PRD,_xll.ArrayDIM($BB35:$BE35))</f>
        <v>0</v>
      </c>
      <c r="S35" s="237">
        <f t="shared" si="29"/>
        <v>0</v>
      </c>
      <c r="T35" s="328"/>
      <c r="U35" s="328"/>
      <c r="V35" s="328"/>
      <c r="W35" s="328"/>
      <c r="X35" s="328"/>
      <c r="Y35" s="328"/>
      <c r="Z35" s="328"/>
      <c r="AA35" s="95" t="s">
        <v>637</v>
      </c>
      <c r="AB35" s="96"/>
      <c r="AC35" s="96"/>
      <c r="AD35" s="96"/>
      <c r="AE35" s="96"/>
      <c r="AF35" s="97"/>
      <c r="AG35" s="95" t="s">
        <v>668</v>
      </c>
      <c r="AH35" s="96" t="s">
        <v>668</v>
      </c>
      <c r="AI35" s="95"/>
      <c r="AJ35" s="96"/>
      <c r="AK35" s="95"/>
      <c r="AL35" s="96"/>
      <c r="AM35" s="95"/>
      <c r="AN35" s="98"/>
      <c r="AO35" s="96"/>
      <c r="AP35" s="96"/>
      <c r="AQ35" s="95"/>
      <c r="AR35" s="98"/>
      <c r="AS35" s="96"/>
      <c r="AT35" s="96"/>
      <c r="AU35" s="95"/>
      <c r="AV35" s="98"/>
      <c r="AW35" s="96"/>
      <c r="AX35" s="96"/>
      <c r="AY35" s="95"/>
      <c r="AZ35" s="98"/>
      <c r="BA35" s="99"/>
      <c r="BB35" s="95"/>
      <c r="BC35" s="96"/>
      <c r="BD35" s="96"/>
      <c r="BE35" s="98"/>
      <c r="BF35" s="95"/>
      <c r="BG35" s="96"/>
      <c r="BH35" s="96"/>
      <c r="BI35" s="98"/>
    </row>
    <row r="36" spans="1:61" ht="12" customHeight="1">
      <c r="A36" s="254">
        <f t="array" ref="A36">_xll.AC(DB,_xll.ArrayDPT($AA36:$AE36),_xll.ArrayCOA($AG36:$AZ36),YR-1,PRD,_xll.ArrayDIM($BB36:$BE36))</f>
        <v>0</v>
      </c>
      <c r="B36" s="254">
        <f t="shared" si="20"/>
        <v>0</v>
      </c>
      <c r="C36" s="254">
        <f t="shared" si="21"/>
        <v>0</v>
      </c>
      <c r="D36" s="254">
        <f t="shared" si="22"/>
        <v>0</v>
      </c>
      <c r="E36" s="254">
        <f t="array" ref="E36">_xll.BC(DB,_xll.ArrayDPT($AA36:$AE36),_xll.ArrayCOA($AG36:$AZ36),YR,PRD,RV,_xll.ArrayDIM($BB36:$BE36))</f>
        <v>0</v>
      </c>
      <c r="F36" s="254">
        <f t="shared" si="23"/>
        <v>0</v>
      </c>
      <c r="G36" s="254">
        <f t="array" ref="G36">_xll.AC(DB,_xll.ArrayDPT($AA36:$AE36),_xll.ArrayCOA($AG36:$AZ36),YR,PRD,_xll.ArrayDIM($BB36:$BE36))</f>
        <v>0</v>
      </c>
      <c r="H36" s="254">
        <f t="shared" si="24"/>
        <v>0</v>
      </c>
      <c r="I36" s="254"/>
      <c r="J36" s="328" t="s">
        <v>669</v>
      </c>
      <c r="K36" s="254"/>
      <c r="L36" s="254">
        <f t="array" ref="L36">_xll.ACC(DB,_xll.ArrayDPT($AA36:$AE36),_xll.ArrayCOA($AG36:$AZ36),YR,PRD,_xll.ArrayDIM($BB36:$BE36))</f>
        <v>0</v>
      </c>
      <c r="M36" s="237">
        <f t="shared" si="25"/>
        <v>0</v>
      </c>
      <c r="N36" s="254">
        <f t="array" ref="N36">_xll.BCC(DB,_xll.ArrayDPT($AA36:$AE36),_xll.ArrayCOA($AG36:$AZ36),YR,PRD,RV,_xll.ArrayDIM($BB36:$BE36))</f>
        <v>0</v>
      </c>
      <c r="O36" s="237">
        <f t="shared" si="26"/>
        <v>0</v>
      </c>
      <c r="P36" s="237">
        <f t="shared" si="27"/>
        <v>0</v>
      </c>
      <c r="Q36" s="237">
        <f t="shared" si="28"/>
        <v>0</v>
      </c>
      <c r="R36" s="254">
        <f t="array" ref="R36">_xll.ACC(DB,_xll.ArrayDPT($AA36:$AE36),_xll.ArrayCOA($AG36:$AZ36),YR-1,PRD,_xll.ArrayDIM($BB36:$BE36))</f>
        <v>0</v>
      </c>
      <c r="S36" s="237">
        <f t="shared" si="29"/>
        <v>0</v>
      </c>
      <c r="T36" s="328"/>
      <c r="U36" s="328"/>
      <c r="V36" s="328"/>
      <c r="W36" s="328"/>
      <c r="X36" s="328"/>
      <c r="Y36" s="328"/>
      <c r="Z36" s="328"/>
      <c r="AA36" s="95"/>
      <c r="AB36" s="96"/>
      <c r="AC36" s="96"/>
      <c r="AD36" s="96"/>
      <c r="AE36" s="96"/>
      <c r="AF36" s="97"/>
      <c r="AG36" s="95"/>
      <c r="AH36" s="96"/>
      <c r="AI36" s="95"/>
      <c r="AJ36" s="96"/>
      <c r="AK36" s="95"/>
      <c r="AL36" s="96"/>
      <c r="AM36" s="95"/>
      <c r="AN36" s="98"/>
      <c r="AO36" s="96"/>
      <c r="AP36" s="96"/>
      <c r="AQ36" s="95"/>
      <c r="AR36" s="98"/>
      <c r="AS36" s="96"/>
      <c r="AT36" s="96"/>
      <c r="AU36" s="95"/>
      <c r="AV36" s="98"/>
      <c r="AW36" s="96"/>
      <c r="AX36" s="96"/>
      <c r="AY36" s="95"/>
      <c r="AZ36" s="98"/>
      <c r="BA36" s="99"/>
      <c r="BB36" s="95"/>
      <c r="BC36" s="96"/>
      <c r="BD36" s="96"/>
      <c r="BE36" s="98"/>
      <c r="BF36" s="95"/>
      <c r="BG36" s="96"/>
      <c r="BH36" s="96"/>
      <c r="BI36" s="98"/>
    </row>
    <row r="37" spans="1:61" ht="12" customHeight="1">
      <c r="A37" s="254">
        <f t="array" ref="A37">_xll.AC(DB,_xll.ArrayDPT($AA37:$AE37),_xll.ArrayCOA($AG37:$AZ37),YR-1,PRD,_xll.ArrayDIM($BB37:$BE37))</f>
        <v>0</v>
      </c>
      <c r="B37" s="254">
        <f t="shared" si="20"/>
        <v>0</v>
      </c>
      <c r="C37" s="254">
        <f t="shared" si="21"/>
        <v>0</v>
      </c>
      <c r="D37" s="254">
        <f t="shared" si="22"/>
        <v>0</v>
      </c>
      <c r="E37" s="254">
        <f t="array" ref="E37">_xll.BC(DB,_xll.ArrayDPT($AA37:$AE37),_xll.ArrayCOA($AG37:$AZ37),YR,PRD,RV,_xll.ArrayDIM($BB37:$BE37))</f>
        <v>0</v>
      </c>
      <c r="F37" s="254">
        <f t="shared" si="23"/>
        <v>0</v>
      </c>
      <c r="G37" s="254">
        <f t="array" ref="G37">_xll.AC(DB,_xll.ArrayDPT($AA37:$AE37),_xll.ArrayCOA($AG37:$AZ37),YR,PRD,_xll.ArrayDIM($BB37:$BE37))</f>
        <v>0</v>
      </c>
      <c r="H37" s="254">
        <f t="shared" si="24"/>
        <v>0</v>
      </c>
      <c r="I37" s="254"/>
      <c r="J37" s="328" t="s">
        <v>670</v>
      </c>
      <c r="K37" s="254"/>
      <c r="L37" s="254">
        <f t="array" ref="L37">_xll.ACC(DB,_xll.ArrayDPT($AA37:$AE37),_xll.ArrayCOA($AG37:$AZ37),YR,PRD,_xll.ArrayDIM($BB37:$BE37))</f>
        <v>0</v>
      </c>
      <c r="M37" s="237">
        <f t="shared" si="25"/>
        <v>0</v>
      </c>
      <c r="N37" s="254">
        <f t="array" ref="N37">_xll.BCC(DB,_xll.ArrayDPT($AA37:$AE37),_xll.ArrayCOA($AG37:$AZ37),YR,PRD,RV,_xll.ArrayDIM($BB37:$BE37))</f>
        <v>0</v>
      </c>
      <c r="O37" s="237">
        <f t="shared" si="26"/>
        <v>0</v>
      </c>
      <c r="P37" s="237">
        <f t="shared" si="27"/>
        <v>0</v>
      </c>
      <c r="Q37" s="237">
        <f t="shared" si="28"/>
        <v>0</v>
      </c>
      <c r="R37" s="254">
        <f t="array" ref="R37">_xll.ACC(DB,_xll.ArrayDPT($AA37:$AE37),_xll.ArrayCOA($AG37:$AZ37),YR-1,PRD,_xll.ArrayDIM($BB37:$BE37))</f>
        <v>0</v>
      </c>
      <c r="S37" s="237">
        <f t="shared" si="29"/>
        <v>0</v>
      </c>
      <c r="T37" s="328"/>
      <c r="U37" s="328"/>
      <c r="V37" s="328"/>
      <c r="W37" s="328"/>
      <c r="X37" s="328"/>
      <c r="Y37" s="328"/>
      <c r="Z37" s="328"/>
      <c r="AA37" s="95"/>
      <c r="AB37" s="96"/>
      <c r="AC37" s="96"/>
      <c r="AD37" s="96"/>
      <c r="AE37" s="96"/>
      <c r="AF37" s="97"/>
      <c r="AG37" s="95"/>
      <c r="AH37" s="96"/>
      <c r="AI37" s="95"/>
      <c r="AJ37" s="96"/>
      <c r="AK37" s="95"/>
      <c r="AL37" s="96"/>
      <c r="AM37" s="95"/>
      <c r="AN37" s="98"/>
      <c r="AO37" s="96"/>
      <c r="AP37" s="96"/>
      <c r="AQ37" s="95"/>
      <c r="AR37" s="98"/>
      <c r="AS37" s="96"/>
      <c r="AT37" s="96"/>
      <c r="AU37" s="95"/>
      <c r="AV37" s="98"/>
      <c r="AW37" s="96"/>
      <c r="AX37" s="96"/>
      <c r="AY37" s="95"/>
      <c r="AZ37" s="98"/>
      <c r="BA37" s="99"/>
      <c r="BB37" s="95"/>
      <c r="BC37" s="96"/>
      <c r="BD37" s="96"/>
      <c r="BE37" s="98"/>
      <c r="BF37" s="95"/>
      <c r="BG37" s="96"/>
      <c r="BH37" s="96"/>
      <c r="BI37" s="98"/>
    </row>
    <row r="38" spans="1:61" ht="12" customHeight="1">
      <c r="A38" s="254">
        <f t="array" ref="A38">_xll.AC(DB,_xll.ArrayDPT($AA38:$AE38),_xll.ArrayCOA($AG38:$AZ38),YR-1,PRD,_xll.ArrayDIM($BB38:$BE38))</f>
        <v>0</v>
      </c>
      <c r="B38" s="254">
        <f t="shared" si="20"/>
        <v>0</v>
      </c>
      <c r="C38" s="254">
        <f t="shared" si="21"/>
        <v>0</v>
      </c>
      <c r="D38" s="254">
        <f t="shared" si="22"/>
        <v>0</v>
      </c>
      <c r="E38" s="254">
        <f t="array" ref="E38">_xll.BC(DB,_xll.ArrayDPT($AA38:$AE38),_xll.ArrayCOA($AG38:$AZ38),YR,PRD,RV,_xll.ArrayDIM($BB38:$BE38))</f>
        <v>0</v>
      </c>
      <c r="F38" s="254">
        <f t="shared" si="23"/>
        <v>0</v>
      </c>
      <c r="G38" s="254">
        <f t="array" ref="G38">_xll.AC(DB,_xll.ArrayDPT($AA38:$AE38),_xll.ArrayCOA($AG38:$AZ38),YR,PRD,_xll.ArrayDIM($BB38:$BE38))</f>
        <v>0</v>
      </c>
      <c r="H38" s="254">
        <f t="shared" si="24"/>
        <v>0</v>
      </c>
      <c r="I38" s="254"/>
      <c r="J38" s="328" t="s">
        <v>671</v>
      </c>
      <c r="K38" s="254"/>
      <c r="L38" s="254">
        <f t="array" ref="L38">_xll.ACC(DB,_xll.ArrayDPT($AA38:$AE38),_xll.ArrayCOA($AG38:$AZ38),YR,PRD,_xll.ArrayDIM($BB38:$BE38))</f>
        <v>0</v>
      </c>
      <c r="M38" s="237">
        <f t="shared" si="25"/>
        <v>0</v>
      </c>
      <c r="N38" s="254">
        <f t="array" ref="N38">_xll.BCC(DB,_xll.ArrayDPT($AA38:$AE38),_xll.ArrayCOA($AG38:$AZ38),YR,PRD,RV,_xll.ArrayDIM($BB38:$BE38))</f>
        <v>0</v>
      </c>
      <c r="O38" s="237">
        <f t="shared" si="26"/>
        <v>0</v>
      </c>
      <c r="P38" s="237">
        <f t="shared" si="27"/>
        <v>0</v>
      </c>
      <c r="Q38" s="237">
        <f t="shared" si="28"/>
        <v>0</v>
      </c>
      <c r="R38" s="254">
        <f t="array" ref="R38">_xll.ACC(DB,_xll.ArrayDPT($AA38:$AE38),_xll.ArrayCOA($AG38:$AZ38),YR-1,PRD,_xll.ArrayDIM($BB38:$BE38))</f>
        <v>0</v>
      </c>
      <c r="S38" s="237">
        <f t="shared" si="29"/>
        <v>0</v>
      </c>
      <c r="T38" s="328"/>
      <c r="U38" s="328"/>
      <c r="V38" s="328"/>
      <c r="W38" s="328"/>
      <c r="X38" s="328"/>
      <c r="Y38" s="328"/>
      <c r="Z38" s="328"/>
      <c r="AA38" s="95"/>
      <c r="AB38" s="96"/>
      <c r="AC38" s="96"/>
      <c r="AD38" s="96"/>
      <c r="AE38" s="96"/>
      <c r="AF38" s="97"/>
      <c r="AG38" s="95"/>
      <c r="AH38" s="96"/>
      <c r="AI38" s="95"/>
      <c r="AJ38" s="96"/>
      <c r="AK38" s="95"/>
      <c r="AL38" s="96"/>
      <c r="AM38" s="95"/>
      <c r="AN38" s="98"/>
      <c r="AO38" s="96"/>
      <c r="AP38" s="96"/>
      <c r="AQ38" s="95"/>
      <c r="AR38" s="98"/>
      <c r="AS38" s="96"/>
      <c r="AT38" s="96"/>
      <c r="AU38" s="95"/>
      <c r="AV38" s="98"/>
      <c r="AW38" s="96"/>
      <c r="AX38" s="96"/>
      <c r="AY38" s="95"/>
      <c r="AZ38" s="98"/>
      <c r="BA38" s="99"/>
      <c r="BB38" s="95"/>
      <c r="BC38" s="96"/>
      <c r="BD38" s="96"/>
      <c r="BE38" s="98"/>
      <c r="BF38" s="95"/>
      <c r="BG38" s="96"/>
      <c r="BH38" s="96"/>
      <c r="BI38" s="98"/>
    </row>
    <row r="39" spans="1:61" ht="12" customHeight="1">
      <c r="A39" s="254">
        <f t="array" ref="A39">_xll.AC(DB,_xll.ArrayDPT($AA39:$AE39),_xll.ArrayCOA($AG39:$AZ39),YR-1,PRD,_xll.ArrayDIM($BB39:$BE39))</f>
        <v>2808</v>
      </c>
      <c r="B39" s="254">
        <f t="shared" si="20"/>
        <v>3.8733602600749539E-2</v>
      </c>
      <c r="C39" s="254">
        <f t="shared" si="21"/>
        <v>0</v>
      </c>
      <c r="D39" s="254">
        <f t="shared" si="22"/>
        <v>0</v>
      </c>
      <c r="E39" s="254">
        <f t="array" ref="E39">_xll.BC(DB,_xll.ArrayDPT($AA39:$AE39),_xll.ArrayCOA($AG39:$AZ39),YR,PRD,RV,_xll.ArrayDIM($BB39:$BE39))</f>
        <v>0</v>
      </c>
      <c r="F39" s="254">
        <f t="shared" si="23"/>
        <v>0</v>
      </c>
      <c r="G39" s="254">
        <f t="array" ref="G39">_xll.AC(DB,_xll.ArrayDPT($AA39:$AE39),_xll.ArrayCOA($AG39:$AZ39),YR,PRD,_xll.ArrayDIM($BB39:$BE39))</f>
        <v>0</v>
      </c>
      <c r="H39" s="254">
        <f t="shared" si="24"/>
        <v>0</v>
      </c>
      <c r="I39" s="254"/>
      <c r="J39" s="328" t="s">
        <v>672</v>
      </c>
      <c r="K39" s="254"/>
      <c r="L39" s="254">
        <f t="array" ref="L39">_xll.ACC(DB,_xll.ArrayDPT($AA39:$AE39),_xll.ArrayCOA($AG39:$AZ39),YR,PRD,_xll.ArrayDIM($BB39:$BE39))</f>
        <v>0</v>
      </c>
      <c r="M39" s="237">
        <f t="shared" si="25"/>
        <v>0</v>
      </c>
      <c r="N39" s="254">
        <f t="array" ref="N39">_xll.BCC(DB,_xll.ArrayDPT($AA39:$AE39),_xll.ArrayCOA($AG39:$AZ39),YR,PRD,RV,_xll.ArrayDIM($BB39:$BE39))</f>
        <v>0</v>
      </c>
      <c r="O39" s="237">
        <f t="shared" si="26"/>
        <v>0</v>
      </c>
      <c r="P39" s="237">
        <f t="shared" si="27"/>
        <v>0</v>
      </c>
      <c r="Q39" s="237">
        <f t="shared" si="28"/>
        <v>0</v>
      </c>
      <c r="R39" s="254">
        <f t="array" ref="R39">_xll.ACC(DB,_xll.ArrayDPT($AA39:$AE39),_xll.ArrayCOA($AG39:$AZ39),YR-1,PRD,_xll.ArrayDIM($BB39:$BE39))</f>
        <v>2808</v>
      </c>
      <c r="S39" s="237">
        <f t="shared" si="29"/>
        <v>3.8733602600749539E-2</v>
      </c>
      <c r="T39" s="328"/>
      <c r="U39" s="328"/>
      <c r="V39" s="328"/>
      <c r="W39" s="328"/>
      <c r="X39" s="328"/>
      <c r="Y39" s="328"/>
      <c r="Z39" s="328"/>
      <c r="AA39" s="95" t="s">
        <v>637</v>
      </c>
      <c r="AB39" s="96"/>
      <c r="AC39" s="96"/>
      <c r="AD39" s="96"/>
      <c r="AE39" s="96"/>
      <c r="AF39" s="97"/>
      <c r="AG39" s="95" t="s">
        <v>673</v>
      </c>
      <c r="AH39" s="96" t="s">
        <v>673</v>
      </c>
      <c r="AI39" s="95"/>
      <c r="AJ39" s="96"/>
      <c r="AK39" s="95"/>
      <c r="AL39" s="96"/>
      <c r="AM39" s="95"/>
      <c r="AN39" s="98"/>
      <c r="AO39" s="96"/>
      <c r="AP39" s="96"/>
      <c r="AQ39" s="95"/>
      <c r="AR39" s="98"/>
      <c r="AS39" s="96"/>
      <c r="AT39" s="96"/>
      <c r="AU39" s="95"/>
      <c r="AV39" s="98"/>
      <c r="AW39" s="96"/>
      <c r="AX39" s="96"/>
      <c r="AY39" s="95"/>
      <c r="AZ39" s="98"/>
      <c r="BA39" s="99"/>
      <c r="BB39" s="95"/>
      <c r="BC39" s="96"/>
      <c r="BD39" s="96"/>
      <c r="BE39" s="98"/>
      <c r="BF39" s="95"/>
      <c r="BG39" s="96"/>
      <c r="BH39" s="96"/>
      <c r="BI39" s="98"/>
    </row>
    <row r="40" spans="1:61" ht="12" customHeight="1">
      <c r="A40" s="254">
        <f t="array" ref="A40">_xll.AC(DB,_xll.ArrayDPT($AA40:$AE40),_xll.ArrayCOA($AG40:$AZ40),YR-1,PRD,_xll.ArrayDIM($BB40:$BE40))</f>
        <v>0</v>
      </c>
      <c r="B40" s="254">
        <f t="shared" si="20"/>
        <v>0</v>
      </c>
      <c r="C40" s="254">
        <f t="shared" si="21"/>
        <v>0</v>
      </c>
      <c r="D40" s="254">
        <f t="shared" si="22"/>
        <v>0</v>
      </c>
      <c r="E40" s="254">
        <f t="array" ref="E40">_xll.BC(DB,_xll.ArrayDPT($AA40:$AE40),_xll.ArrayCOA($AG40:$AZ40),YR,PRD,RV,_xll.ArrayDIM($BB40:$BE40))</f>
        <v>0</v>
      </c>
      <c r="F40" s="254">
        <f t="shared" si="23"/>
        <v>0</v>
      </c>
      <c r="G40" s="254">
        <f t="array" ref="G40">_xll.AC(DB,_xll.ArrayDPT($AA40:$AE40),_xll.ArrayCOA($AG40:$AZ40),YR,PRD,_xll.ArrayDIM($BB40:$BE40))</f>
        <v>0</v>
      </c>
      <c r="H40" s="254">
        <f t="shared" si="24"/>
        <v>0</v>
      </c>
      <c r="I40" s="254"/>
      <c r="J40" s="328" t="s">
        <v>674</v>
      </c>
      <c r="K40" s="254"/>
      <c r="L40" s="254">
        <f t="array" ref="L40">_xll.ACC(DB,_xll.ArrayDPT($AA40:$AE40),_xll.ArrayCOA($AG40:$AZ40),YR,PRD,_xll.ArrayDIM($BB40:$BE40))</f>
        <v>0</v>
      </c>
      <c r="M40" s="237">
        <f t="shared" si="25"/>
        <v>0</v>
      </c>
      <c r="N40" s="254">
        <f t="array" ref="N40">_xll.BCC(DB,_xll.ArrayDPT($AA40:$AE40),_xll.ArrayCOA($AG40:$AZ40),YR,PRD,RV,_xll.ArrayDIM($BB40:$BE40))</f>
        <v>0</v>
      </c>
      <c r="O40" s="237">
        <f t="shared" si="26"/>
        <v>0</v>
      </c>
      <c r="P40" s="237">
        <f t="shared" si="27"/>
        <v>0</v>
      </c>
      <c r="Q40" s="237">
        <f t="shared" si="28"/>
        <v>0</v>
      </c>
      <c r="R40" s="254">
        <f t="array" ref="R40">_xll.ACC(DB,_xll.ArrayDPT($AA40:$AE40),_xll.ArrayCOA($AG40:$AZ40),YR-1,PRD,_xll.ArrayDIM($BB40:$BE40))</f>
        <v>0</v>
      </c>
      <c r="S40" s="237">
        <f t="shared" si="29"/>
        <v>0</v>
      </c>
      <c r="T40" s="328"/>
      <c r="U40" s="328"/>
      <c r="V40" s="328"/>
      <c r="W40" s="328"/>
      <c r="X40" s="328"/>
      <c r="Y40" s="328"/>
      <c r="Z40" s="328"/>
      <c r="AA40" s="95"/>
      <c r="AB40" s="96"/>
      <c r="AC40" s="96"/>
      <c r="AD40" s="96"/>
      <c r="AE40" s="96"/>
      <c r="AF40" s="97"/>
      <c r="AG40" s="95"/>
      <c r="AH40" s="96"/>
      <c r="AI40" s="95"/>
      <c r="AJ40" s="96"/>
      <c r="AK40" s="95"/>
      <c r="AL40" s="96"/>
      <c r="AM40" s="95"/>
      <c r="AN40" s="98"/>
      <c r="AO40" s="96"/>
      <c r="AP40" s="96"/>
      <c r="AQ40" s="95"/>
      <c r="AR40" s="98"/>
      <c r="AS40" s="96"/>
      <c r="AT40" s="96"/>
      <c r="AU40" s="95"/>
      <c r="AV40" s="98"/>
      <c r="AW40" s="96"/>
      <c r="AX40" s="96"/>
      <c r="AY40" s="95"/>
      <c r="AZ40" s="98"/>
      <c r="BA40" s="99"/>
      <c r="BB40" s="95"/>
      <c r="BC40" s="96"/>
      <c r="BD40" s="96"/>
      <c r="BE40" s="98"/>
      <c r="BF40" s="95"/>
      <c r="BG40" s="96"/>
      <c r="BH40" s="96"/>
      <c r="BI40" s="98"/>
    </row>
    <row r="41" spans="1:61" ht="12" customHeight="1">
      <c r="A41" s="254">
        <f t="array" ref="A41">_xll.AC(DB,_xll.ArrayDPT($AA41:$AE41),_xll.ArrayCOA($AG41:$AZ41),YR-1,PRD,_xll.ArrayDIM($BB41:$BE41))</f>
        <v>0</v>
      </c>
      <c r="B41" s="254">
        <f t="shared" si="20"/>
        <v>0</v>
      </c>
      <c r="C41" s="254">
        <f t="shared" si="21"/>
        <v>0</v>
      </c>
      <c r="D41" s="254">
        <f t="shared" si="22"/>
        <v>0</v>
      </c>
      <c r="E41" s="254">
        <f t="array" ref="E41">_xll.BC(DB,_xll.ArrayDPT($AA41:$AE41),_xll.ArrayCOA($AG41:$AZ41),YR,PRD,RV,_xll.ArrayDIM($BB41:$BE41))</f>
        <v>0</v>
      </c>
      <c r="F41" s="254">
        <f t="shared" si="23"/>
        <v>0</v>
      </c>
      <c r="G41" s="254">
        <f t="array" ref="G41">_xll.AC(DB,_xll.ArrayDPT($AA41:$AE41),_xll.ArrayCOA($AG41:$AZ41),YR,PRD,_xll.ArrayDIM($BB41:$BE41))</f>
        <v>0</v>
      </c>
      <c r="H41" s="254">
        <f t="shared" si="24"/>
        <v>0</v>
      </c>
      <c r="I41" s="254"/>
      <c r="J41" s="328" t="s">
        <v>675</v>
      </c>
      <c r="K41" s="254"/>
      <c r="L41" s="254">
        <f t="array" ref="L41">_xll.ACC(DB,_xll.ArrayDPT($AA41:$AE41),_xll.ArrayCOA($AG41:$AZ41),YR,PRD,_xll.ArrayDIM($BB41:$BE41))</f>
        <v>0</v>
      </c>
      <c r="M41" s="237">
        <f t="shared" si="25"/>
        <v>0</v>
      </c>
      <c r="N41" s="254">
        <f t="array" ref="N41">_xll.BCC(DB,_xll.ArrayDPT($AA41:$AE41),_xll.ArrayCOA($AG41:$AZ41),YR,PRD,RV,_xll.ArrayDIM($BB41:$BE41))</f>
        <v>0</v>
      </c>
      <c r="O41" s="237">
        <f t="shared" si="26"/>
        <v>0</v>
      </c>
      <c r="P41" s="237">
        <f t="shared" si="27"/>
        <v>0</v>
      </c>
      <c r="Q41" s="237">
        <f t="shared" si="28"/>
        <v>0</v>
      </c>
      <c r="R41" s="254">
        <f t="array" ref="R41">_xll.ACC(DB,_xll.ArrayDPT($AA41:$AE41),_xll.ArrayCOA($AG41:$AZ41),YR-1,PRD,_xll.ArrayDIM($BB41:$BE41))</f>
        <v>0</v>
      </c>
      <c r="S41" s="237">
        <f t="shared" si="29"/>
        <v>0</v>
      </c>
      <c r="T41" s="328"/>
      <c r="U41" s="328"/>
      <c r="V41" s="328"/>
      <c r="W41" s="328"/>
      <c r="X41" s="328"/>
      <c r="Y41" s="328"/>
      <c r="Z41" s="328"/>
      <c r="AA41" s="95"/>
      <c r="AB41" s="96"/>
      <c r="AC41" s="96"/>
      <c r="AD41" s="96"/>
      <c r="AE41" s="96"/>
      <c r="AF41" s="97"/>
      <c r="AG41" s="95"/>
      <c r="AH41" s="96"/>
      <c r="AI41" s="95"/>
      <c r="AJ41" s="96"/>
      <c r="AK41" s="95"/>
      <c r="AL41" s="96"/>
      <c r="AM41" s="95"/>
      <c r="AN41" s="98"/>
      <c r="AO41" s="96"/>
      <c r="AP41" s="96"/>
      <c r="AQ41" s="95"/>
      <c r="AR41" s="98"/>
      <c r="AS41" s="96"/>
      <c r="AT41" s="96"/>
      <c r="AU41" s="95"/>
      <c r="AV41" s="98"/>
      <c r="AW41" s="96"/>
      <c r="AX41" s="96"/>
      <c r="AY41" s="95"/>
      <c r="AZ41" s="98"/>
      <c r="BA41" s="99"/>
      <c r="BB41" s="95"/>
      <c r="BC41" s="96"/>
      <c r="BD41" s="96"/>
      <c r="BE41" s="98"/>
      <c r="BF41" s="95"/>
      <c r="BG41" s="96"/>
      <c r="BH41" s="96"/>
      <c r="BI41" s="98"/>
    </row>
    <row r="42" spans="1:61" ht="12" customHeight="1">
      <c r="A42" s="254">
        <f t="array" ref="A42">_xll.AC(DB,_xll.ArrayDPT($AA42:$AE42),_xll.ArrayCOA($AG42:$AZ42),YR-1,PRD,_xll.ArrayDIM($BB42:$BE42))</f>
        <v>0</v>
      </c>
      <c r="B42" s="254">
        <f t="shared" si="20"/>
        <v>0</v>
      </c>
      <c r="C42" s="254">
        <f t="shared" si="21"/>
        <v>0</v>
      </c>
      <c r="D42" s="254">
        <f t="shared" si="22"/>
        <v>0</v>
      </c>
      <c r="E42" s="254">
        <f t="array" ref="E42">_xll.BC(DB,_xll.ArrayDPT($AA42:$AE42),_xll.ArrayCOA($AG42:$AZ42),YR,PRD,RV,_xll.ArrayDIM($BB42:$BE42))</f>
        <v>0</v>
      </c>
      <c r="F42" s="254">
        <f t="shared" si="23"/>
        <v>0</v>
      </c>
      <c r="G42" s="254">
        <f t="array" ref="G42">_xll.AC(DB,_xll.ArrayDPT($AA42:$AE42),_xll.ArrayCOA($AG42:$AZ42),YR,PRD,_xll.ArrayDIM($BB42:$BE42))</f>
        <v>0</v>
      </c>
      <c r="H42" s="254">
        <f t="shared" si="24"/>
        <v>0</v>
      </c>
      <c r="I42" s="254"/>
      <c r="J42" s="328" t="s">
        <v>676</v>
      </c>
      <c r="K42" s="254"/>
      <c r="L42" s="254">
        <f t="array" ref="L42">_xll.ACC(DB,_xll.ArrayDPT($AA42:$AE42),_xll.ArrayCOA($AG42:$AZ42),YR,PRD,_xll.ArrayDIM($BB42:$BE42))</f>
        <v>0</v>
      </c>
      <c r="M42" s="237">
        <f t="shared" si="25"/>
        <v>0</v>
      </c>
      <c r="N42" s="254">
        <f t="array" ref="N42">_xll.BCC(DB,_xll.ArrayDPT($AA42:$AE42),_xll.ArrayCOA($AG42:$AZ42),YR,PRD,RV,_xll.ArrayDIM($BB42:$BE42))</f>
        <v>0</v>
      </c>
      <c r="O42" s="237">
        <f t="shared" si="26"/>
        <v>0</v>
      </c>
      <c r="P42" s="237">
        <f t="shared" si="27"/>
        <v>0</v>
      </c>
      <c r="Q42" s="237">
        <f t="shared" si="28"/>
        <v>0</v>
      </c>
      <c r="R42" s="254">
        <f t="array" ref="R42">_xll.ACC(DB,_xll.ArrayDPT($AA42:$AE42),_xll.ArrayCOA($AG42:$AZ42),YR-1,PRD,_xll.ArrayDIM($BB42:$BE42))</f>
        <v>0</v>
      </c>
      <c r="S42" s="237">
        <f t="shared" si="29"/>
        <v>0</v>
      </c>
      <c r="T42" s="328"/>
      <c r="U42" s="328"/>
      <c r="V42" s="328"/>
      <c r="W42" s="328"/>
      <c r="X42" s="328"/>
      <c r="Y42" s="328"/>
      <c r="Z42" s="328"/>
      <c r="AA42" s="95"/>
      <c r="AB42" s="96"/>
      <c r="AC42" s="96"/>
      <c r="AD42" s="96"/>
      <c r="AE42" s="96"/>
      <c r="AF42" s="97"/>
      <c r="AG42" s="95"/>
      <c r="AH42" s="96"/>
      <c r="AI42" s="95"/>
      <c r="AJ42" s="96"/>
      <c r="AK42" s="95"/>
      <c r="AL42" s="96"/>
      <c r="AM42" s="95"/>
      <c r="AN42" s="98"/>
      <c r="AO42" s="96"/>
      <c r="AP42" s="96"/>
      <c r="AQ42" s="95"/>
      <c r="AR42" s="98"/>
      <c r="AS42" s="96"/>
      <c r="AT42" s="96"/>
      <c r="AU42" s="95"/>
      <c r="AV42" s="98"/>
      <c r="AW42" s="96"/>
      <c r="AX42" s="96"/>
      <c r="AY42" s="95"/>
      <c r="AZ42" s="98"/>
      <c r="BA42" s="99"/>
      <c r="BB42" s="95"/>
      <c r="BC42" s="96"/>
      <c r="BD42" s="96"/>
      <c r="BE42" s="98"/>
      <c r="BF42" s="95"/>
      <c r="BG42" s="96"/>
      <c r="BH42" s="96"/>
      <c r="BI42" s="98"/>
    </row>
    <row r="43" spans="1:61" ht="12" customHeight="1">
      <c r="A43" s="254">
        <f t="array" ref="A43">_xll.AC(DB,_xll.ArrayDPT($AA43:$AE43),_xll.ArrayCOA($AG43:$AZ43),YR-1,PRD,_xll.ArrayDIM($BB43:$BE43))</f>
        <v>0</v>
      </c>
      <c r="B43" s="254">
        <f t="shared" si="20"/>
        <v>0</v>
      </c>
      <c r="C43" s="254">
        <f t="shared" si="21"/>
        <v>0</v>
      </c>
      <c r="D43" s="254">
        <f t="shared" si="22"/>
        <v>0</v>
      </c>
      <c r="E43" s="254">
        <f t="array" ref="E43">_xll.BC(DB,_xll.ArrayDPT($AA43:$AE43),_xll.ArrayCOA($AG43:$AZ43),YR,PRD,RV,_xll.ArrayDIM($BB43:$BE43))</f>
        <v>0</v>
      </c>
      <c r="F43" s="254">
        <f t="shared" si="23"/>
        <v>0</v>
      </c>
      <c r="G43" s="254">
        <f t="array" ref="G43">_xll.AC(DB,_xll.ArrayDPT($AA43:$AE43),_xll.ArrayCOA($AG43:$AZ43),YR,PRD,_xll.ArrayDIM($BB43:$BE43))</f>
        <v>0</v>
      </c>
      <c r="H43" s="254">
        <f t="shared" si="24"/>
        <v>0</v>
      </c>
      <c r="I43" s="254"/>
      <c r="J43" s="328" t="s">
        <v>677</v>
      </c>
      <c r="K43" s="254"/>
      <c r="L43" s="254">
        <f t="array" ref="L43">_xll.ACC(DB,_xll.ArrayDPT($AA43:$AE43),_xll.ArrayCOA($AG43:$AZ43),YR,PRD,_xll.ArrayDIM($BB43:$BE43))</f>
        <v>0</v>
      </c>
      <c r="M43" s="237">
        <f t="shared" si="25"/>
        <v>0</v>
      </c>
      <c r="N43" s="254">
        <f t="array" ref="N43">_xll.BCC(DB,_xll.ArrayDPT($AA43:$AE43),_xll.ArrayCOA($AG43:$AZ43),YR,PRD,RV,_xll.ArrayDIM($BB43:$BE43))</f>
        <v>0</v>
      </c>
      <c r="O43" s="237">
        <f t="shared" si="26"/>
        <v>0</v>
      </c>
      <c r="P43" s="237">
        <f t="shared" si="27"/>
        <v>0</v>
      </c>
      <c r="Q43" s="237">
        <f t="shared" si="28"/>
        <v>0</v>
      </c>
      <c r="R43" s="254">
        <f t="array" ref="R43">_xll.ACC(DB,_xll.ArrayDPT($AA43:$AE43),_xll.ArrayCOA($AG43:$AZ43),YR-1,PRD,_xll.ArrayDIM($BB43:$BE43))</f>
        <v>0</v>
      </c>
      <c r="S43" s="237">
        <f t="shared" si="29"/>
        <v>0</v>
      </c>
      <c r="T43" s="328"/>
      <c r="U43" s="328"/>
      <c r="V43" s="328"/>
      <c r="W43" s="328"/>
      <c r="X43" s="328"/>
      <c r="Y43" s="328"/>
      <c r="Z43" s="328"/>
      <c r="AA43" s="95"/>
      <c r="AB43" s="96"/>
      <c r="AC43" s="96"/>
      <c r="AD43" s="96"/>
      <c r="AE43" s="96"/>
      <c r="AF43" s="97"/>
      <c r="AG43" s="95"/>
      <c r="AH43" s="96"/>
      <c r="AI43" s="95"/>
      <c r="AJ43" s="96"/>
      <c r="AK43" s="95"/>
      <c r="AL43" s="96"/>
      <c r="AM43" s="95"/>
      <c r="AN43" s="98"/>
      <c r="AO43" s="96"/>
      <c r="AP43" s="96"/>
      <c r="AQ43" s="95"/>
      <c r="AR43" s="98"/>
      <c r="AS43" s="96"/>
      <c r="AT43" s="96"/>
      <c r="AU43" s="95"/>
      <c r="AV43" s="98"/>
      <c r="AW43" s="96"/>
      <c r="AX43" s="96"/>
      <c r="AY43" s="95"/>
      <c r="AZ43" s="98"/>
      <c r="BA43" s="99"/>
      <c r="BB43" s="95"/>
      <c r="BC43" s="96"/>
      <c r="BD43" s="96"/>
      <c r="BE43" s="98"/>
      <c r="BF43" s="95"/>
      <c r="BG43" s="96"/>
      <c r="BH43" s="96"/>
      <c r="BI43" s="98"/>
    </row>
    <row r="44" spans="1:61" ht="12" customHeight="1">
      <c r="A44" s="254">
        <f t="array" ref="A44">_xll.AC(DB,_xll.ArrayDPT($AA44:$AE44),_xll.ArrayCOA($AG44:$AZ44),YR-1,PRD,_xll.ArrayDIM($BB44:$BE44))</f>
        <v>72660.31</v>
      </c>
      <c r="B44" s="254">
        <f t="shared" si="20"/>
        <v>1.0022776254940413</v>
      </c>
      <c r="C44" s="254">
        <f t="shared" si="21"/>
        <v>-45440.25</v>
      </c>
      <c r="D44" s="254">
        <f t="shared" si="22"/>
        <v>0.57360791968422442</v>
      </c>
      <c r="E44" s="254">
        <f t="array" ref="E44">_xll.BC(DB,_xll.ArrayDPT($AA44:$AE44),_xll.ArrayCOA($AG44:$AZ44),YR,PRD,RV,_xll.ArrayDIM($BB44:$BE44))</f>
        <v>0</v>
      </c>
      <c r="F44" s="254">
        <f t="shared" si="23"/>
        <v>0</v>
      </c>
      <c r="G44" s="254">
        <f t="array" ref="G44">_xll.AC(DB,_xll.ArrayDPT($AA44:$AE44),_xll.ArrayCOA($AG44:$AZ44),YR,PRD,_xll.ArrayDIM($BB44:$BE44))</f>
        <v>45440.25</v>
      </c>
      <c r="H44" s="254">
        <f t="shared" si="24"/>
        <v>0.57360791968422442</v>
      </c>
      <c r="I44" s="254"/>
      <c r="J44" s="328" t="s">
        <v>678</v>
      </c>
      <c r="K44" s="254"/>
      <c r="L44" s="254">
        <f t="array" ref="L44">_xll.ACC(DB,_xll.ArrayDPT($AA44:$AE44),_xll.ArrayCOA($AG44:$AZ44),YR,PRD,_xll.ArrayDIM($BB44:$BE44))</f>
        <v>45440.25</v>
      </c>
      <c r="M44" s="237">
        <f t="shared" si="25"/>
        <v>0.57360791968422442</v>
      </c>
      <c r="N44" s="254">
        <f t="array" ref="N44">_xll.BCC(DB,_xll.ArrayDPT($AA44:$AE44),_xll.ArrayCOA($AG44:$AZ44),YR,PRD,RV,_xll.ArrayDIM($BB44:$BE44))</f>
        <v>0</v>
      </c>
      <c r="O44" s="237">
        <f t="shared" si="26"/>
        <v>0</v>
      </c>
      <c r="P44" s="237">
        <f t="shared" si="27"/>
        <v>-45440.25</v>
      </c>
      <c r="Q44" s="237">
        <f t="shared" si="28"/>
        <v>0.57360791968422442</v>
      </c>
      <c r="R44" s="254">
        <f t="array" ref="R44">_xll.ACC(DB,_xll.ArrayDPT($AA44:$AE44),_xll.ArrayCOA($AG44:$AZ44),YR-1,PRD,_xll.ArrayDIM($BB44:$BE44))</f>
        <v>72660.31</v>
      </c>
      <c r="S44" s="237">
        <f t="shared" si="29"/>
        <v>1.0022776254940413</v>
      </c>
      <c r="T44" s="328"/>
      <c r="U44" s="328"/>
      <c r="V44" s="328"/>
      <c r="W44" s="328"/>
      <c r="X44" s="328"/>
      <c r="Y44" s="328"/>
      <c r="Z44" s="328"/>
      <c r="AA44" s="95" t="s">
        <v>623</v>
      </c>
      <c r="AB44" s="96" t="s">
        <v>634</v>
      </c>
      <c r="AC44" s="96" t="s">
        <v>637</v>
      </c>
      <c r="AD44" s="96"/>
      <c r="AE44" s="96"/>
      <c r="AF44" s="97"/>
      <c r="AG44" s="95" t="s">
        <v>679</v>
      </c>
      <c r="AH44" s="96" t="s">
        <v>679</v>
      </c>
      <c r="AI44" s="95"/>
      <c r="AJ44" s="96"/>
      <c r="AK44" s="95"/>
      <c r="AL44" s="96"/>
      <c r="AM44" s="95"/>
      <c r="AN44" s="98"/>
      <c r="AO44" s="96"/>
      <c r="AP44" s="96"/>
      <c r="AQ44" s="95"/>
      <c r="AR44" s="98"/>
      <c r="AS44" s="96"/>
      <c r="AT44" s="96"/>
      <c r="AU44" s="95"/>
      <c r="AV44" s="98"/>
      <c r="AW44" s="96"/>
      <c r="AX44" s="96"/>
      <c r="AY44" s="95"/>
      <c r="AZ44" s="98"/>
      <c r="BA44" s="99"/>
      <c r="BB44" s="95"/>
      <c r="BC44" s="96"/>
      <c r="BD44" s="96"/>
      <c r="BE44" s="98"/>
      <c r="BF44" s="95"/>
      <c r="BG44" s="96"/>
      <c r="BH44" s="96"/>
      <c r="BI44" s="98"/>
    </row>
    <row r="45" spans="1:61" ht="12" customHeight="1">
      <c r="A45" s="254">
        <f t="array" ref="A45">_xll.AC(DB,_xll.ArrayDPT($AA45:$AE45),_xll.ArrayCOA($AG45:$AZ45),YR-1,PRD,_xll.ArrayDIM($BB45:$BE45))</f>
        <v>0</v>
      </c>
      <c r="B45" s="254">
        <f t="shared" si="20"/>
        <v>0</v>
      </c>
      <c r="C45" s="254">
        <f t="shared" si="21"/>
        <v>-4680</v>
      </c>
      <c r="D45" s="254">
        <f t="shared" si="22"/>
        <v>5.9077251206192095E-2</v>
      </c>
      <c r="E45" s="254">
        <f t="array" ref="E45">_xll.BC(DB,_xll.ArrayDPT($AA45:$AE45),_xll.ArrayCOA($AG45:$AZ45),YR,PRD,RV,_xll.ArrayDIM($BB45:$BE45))</f>
        <v>0</v>
      </c>
      <c r="F45" s="254">
        <f t="shared" si="23"/>
        <v>0</v>
      </c>
      <c r="G45" s="254">
        <f t="array" ref="G45">_xll.AC(DB,_xll.ArrayDPT($AA45:$AE45),_xll.ArrayCOA($AG45:$AZ45),YR,PRD,_xll.ArrayDIM($BB45:$BE45))</f>
        <v>4680</v>
      </c>
      <c r="H45" s="254">
        <f t="shared" si="24"/>
        <v>5.9077251206192095E-2</v>
      </c>
      <c r="I45" s="254"/>
      <c r="J45" s="328" t="s">
        <v>680</v>
      </c>
      <c r="K45" s="254"/>
      <c r="L45" s="254">
        <f t="array" ref="L45">_xll.ACC(DB,_xll.ArrayDPT($AA45:$AE45),_xll.ArrayCOA($AG45:$AZ45),YR,PRD,_xll.ArrayDIM($BB45:$BE45))</f>
        <v>4680</v>
      </c>
      <c r="M45" s="237">
        <f t="shared" si="25"/>
        <v>5.9077251206192095E-2</v>
      </c>
      <c r="N45" s="254">
        <f t="array" ref="N45">_xll.BCC(DB,_xll.ArrayDPT($AA45:$AE45),_xll.ArrayCOA($AG45:$AZ45),YR,PRD,RV,_xll.ArrayDIM($BB45:$BE45))</f>
        <v>0</v>
      </c>
      <c r="O45" s="237">
        <f t="shared" si="26"/>
        <v>0</v>
      </c>
      <c r="P45" s="237">
        <f t="shared" si="27"/>
        <v>-4680</v>
      </c>
      <c r="Q45" s="237">
        <f t="shared" si="28"/>
        <v>5.9077251206192095E-2</v>
      </c>
      <c r="R45" s="254">
        <f t="array" ref="R45">_xll.ACC(DB,_xll.ArrayDPT($AA45:$AE45),_xll.ArrayCOA($AG45:$AZ45),YR-1,PRD,_xll.ArrayDIM($BB45:$BE45))</f>
        <v>0</v>
      </c>
      <c r="S45" s="237">
        <f t="shared" si="29"/>
        <v>0</v>
      </c>
      <c r="T45" s="328"/>
      <c r="U45" s="328"/>
      <c r="V45" s="328"/>
      <c r="W45" s="328"/>
      <c r="X45" s="328"/>
      <c r="Y45" s="328"/>
      <c r="Z45" s="328"/>
      <c r="AA45" s="95" t="s">
        <v>623</v>
      </c>
      <c r="AB45" s="96" t="s">
        <v>634</v>
      </c>
      <c r="AC45" s="96" t="s">
        <v>637</v>
      </c>
      <c r="AD45" s="96"/>
      <c r="AE45" s="96"/>
      <c r="AF45" s="97"/>
      <c r="AG45" s="95" t="s">
        <v>681</v>
      </c>
      <c r="AH45" s="96" t="s">
        <v>681</v>
      </c>
      <c r="AI45" s="95"/>
      <c r="AJ45" s="96"/>
      <c r="AK45" s="95"/>
      <c r="AL45" s="96"/>
      <c r="AM45" s="95"/>
      <c r="AN45" s="98"/>
      <c r="AO45" s="96"/>
      <c r="AP45" s="96"/>
      <c r="AQ45" s="95"/>
      <c r="AR45" s="98"/>
      <c r="AS45" s="96"/>
      <c r="AT45" s="96"/>
      <c r="AU45" s="95"/>
      <c r="AV45" s="98"/>
      <c r="AW45" s="96"/>
      <c r="AX45" s="96"/>
      <c r="AY45" s="95"/>
      <c r="AZ45" s="98"/>
      <c r="BA45" s="99"/>
      <c r="BB45" s="95"/>
      <c r="BC45" s="96"/>
      <c r="BD45" s="96"/>
      <c r="BE45" s="98"/>
      <c r="BF45" s="95"/>
      <c r="BG45" s="96"/>
      <c r="BH45" s="96"/>
      <c r="BI45" s="98"/>
    </row>
    <row r="46" spans="1:61" ht="12" customHeight="1">
      <c r="A46" s="254">
        <f t="array" ref="A46">_xll.AC(DB,_xll.ArrayDPT($AA46:$AE46),_xll.ArrayCOA($AG46:$AZ46),YR-1,PRD,_xll.ArrayDIM($BB46:$BE46))</f>
        <v>8907.48</v>
      </c>
      <c r="B46" s="254">
        <f t="shared" si="20"/>
        <v>0.12286993963465973</v>
      </c>
      <c r="C46" s="254">
        <f t="shared" si="21"/>
        <v>-6420.7</v>
      </c>
      <c r="D46" s="254">
        <f t="shared" si="22"/>
        <v>8.1050706585384102E-2</v>
      </c>
      <c r="E46" s="254">
        <f t="array" ref="E46">_xll.BC(DB,_xll.ArrayDPT($AA46:$AE46),_xll.ArrayCOA($AG46:$AZ46),YR,PRD,RV,_xll.ArrayDIM($BB46:$BE46))</f>
        <v>0</v>
      </c>
      <c r="F46" s="254">
        <f t="shared" si="23"/>
        <v>0</v>
      </c>
      <c r="G46" s="254">
        <f t="array" ref="G46">_xll.AC(DB,_xll.ArrayDPT($AA46:$AE46),_xll.ArrayCOA($AG46:$AZ46),YR,PRD,_xll.ArrayDIM($BB46:$BE46))</f>
        <v>6420.7</v>
      </c>
      <c r="H46" s="254">
        <f t="shared" si="24"/>
        <v>8.1050706585384102E-2</v>
      </c>
      <c r="I46" s="254"/>
      <c r="J46" s="328" t="s">
        <v>682</v>
      </c>
      <c r="K46" s="254"/>
      <c r="L46" s="254">
        <f t="array" ref="L46">_xll.ACC(DB,_xll.ArrayDPT($AA46:$AE46),_xll.ArrayCOA($AG46:$AZ46),YR,PRD,_xll.ArrayDIM($BB46:$BE46))</f>
        <v>6420.7</v>
      </c>
      <c r="M46" s="237">
        <f t="shared" si="25"/>
        <v>8.1050706585384102E-2</v>
      </c>
      <c r="N46" s="254">
        <f t="array" ref="N46">_xll.BCC(DB,_xll.ArrayDPT($AA46:$AE46),_xll.ArrayCOA($AG46:$AZ46),YR,PRD,RV,_xll.ArrayDIM($BB46:$BE46))</f>
        <v>0</v>
      </c>
      <c r="O46" s="237">
        <f t="shared" si="26"/>
        <v>0</v>
      </c>
      <c r="P46" s="237">
        <f t="shared" si="27"/>
        <v>-6420.7</v>
      </c>
      <c r="Q46" s="237">
        <f t="shared" si="28"/>
        <v>8.1050706585384102E-2</v>
      </c>
      <c r="R46" s="254">
        <f t="array" ref="R46">_xll.ACC(DB,_xll.ArrayDPT($AA46:$AE46),_xll.ArrayCOA($AG46:$AZ46),YR-1,PRD,_xll.ArrayDIM($BB46:$BE46))</f>
        <v>8907.48</v>
      </c>
      <c r="S46" s="237">
        <f t="shared" si="29"/>
        <v>0.12286993963465973</v>
      </c>
      <c r="T46" s="328"/>
      <c r="U46" s="328"/>
      <c r="V46" s="328"/>
      <c r="W46" s="328"/>
      <c r="X46" s="328"/>
      <c r="Y46" s="328"/>
      <c r="Z46" s="328"/>
      <c r="AA46" s="95" t="s">
        <v>623</v>
      </c>
      <c r="AB46" s="96" t="s">
        <v>634</v>
      </c>
      <c r="AC46" s="96" t="s">
        <v>637</v>
      </c>
      <c r="AD46" s="96"/>
      <c r="AE46" s="96"/>
      <c r="AF46" s="97"/>
      <c r="AG46" s="95" t="s">
        <v>683</v>
      </c>
      <c r="AH46" s="96" t="s">
        <v>683</v>
      </c>
      <c r="AI46" s="95"/>
      <c r="AJ46" s="96"/>
      <c r="AK46" s="95"/>
      <c r="AL46" s="96"/>
      <c r="AM46" s="95"/>
      <c r="AN46" s="98"/>
      <c r="AO46" s="96"/>
      <c r="AP46" s="96"/>
      <c r="AQ46" s="95"/>
      <c r="AR46" s="98"/>
      <c r="AS46" s="96"/>
      <c r="AT46" s="96"/>
      <c r="AU46" s="95"/>
      <c r="AV46" s="98"/>
      <c r="AW46" s="96"/>
      <c r="AX46" s="96"/>
      <c r="AY46" s="95"/>
      <c r="AZ46" s="98"/>
      <c r="BA46" s="99"/>
      <c r="BB46" s="95"/>
      <c r="BC46" s="96"/>
      <c r="BD46" s="96"/>
      <c r="BE46" s="98"/>
      <c r="BF46" s="95"/>
      <c r="BG46" s="96"/>
      <c r="BH46" s="96"/>
      <c r="BI46" s="98"/>
    </row>
    <row r="47" spans="1:61" ht="12" customHeight="1">
      <c r="A47" s="254">
        <f t="array" ref="A47">_xll.AC(DB,_xll.ArrayDPT($AA47:$AE47),_xll.ArrayCOA($AG47:$AZ47),YR-1,PRD,_xll.ArrayDIM($BB47:$BE47))</f>
        <v>29392.99</v>
      </c>
      <c r="B47" s="254">
        <f t="shared" si="20"/>
        <v>0.40544743372785086</v>
      </c>
      <c r="C47" s="254">
        <f t="shared" si="21"/>
        <v>-11280.41</v>
      </c>
      <c r="D47" s="254">
        <f t="shared" si="22"/>
        <v>0.14239649899120543</v>
      </c>
      <c r="E47" s="254">
        <f t="array" ref="E47">_xll.BC(DB,_xll.ArrayDPT($AA47:$AE47),_xll.ArrayCOA($AG47:$AZ47),YR,PRD,RV,_xll.ArrayDIM($BB47:$BE47))</f>
        <v>0</v>
      </c>
      <c r="F47" s="254">
        <f t="shared" si="23"/>
        <v>0</v>
      </c>
      <c r="G47" s="254">
        <f t="array" ref="G47">_xll.AC(DB,_xll.ArrayDPT($AA47:$AE47),_xll.ArrayCOA($AG47:$AZ47),YR,PRD,_xll.ArrayDIM($BB47:$BE47))</f>
        <v>11280.41</v>
      </c>
      <c r="H47" s="254">
        <f t="shared" si="24"/>
        <v>0.14239649899120543</v>
      </c>
      <c r="I47" s="254"/>
      <c r="J47" s="328" t="s">
        <v>684</v>
      </c>
      <c r="K47" s="254"/>
      <c r="L47" s="254">
        <f t="array" ref="L47">_xll.ACC(DB,_xll.ArrayDPT($AA47:$AE47),_xll.ArrayCOA($AG47:$AZ47),YR,PRD,_xll.ArrayDIM($BB47:$BE47))</f>
        <v>11280.41</v>
      </c>
      <c r="M47" s="237">
        <f t="shared" si="25"/>
        <v>0.14239649899120543</v>
      </c>
      <c r="N47" s="254">
        <f t="array" ref="N47">_xll.BCC(DB,_xll.ArrayDPT($AA47:$AE47),_xll.ArrayCOA($AG47:$AZ47),YR,PRD,RV,_xll.ArrayDIM($BB47:$BE47))</f>
        <v>0</v>
      </c>
      <c r="O47" s="237">
        <f t="shared" si="26"/>
        <v>0</v>
      </c>
      <c r="P47" s="237">
        <f t="shared" si="27"/>
        <v>-11280.41</v>
      </c>
      <c r="Q47" s="237">
        <f t="shared" si="28"/>
        <v>0.14239649899120543</v>
      </c>
      <c r="R47" s="254">
        <f t="array" ref="R47">_xll.ACC(DB,_xll.ArrayDPT($AA47:$AE47),_xll.ArrayCOA($AG47:$AZ47),YR-1,PRD,_xll.ArrayDIM($BB47:$BE47))</f>
        <v>29392.99</v>
      </c>
      <c r="S47" s="237">
        <f t="shared" si="29"/>
        <v>0.40544743372785086</v>
      </c>
      <c r="T47" s="328"/>
      <c r="U47" s="328"/>
      <c r="V47" s="328"/>
      <c r="W47" s="328"/>
      <c r="X47" s="328"/>
      <c r="Y47" s="328"/>
      <c r="Z47" s="328"/>
      <c r="AA47" s="95" t="s">
        <v>623</v>
      </c>
      <c r="AB47" s="96" t="s">
        <v>634</v>
      </c>
      <c r="AC47" s="96" t="s">
        <v>637</v>
      </c>
      <c r="AD47" s="96" t="s">
        <v>640</v>
      </c>
      <c r="AE47" s="96"/>
      <c r="AF47" s="97"/>
      <c r="AG47" s="95" t="s">
        <v>685</v>
      </c>
      <c r="AH47" s="96" t="s">
        <v>685</v>
      </c>
      <c r="AI47" s="95"/>
      <c r="AJ47" s="96"/>
      <c r="AK47" s="95"/>
      <c r="AL47" s="96"/>
      <c r="AM47" s="95"/>
      <c r="AN47" s="98"/>
      <c r="AO47" s="96"/>
      <c r="AP47" s="96"/>
      <c r="AQ47" s="95"/>
      <c r="AR47" s="98"/>
      <c r="AS47" s="96"/>
      <c r="AT47" s="96"/>
      <c r="AU47" s="95"/>
      <c r="AV47" s="98"/>
      <c r="AW47" s="96"/>
      <c r="AX47" s="96"/>
      <c r="AY47" s="95"/>
      <c r="AZ47" s="98"/>
      <c r="BA47" s="99"/>
      <c r="BB47" s="95"/>
      <c r="BC47" s="96"/>
      <c r="BD47" s="96"/>
      <c r="BE47" s="98"/>
      <c r="BF47" s="95"/>
      <c r="BG47" s="96"/>
      <c r="BH47" s="96"/>
      <c r="BI47" s="98"/>
    </row>
    <row r="48" spans="1:61" ht="12" customHeight="1">
      <c r="A48" s="254">
        <f t="array" ref="A48">_xll.AC(DB,_xll.ArrayDPT($AA48:$AE48),_xll.ArrayCOA($AG48:$AZ48),YR-1,PRD,_xll.ArrayDIM($BB48:$BE48))</f>
        <v>0</v>
      </c>
      <c r="B48" s="254">
        <f t="shared" si="20"/>
        <v>0</v>
      </c>
      <c r="C48" s="254">
        <f t="shared" si="21"/>
        <v>0</v>
      </c>
      <c r="D48" s="254">
        <f t="shared" si="22"/>
        <v>0</v>
      </c>
      <c r="E48" s="254">
        <f t="array" ref="E48">_xll.BC(DB,_xll.ArrayDPT($AA48:$AE48),_xll.ArrayCOA($AG48:$AZ48),YR,PRD,RV,_xll.ArrayDIM($BB48:$BE48))</f>
        <v>0</v>
      </c>
      <c r="F48" s="254">
        <f t="shared" si="23"/>
        <v>0</v>
      </c>
      <c r="G48" s="254">
        <f t="array" ref="G48">_xll.AC(DB,_xll.ArrayDPT($AA48:$AE48),_xll.ArrayCOA($AG48:$AZ48),YR,PRD,_xll.ArrayDIM($BB48:$BE48))</f>
        <v>0</v>
      </c>
      <c r="H48" s="254">
        <f t="shared" si="24"/>
        <v>0</v>
      </c>
      <c r="I48" s="254"/>
      <c r="J48" s="328" t="s">
        <v>686</v>
      </c>
      <c r="K48" s="254"/>
      <c r="L48" s="254">
        <f t="array" ref="L48">_xll.ACC(DB,_xll.ArrayDPT($AA48:$AE48),_xll.ArrayCOA($AG48:$AZ48),YR,PRD,_xll.ArrayDIM($BB48:$BE48))</f>
        <v>0</v>
      </c>
      <c r="M48" s="237">
        <f t="shared" si="25"/>
        <v>0</v>
      </c>
      <c r="N48" s="254">
        <f t="array" ref="N48">_xll.BCC(DB,_xll.ArrayDPT($AA48:$AE48),_xll.ArrayCOA($AG48:$AZ48),YR,PRD,RV,_xll.ArrayDIM($BB48:$BE48))</f>
        <v>0</v>
      </c>
      <c r="O48" s="237">
        <f t="shared" si="26"/>
        <v>0</v>
      </c>
      <c r="P48" s="237">
        <f t="shared" si="27"/>
        <v>0</v>
      </c>
      <c r="Q48" s="237">
        <f t="shared" si="28"/>
        <v>0</v>
      </c>
      <c r="R48" s="254">
        <f t="array" ref="R48">_xll.ACC(DB,_xll.ArrayDPT($AA48:$AE48),_xll.ArrayCOA($AG48:$AZ48),YR-1,PRD,_xll.ArrayDIM($BB48:$BE48))</f>
        <v>0</v>
      </c>
      <c r="S48" s="237">
        <f t="shared" si="29"/>
        <v>0</v>
      </c>
      <c r="T48" s="328"/>
      <c r="U48" s="328"/>
      <c r="V48" s="328"/>
      <c r="W48" s="328"/>
      <c r="X48" s="328"/>
      <c r="Y48" s="328"/>
      <c r="Z48" s="328"/>
      <c r="AA48" s="95"/>
      <c r="AB48" s="96"/>
      <c r="AC48" s="96"/>
      <c r="AD48" s="96"/>
      <c r="AE48" s="96"/>
      <c r="AF48" s="97"/>
      <c r="AG48" s="95"/>
      <c r="AH48" s="96"/>
      <c r="AI48" s="95"/>
      <c r="AJ48" s="96"/>
      <c r="AK48" s="95"/>
      <c r="AL48" s="96"/>
      <c r="AM48" s="95"/>
      <c r="AN48" s="98"/>
      <c r="AO48" s="96"/>
      <c r="AP48" s="96"/>
      <c r="AQ48" s="95"/>
      <c r="AR48" s="98"/>
      <c r="AS48" s="96"/>
      <c r="AT48" s="96"/>
      <c r="AU48" s="95"/>
      <c r="AV48" s="98"/>
      <c r="AW48" s="96"/>
      <c r="AX48" s="96"/>
      <c r="AY48" s="95"/>
      <c r="AZ48" s="98"/>
      <c r="BA48" s="99"/>
      <c r="BB48" s="95"/>
      <c r="BC48" s="96"/>
      <c r="BD48" s="96"/>
      <c r="BE48" s="98"/>
      <c r="BF48" s="95"/>
      <c r="BG48" s="96"/>
      <c r="BH48" s="96"/>
      <c r="BI48" s="98"/>
    </row>
    <row r="49" spans="1:61" ht="12" customHeight="1">
      <c r="A49" s="254">
        <f t="array" ref="A49">_xll.AC(DB,_xll.ArrayDPT($AA49:$AE49),_xll.ArrayCOA($AG49:$AZ49),YR-1,PRD,_xll.ArrayDIM($BB49:$BE49))</f>
        <v>5337</v>
      </c>
      <c r="B49" s="254">
        <f t="shared" si="20"/>
        <v>7.3618674173860504E-2</v>
      </c>
      <c r="C49" s="254">
        <f t="shared" si="21"/>
        <v>0</v>
      </c>
      <c r="D49" s="254">
        <f t="shared" si="22"/>
        <v>0</v>
      </c>
      <c r="E49" s="254">
        <f t="array" ref="E49">_xll.BC(DB,_xll.ArrayDPT($AA49:$AE49),_xll.ArrayCOA($AG49:$AZ49),YR,PRD,RV,_xll.ArrayDIM($BB49:$BE49))</f>
        <v>0</v>
      </c>
      <c r="F49" s="254">
        <f t="shared" si="23"/>
        <v>0</v>
      </c>
      <c r="G49" s="254">
        <f t="array" ref="G49">_xll.AC(DB,_xll.ArrayDPT($AA49:$AE49),_xll.ArrayCOA($AG49:$AZ49),YR,PRD,_xll.ArrayDIM($BB49:$BE49))</f>
        <v>0</v>
      </c>
      <c r="H49" s="254">
        <f t="shared" si="24"/>
        <v>0</v>
      </c>
      <c r="I49" s="254"/>
      <c r="J49" s="328" t="s">
        <v>687</v>
      </c>
      <c r="K49" s="254"/>
      <c r="L49" s="254">
        <f t="array" ref="L49">_xll.ACC(DB,_xll.ArrayDPT($AA49:$AE49),_xll.ArrayCOA($AG49:$AZ49),YR,PRD,_xll.ArrayDIM($BB49:$BE49))</f>
        <v>0</v>
      </c>
      <c r="M49" s="237">
        <f t="shared" si="25"/>
        <v>0</v>
      </c>
      <c r="N49" s="254">
        <f t="array" ref="N49">_xll.BCC(DB,_xll.ArrayDPT($AA49:$AE49),_xll.ArrayCOA($AG49:$AZ49),YR,PRD,RV,_xll.ArrayDIM($BB49:$BE49))</f>
        <v>0</v>
      </c>
      <c r="O49" s="237">
        <f t="shared" si="26"/>
        <v>0</v>
      </c>
      <c r="P49" s="237">
        <f t="shared" si="27"/>
        <v>0</v>
      </c>
      <c r="Q49" s="237">
        <f t="shared" si="28"/>
        <v>0</v>
      </c>
      <c r="R49" s="254">
        <f t="array" ref="R49">_xll.ACC(DB,_xll.ArrayDPT($AA49:$AE49),_xll.ArrayCOA($AG49:$AZ49),YR-1,PRD,_xll.ArrayDIM($BB49:$BE49))</f>
        <v>5337</v>
      </c>
      <c r="S49" s="237">
        <f t="shared" si="29"/>
        <v>7.3618674173860504E-2</v>
      </c>
      <c r="T49" s="328"/>
      <c r="U49" s="328"/>
      <c r="V49" s="328"/>
      <c r="W49" s="328"/>
      <c r="X49" s="328"/>
      <c r="Y49" s="328"/>
      <c r="Z49" s="328"/>
      <c r="AA49" s="95" t="s">
        <v>623</v>
      </c>
      <c r="AB49" s="96" t="s">
        <v>634</v>
      </c>
      <c r="AC49" s="96" t="s">
        <v>637</v>
      </c>
      <c r="AD49" s="96" t="s">
        <v>640</v>
      </c>
      <c r="AE49" s="96"/>
      <c r="AF49" s="97"/>
      <c r="AG49" s="95" t="s">
        <v>688</v>
      </c>
      <c r="AH49" s="96" t="s">
        <v>688</v>
      </c>
      <c r="AI49" s="95"/>
      <c r="AJ49" s="96"/>
      <c r="AK49" s="95"/>
      <c r="AL49" s="96"/>
      <c r="AM49" s="95"/>
      <c r="AN49" s="98"/>
      <c r="AO49" s="96"/>
      <c r="AP49" s="96"/>
      <c r="AQ49" s="95"/>
      <c r="AR49" s="98"/>
      <c r="AS49" s="96"/>
      <c r="AT49" s="96"/>
      <c r="AU49" s="95"/>
      <c r="AV49" s="98"/>
      <c r="AW49" s="96"/>
      <c r="AX49" s="96"/>
      <c r="AY49" s="95"/>
      <c r="AZ49" s="98"/>
      <c r="BA49" s="99"/>
      <c r="BB49" s="95"/>
      <c r="BC49" s="96"/>
      <c r="BD49" s="96"/>
      <c r="BE49" s="98"/>
      <c r="BF49" s="95"/>
      <c r="BG49" s="96"/>
      <c r="BH49" s="96"/>
      <c r="BI49" s="98"/>
    </row>
    <row r="50" spans="1:61" ht="12" customHeight="1">
      <c r="A50" s="254">
        <f t="array" ref="A50">_xll.AC(DB,_xll.ArrayDPT($AA50:$AE50),_xll.ArrayCOA($AG50:$AZ50),YR-1,PRD,_xll.ArrayDIM($BB50:$BE50))</f>
        <v>11620.56</v>
      </c>
      <c r="B50" s="254">
        <f t="shared" si="20"/>
        <v>0.16029421404493094</v>
      </c>
      <c r="C50" s="254">
        <f t="shared" si="21"/>
        <v>0</v>
      </c>
      <c r="D50" s="254">
        <f t="shared" si="22"/>
        <v>0</v>
      </c>
      <c r="E50" s="254">
        <f t="array" ref="E50">_xll.BC(DB,_xll.ArrayDPT($AA50:$AE50),_xll.ArrayCOA($AG50:$AZ50),YR,PRD,RV,_xll.ArrayDIM($BB50:$BE50))</f>
        <v>0</v>
      </c>
      <c r="F50" s="254">
        <f t="shared" si="23"/>
        <v>0</v>
      </c>
      <c r="G50" s="254">
        <f t="array" ref="G50">_xll.AC(DB,_xll.ArrayDPT($AA50:$AE50),_xll.ArrayCOA($AG50:$AZ50),YR,PRD,_xll.ArrayDIM($BB50:$BE50))</f>
        <v>0</v>
      </c>
      <c r="H50" s="254">
        <f t="shared" si="24"/>
        <v>0</v>
      </c>
      <c r="I50" s="254"/>
      <c r="J50" s="328" t="s">
        <v>689</v>
      </c>
      <c r="K50" s="254"/>
      <c r="L50" s="254">
        <f t="array" ref="L50">_xll.ACC(DB,_xll.ArrayDPT($AA50:$AE50),_xll.ArrayCOA($AG50:$AZ50),YR,PRD,_xll.ArrayDIM($BB50:$BE50))</f>
        <v>0</v>
      </c>
      <c r="M50" s="237">
        <f t="shared" si="25"/>
        <v>0</v>
      </c>
      <c r="N50" s="254">
        <f t="array" ref="N50">_xll.BCC(DB,_xll.ArrayDPT($AA50:$AE50),_xll.ArrayCOA($AG50:$AZ50),YR,PRD,RV,_xll.ArrayDIM($BB50:$BE50))</f>
        <v>0</v>
      </c>
      <c r="O50" s="237">
        <f t="shared" si="26"/>
        <v>0</v>
      </c>
      <c r="P50" s="237">
        <f t="shared" si="27"/>
        <v>0</v>
      </c>
      <c r="Q50" s="237">
        <f t="shared" si="28"/>
        <v>0</v>
      </c>
      <c r="R50" s="254">
        <f t="array" ref="R50">_xll.ACC(DB,_xll.ArrayDPT($AA50:$AE50),_xll.ArrayCOA($AG50:$AZ50),YR-1,PRD,_xll.ArrayDIM($BB50:$BE50))</f>
        <v>11620.56</v>
      </c>
      <c r="S50" s="237">
        <f t="shared" si="29"/>
        <v>0.16029421404493094</v>
      </c>
      <c r="T50" s="328"/>
      <c r="U50" s="328"/>
      <c r="V50" s="328"/>
      <c r="W50" s="328"/>
      <c r="X50" s="328"/>
      <c r="Y50" s="328"/>
      <c r="Z50" s="328"/>
      <c r="AA50" s="95" t="s">
        <v>634</v>
      </c>
      <c r="AB50" s="96"/>
      <c r="AC50" s="96"/>
      <c r="AD50" s="96"/>
      <c r="AE50" s="96"/>
      <c r="AF50" s="97"/>
      <c r="AG50" s="95" t="s">
        <v>690</v>
      </c>
      <c r="AH50" s="96" t="s">
        <v>690</v>
      </c>
      <c r="AI50" s="95"/>
      <c r="AJ50" s="96"/>
      <c r="AK50" s="95"/>
      <c r="AL50" s="96"/>
      <c r="AM50" s="95"/>
      <c r="AN50" s="98"/>
      <c r="AO50" s="96"/>
      <c r="AP50" s="96"/>
      <c r="AQ50" s="95"/>
      <c r="AR50" s="98"/>
      <c r="AS50" s="96"/>
      <c r="AT50" s="96"/>
      <c r="AU50" s="95"/>
      <c r="AV50" s="98"/>
      <c r="AW50" s="96"/>
      <c r="AX50" s="96"/>
      <c r="AY50" s="95"/>
      <c r="AZ50" s="98"/>
      <c r="BA50" s="99"/>
      <c r="BB50" s="95"/>
      <c r="BC50" s="96"/>
      <c r="BD50" s="96"/>
      <c r="BE50" s="98"/>
      <c r="BF50" s="95"/>
      <c r="BG50" s="96"/>
      <c r="BH50" s="96"/>
      <c r="BI50" s="98"/>
    </row>
    <row r="51" spans="1:61" ht="12" customHeight="1">
      <c r="A51" s="254">
        <f t="array" ref="A51">_xll.AC(DB,_xll.ArrayDPT($AA51:$AE51),_xll.ArrayCOA($AG51:$AZ51),YR-1,PRD,_xll.ArrayDIM($BB51:$BE51))</f>
        <v>0</v>
      </c>
      <c r="B51" s="254">
        <f t="shared" si="20"/>
        <v>0</v>
      </c>
      <c r="C51" s="254">
        <f t="shared" si="21"/>
        <v>0</v>
      </c>
      <c r="D51" s="254">
        <f t="shared" si="22"/>
        <v>0</v>
      </c>
      <c r="E51" s="254">
        <f t="array" ref="E51">_xll.BC(DB,_xll.ArrayDPT($AA51:$AE51),_xll.ArrayCOA($AG51:$AZ51),YR,PRD,RV,_xll.ArrayDIM($BB51:$BE51))</f>
        <v>0</v>
      </c>
      <c r="F51" s="254">
        <f t="shared" si="23"/>
        <v>0</v>
      </c>
      <c r="G51" s="254">
        <f t="array" ref="G51">_xll.AC(DB,_xll.ArrayDPT($AA51:$AE51),_xll.ArrayCOA($AG51:$AZ51),YR,PRD,_xll.ArrayDIM($BB51:$BE51))</f>
        <v>0</v>
      </c>
      <c r="H51" s="254">
        <f t="shared" si="24"/>
        <v>0</v>
      </c>
      <c r="I51" s="254"/>
      <c r="J51" s="328" t="s">
        <v>691</v>
      </c>
      <c r="K51" s="254"/>
      <c r="L51" s="254">
        <f t="array" ref="L51">_xll.ACC(DB,_xll.ArrayDPT($AA51:$AE51),_xll.ArrayCOA($AG51:$AZ51),YR,PRD,_xll.ArrayDIM($BB51:$BE51))</f>
        <v>0</v>
      </c>
      <c r="M51" s="237">
        <f t="shared" si="25"/>
        <v>0</v>
      </c>
      <c r="N51" s="254">
        <f t="array" ref="N51">_xll.BCC(DB,_xll.ArrayDPT($AA51:$AE51),_xll.ArrayCOA($AG51:$AZ51),YR,PRD,RV,_xll.ArrayDIM($BB51:$BE51))</f>
        <v>0</v>
      </c>
      <c r="O51" s="237">
        <f t="shared" si="26"/>
        <v>0</v>
      </c>
      <c r="P51" s="237">
        <f t="shared" si="27"/>
        <v>0</v>
      </c>
      <c r="Q51" s="237">
        <f t="shared" si="28"/>
        <v>0</v>
      </c>
      <c r="R51" s="254">
        <f t="array" ref="R51">_xll.ACC(DB,_xll.ArrayDPT($AA51:$AE51),_xll.ArrayCOA($AG51:$AZ51),YR-1,PRD,_xll.ArrayDIM($BB51:$BE51))</f>
        <v>0</v>
      </c>
      <c r="S51" s="237">
        <f t="shared" si="29"/>
        <v>0</v>
      </c>
      <c r="T51" s="328"/>
      <c r="U51" s="328"/>
      <c r="V51" s="328"/>
      <c r="W51" s="328"/>
      <c r="X51" s="328"/>
      <c r="Y51" s="328"/>
      <c r="Z51" s="328"/>
      <c r="AA51" s="95" t="s">
        <v>623</v>
      </c>
      <c r="AB51" s="96" t="s">
        <v>634</v>
      </c>
      <c r="AC51" s="96" t="s">
        <v>637</v>
      </c>
      <c r="AD51" s="96"/>
      <c r="AE51" s="96"/>
      <c r="AF51" s="97"/>
      <c r="AG51" s="95" t="s">
        <v>692</v>
      </c>
      <c r="AH51" s="96" t="s">
        <v>692</v>
      </c>
      <c r="AI51" s="95"/>
      <c r="AJ51" s="96"/>
      <c r="AK51" s="95"/>
      <c r="AL51" s="96"/>
      <c r="AM51" s="95"/>
      <c r="AN51" s="98"/>
      <c r="AO51" s="96"/>
      <c r="AP51" s="96"/>
      <c r="AQ51" s="95"/>
      <c r="AR51" s="98"/>
      <c r="AS51" s="96"/>
      <c r="AT51" s="96"/>
      <c r="AU51" s="95"/>
      <c r="AV51" s="98"/>
      <c r="AW51" s="96"/>
      <c r="AX51" s="96"/>
      <c r="AY51" s="95"/>
      <c r="AZ51" s="98"/>
      <c r="BA51" s="99"/>
      <c r="BB51" s="95"/>
      <c r="BC51" s="96"/>
      <c r="BD51" s="96"/>
      <c r="BE51" s="98"/>
      <c r="BF51" s="95"/>
      <c r="BG51" s="96"/>
      <c r="BH51" s="96"/>
      <c r="BI51" s="98"/>
    </row>
    <row r="52" spans="1:61" ht="12" customHeight="1">
      <c r="A52" s="254">
        <f t="array" ref="A52">_xll.AC(DB,_xll.ArrayDPT($AA52:$AE52),_xll.ArrayCOA($AG52:$AZ52),YR-1,PRD,_xll.ArrayDIM($BB52:$BE52))</f>
        <v>0</v>
      </c>
      <c r="B52" s="254">
        <f t="shared" si="20"/>
        <v>0</v>
      </c>
      <c r="C52" s="254">
        <f t="shared" si="21"/>
        <v>0</v>
      </c>
      <c r="D52" s="254">
        <f t="shared" si="22"/>
        <v>0</v>
      </c>
      <c r="E52" s="254">
        <f t="array" ref="E52">_xll.BC(DB,_xll.ArrayDPT($AA52:$AE52),_xll.ArrayCOA($AG52:$AZ52),YR,PRD,RV,_xll.ArrayDIM($BB52:$BE52))</f>
        <v>0</v>
      </c>
      <c r="F52" s="254">
        <f t="shared" si="23"/>
        <v>0</v>
      </c>
      <c r="G52" s="254">
        <f t="array" ref="G52">_xll.AC(DB,_xll.ArrayDPT($AA52:$AE52),_xll.ArrayCOA($AG52:$AZ52),YR,PRD,_xll.ArrayDIM($BB52:$BE52))</f>
        <v>0</v>
      </c>
      <c r="H52" s="254">
        <f t="shared" si="24"/>
        <v>0</v>
      </c>
      <c r="I52" s="254"/>
      <c r="J52" s="328" t="s">
        <v>693</v>
      </c>
      <c r="K52" s="254"/>
      <c r="L52" s="254">
        <f t="array" ref="L52">_xll.ACC(DB,_xll.ArrayDPT($AA52:$AE52),_xll.ArrayCOA($AG52:$AZ52),YR,PRD,_xll.ArrayDIM($BB52:$BE52))</f>
        <v>0</v>
      </c>
      <c r="M52" s="237">
        <f t="shared" si="25"/>
        <v>0</v>
      </c>
      <c r="N52" s="254">
        <f t="array" ref="N52">_xll.BCC(DB,_xll.ArrayDPT($AA52:$AE52),_xll.ArrayCOA($AG52:$AZ52),YR,PRD,RV,_xll.ArrayDIM($BB52:$BE52))</f>
        <v>0</v>
      </c>
      <c r="O52" s="237">
        <f t="shared" si="26"/>
        <v>0</v>
      </c>
      <c r="P52" s="237">
        <f t="shared" si="27"/>
        <v>0</v>
      </c>
      <c r="Q52" s="237">
        <f t="shared" si="28"/>
        <v>0</v>
      </c>
      <c r="R52" s="254">
        <f t="array" ref="R52">_xll.ACC(DB,_xll.ArrayDPT($AA52:$AE52),_xll.ArrayCOA($AG52:$AZ52),YR-1,PRD,_xll.ArrayDIM($BB52:$BE52))</f>
        <v>0</v>
      </c>
      <c r="S52" s="237">
        <f t="shared" si="29"/>
        <v>0</v>
      </c>
      <c r="T52" s="328"/>
      <c r="U52" s="328"/>
      <c r="V52" s="328"/>
      <c r="W52" s="328"/>
      <c r="X52" s="328"/>
      <c r="Y52" s="328"/>
      <c r="Z52" s="328"/>
      <c r="AA52" s="95" t="s">
        <v>623</v>
      </c>
      <c r="AB52" s="96"/>
      <c r="AC52" s="96"/>
      <c r="AD52" s="96"/>
      <c r="AE52" s="96"/>
      <c r="AF52" s="97"/>
      <c r="AG52" s="95" t="s">
        <v>694</v>
      </c>
      <c r="AH52" s="96" t="s">
        <v>694</v>
      </c>
      <c r="AI52" s="95"/>
      <c r="AJ52" s="96"/>
      <c r="AK52" s="95"/>
      <c r="AL52" s="96"/>
      <c r="AM52" s="95"/>
      <c r="AN52" s="98"/>
      <c r="AO52" s="96"/>
      <c r="AP52" s="96"/>
      <c r="AQ52" s="95"/>
      <c r="AR52" s="98"/>
      <c r="AS52" s="96"/>
      <c r="AT52" s="96"/>
      <c r="AU52" s="95"/>
      <c r="AV52" s="98"/>
      <c r="AW52" s="96"/>
      <c r="AX52" s="96"/>
      <c r="AY52" s="95"/>
      <c r="AZ52" s="98"/>
      <c r="BA52" s="99"/>
      <c r="BB52" s="95"/>
      <c r="BC52" s="96"/>
      <c r="BD52" s="96"/>
      <c r="BE52" s="98"/>
      <c r="BF52" s="95"/>
      <c r="BG52" s="96"/>
      <c r="BH52" s="96"/>
      <c r="BI52" s="98"/>
    </row>
    <row r="53" spans="1:61" ht="12" customHeight="1">
      <c r="A53" s="254">
        <f t="array" ref="A53">_xll.AC(DB,_xll.ArrayDPT($AA53:$AE53),_xll.ArrayCOA($AG53:$AZ53),YR-1,PRD,_xll.ArrayDIM($BB53:$BE53))</f>
        <v>155000</v>
      </c>
      <c r="B53" s="254">
        <f t="shared" si="20"/>
        <v>2.1380727931325425</v>
      </c>
      <c r="C53" s="254">
        <f t="shared" si="21"/>
        <v>0</v>
      </c>
      <c r="D53" s="254">
        <f t="shared" si="22"/>
        <v>0</v>
      </c>
      <c r="E53" s="254">
        <f t="array" ref="E53">_xll.BC(DB,_xll.ArrayDPT($AA53:$AE53),_xll.ArrayCOA($AG53:$AZ53),YR,PRD,RV,_xll.ArrayDIM($BB53:$BE53))</f>
        <v>0</v>
      </c>
      <c r="F53" s="254">
        <f t="shared" si="23"/>
        <v>0</v>
      </c>
      <c r="G53" s="254">
        <f t="array" ref="G53">_xll.AC(DB,_xll.ArrayDPT($AA53:$AE53),_xll.ArrayCOA($AG53:$AZ53),YR,PRD,_xll.ArrayDIM($BB53:$BE53))</f>
        <v>0</v>
      </c>
      <c r="H53" s="254">
        <f t="shared" si="24"/>
        <v>0</v>
      </c>
      <c r="I53" s="254"/>
      <c r="J53" s="328" t="s">
        <v>695</v>
      </c>
      <c r="K53" s="254"/>
      <c r="L53" s="254">
        <f t="array" ref="L53">_xll.ACC(DB,_xll.ArrayDPT($AA53:$AE53),_xll.ArrayCOA($AG53:$AZ53),YR,PRD,_xll.ArrayDIM($BB53:$BE53))</f>
        <v>0</v>
      </c>
      <c r="M53" s="237">
        <f t="shared" si="25"/>
        <v>0</v>
      </c>
      <c r="N53" s="254">
        <f t="array" ref="N53">_xll.BCC(DB,_xll.ArrayDPT($AA53:$AE53),_xll.ArrayCOA($AG53:$AZ53),YR,PRD,RV,_xll.ArrayDIM($BB53:$BE53))</f>
        <v>0</v>
      </c>
      <c r="O53" s="237">
        <f t="shared" si="26"/>
        <v>0</v>
      </c>
      <c r="P53" s="237">
        <f t="shared" si="27"/>
        <v>0</v>
      </c>
      <c r="Q53" s="237">
        <f t="shared" si="28"/>
        <v>0</v>
      </c>
      <c r="R53" s="254">
        <f t="array" ref="R53">_xll.ACC(DB,_xll.ArrayDPT($AA53:$AE53),_xll.ArrayCOA($AG53:$AZ53),YR-1,PRD,_xll.ArrayDIM($BB53:$BE53))</f>
        <v>155000</v>
      </c>
      <c r="S53" s="237">
        <f t="shared" si="29"/>
        <v>2.1380727931325425</v>
      </c>
      <c r="T53" s="328"/>
      <c r="U53" s="328"/>
      <c r="V53" s="328"/>
      <c r="W53" s="328"/>
      <c r="X53" s="328"/>
      <c r="Y53" s="328"/>
      <c r="Z53" s="328"/>
      <c r="AA53" s="95" t="s">
        <v>634</v>
      </c>
      <c r="AB53" s="96"/>
      <c r="AC53" s="96"/>
      <c r="AD53" s="96"/>
      <c r="AE53" s="96"/>
      <c r="AF53" s="97"/>
      <c r="AG53" s="95" t="s">
        <v>696</v>
      </c>
      <c r="AH53" s="96" t="s">
        <v>696</v>
      </c>
      <c r="AI53" s="95"/>
      <c r="AJ53" s="96"/>
      <c r="AK53" s="95"/>
      <c r="AL53" s="96"/>
      <c r="AM53" s="95"/>
      <c r="AN53" s="98"/>
      <c r="AO53" s="96"/>
      <c r="AP53" s="96"/>
      <c r="AQ53" s="95"/>
      <c r="AR53" s="98"/>
      <c r="AS53" s="96"/>
      <c r="AT53" s="96"/>
      <c r="AU53" s="95"/>
      <c r="AV53" s="98"/>
      <c r="AW53" s="96"/>
      <c r="AX53" s="96"/>
      <c r="AY53" s="95"/>
      <c r="AZ53" s="98"/>
      <c r="BA53" s="99"/>
      <c r="BB53" s="95"/>
      <c r="BC53" s="96"/>
      <c r="BD53" s="96"/>
      <c r="BE53" s="98"/>
      <c r="BF53" s="95"/>
      <c r="BG53" s="96"/>
      <c r="BH53" s="96"/>
      <c r="BI53" s="98"/>
    </row>
    <row r="54" spans="1:61" ht="12" customHeight="1">
      <c r="A54" s="254">
        <f t="array" ref="A54">_xll.AC(DB,_xll.ArrayDPT($AA54:$AE54),_xll.ArrayCOA($AG54:$AZ54),YR-1,PRD,_xll.ArrayDIM($BB54:$BE54))</f>
        <v>0</v>
      </c>
      <c r="B54" s="254">
        <f t="shared" si="20"/>
        <v>0</v>
      </c>
      <c r="C54" s="254">
        <f t="shared" si="21"/>
        <v>0</v>
      </c>
      <c r="D54" s="254">
        <f t="shared" si="22"/>
        <v>0</v>
      </c>
      <c r="E54" s="254">
        <f t="array" ref="E54">_xll.BC(DB,_xll.ArrayDPT($AA54:$AE54),_xll.ArrayCOA($AG54:$AZ54),YR,PRD,RV,_xll.ArrayDIM($BB54:$BE54))</f>
        <v>0</v>
      </c>
      <c r="F54" s="254">
        <f t="shared" si="23"/>
        <v>0</v>
      </c>
      <c r="G54" s="254">
        <f t="array" ref="G54">_xll.AC(DB,_xll.ArrayDPT($AA54:$AE54),_xll.ArrayCOA($AG54:$AZ54),YR,PRD,_xll.ArrayDIM($BB54:$BE54))</f>
        <v>0</v>
      </c>
      <c r="H54" s="254">
        <f t="shared" si="24"/>
        <v>0</v>
      </c>
      <c r="I54" s="254"/>
      <c r="J54" s="328" t="s">
        <v>697</v>
      </c>
      <c r="K54" s="254"/>
      <c r="L54" s="254">
        <f t="array" ref="L54">_xll.ACC(DB,_xll.ArrayDPT($AA54:$AE54),_xll.ArrayCOA($AG54:$AZ54),YR,PRD,_xll.ArrayDIM($BB54:$BE54))</f>
        <v>0</v>
      </c>
      <c r="M54" s="237">
        <f t="shared" si="25"/>
        <v>0</v>
      </c>
      <c r="N54" s="254">
        <f t="array" ref="N54">_xll.BCC(DB,_xll.ArrayDPT($AA54:$AE54),_xll.ArrayCOA($AG54:$AZ54),YR,PRD,RV,_xll.ArrayDIM($BB54:$BE54))</f>
        <v>0</v>
      </c>
      <c r="O54" s="237">
        <f t="shared" si="26"/>
        <v>0</v>
      </c>
      <c r="P54" s="237">
        <f t="shared" si="27"/>
        <v>0</v>
      </c>
      <c r="Q54" s="237">
        <f t="shared" si="28"/>
        <v>0</v>
      </c>
      <c r="R54" s="254">
        <f t="array" ref="R54">_xll.ACC(DB,_xll.ArrayDPT($AA54:$AE54),_xll.ArrayCOA($AG54:$AZ54),YR-1,PRD,_xll.ArrayDIM($BB54:$BE54))</f>
        <v>0</v>
      </c>
      <c r="S54" s="237">
        <f t="shared" si="29"/>
        <v>0</v>
      </c>
      <c r="T54" s="328"/>
      <c r="U54" s="328"/>
      <c r="V54" s="328"/>
      <c r="W54" s="328"/>
      <c r="X54" s="328"/>
      <c r="Y54" s="328"/>
      <c r="Z54" s="328"/>
      <c r="AA54" s="95" t="s">
        <v>623</v>
      </c>
      <c r="AB54" s="96"/>
      <c r="AC54" s="96"/>
      <c r="AD54" s="96"/>
      <c r="AE54" s="96"/>
      <c r="AF54" s="97"/>
      <c r="AG54" s="95" t="s">
        <v>698</v>
      </c>
      <c r="AH54" s="96" t="s">
        <v>698</v>
      </c>
      <c r="AI54" s="95"/>
      <c r="AJ54" s="96"/>
      <c r="AK54" s="95"/>
      <c r="AL54" s="96"/>
      <c r="AM54" s="95"/>
      <c r="AN54" s="98"/>
      <c r="AO54" s="96"/>
      <c r="AP54" s="96"/>
      <c r="AQ54" s="95"/>
      <c r="AR54" s="98"/>
      <c r="AS54" s="96"/>
      <c r="AT54" s="96"/>
      <c r="AU54" s="95"/>
      <c r="AV54" s="98"/>
      <c r="AW54" s="96"/>
      <c r="AX54" s="96"/>
      <c r="AY54" s="95"/>
      <c r="AZ54" s="98"/>
      <c r="BA54" s="99"/>
      <c r="BB54" s="95"/>
      <c r="BC54" s="96"/>
      <c r="BD54" s="96"/>
      <c r="BE54" s="98"/>
      <c r="BF54" s="95"/>
      <c r="BG54" s="96"/>
      <c r="BH54" s="96"/>
      <c r="BI54" s="98"/>
    </row>
    <row r="55" spans="1:61" ht="12" customHeight="1">
      <c r="A55" s="254">
        <f t="array" ref="A55">_xll.AC(DB,_xll.ArrayDPT($AA55:$AE55),_xll.ArrayCOA($AG55:$AZ55),YR-1,PRD,_xll.ArrayDIM($BB55:$BE55))</f>
        <v>0</v>
      </c>
      <c r="B55" s="254">
        <f t="shared" si="20"/>
        <v>0</v>
      </c>
      <c r="C55" s="254">
        <f t="shared" si="21"/>
        <v>0</v>
      </c>
      <c r="D55" s="254">
        <f t="shared" si="22"/>
        <v>0</v>
      </c>
      <c r="E55" s="254">
        <f t="array" ref="E55">_xll.BC(DB,_xll.ArrayDPT($AA55:$AE55),_xll.ArrayCOA($AG55:$AZ55),YR,PRD,RV,_xll.ArrayDIM($BB55:$BE55))</f>
        <v>0</v>
      </c>
      <c r="F55" s="254">
        <f t="shared" si="23"/>
        <v>0</v>
      </c>
      <c r="G55" s="254">
        <f t="array" ref="G55">_xll.AC(DB,_xll.ArrayDPT($AA55:$AE55),_xll.ArrayCOA($AG55:$AZ55),YR,PRD,_xll.ArrayDIM($BB55:$BE55))</f>
        <v>0</v>
      </c>
      <c r="H55" s="254">
        <f t="shared" si="24"/>
        <v>0</v>
      </c>
      <c r="I55" s="254"/>
      <c r="J55" s="328" t="s">
        <v>699</v>
      </c>
      <c r="K55" s="254"/>
      <c r="L55" s="254">
        <f t="array" ref="L55">_xll.ACC(DB,_xll.ArrayDPT($AA55:$AE55),_xll.ArrayCOA($AG55:$AZ55),YR,PRD,_xll.ArrayDIM($BB55:$BE55))</f>
        <v>0</v>
      </c>
      <c r="M55" s="237">
        <f t="shared" si="25"/>
        <v>0</v>
      </c>
      <c r="N55" s="254">
        <f t="array" ref="N55">_xll.BCC(DB,_xll.ArrayDPT($AA55:$AE55),_xll.ArrayCOA($AG55:$AZ55),YR,PRD,RV,_xll.ArrayDIM($BB55:$BE55))</f>
        <v>0</v>
      </c>
      <c r="O55" s="237">
        <f t="shared" si="26"/>
        <v>0</v>
      </c>
      <c r="P55" s="237">
        <f t="shared" si="27"/>
        <v>0</v>
      </c>
      <c r="Q55" s="237">
        <f t="shared" si="28"/>
        <v>0</v>
      </c>
      <c r="R55" s="254">
        <f t="array" ref="R55">_xll.ACC(DB,_xll.ArrayDPT($AA55:$AE55),_xll.ArrayCOA($AG55:$AZ55),YR-1,PRD,_xll.ArrayDIM($BB55:$BE55))</f>
        <v>0</v>
      </c>
      <c r="S55" s="237">
        <f t="shared" si="29"/>
        <v>0</v>
      </c>
      <c r="T55" s="328"/>
      <c r="U55" s="328"/>
      <c r="V55" s="328"/>
      <c r="W55" s="328"/>
      <c r="X55" s="328"/>
      <c r="Y55" s="328"/>
      <c r="Z55" s="328"/>
      <c r="AA55" s="95"/>
      <c r="AB55" s="96"/>
      <c r="AC55" s="96"/>
      <c r="AD55" s="96"/>
      <c r="AE55" s="96"/>
      <c r="AF55" s="97"/>
      <c r="AG55" s="95"/>
      <c r="AH55" s="96"/>
      <c r="AI55" s="95"/>
      <c r="AJ55" s="96"/>
      <c r="AK55" s="95"/>
      <c r="AL55" s="96"/>
      <c r="AM55" s="95"/>
      <c r="AN55" s="98"/>
      <c r="AO55" s="96"/>
      <c r="AP55" s="96"/>
      <c r="AQ55" s="95"/>
      <c r="AR55" s="98"/>
      <c r="AS55" s="96"/>
      <c r="AT55" s="96"/>
      <c r="AU55" s="95"/>
      <c r="AV55" s="98"/>
      <c r="AW55" s="96"/>
      <c r="AX55" s="96"/>
      <c r="AY55" s="95"/>
      <c r="AZ55" s="98"/>
      <c r="BA55" s="99"/>
      <c r="BB55" s="95"/>
      <c r="BC55" s="96"/>
      <c r="BD55" s="96"/>
      <c r="BE55" s="98"/>
      <c r="BF55" s="95"/>
      <c r="BG55" s="96"/>
      <c r="BH55" s="96"/>
      <c r="BI55" s="98"/>
    </row>
    <row r="56" spans="1:61" ht="12" customHeight="1">
      <c r="A56" s="254">
        <f t="array" ref="A56">_xll.AC(DB,_xll.ArrayDPT($AA56:$AE56),_xll.ArrayCOA($AG56:$AZ56),YR-1,PRD,_xll.ArrayDIM($BB56:$BE56))</f>
        <v>0</v>
      </c>
      <c r="B56" s="254">
        <f t="shared" si="20"/>
        <v>0</v>
      </c>
      <c r="C56" s="254">
        <f t="shared" si="21"/>
        <v>0</v>
      </c>
      <c r="D56" s="254">
        <f t="shared" si="22"/>
        <v>0</v>
      </c>
      <c r="E56" s="254">
        <f t="array" ref="E56">_xll.BC(DB,_xll.ArrayDPT($AA56:$AE56),_xll.ArrayCOA($AG56:$AZ56),YR,PRD,RV,_xll.ArrayDIM($BB56:$BE56))</f>
        <v>0</v>
      </c>
      <c r="F56" s="254">
        <f t="shared" si="23"/>
        <v>0</v>
      </c>
      <c r="G56" s="254">
        <f t="array" ref="G56">_xll.AC(DB,_xll.ArrayDPT($AA56:$AE56),_xll.ArrayCOA($AG56:$AZ56),YR,PRD,_xll.ArrayDIM($BB56:$BE56))</f>
        <v>0</v>
      </c>
      <c r="H56" s="254">
        <f t="shared" si="24"/>
        <v>0</v>
      </c>
      <c r="I56" s="254"/>
      <c r="J56" s="328" t="s">
        <v>700</v>
      </c>
      <c r="K56" s="254"/>
      <c r="L56" s="254">
        <f t="array" ref="L56">_xll.ACC(DB,_xll.ArrayDPT($AA56:$AE56),_xll.ArrayCOA($AG56:$AZ56),YR,PRD,_xll.ArrayDIM($BB56:$BE56))</f>
        <v>0</v>
      </c>
      <c r="M56" s="237">
        <f t="shared" si="25"/>
        <v>0</v>
      </c>
      <c r="N56" s="254">
        <f t="array" ref="N56">_xll.BCC(DB,_xll.ArrayDPT($AA56:$AE56),_xll.ArrayCOA($AG56:$AZ56),YR,PRD,RV,_xll.ArrayDIM($BB56:$BE56))</f>
        <v>0</v>
      </c>
      <c r="O56" s="237">
        <f t="shared" si="26"/>
        <v>0</v>
      </c>
      <c r="P56" s="237">
        <f t="shared" si="27"/>
        <v>0</v>
      </c>
      <c r="Q56" s="237">
        <f t="shared" si="28"/>
        <v>0</v>
      </c>
      <c r="R56" s="254">
        <f t="array" ref="R56">_xll.ACC(DB,_xll.ArrayDPT($AA56:$AE56),_xll.ArrayCOA($AG56:$AZ56),YR-1,PRD,_xll.ArrayDIM($BB56:$BE56))</f>
        <v>0</v>
      </c>
      <c r="S56" s="237">
        <f t="shared" si="29"/>
        <v>0</v>
      </c>
      <c r="T56" s="328"/>
      <c r="U56" s="328"/>
      <c r="V56" s="328"/>
      <c r="W56" s="328"/>
      <c r="X56" s="328"/>
      <c r="Y56" s="328"/>
      <c r="Z56" s="328"/>
      <c r="AA56" s="95"/>
      <c r="AB56" s="96"/>
      <c r="AC56" s="96"/>
      <c r="AD56" s="96"/>
      <c r="AE56" s="96"/>
      <c r="AF56" s="97"/>
      <c r="AG56" s="95"/>
      <c r="AH56" s="96"/>
      <c r="AI56" s="95"/>
      <c r="AJ56" s="96"/>
      <c r="AK56" s="95"/>
      <c r="AL56" s="96"/>
      <c r="AM56" s="95"/>
      <c r="AN56" s="98"/>
      <c r="AO56" s="96"/>
      <c r="AP56" s="96"/>
      <c r="AQ56" s="95"/>
      <c r="AR56" s="98"/>
      <c r="AS56" s="96"/>
      <c r="AT56" s="96"/>
      <c r="AU56" s="95"/>
      <c r="AV56" s="98"/>
      <c r="AW56" s="96"/>
      <c r="AX56" s="96"/>
      <c r="AY56" s="95"/>
      <c r="AZ56" s="98"/>
      <c r="BA56" s="99"/>
      <c r="BB56" s="95"/>
      <c r="BC56" s="96"/>
      <c r="BD56" s="96"/>
      <c r="BE56" s="98"/>
      <c r="BF56" s="95"/>
      <c r="BG56" s="96"/>
      <c r="BH56" s="96"/>
      <c r="BI56" s="98"/>
    </row>
    <row r="57" spans="1:61" ht="12" customHeight="1">
      <c r="A57" s="254">
        <f t="array" ref="A57">_xll.AC(DB,_xll.ArrayDPT($AA57:$AE57),_xll.ArrayCOA($AG57:$AZ57),YR-1,PRD,_xll.ArrayDIM($BB57:$BE57))</f>
        <v>0</v>
      </c>
      <c r="B57" s="254">
        <f t="shared" si="20"/>
        <v>0</v>
      </c>
      <c r="C57" s="254">
        <f t="shared" si="21"/>
        <v>0</v>
      </c>
      <c r="D57" s="254">
        <f t="shared" si="22"/>
        <v>0</v>
      </c>
      <c r="E57" s="254">
        <f t="array" ref="E57">_xll.BC(DB,_xll.ArrayDPT($AA57:$AE57),_xll.ArrayCOA($AG57:$AZ57),YR,PRD,RV,_xll.ArrayDIM($BB57:$BE57))</f>
        <v>0</v>
      </c>
      <c r="F57" s="254">
        <f t="shared" si="23"/>
        <v>0</v>
      </c>
      <c r="G57" s="254">
        <f t="array" ref="G57">_xll.AC(DB,_xll.ArrayDPT($AA57:$AE57),_xll.ArrayCOA($AG57:$AZ57),YR,PRD,_xll.ArrayDIM($BB57:$BE57))</f>
        <v>0</v>
      </c>
      <c r="H57" s="254">
        <f t="shared" si="24"/>
        <v>0</v>
      </c>
      <c r="I57" s="254"/>
      <c r="J57" s="328" t="s">
        <v>701</v>
      </c>
      <c r="K57" s="254"/>
      <c r="L57" s="254">
        <f t="array" ref="L57">_xll.ACC(DB,_xll.ArrayDPT($AA57:$AE57),_xll.ArrayCOA($AG57:$AZ57),YR,PRD,_xll.ArrayDIM($BB57:$BE57))</f>
        <v>0</v>
      </c>
      <c r="M57" s="237">
        <f t="shared" si="25"/>
        <v>0</v>
      </c>
      <c r="N57" s="254">
        <f t="array" ref="N57">_xll.BCC(DB,_xll.ArrayDPT($AA57:$AE57),_xll.ArrayCOA($AG57:$AZ57),YR,PRD,RV,_xll.ArrayDIM($BB57:$BE57))</f>
        <v>0</v>
      </c>
      <c r="O57" s="237">
        <f t="shared" si="26"/>
        <v>0</v>
      </c>
      <c r="P57" s="237">
        <f t="shared" si="27"/>
        <v>0</v>
      </c>
      <c r="Q57" s="237">
        <f t="shared" si="28"/>
        <v>0</v>
      </c>
      <c r="R57" s="254">
        <f t="array" ref="R57">_xll.ACC(DB,_xll.ArrayDPT($AA57:$AE57),_xll.ArrayCOA($AG57:$AZ57),YR-1,PRD,_xll.ArrayDIM($BB57:$BE57))</f>
        <v>0</v>
      </c>
      <c r="S57" s="237">
        <f t="shared" si="29"/>
        <v>0</v>
      </c>
      <c r="T57" s="328"/>
      <c r="U57" s="328"/>
      <c r="V57" s="328"/>
      <c r="W57" s="328"/>
      <c r="X57" s="328"/>
      <c r="Y57" s="328"/>
      <c r="Z57" s="328"/>
      <c r="AA57" s="95" t="s">
        <v>640</v>
      </c>
      <c r="AB57" s="96" t="s">
        <v>637</v>
      </c>
      <c r="AC57" s="96"/>
      <c r="AD57" s="96"/>
      <c r="AE57" s="96"/>
      <c r="AF57" s="97"/>
      <c r="AG57" s="95" t="s">
        <v>702</v>
      </c>
      <c r="AH57" s="96" t="s">
        <v>702</v>
      </c>
      <c r="AI57" s="95"/>
      <c r="AJ57" s="96"/>
      <c r="AK57" s="95"/>
      <c r="AL57" s="96"/>
      <c r="AM57" s="95"/>
      <c r="AN57" s="98"/>
      <c r="AO57" s="96"/>
      <c r="AP57" s="96"/>
      <c r="AQ57" s="95"/>
      <c r="AR57" s="98"/>
      <c r="AS57" s="96"/>
      <c r="AT57" s="96"/>
      <c r="AU57" s="95"/>
      <c r="AV57" s="98"/>
      <c r="AW57" s="96"/>
      <c r="AX57" s="96"/>
      <c r="AY57" s="95"/>
      <c r="AZ57" s="98"/>
      <c r="BA57" s="99"/>
      <c r="BB57" s="95"/>
      <c r="BC57" s="96"/>
      <c r="BD57" s="96"/>
      <c r="BE57" s="98"/>
      <c r="BF57" s="95"/>
      <c r="BG57" s="96"/>
      <c r="BH57" s="96"/>
      <c r="BI57" s="98"/>
    </row>
    <row r="58" spans="1:61" ht="12" customHeight="1">
      <c r="A58" s="254">
        <f t="array" ref="A58">_xll.AC(DB,_xll.ArrayDPT($AA58:$AE58),_xll.ArrayCOA($AG58:$AZ58),YR-1,PRD,_xll.ArrayDIM($BB58:$BE58))</f>
        <v>0</v>
      </c>
      <c r="B58" s="254">
        <f t="shared" si="20"/>
        <v>0</v>
      </c>
      <c r="C58" s="254">
        <f t="shared" si="21"/>
        <v>0</v>
      </c>
      <c r="D58" s="254">
        <f t="shared" si="22"/>
        <v>0</v>
      </c>
      <c r="E58" s="254">
        <f t="array" ref="E58">_xll.BC(DB,_xll.ArrayDPT($AA58:$AE58),_xll.ArrayCOA($AG58:$AZ58),YR,PRD,RV,_xll.ArrayDIM($BB58:$BE58))</f>
        <v>0</v>
      </c>
      <c r="F58" s="254">
        <f t="shared" si="23"/>
        <v>0</v>
      </c>
      <c r="G58" s="254">
        <f t="array" ref="G58">_xll.AC(DB,_xll.ArrayDPT($AA58:$AE58),_xll.ArrayCOA($AG58:$AZ58),YR,PRD,_xll.ArrayDIM($BB58:$BE58))</f>
        <v>0</v>
      </c>
      <c r="H58" s="254">
        <f t="shared" si="24"/>
        <v>0</v>
      </c>
      <c r="I58" s="254"/>
      <c r="J58" s="328" t="s">
        <v>703</v>
      </c>
      <c r="K58" s="254"/>
      <c r="L58" s="254">
        <f t="array" ref="L58">_xll.ACC(DB,_xll.ArrayDPT($AA58:$AE58),_xll.ArrayCOA($AG58:$AZ58),YR,PRD,_xll.ArrayDIM($BB58:$BE58))</f>
        <v>0</v>
      </c>
      <c r="M58" s="237">
        <f t="shared" si="25"/>
        <v>0</v>
      </c>
      <c r="N58" s="254">
        <f t="array" ref="N58">_xll.BCC(DB,_xll.ArrayDPT($AA58:$AE58),_xll.ArrayCOA($AG58:$AZ58),YR,PRD,RV,_xll.ArrayDIM($BB58:$BE58))</f>
        <v>0</v>
      </c>
      <c r="O58" s="237">
        <f t="shared" si="26"/>
        <v>0</v>
      </c>
      <c r="P58" s="237">
        <f t="shared" si="27"/>
        <v>0</v>
      </c>
      <c r="Q58" s="237">
        <f t="shared" si="28"/>
        <v>0</v>
      </c>
      <c r="R58" s="254">
        <f t="array" ref="R58">_xll.ACC(DB,_xll.ArrayDPT($AA58:$AE58),_xll.ArrayCOA($AG58:$AZ58),YR-1,PRD,_xll.ArrayDIM($BB58:$BE58))</f>
        <v>0</v>
      </c>
      <c r="S58" s="237">
        <f t="shared" si="29"/>
        <v>0</v>
      </c>
      <c r="T58" s="328"/>
      <c r="U58" s="328"/>
      <c r="V58" s="328"/>
      <c r="W58" s="328"/>
      <c r="X58" s="328"/>
      <c r="Y58" s="328"/>
      <c r="Z58" s="328"/>
      <c r="AA58" s="95" t="s">
        <v>623</v>
      </c>
      <c r="AB58" s="96" t="s">
        <v>634</v>
      </c>
      <c r="AC58" s="96" t="s">
        <v>640</v>
      </c>
      <c r="AD58" s="96"/>
      <c r="AE58" s="96"/>
      <c r="AF58" s="97"/>
      <c r="AG58" s="95" t="s">
        <v>578</v>
      </c>
      <c r="AH58" s="96" t="s">
        <v>578</v>
      </c>
      <c r="AI58" s="95"/>
      <c r="AJ58" s="96"/>
      <c r="AK58" s="95"/>
      <c r="AL58" s="96"/>
      <c r="AM58" s="95"/>
      <c r="AN58" s="98"/>
      <c r="AO58" s="96"/>
      <c r="AP58" s="96"/>
      <c r="AQ58" s="95"/>
      <c r="AR58" s="98"/>
      <c r="AS58" s="96"/>
      <c r="AT58" s="96"/>
      <c r="AU58" s="95"/>
      <c r="AV58" s="98"/>
      <c r="AW58" s="96"/>
      <c r="AX58" s="96"/>
      <c r="AY58" s="95"/>
      <c r="AZ58" s="98"/>
      <c r="BA58" s="99"/>
      <c r="BB58" s="95"/>
      <c r="BC58" s="96"/>
      <c r="BD58" s="96"/>
      <c r="BE58" s="98"/>
      <c r="BF58" s="95"/>
      <c r="BG58" s="96"/>
      <c r="BH58" s="96"/>
      <c r="BI58" s="98"/>
    </row>
    <row r="59" spans="1:61" ht="12" customHeight="1">
      <c r="A59" s="254">
        <f t="array" ref="A59">_xll.AC(DB,_xll.ArrayDPT($AA59:$AE59),_xll.ArrayCOA($AG59:$AZ59),YR-1,PRD,_xll.ArrayDIM($BB59:$BE59))</f>
        <v>0</v>
      </c>
      <c r="B59" s="254">
        <f t="shared" si="20"/>
        <v>0</v>
      </c>
      <c r="C59" s="254">
        <f t="shared" si="21"/>
        <v>0</v>
      </c>
      <c r="D59" s="254">
        <f t="shared" si="22"/>
        <v>0</v>
      </c>
      <c r="E59" s="254">
        <f t="array" ref="E59">_xll.BC(DB,_xll.ArrayDPT($AA59:$AE59),_xll.ArrayCOA($AG59:$AZ59),YR,PRD,RV,_xll.ArrayDIM($BB59:$BE59))</f>
        <v>0</v>
      </c>
      <c r="F59" s="254">
        <f t="shared" si="23"/>
        <v>0</v>
      </c>
      <c r="G59" s="254">
        <f t="array" ref="G59">_xll.AC(DB,_xll.ArrayDPT($AA59:$AE59),_xll.ArrayCOA($AG59:$AZ59),YR,PRD,_xll.ArrayDIM($BB59:$BE59))</f>
        <v>0</v>
      </c>
      <c r="H59" s="254">
        <f t="shared" si="24"/>
        <v>0</v>
      </c>
      <c r="I59" s="254"/>
      <c r="J59" s="328" t="s">
        <v>704</v>
      </c>
      <c r="K59" s="254"/>
      <c r="L59" s="254">
        <f t="array" ref="L59">_xll.ACC(DB,_xll.ArrayDPT($AA59:$AE59),_xll.ArrayCOA($AG59:$AZ59),YR,PRD,_xll.ArrayDIM($BB59:$BE59))</f>
        <v>0</v>
      </c>
      <c r="M59" s="237">
        <f t="shared" si="25"/>
        <v>0</v>
      </c>
      <c r="N59" s="254">
        <f t="array" ref="N59">_xll.BCC(DB,_xll.ArrayDPT($AA59:$AE59),_xll.ArrayCOA($AG59:$AZ59),YR,PRD,RV,_xll.ArrayDIM($BB59:$BE59))</f>
        <v>0</v>
      </c>
      <c r="O59" s="237">
        <f t="shared" si="26"/>
        <v>0</v>
      </c>
      <c r="P59" s="237">
        <f t="shared" si="27"/>
        <v>0</v>
      </c>
      <c r="Q59" s="237">
        <f t="shared" si="28"/>
        <v>0</v>
      </c>
      <c r="R59" s="254">
        <f t="array" ref="R59">_xll.ACC(DB,_xll.ArrayDPT($AA59:$AE59),_xll.ArrayCOA($AG59:$AZ59),YR-1,PRD,_xll.ArrayDIM($BB59:$BE59))</f>
        <v>0</v>
      </c>
      <c r="S59" s="237">
        <f t="shared" si="29"/>
        <v>0</v>
      </c>
      <c r="T59" s="328"/>
      <c r="U59" s="328"/>
      <c r="V59" s="328"/>
      <c r="W59" s="328"/>
      <c r="X59" s="328"/>
      <c r="Y59" s="328"/>
      <c r="Z59" s="328"/>
      <c r="AA59" s="95"/>
      <c r="AB59" s="96"/>
      <c r="AC59" s="96"/>
      <c r="AD59" s="96"/>
      <c r="AE59" s="96"/>
      <c r="AF59" s="97"/>
      <c r="AG59" s="95"/>
      <c r="AH59" s="96"/>
      <c r="AI59" s="95"/>
      <c r="AJ59" s="96"/>
      <c r="AK59" s="95"/>
      <c r="AL59" s="96"/>
      <c r="AM59" s="95"/>
      <c r="AN59" s="98"/>
      <c r="AO59" s="96"/>
      <c r="AP59" s="96"/>
      <c r="AQ59" s="95"/>
      <c r="AR59" s="98"/>
      <c r="AS59" s="96"/>
      <c r="AT59" s="96"/>
      <c r="AU59" s="95"/>
      <c r="AV59" s="98"/>
      <c r="AW59" s="96"/>
      <c r="AX59" s="96"/>
      <c r="AY59" s="95"/>
      <c r="AZ59" s="98"/>
      <c r="BA59" s="99"/>
      <c r="BB59" s="95"/>
      <c r="BC59" s="96"/>
      <c r="BD59" s="96"/>
      <c r="BE59" s="98"/>
      <c r="BF59" s="95"/>
      <c r="BG59" s="96"/>
      <c r="BH59" s="96"/>
      <c r="BI59" s="98"/>
    </row>
    <row r="60" spans="1:61" ht="12" customHeight="1">
      <c r="A60" s="254">
        <f t="array" ref="A60">_xll.AC(DB,_xll.ArrayDPT($AA60:$AE60),_xll.ArrayCOA($AG60:$AZ60),YR-1,PRD,_xll.ArrayDIM($BB60:$BE60))</f>
        <v>0</v>
      </c>
      <c r="B60" s="254">
        <f t="shared" si="20"/>
        <v>0</v>
      </c>
      <c r="C60" s="254">
        <f t="shared" si="21"/>
        <v>0</v>
      </c>
      <c r="D60" s="254">
        <f t="shared" si="22"/>
        <v>0</v>
      </c>
      <c r="E60" s="254">
        <f t="array" ref="E60">_xll.BC(DB,_xll.ArrayDPT($AA60:$AE60),_xll.ArrayCOA($AG60:$AZ60),YR,PRD,RV,_xll.ArrayDIM($BB60:$BE60))</f>
        <v>0</v>
      </c>
      <c r="F60" s="254">
        <f t="shared" si="23"/>
        <v>0</v>
      </c>
      <c r="G60" s="254">
        <f t="array" ref="G60">_xll.AC(DB,_xll.ArrayDPT($AA60:$AE60),_xll.ArrayCOA($AG60:$AZ60),YR,PRD,_xll.ArrayDIM($BB60:$BE60))</f>
        <v>0</v>
      </c>
      <c r="H60" s="254">
        <f t="shared" si="24"/>
        <v>0</v>
      </c>
      <c r="I60" s="254"/>
      <c r="J60" s="328" t="s">
        <v>705</v>
      </c>
      <c r="K60" s="254"/>
      <c r="L60" s="254">
        <f t="array" ref="L60">_xll.ACC(DB,_xll.ArrayDPT($AA60:$AE60),_xll.ArrayCOA($AG60:$AZ60),YR,PRD,_xll.ArrayDIM($BB60:$BE60))</f>
        <v>0</v>
      </c>
      <c r="M60" s="237">
        <f t="shared" si="25"/>
        <v>0</v>
      </c>
      <c r="N60" s="254">
        <f t="array" ref="N60">_xll.BCC(DB,_xll.ArrayDPT($AA60:$AE60),_xll.ArrayCOA($AG60:$AZ60),YR,PRD,RV,_xll.ArrayDIM($BB60:$BE60))</f>
        <v>0</v>
      </c>
      <c r="O60" s="237">
        <f t="shared" si="26"/>
        <v>0</v>
      </c>
      <c r="P60" s="237">
        <f t="shared" si="27"/>
        <v>0</v>
      </c>
      <c r="Q60" s="237">
        <f t="shared" si="28"/>
        <v>0</v>
      </c>
      <c r="R60" s="254">
        <f t="array" ref="R60">_xll.ACC(DB,_xll.ArrayDPT($AA60:$AE60),_xll.ArrayCOA($AG60:$AZ60),YR-1,PRD,_xll.ArrayDIM($BB60:$BE60))</f>
        <v>0</v>
      </c>
      <c r="S60" s="237">
        <f t="shared" si="29"/>
        <v>0</v>
      </c>
      <c r="T60" s="328"/>
      <c r="U60" s="328"/>
      <c r="V60" s="328"/>
      <c r="W60" s="328"/>
      <c r="X60" s="328"/>
      <c r="Y60" s="328"/>
      <c r="Z60" s="328"/>
      <c r="AA60" s="95" t="s">
        <v>623</v>
      </c>
      <c r="AB60" s="96" t="s">
        <v>634</v>
      </c>
      <c r="AC60" s="96" t="s">
        <v>637</v>
      </c>
      <c r="AD60" s="96" t="s">
        <v>640</v>
      </c>
      <c r="AE60" s="96"/>
      <c r="AF60" s="97"/>
      <c r="AG60" s="95" t="s">
        <v>706</v>
      </c>
      <c r="AH60" s="96" t="s">
        <v>706</v>
      </c>
      <c r="AI60" s="95"/>
      <c r="AJ60" s="96"/>
      <c r="AK60" s="95"/>
      <c r="AL60" s="96"/>
      <c r="AM60" s="95"/>
      <c r="AN60" s="98"/>
      <c r="AO60" s="96"/>
      <c r="AP60" s="96"/>
      <c r="AQ60" s="95"/>
      <c r="AR60" s="98"/>
      <c r="AS60" s="96"/>
      <c r="AT60" s="96"/>
      <c r="AU60" s="95"/>
      <c r="AV60" s="98"/>
      <c r="AW60" s="96"/>
      <c r="AX60" s="96"/>
      <c r="AY60" s="95"/>
      <c r="AZ60" s="98"/>
      <c r="BA60" s="99"/>
      <c r="BB60" s="95"/>
      <c r="BC60" s="96"/>
      <c r="BD60" s="96"/>
      <c r="BE60" s="98"/>
      <c r="BF60" s="95"/>
      <c r="BG60" s="96"/>
      <c r="BH60" s="96"/>
      <c r="BI60" s="98"/>
    </row>
    <row r="61" spans="1:61" ht="12" customHeight="1">
      <c r="A61" s="254">
        <f t="array" ref="A61">_xll.AC(DB,_xll.ArrayDPT($AA61:$AE61),_xll.ArrayCOA($AG61:$AZ61),YR-1,PRD,_xll.ArrayDIM($BB61:$BE61))</f>
        <v>0</v>
      </c>
      <c r="B61" s="254">
        <f t="shared" si="20"/>
        <v>0</v>
      </c>
      <c r="C61" s="254">
        <f t="shared" si="21"/>
        <v>0</v>
      </c>
      <c r="D61" s="254">
        <f t="shared" si="22"/>
        <v>0</v>
      </c>
      <c r="E61" s="254">
        <f t="array" ref="E61">_xll.BC(DB,_xll.ArrayDPT($AA61:$AE61),_xll.ArrayCOA($AG61:$AZ61),YR,PRD,RV,_xll.ArrayDIM($BB61:$BE61))</f>
        <v>0</v>
      </c>
      <c r="F61" s="254">
        <f t="shared" si="23"/>
        <v>0</v>
      </c>
      <c r="G61" s="254">
        <f t="array" ref="G61">_xll.AC(DB,_xll.ArrayDPT($AA61:$AE61),_xll.ArrayCOA($AG61:$AZ61),YR,PRD,_xll.ArrayDIM($BB61:$BE61))</f>
        <v>0</v>
      </c>
      <c r="H61" s="254">
        <f t="shared" si="24"/>
        <v>0</v>
      </c>
      <c r="I61" s="254"/>
      <c r="J61" s="328" t="s">
        <v>707</v>
      </c>
      <c r="K61" s="254"/>
      <c r="L61" s="254">
        <f t="array" ref="L61">_xll.ACC(DB,_xll.ArrayDPT($AA61:$AE61),_xll.ArrayCOA($AG61:$AZ61),YR,PRD,_xll.ArrayDIM($BB61:$BE61))</f>
        <v>0</v>
      </c>
      <c r="M61" s="237">
        <f t="shared" si="25"/>
        <v>0</v>
      </c>
      <c r="N61" s="254">
        <f t="array" ref="N61">_xll.BCC(DB,_xll.ArrayDPT($AA61:$AE61),_xll.ArrayCOA($AG61:$AZ61),YR,PRD,RV,_xll.ArrayDIM($BB61:$BE61))</f>
        <v>0</v>
      </c>
      <c r="O61" s="237">
        <f t="shared" si="26"/>
        <v>0</v>
      </c>
      <c r="P61" s="237">
        <f t="shared" si="27"/>
        <v>0</v>
      </c>
      <c r="Q61" s="237">
        <f t="shared" si="28"/>
        <v>0</v>
      </c>
      <c r="R61" s="254">
        <f t="array" ref="R61">_xll.ACC(DB,_xll.ArrayDPT($AA61:$AE61),_xll.ArrayCOA($AG61:$AZ61),YR-1,PRD,_xll.ArrayDIM($BB61:$BE61))</f>
        <v>0</v>
      </c>
      <c r="S61" s="237">
        <f t="shared" si="29"/>
        <v>0</v>
      </c>
      <c r="T61" s="328"/>
      <c r="U61" s="328"/>
      <c r="V61" s="328"/>
      <c r="W61" s="328"/>
      <c r="X61" s="328"/>
      <c r="Y61" s="328"/>
      <c r="Z61" s="328"/>
      <c r="AA61" s="95" t="s">
        <v>623</v>
      </c>
      <c r="AB61" s="96" t="s">
        <v>634</v>
      </c>
      <c r="AC61" s="96" t="s">
        <v>640</v>
      </c>
      <c r="AD61" s="96"/>
      <c r="AE61" s="96"/>
      <c r="AF61" s="97"/>
      <c r="AG61" s="95" t="s">
        <v>708</v>
      </c>
      <c r="AH61" s="96" t="s">
        <v>708</v>
      </c>
      <c r="AI61" s="95"/>
      <c r="AJ61" s="96"/>
      <c r="AK61" s="95"/>
      <c r="AL61" s="96"/>
      <c r="AM61" s="95"/>
      <c r="AN61" s="98"/>
      <c r="AO61" s="96"/>
      <c r="AP61" s="96"/>
      <c r="AQ61" s="95"/>
      <c r="AR61" s="98"/>
      <c r="AS61" s="96"/>
      <c r="AT61" s="96"/>
      <c r="AU61" s="95"/>
      <c r="AV61" s="98"/>
      <c r="AW61" s="96"/>
      <c r="AX61" s="96"/>
      <c r="AY61" s="95"/>
      <c r="AZ61" s="98"/>
      <c r="BA61" s="99"/>
      <c r="BB61" s="95"/>
      <c r="BC61" s="96"/>
      <c r="BD61" s="96"/>
      <c r="BE61" s="98"/>
      <c r="BF61" s="95"/>
      <c r="BG61" s="96"/>
      <c r="BH61" s="96"/>
      <c r="BI61" s="98"/>
    </row>
    <row r="62" spans="1:61" ht="12" customHeight="1">
      <c r="A62" s="254">
        <f t="array" ref="A62">_xll.AC(DB,_xll.ArrayDPT($AA62:$AE62),_xll.ArrayCOA($AG62:$AZ62),YR-1,PRD,_xll.ArrayDIM($BB62:$BE62))</f>
        <v>720</v>
      </c>
      <c r="B62" s="254">
        <f t="shared" si="20"/>
        <v>9.9316929745511644E-3</v>
      </c>
      <c r="C62" s="254">
        <f t="shared" si="21"/>
        <v>0</v>
      </c>
      <c r="D62" s="254">
        <f t="shared" si="22"/>
        <v>0</v>
      </c>
      <c r="E62" s="254">
        <f t="array" ref="E62">_xll.BC(DB,_xll.ArrayDPT($AA62:$AE62),_xll.ArrayCOA($AG62:$AZ62),YR,PRD,RV,_xll.ArrayDIM($BB62:$BE62))</f>
        <v>0</v>
      </c>
      <c r="F62" s="254">
        <f t="shared" si="23"/>
        <v>0</v>
      </c>
      <c r="G62" s="254">
        <f t="array" ref="G62">_xll.AC(DB,_xll.ArrayDPT($AA62:$AE62),_xll.ArrayCOA($AG62:$AZ62),YR,PRD,_xll.ArrayDIM($BB62:$BE62))</f>
        <v>0</v>
      </c>
      <c r="H62" s="254">
        <f t="shared" si="24"/>
        <v>0</v>
      </c>
      <c r="I62" s="254"/>
      <c r="J62" s="328" t="s">
        <v>709</v>
      </c>
      <c r="K62" s="254"/>
      <c r="L62" s="254">
        <f t="array" ref="L62">_xll.ACC(DB,_xll.ArrayDPT($AA62:$AE62),_xll.ArrayCOA($AG62:$AZ62),YR,PRD,_xll.ArrayDIM($BB62:$BE62))</f>
        <v>0</v>
      </c>
      <c r="M62" s="237">
        <f t="shared" si="25"/>
        <v>0</v>
      </c>
      <c r="N62" s="254">
        <f t="array" ref="N62">_xll.BCC(DB,_xll.ArrayDPT($AA62:$AE62),_xll.ArrayCOA($AG62:$AZ62),YR,PRD,RV,_xll.ArrayDIM($BB62:$BE62))</f>
        <v>0</v>
      </c>
      <c r="O62" s="237">
        <f t="shared" si="26"/>
        <v>0</v>
      </c>
      <c r="P62" s="237">
        <f t="shared" si="27"/>
        <v>0</v>
      </c>
      <c r="Q62" s="237">
        <f t="shared" si="28"/>
        <v>0</v>
      </c>
      <c r="R62" s="254">
        <f t="array" ref="R62">_xll.ACC(DB,_xll.ArrayDPT($AA62:$AE62),_xll.ArrayCOA($AG62:$AZ62),YR-1,PRD,_xll.ArrayDIM($BB62:$BE62))</f>
        <v>720</v>
      </c>
      <c r="S62" s="237">
        <f t="shared" si="29"/>
        <v>9.9316929745511644E-3</v>
      </c>
      <c r="T62" s="328"/>
      <c r="U62" s="328"/>
      <c r="V62" s="328"/>
      <c r="W62" s="328"/>
      <c r="X62" s="328"/>
      <c r="Y62" s="328"/>
      <c r="Z62" s="328"/>
      <c r="AA62" s="95" t="s">
        <v>623</v>
      </c>
      <c r="AB62" s="96" t="s">
        <v>634</v>
      </c>
      <c r="AC62" s="96" t="s">
        <v>637</v>
      </c>
      <c r="AD62" s="96" t="s">
        <v>640</v>
      </c>
      <c r="AE62" s="96"/>
      <c r="AF62" s="97"/>
      <c r="AG62" s="95" t="s">
        <v>710</v>
      </c>
      <c r="AH62" s="96" t="s">
        <v>710</v>
      </c>
      <c r="AI62" s="95"/>
      <c r="AJ62" s="96"/>
      <c r="AK62" s="95"/>
      <c r="AL62" s="96"/>
      <c r="AM62" s="95"/>
      <c r="AN62" s="98"/>
      <c r="AO62" s="96"/>
      <c r="AP62" s="96"/>
      <c r="AQ62" s="95"/>
      <c r="AR62" s="98"/>
      <c r="AS62" s="96"/>
      <c r="AT62" s="96"/>
      <c r="AU62" s="95"/>
      <c r="AV62" s="98"/>
      <c r="AW62" s="96"/>
      <c r="AX62" s="96"/>
      <c r="AY62" s="95"/>
      <c r="AZ62" s="98"/>
      <c r="BA62" s="99"/>
      <c r="BB62" s="95"/>
      <c r="BC62" s="96"/>
      <c r="BD62" s="96"/>
      <c r="BE62" s="98"/>
      <c r="BF62" s="95"/>
      <c r="BG62" s="96"/>
      <c r="BH62" s="96"/>
      <c r="BI62" s="98"/>
    </row>
    <row r="63" spans="1:61" ht="12" customHeight="1">
      <c r="A63" s="254">
        <f t="array" ref="A63">_xll.AC(DB,_xll.ArrayDPT($AA63:$AE63),_xll.ArrayCOA($AG63:$AZ63),YR-1,PRD,_xll.ArrayDIM($BB63:$BE63))</f>
        <v>0</v>
      </c>
      <c r="B63" s="254">
        <f t="shared" si="20"/>
        <v>0</v>
      </c>
      <c r="C63" s="254">
        <f t="shared" si="21"/>
        <v>0</v>
      </c>
      <c r="D63" s="254">
        <f t="shared" si="22"/>
        <v>0</v>
      </c>
      <c r="E63" s="254">
        <f t="array" ref="E63">_xll.BC(DB,_xll.ArrayDPT($AA63:$AE63),_xll.ArrayCOA($AG63:$AZ63),YR,PRD,RV,_xll.ArrayDIM($BB63:$BE63))</f>
        <v>0</v>
      </c>
      <c r="F63" s="254">
        <f t="shared" si="23"/>
        <v>0</v>
      </c>
      <c r="G63" s="254">
        <f t="array" ref="G63">_xll.AC(DB,_xll.ArrayDPT($AA63:$AE63),_xll.ArrayCOA($AG63:$AZ63),YR,PRD,_xll.ArrayDIM($BB63:$BE63))</f>
        <v>0</v>
      </c>
      <c r="H63" s="254">
        <f t="shared" si="24"/>
        <v>0</v>
      </c>
      <c r="I63" s="254"/>
      <c r="J63" s="328" t="s">
        <v>711</v>
      </c>
      <c r="K63" s="254"/>
      <c r="L63" s="254">
        <f t="array" ref="L63">_xll.ACC(DB,_xll.ArrayDPT($AA63:$AE63),_xll.ArrayCOA($AG63:$AZ63),YR,PRD,_xll.ArrayDIM($BB63:$BE63))</f>
        <v>0</v>
      </c>
      <c r="M63" s="237">
        <f t="shared" si="25"/>
        <v>0</v>
      </c>
      <c r="N63" s="254">
        <f t="array" ref="N63">_xll.BCC(DB,_xll.ArrayDPT($AA63:$AE63),_xll.ArrayCOA($AG63:$AZ63),YR,PRD,RV,_xll.ArrayDIM($BB63:$BE63))</f>
        <v>0</v>
      </c>
      <c r="O63" s="237">
        <f t="shared" si="26"/>
        <v>0</v>
      </c>
      <c r="P63" s="237">
        <f t="shared" si="27"/>
        <v>0</v>
      </c>
      <c r="Q63" s="237">
        <f t="shared" si="28"/>
        <v>0</v>
      </c>
      <c r="R63" s="254">
        <f t="array" ref="R63">_xll.ACC(DB,_xll.ArrayDPT($AA63:$AE63),_xll.ArrayCOA($AG63:$AZ63),YR-1,PRD,_xll.ArrayDIM($BB63:$BE63))</f>
        <v>0</v>
      </c>
      <c r="S63" s="237">
        <f t="shared" si="29"/>
        <v>0</v>
      </c>
      <c r="T63" s="328"/>
      <c r="U63" s="328"/>
      <c r="V63" s="328"/>
      <c r="W63" s="328"/>
      <c r="X63" s="328"/>
      <c r="Y63" s="328"/>
      <c r="Z63" s="328"/>
      <c r="AA63" s="95" t="s">
        <v>634</v>
      </c>
      <c r="AB63" s="96" t="s">
        <v>637</v>
      </c>
      <c r="AC63" s="96" t="s">
        <v>640</v>
      </c>
      <c r="AD63" s="96"/>
      <c r="AE63" s="96"/>
      <c r="AF63" s="97"/>
      <c r="AG63" s="95" t="s">
        <v>712</v>
      </c>
      <c r="AH63" s="96" t="s">
        <v>712</v>
      </c>
      <c r="AI63" s="95"/>
      <c r="AJ63" s="96"/>
      <c r="AK63" s="95"/>
      <c r="AL63" s="96"/>
      <c r="AM63" s="95"/>
      <c r="AN63" s="98"/>
      <c r="AO63" s="96"/>
      <c r="AP63" s="96"/>
      <c r="AQ63" s="95"/>
      <c r="AR63" s="98"/>
      <c r="AS63" s="96"/>
      <c r="AT63" s="96"/>
      <c r="AU63" s="95"/>
      <c r="AV63" s="98"/>
      <c r="AW63" s="96"/>
      <c r="AX63" s="96"/>
      <c r="AY63" s="95"/>
      <c r="AZ63" s="98"/>
      <c r="BA63" s="99"/>
      <c r="BB63" s="95"/>
      <c r="BC63" s="96"/>
      <c r="BD63" s="96"/>
      <c r="BE63" s="98"/>
      <c r="BF63" s="95"/>
      <c r="BG63" s="96"/>
      <c r="BH63" s="96"/>
      <c r="BI63" s="98"/>
    </row>
    <row r="64" spans="1:61" ht="12" customHeight="1">
      <c r="A64" s="254">
        <f t="array" ref="A64">_xll.AC(DB,_xll.ArrayDPT($AA64:$AE64),_xll.ArrayCOA($AG64:$AZ64),YR-1,PRD,_xll.ArrayDIM($BB64:$BE64))</f>
        <v>0</v>
      </c>
      <c r="B64" s="254">
        <f t="shared" si="20"/>
        <v>0</v>
      </c>
      <c r="C64" s="254">
        <f t="shared" si="21"/>
        <v>0</v>
      </c>
      <c r="D64" s="254">
        <f t="shared" si="22"/>
        <v>0</v>
      </c>
      <c r="E64" s="254">
        <f t="array" ref="E64">_xll.BC(DB,_xll.ArrayDPT($AA64:$AE64),_xll.ArrayCOA($AG64:$AZ64),YR,PRD,RV,_xll.ArrayDIM($BB64:$BE64))</f>
        <v>0</v>
      </c>
      <c r="F64" s="254">
        <f t="shared" si="23"/>
        <v>0</v>
      </c>
      <c r="G64" s="254">
        <f t="array" ref="G64">_xll.AC(DB,_xll.ArrayDPT($AA64:$AE64),_xll.ArrayCOA($AG64:$AZ64),YR,PRD,_xll.ArrayDIM($BB64:$BE64))</f>
        <v>0</v>
      </c>
      <c r="H64" s="254">
        <f t="shared" si="24"/>
        <v>0</v>
      </c>
      <c r="I64" s="254"/>
      <c r="J64" s="328" t="s">
        <v>713</v>
      </c>
      <c r="K64" s="254"/>
      <c r="L64" s="254">
        <f t="array" ref="L64">_xll.ACC(DB,_xll.ArrayDPT($AA64:$AE64),_xll.ArrayCOA($AG64:$AZ64),YR,PRD,_xll.ArrayDIM($BB64:$BE64))</f>
        <v>0</v>
      </c>
      <c r="M64" s="237">
        <f t="shared" si="25"/>
        <v>0</v>
      </c>
      <c r="N64" s="254">
        <f t="array" ref="N64">_xll.BCC(DB,_xll.ArrayDPT($AA64:$AE64),_xll.ArrayCOA($AG64:$AZ64),YR,PRD,RV,_xll.ArrayDIM($BB64:$BE64))</f>
        <v>0</v>
      </c>
      <c r="O64" s="237">
        <f t="shared" si="26"/>
        <v>0</v>
      </c>
      <c r="P64" s="237">
        <f t="shared" si="27"/>
        <v>0</v>
      </c>
      <c r="Q64" s="237">
        <f t="shared" si="28"/>
        <v>0</v>
      </c>
      <c r="R64" s="254">
        <f t="array" ref="R64">_xll.ACC(DB,_xll.ArrayDPT($AA64:$AE64),_xll.ArrayCOA($AG64:$AZ64),YR-1,PRD,_xll.ArrayDIM($BB64:$BE64))</f>
        <v>0</v>
      </c>
      <c r="S64" s="237">
        <f t="shared" si="29"/>
        <v>0</v>
      </c>
      <c r="T64" s="328"/>
      <c r="U64" s="328"/>
      <c r="V64" s="328"/>
      <c r="W64" s="328"/>
      <c r="X64" s="328"/>
      <c r="Y64" s="328"/>
      <c r="Z64" s="328"/>
      <c r="AA64" s="95"/>
      <c r="AB64" s="96"/>
      <c r="AC64" s="96"/>
      <c r="AD64" s="96"/>
      <c r="AE64" s="96"/>
      <c r="AF64" s="97"/>
      <c r="AG64" s="95"/>
      <c r="AH64" s="96"/>
      <c r="AI64" s="95"/>
      <c r="AJ64" s="96"/>
      <c r="AK64" s="95"/>
      <c r="AL64" s="96"/>
      <c r="AM64" s="95"/>
      <c r="AN64" s="98"/>
      <c r="AO64" s="96"/>
      <c r="AP64" s="96"/>
      <c r="AQ64" s="95"/>
      <c r="AR64" s="98"/>
      <c r="AS64" s="96"/>
      <c r="AT64" s="96"/>
      <c r="AU64" s="95"/>
      <c r="AV64" s="98"/>
      <c r="AW64" s="96"/>
      <c r="AX64" s="96"/>
      <c r="AY64" s="95"/>
      <c r="AZ64" s="98"/>
      <c r="BA64" s="99"/>
      <c r="BB64" s="95"/>
      <c r="BC64" s="96"/>
      <c r="BD64" s="96"/>
      <c r="BE64" s="98"/>
      <c r="BF64" s="95"/>
      <c r="BG64" s="96"/>
      <c r="BH64" s="96"/>
      <c r="BI64" s="98"/>
    </row>
    <row r="65" spans="1:61" ht="12" customHeight="1">
      <c r="A65" s="254">
        <f t="array" ref="A65">_xll.AC(DB,_xll.ArrayDPT($AA65:$AE65),_xll.ArrayCOA($AG65:$AZ65),YR-1,PRD,_xll.ArrayDIM($BB65:$BE65))</f>
        <v>0</v>
      </c>
      <c r="B65" s="254">
        <f t="shared" si="20"/>
        <v>0</v>
      </c>
      <c r="C65" s="254">
        <f t="shared" si="21"/>
        <v>0</v>
      </c>
      <c r="D65" s="254">
        <f t="shared" si="22"/>
        <v>0</v>
      </c>
      <c r="E65" s="254">
        <f t="array" ref="E65">_xll.BC(DB,_xll.ArrayDPT($AA65:$AE65),_xll.ArrayCOA($AG65:$AZ65),YR,PRD,RV,_xll.ArrayDIM($BB65:$BE65))</f>
        <v>0</v>
      </c>
      <c r="F65" s="254">
        <f t="shared" si="23"/>
        <v>0</v>
      </c>
      <c r="G65" s="254">
        <f t="array" ref="G65">_xll.AC(DB,_xll.ArrayDPT($AA65:$AE65),_xll.ArrayCOA($AG65:$AZ65),YR,PRD,_xll.ArrayDIM($BB65:$BE65))</f>
        <v>0</v>
      </c>
      <c r="H65" s="254">
        <f t="shared" si="24"/>
        <v>0</v>
      </c>
      <c r="I65" s="254"/>
      <c r="J65" s="328" t="s">
        <v>714</v>
      </c>
      <c r="K65" s="254"/>
      <c r="L65" s="254">
        <f t="array" ref="L65">_xll.ACC(DB,_xll.ArrayDPT($AA65:$AE65),_xll.ArrayCOA($AG65:$AZ65),YR,PRD,_xll.ArrayDIM($BB65:$BE65))</f>
        <v>0</v>
      </c>
      <c r="M65" s="237">
        <f t="shared" si="25"/>
        <v>0</v>
      </c>
      <c r="N65" s="254">
        <f t="array" ref="N65">_xll.BCC(DB,_xll.ArrayDPT($AA65:$AE65),_xll.ArrayCOA($AG65:$AZ65),YR,PRD,RV,_xll.ArrayDIM($BB65:$BE65))</f>
        <v>0</v>
      </c>
      <c r="O65" s="237">
        <f t="shared" si="26"/>
        <v>0</v>
      </c>
      <c r="P65" s="237">
        <f t="shared" si="27"/>
        <v>0</v>
      </c>
      <c r="Q65" s="237">
        <f t="shared" si="28"/>
        <v>0</v>
      </c>
      <c r="R65" s="254">
        <f t="array" ref="R65">_xll.ACC(DB,_xll.ArrayDPT($AA65:$AE65),_xll.ArrayCOA($AG65:$AZ65),YR-1,PRD,_xll.ArrayDIM($BB65:$BE65))</f>
        <v>0</v>
      </c>
      <c r="S65" s="237">
        <f t="shared" si="29"/>
        <v>0</v>
      </c>
      <c r="T65" s="328"/>
      <c r="U65" s="328"/>
      <c r="V65" s="328"/>
      <c r="W65" s="328"/>
      <c r="X65" s="328"/>
      <c r="Y65" s="328"/>
      <c r="Z65" s="328"/>
      <c r="AA65" s="95" t="s">
        <v>623</v>
      </c>
      <c r="AB65" s="96" t="s">
        <v>634</v>
      </c>
      <c r="AC65" s="96" t="s">
        <v>637</v>
      </c>
      <c r="AD65" s="96" t="s">
        <v>640</v>
      </c>
      <c r="AE65" s="96"/>
      <c r="AF65" s="97"/>
      <c r="AG65" s="95" t="s">
        <v>715</v>
      </c>
      <c r="AH65" s="96" t="s">
        <v>715</v>
      </c>
      <c r="AI65" s="95" t="s">
        <v>716</v>
      </c>
      <c r="AJ65" s="96" t="s">
        <v>716</v>
      </c>
      <c r="AK65" s="95"/>
      <c r="AL65" s="96"/>
      <c r="AM65" s="95"/>
      <c r="AN65" s="98"/>
      <c r="AO65" s="96"/>
      <c r="AP65" s="96"/>
      <c r="AQ65" s="95"/>
      <c r="AR65" s="98"/>
      <c r="AS65" s="96"/>
      <c r="AT65" s="96"/>
      <c r="AU65" s="95"/>
      <c r="AV65" s="98"/>
      <c r="AW65" s="96"/>
      <c r="AX65" s="96"/>
      <c r="AY65" s="95"/>
      <c r="AZ65" s="98"/>
      <c r="BA65" s="99"/>
      <c r="BB65" s="95"/>
      <c r="BC65" s="96"/>
      <c r="BD65" s="96"/>
      <c r="BE65" s="98"/>
      <c r="BF65" s="95"/>
      <c r="BG65" s="96"/>
      <c r="BH65" s="96"/>
      <c r="BI65" s="98"/>
    </row>
    <row r="66" spans="1:61" ht="12" customHeight="1">
      <c r="A66" s="254">
        <f t="array" ref="A66">_xll.AC(DB,_xll.ArrayDPT($AA66:$AE66),_xll.ArrayCOA($AG66:$AZ66),YR-1,PRD,_xll.ArrayDIM($BB66:$BE66))</f>
        <v>0</v>
      </c>
      <c r="B66" s="254">
        <f t="shared" si="20"/>
        <v>0</v>
      </c>
      <c r="C66" s="254">
        <f t="shared" si="21"/>
        <v>-3649.59</v>
      </c>
      <c r="D66" s="254">
        <f t="shared" si="22"/>
        <v>4.6070031031967225E-2</v>
      </c>
      <c r="E66" s="254">
        <f t="array" ref="E66">_xll.BC(DB,_xll.ArrayDPT($AA66:$AE66),_xll.ArrayCOA($AG66:$AZ66),YR,PRD,RV,_xll.ArrayDIM($BB66:$BE66))</f>
        <v>0</v>
      </c>
      <c r="F66" s="254">
        <f t="shared" si="23"/>
        <v>0</v>
      </c>
      <c r="G66" s="254">
        <f t="array" ref="G66">_xll.AC(DB,_xll.ArrayDPT($AA66:$AE66),_xll.ArrayCOA($AG66:$AZ66),YR,PRD,_xll.ArrayDIM($BB66:$BE66))</f>
        <v>3649.59</v>
      </c>
      <c r="H66" s="254">
        <f t="shared" si="24"/>
        <v>4.6070031031967225E-2</v>
      </c>
      <c r="I66" s="254"/>
      <c r="J66" s="328" t="s">
        <v>717</v>
      </c>
      <c r="K66" s="254"/>
      <c r="L66" s="254">
        <f t="array" ref="L66">_xll.ACC(DB,_xll.ArrayDPT($AA66:$AE66),_xll.ArrayCOA($AG66:$AZ66),YR,PRD,_xll.ArrayDIM($BB66:$BE66))</f>
        <v>3649.59</v>
      </c>
      <c r="M66" s="237">
        <f t="shared" si="25"/>
        <v>4.6070031031967225E-2</v>
      </c>
      <c r="N66" s="254">
        <f t="array" ref="N66">_xll.BCC(DB,_xll.ArrayDPT($AA66:$AE66),_xll.ArrayCOA($AG66:$AZ66),YR,PRD,RV,_xll.ArrayDIM($BB66:$BE66))</f>
        <v>0</v>
      </c>
      <c r="O66" s="237">
        <f t="shared" si="26"/>
        <v>0</v>
      </c>
      <c r="P66" s="237">
        <f t="shared" si="27"/>
        <v>-3649.59</v>
      </c>
      <c r="Q66" s="237">
        <f t="shared" si="28"/>
        <v>4.6070031031967225E-2</v>
      </c>
      <c r="R66" s="254">
        <f t="array" ref="R66">_xll.ACC(DB,_xll.ArrayDPT($AA66:$AE66),_xll.ArrayCOA($AG66:$AZ66),YR-1,PRD,_xll.ArrayDIM($BB66:$BE66))</f>
        <v>0</v>
      </c>
      <c r="S66" s="237">
        <f t="shared" si="29"/>
        <v>0</v>
      </c>
      <c r="T66" s="328"/>
      <c r="U66" s="328"/>
      <c r="V66" s="328"/>
      <c r="W66" s="328"/>
      <c r="X66" s="328"/>
      <c r="Y66" s="328"/>
      <c r="Z66" s="328"/>
      <c r="AA66" s="95" t="s">
        <v>623</v>
      </c>
      <c r="AB66" s="96" t="s">
        <v>634</v>
      </c>
      <c r="AC66" s="96" t="s">
        <v>637</v>
      </c>
      <c r="AD66" s="96" t="s">
        <v>640</v>
      </c>
      <c r="AE66" s="96"/>
      <c r="AF66" s="97"/>
      <c r="AG66" s="95" t="s">
        <v>718</v>
      </c>
      <c r="AH66" s="96" t="s">
        <v>718</v>
      </c>
      <c r="AI66" s="95"/>
      <c r="AJ66" s="96"/>
      <c r="AK66" s="95"/>
      <c r="AL66" s="96"/>
      <c r="AM66" s="95"/>
      <c r="AN66" s="98"/>
      <c r="AO66" s="96"/>
      <c r="AP66" s="96"/>
      <c r="AQ66" s="95"/>
      <c r="AR66" s="98"/>
      <c r="AS66" s="96"/>
      <c r="AT66" s="96"/>
      <c r="AU66" s="95"/>
      <c r="AV66" s="98"/>
      <c r="AW66" s="96"/>
      <c r="AX66" s="96"/>
      <c r="AY66" s="95"/>
      <c r="AZ66" s="98"/>
      <c r="BA66" s="99"/>
      <c r="BB66" s="95"/>
      <c r="BC66" s="96"/>
      <c r="BD66" s="96"/>
      <c r="BE66" s="98"/>
      <c r="BF66" s="95"/>
      <c r="BG66" s="96"/>
      <c r="BH66" s="96"/>
      <c r="BI66" s="98"/>
    </row>
    <row r="67" spans="1:61" ht="12" customHeight="1">
      <c r="A67" s="254">
        <f t="array" ref="A67">_xll.AC(DB,_xll.ArrayDPT($AA67:$AE67),_xll.ArrayCOA($AG67:$AZ67),YR-1,PRD,_xll.ArrayDIM($BB67:$BE67))</f>
        <v>1800</v>
      </c>
      <c r="B67" s="254">
        <f t="shared" si="20"/>
        <v>2.4829232436377909E-2</v>
      </c>
      <c r="C67" s="254">
        <f t="shared" si="21"/>
        <v>0</v>
      </c>
      <c r="D67" s="254">
        <f t="shared" si="22"/>
        <v>0</v>
      </c>
      <c r="E67" s="254">
        <f t="array" ref="E67">_xll.BC(DB,_xll.ArrayDPT($AA67:$AE67),_xll.ArrayCOA($AG67:$AZ67),YR,PRD,RV,_xll.ArrayDIM($BB67:$BE67))</f>
        <v>0</v>
      </c>
      <c r="F67" s="254">
        <f t="shared" si="23"/>
        <v>0</v>
      </c>
      <c r="G67" s="254">
        <f t="array" ref="G67">_xll.AC(DB,_xll.ArrayDPT($AA67:$AE67),_xll.ArrayCOA($AG67:$AZ67),YR,PRD,_xll.ArrayDIM($BB67:$BE67))</f>
        <v>0</v>
      </c>
      <c r="H67" s="254">
        <f t="shared" si="24"/>
        <v>0</v>
      </c>
      <c r="I67" s="254"/>
      <c r="J67" s="328" t="s">
        <v>719</v>
      </c>
      <c r="K67" s="254"/>
      <c r="L67" s="254">
        <f t="array" ref="L67">_xll.ACC(DB,_xll.ArrayDPT($AA67:$AE67),_xll.ArrayCOA($AG67:$AZ67),YR,PRD,_xll.ArrayDIM($BB67:$BE67))</f>
        <v>0</v>
      </c>
      <c r="M67" s="237">
        <f t="shared" si="25"/>
        <v>0</v>
      </c>
      <c r="N67" s="254">
        <f t="array" ref="N67">_xll.BCC(DB,_xll.ArrayDPT($AA67:$AE67),_xll.ArrayCOA($AG67:$AZ67),YR,PRD,RV,_xll.ArrayDIM($BB67:$BE67))</f>
        <v>0</v>
      </c>
      <c r="O67" s="237">
        <f t="shared" si="26"/>
        <v>0</v>
      </c>
      <c r="P67" s="237">
        <f t="shared" si="27"/>
        <v>0</v>
      </c>
      <c r="Q67" s="237">
        <f t="shared" si="28"/>
        <v>0</v>
      </c>
      <c r="R67" s="254">
        <f t="array" ref="R67">_xll.ACC(DB,_xll.ArrayDPT($AA67:$AE67),_xll.ArrayCOA($AG67:$AZ67),YR-1,PRD,_xll.ArrayDIM($BB67:$BE67))</f>
        <v>1800</v>
      </c>
      <c r="S67" s="237">
        <f t="shared" si="29"/>
        <v>2.4829232436377909E-2</v>
      </c>
      <c r="T67" s="328"/>
      <c r="U67" s="328"/>
      <c r="V67" s="328"/>
      <c r="W67" s="328"/>
      <c r="X67" s="328"/>
      <c r="Y67" s="328"/>
      <c r="Z67" s="328"/>
      <c r="AA67" s="95" t="s">
        <v>634</v>
      </c>
      <c r="AB67" s="96" t="s">
        <v>637</v>
      </c>
      <c r="AC67" s="96"/>
      <c r="AD67" s="96"/>
      <c r="AE67" s="96"/>
      <c r="AF67" s="97"/>
      <c r="AG67" s="95" t="s">
        <v>720</v>
      </c>
      <c r="AH67" s="96" t="s">
        <v>720</v>
      </c>
      <c r="AI67" s="95"/>
      <c r="AJ67" s="96"/>
      <c r="AK67" s="95"/>
      <c r="AL67" s="96"/>
      <c r="AM67" s="95"/>
      <c r="AN67" s="98"/>
      <c r="AO67" s="96"/>
      <c r="AP67" s="96"/>
      <c r="AQ67" s="95"/>
      <c r="AR67" s="98"/>
      <c r="AS67" s="96"/>
      <c r="AT67" s="96"/>
      <c r="AU67" s="95"/>
      <c r="AV67" s="98"/>
      <c r="AW67" s="96"/>
      <c r="AX67" s="96"/>
      <c r="AY67" s="95"/>
      <c r="AZ67" s="98"/>
      <c r="BA67" s="99"/>
      <c r="BB67" s="95"/>
      <c r="BC67" s="96"/>
      <c r="BD67" s="96"/>
      <c r="BE67" s="98"/>
      <c r="BF67" s="95"/>
      <c r="BG67" s="96"/>
      <c r="BH67" s="96"/>
      <c r="BI67" s="98"/>
    </row>
    <row r="68" spans="1:61" ht="12" customHeight="1">
      <c r="A68" s="254">
        <f t="array" ref="A68">_xll.AC(DB,_xll.ArrayDPT($AA68:$AE68),_xll.ArrayCOA($AG68:$AZ68),YR-1,PRD,_xll.ArrayDIM($BB68:$BE68))</f>
        <v>226</v>
      </c>
      <c r="B68" s="254">
        <f t="shared" si="20"/>
        <v>3.1174480725674487E-3</v>
      </c>
      <c r="C68" s="254">
        <f t="shared" si="21"/>
        <v>-1879.62</v>
      </c>
      <c r="D68" s="254">
        <f t="shared" si="22"/>
        <v>2.3727090365851022E-2</v>
      </c>
      <c r="E68" s="254">
        <f t="array" ref="E68">_xll.BC(DB,_xll.ArrayDPT($AA68:$AE68),_xll.ArrayCOA($AG68:$AZ68),YR,PRD,RV,_xll.ArrayDIM($BB68:$BE68))</f>
        <v>0</v>
      </c>
      <c r="F68" s="254">
        <f t="shared" si="23"/>
        <v>0</v>
      </c>
      <c r="G68" s="254">
        <f t="array" ref="G68">_xll.AC(DB,_xll.ArrayDPT($AA68:$AE68),_xll.ArrayCOA($AG68:$AZ68),YR,PRD,_xll.ArrayDIM($BB68:$BE68))</f>
        <v>1879.62</v>
      </c>
      <c r="H68" s="254">
        <f t="shared" si="24"/>
        <v>2.3727090365851022E-2</v>
      </c>
      <c r="I68" s="254"/>
      <c r="J68" s="328" t="s">
        <v>721</v>
      </c>
      <c r="K68" s="254"/>
      <c r="L68" s="254">
        <f t="array" ref="L68">_xll.ACC(DB,_xll.ArrayDPT($AA68:$AE68),_xll.ArrayCOA($AG68:$AZ68),YR,PRD,_xll.ArrayDIM($BB68:$BE68))</f>
        <v>1879.62</v>
      </c>
      <c r="M68" s="237">
        <f t="shared" si="25"/>
        <v>2.3727090365851022E-2</v>
      </c>
      <c r="N68" s="254">
        <f t="array" ref="N68">_xll.BCC(DB,_xll.ArrayDPT($AA68:$AE68),_xll.ArrayCOA($AG68:$AZ68),YR,PRD,RV,_xll.ArrayDIM($BB68:$BE68))</f>
        <v>0</v>
      </c>
      <c r="O68" s="237">
        <f t="shared" si="26"/>
        <v>0</v>
      </c>
      <c r="P68" s="237">
        <f t="shared" si="27"/>
        <v>-1879.62</v>
      </c>
      <c r="Q68" s="237">
        <f t="shared" si="28"/>
        <v>2.3727090365851022E-2</v>
      </c>
      <c r="R68" s="254">
        <f t="array" ref="R68">_xll.ACC(DB,_xll.ArrayDPT($AA68:$AE68),_xll.ArrayCOA($AG68:$AZ68),YR-1,PRD,_xll.ArrayDIM($BB68:$BE68))</f>
        <v>226</v>
      </c>
      <c r="S68" s="237">
        <f t="shared" si="29"/>
        <v>3.1174480725674487E-3</v>
      </c>
      <c r="T68" s="328"/>
      <c r="U68" s="328"/>
      <c r="V68" s="328"/>
      <c r="W68" s="328"/>
      <c r="X68" s="328"/>
      <c r="Y68" s="328"/>
      <c r="Z68" s="328"/>
      <c r="AA68" s="95" t="s">
        <v>623</v>
      </c>
      <c r="AB68" s="96" t="s">
        <v>634</v>
      </c>
      <c r="AC68" s="96" t="s">
        <v>637</v>
      </c>
      <c r="AD68" s="96" t="s">
        <v>640</v>
      </c>
      <c r="AE68" s="96"/>
      <c r="AF68" s="97"/>
      <c r="AG68" s="95" t="s">
        <v>722</v>
      </c>
      <c r="AH68" s="96" t="s">
        <v>722</v>
      </c>
      <c r="AI68" s="95"/>
      <c r="AJ68" s="96"/>
      <c r="AK68" s="95"/>
      <c r="AL68" s="96"/>
      <c r="AM68" s="95"/>
      <c r="AN68" s="98"/>
      <c r="AO68" s="96"/>
      <c r="AP68" s="96"/>
      <c r="AQ68" s="95"/>
      <c r="AR68" s="98"/>
      <c r="AS68" s="96"/>
      <c r="AT68" s="96"/>
      <c r="AU68" s="95"/>
      <c r="AV68" s="98"/>
      <c r="AW68" s="96"/>
      <c r="AX68" s="96"/>
      <c r="AY68" s="95"/>
      <c r="AZ68" s="98"/>
      <c r="BA68" s="99"/>
      <c r="BB68" s="95"/>
      <c r="BC68" s="96"/>
      <c r="BD68" s="96"/>
      <c r="BE68" s="98"/>
      <c r="BF68" s="95"/>
      <c r="BG68" s="96"/>
      <c r="BH68" s="96"/>
      <c r="BI68" s="98"/>
    </row>
    <row r="69" spans="1:61" ht="12" customHeight="1">
      <c r="A69" s="254">
        <f t="array" ref="A69">_xll.AC(DB,_xll.ArrayDPT($AA69:$AE69),_xll.ArrayCOA($AG69:$AZ69),YR-1,PRD,_xll.ArrayDIM($BB69:$BE69))</f>
        <v>1500</v>
      </c>
      <c r="B69" s="254">
        <f t="shared" si="20"/>
        <v>2.0691027030314925E-2</v>
      </c>
      <c r="C69" s="254">
        <f t="shared" si="21"/>
        <v>-1500</v>
      </c>
      <c r="D69" s="254">
        <f t="shared" si="22"/>
        <v>1.8935016412241056E-2</v>
      </c>
      <c r="E69" s="254">
        <f t="array" ref="E69">_xll.BC(DB,_xll.ArrayDPT($AA69:$AE69),_xll.ArrayCOA($AG69:$AZ69),YR,PRD,RV,_xll.ArrayDIM($BB69:$BE69))</f>
        <v>0</v>
      </c>
      <c r="F69" s="254">
        <f t="shared" si="23"/>
        <v>0</v>
      </c>
      <c r="G69" s="254">
        <f t="array" ref="G69">_xll.AC(DB,_xll.ArrayDPT($AA69:$AE69),_xll.ArrayCOA($AG69:$AZ69),YR,PRD,_xll.ArrayDIM($BB69:$BE69))</f>
        <v>1500</v>
      </c>
      <c r="H69" s="254">
        <f t="shared" si="24"/>
        <v>1.8935016412241056E-2</v>
      </c>
      <c r="I69" s="254"/>
      <c r="J69" s="328" t="s">
        <v>723</v>
      </c>
      <c r="K69" s="254"/>
      <c r="L69" s="254">
        <f t="array" ref="L69">_xll.ACC(DB,_xll.ArrayDPT($AA69:$AE69),_xll.ArrayCOA($AG69:$AZ69),YR,PRD,_xll.ArrayDIM($BB69:$BE69))</f>
        <v>1500</v>
      </c>
      <c r="M69" s="237">
        <f t="shared" si="25"/>
        <v>1.8935016412241056E-2</v>
      </c>
      <c r="N69" s="254">
        <f t="array" ref="N69">_xll.BCC(DB,_xll.ArrayDPT($AA69:$AE69),_xll.ArrayCOA($AG69:$AZ69),YR,PRD,RV,_xll.ArrayDIM($BB69:$BE69))</f>
        <v>0</v>
      </c>
      <c r="O69" s="237">
        <f t="shared" si="26"/>
        <v>0</v>
      </c>
      <c r="P69" s="237">
        <f t="shared" si="27"/>
        <v>-1500</v>
      </c>
      <c r="Q69" s="237">
        <f t="shared" si="28"/>
        <v>1.8935016412241056E-2</v>
      </c>
      <c r="R69" s="254">
        <f t="array" ref="R69">_xll.ACC(DB,_xll.ArrayDPT($AA69:$AE69),_xll.ArrayCOA($AG69:$AZ69),YR-1,PRD,_xll.ArrayDIM($BB69:$BE69))</f>
        <v>1500</v>
      </c>
      <c r="S69" s="237">
        <f t="shared" si="29"/>
        <v>2.0691027030314925E-2</v>
      </c>
      <c r="T69" s="328"/>
      <c r="U69" s="328"/>
      <c r="V69" s="328"/>
      <c r="W69" s="328"/>
      <c r="X69" s="328"/>
      <c r="Y69" s="328"/>
      <c r="Z69" s="328"/>
      <c r="AA69" s="95" t="s">
        <v>637</v>
      </c>
      <c r="AB69" s="96"/>
      <c r="AC69" s="96"/>
      <c r="AD69" s="96"/>
      <c r="AE69" s="96"/>
      <c r="AF69" s="97"/>
      <c r="AG69" s="95" t="s">
        <v>724</v>
      </c>
      <c r="AH69" s="96" t="s">
        <v>724</v>
      </c>
      <c r="AI69" s="95"/>
      <c r="AJ69" s="96"/>
      <c r="AK69" s="95"/>
      <c r="AL69" s="96"/>
      <c r="AM69" s="95"/>
      <c r="AN69" s="98"/>
      <c r="AO69" s="96"/>
      <c r="AP69" s="96"/>
      <c r="AQ69" s="95"/>
      <c r="AR69" s="98"/>
      <c r="AS69" s="96"/>
      <c r="AT69" s="96"/>
      <c r="AU69" s="95"/>
      <c r="AV69" s="98"/>
      <c r="AW69" s="96"/>
      <c r="AX69" s="96"/>
      <c r="AY69" s="95"/>
      <c r="AZ69" s="98"/>
      <c r="BA69" s="99"/>
      <c r="BB69" s="95"/>
      <c r="BC69" s="96"/>
      <c r="BD69" s="96"/>
      <c r="BE69" s="98"/>
      <c r="BF69" s="95"/>
      <c r="BG69" s="96"/>
      <c r="BH69" s="96"/>
      <c r="BI69" s="98"/>
    </row>
    <row r="70" spans="1:61" ht="12" customHeight="1">
      <c r="A70" s="254">
        <f t="array" ref="A70">_xll.AC(DB,_xll.ArrayDPT($AA70:$AE70),_xll.ArrayCOA($AG70:$AZ70),YR-1,PRD,_xll.ArrayDIM($BB70:$BE70))</f>
        <v>0</v>
      </c>
      <c r="B70" s="254">
        <f t="shared" si="20"/>
        <v>0</v>
      </c>
      <c r="C70" s="254">
        <f t="shared" si="21"/>
        <v>0</v>
      </c>
      <c r="D70" s="254">
        <f t="shared" si="22"/>
        <v>0</v>
      </c>
      <c r="E70" s="254">
        <f t="array" ref="E70">_xll.BC(DB,_xll.ArrayDPT($AA70:$AE70),_xll.ArrayCOA($AG70:$AZ70),YR,PRD,RV,_xll.ArrayDIM($BB70:$BE70))</f>
        <v>0</v>
      </c>
      <c r="F70" s="254">
        <f t="shared" si="23"/>
        <v>0</v>
      </c>
      <c r="G70" s="254">
        <f t="array" ref="G70">_xll.AC(DB,_xll.ArrayDPT($AA70:$AE70),_xll.ArrayCOA($AG70:$AZ70),YR,PRD,_xll.ArrayDIM($BB70:$BE70))</f>
        <v>0</v>
      </c>
      <c r="H70" s="254">
        <f t="shared" si="24"/>
        <v>0</v>
      </c>
      <c r="I70" s="254"/>
      <c r="J70" s="328" t="s">
        <v>725</v>
      </c>
      <c r="K70" s="254"/>
      <c r="L70" s="254">
        <f t="array" ref="L70">_xll.ACC(DB,_xll.ArrayDPT($AA70:$AE70),_xll.ArrayCOA($AG70:$AZ70),YR,PRD,_xll.ArrayDIM($BB70:$BE70))</f>
        <v>0</v>
      </c>
      <c r="M70" s="237">
        <f t="shared" si="25"/>
        <v>0</v>
      </c>
      <c r="N70" s="254">
        <f t="array" ref="N70">_xll.BCC(DB,_xll.ArrayDPT($AA70:$AE70),_xll.ArrayCOA($AG70:$AZ70),YR,PRD,RV,_xll.ArrayDIM($BB70:$BE70))</f>
        <v>0</v>
      </c>
      <c r="O70" s="237">
        <f t="shared" si="26"/>
        <v>0</v>
      </c>
      <c r="P70" s="237">
        <f t="shared" si="27"/>
        <v>0</v>
      </c>
      <c r="Q70" s="237">
        <f t="shared" si="28"/>
        <v>0</v>
      </c>
      <c r="R70" s="254">
        <f t="array" ref="R70">_xll.ACC(DB,_xll.ArrayDPT($AA70:$AE70),_xll.ArrayCOA($AG70:$AZ70),YR-1,PRD,_xll.ArrayDIM($BB70:$BE70))</f>
        <v>0</v>
      </c>
      <c r="S70" s="237">
        <f t="shared" si="29"/>
        <v>0</v>
      </c>
      <c r="T70" s="328"/>
      <c r="U70" s="328"/>
      <c r="V70" s="328"/>
      <c r="W70" s="328"/>
      <c r="X70" s="328"/>
      <c r="Y70" s="328"/>
      <c r="Z70" s="328"/>
      <c r="AA70" s="95" t="s">
        <v>634</v>
      </c>
      <c r="AB70" s="96"/>
      <c r="AC70" s="96"/>
      <c r="AD70" s="96"/>
      <c r="AE70" s="96"/>
      <c r="AF70" s="97"/>
      <c r="AG70" s="95" t="s">
        <v>726</v>
      </c>
      <c r="AH70" s="96" t="s">
        <v>726</v>
      </c>
      <c r="AI70" s="95"/>
      <c r="AJ70" s="96"/>
      <c r="AK70" s="95"/>
      <c r="AL70" s="96"/>
      <c r="AM70" s="95"/>
      <c r="AN70" s="98"/>
      <c r="AO70" s="96"/>
      <c r="AP70" s="96"/>
      <c r="AQ70" s="95"/>
      <c r="AR70" s="98"/>
      <c r="AS70" s="96"/>
      <c r="AT70" s="96"/>
      <c r="AU70" s="95"/>
      <c r="AV70" s="98"/>
      <c r="AW70" s="96"/>
      <c r="AX70" s="96"/>
      <c r="AY70" s="95"/>
      <c r="AZ70" s="98"/>
      <c r="BA70" s="99"/>
      <c r="BB70" s="95"/>
      <c r="BC70" s="96"/>
      <c r="BD70" s="96"/>
      <c r="BE70" s="98"/>
      <c r="BF70" s="95"/>
      <c r="BG70" s="96"/>
      <c r="BH70" s="96"/>
      <c r="BI70" s="98"/>
    </row>
    <row r="71" spans="1:61" ht="6" customHeight="1">
      <c r="A71" s="341"/>
      <c r="B71" s="341"/>
      <c r="C71" s="341"/>
      <c r="D71" s="341"/>
      <c r="E71" s="341"/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28"/>
      <c r="U71" s="328"/>
      <c r="V71" s="328"/>
      <c r="W71" s="328"/>
      <c r="X71" s="328"/>
      <c r="Y71" s="328"/>
      <c r="Z71" s="328"/>
      <c r="AA71" s="95"/>
      <c r="AB71" s="96"/>
      <c r="AC71" s="96"/>
      <c r="AD71" s="96"/>
      <c r="AE71" s="96"/>
      <c r="AF71" s="97"/>
      <c r="AG71" s="95"/>
      <c r="AH71" s="96"/>
      <c r="AI71" s="95"/>
      <c r="AJ71" s="96"/>
      <c r="AK71" s="95"/>
      <c r="AL71" s="96"/>
      <c r="AM71" s="95"/>
      <c r="AN71" s="98"/>
      <c r="AO71" s="96"/>
      <c r="AP71" s="96"/>
      <c r="AQ71" s="95"/>
      <c r="AR71" s="98"/>
      <c r="AS71" s="96"/>
      <c r="AT71" s="96"/>
      <c r="AU71" s="95"/>
      <c r="AV71" s="98"/>
      <c r="AW71" s="96"/>
      <c r="AX71" s="96"/>
      <c r="AY71" s="95"/>
      <c r="AZ71" s="98"/>
      <c r="BA71" s="99"/>
      <c r="BB71" s="95"/>
      <c r="BC71" s="96"/>
      <c r="BD71" s="96"/>
      <c r="BE71" s="98"/>
      <c r="BF71" s="95"/>
      <c r="BG71" s="96"/>
      <c r="BH71" s="96"/>
      <c r="BI71" s="98"/>
    </row>
    <row r="72" spans="1:61" ht="12" customHeight="1">
      <c r="A72" s="334">
        <f>SUM(A28:A71)</f>
        <v>1011719.3800000001</v>
      </c>
      <c r="B72" s="334">
        <f t="shared" ref="B72:B74" si="30">IF(A72=0,0,(A72*100/A$14))</f>
        <v>13.95567535911564</v>
      </c>
      <c r="C72" s="334">
        <f>SUM(C28:C71)</f>
        <v>-1005211.12</v>
      </c>
      <c r="D72" s="334">
        <f t="shared" ref="D72:D74" si="31">IF(C72=0,0,(C72*100/C$14))</f>
        <v>12.68912603664481</v>
      </c>
      <c r="E72" s="334">
        <f>SUM(E28:E71)</f>
        <v>0</v>
      </c>
      <c r="F72" s="334">
        <f t="shared" ref="F72:F74" si="32">IF(E72=0,0,(E72*100/E$14))</f>
        <v>0</v>
      </c>
      <c r="G72" s="334">
        <f>SUM(G28:G71)</f>
        <v>1005211.12</v>
      </c>
      <c r="H72" s="334">
        <f t="shared" ref="H72:H74" si="33">IF(G72=0,0,(G72*100/G$14))</f>
        <v>12.68912603664481</v>
      </c>
      <c r="I72" s="334"/>
      <c r="J72" s="342" t="s">
        <v>727</v>
      </c>
      <c r="K72" s="334"/>
      <c r="L72" s="338">
        <f>SUM(L28:L71)</f>
        <v>1005211.12</v>
      </c>
      <c r="M72" s="338">
        <f t="shared" ref="M72:M74" si="34">IF(L72=0,0,(L72*100/L$14))</f>
        <v>12.68912603664481</v>
      </c>
      <c r="N72" s="338">
        <f>SUM(N28:N71)</f>
        <v>0</v>
      </c>
      <c r="O72" s="338">
        <f t="shared" ref="O72:O74" si="35">IF(N72=0,0,(N72*100/N$14))</f>
        <v>0</v>
      </c>
      <c r="P72" s="338">
        <f>SUM(P28:P71)</f>
        <v>-1005211.12</v>
      </c>
      <c r="Q72" s="338">
        <f t="shared" ref="Q72:Q74" si="36">IF(P72=0,0,(P72*100/P$14))</f>
        <v>12.68912603664481</v>
      </c>
      <c r="R72" s="338">
        <f>SUM(R28:R71)</f>
        <v>1011719.3800000001</v>
      </c>
      <c r="S72" s="338">
        <f t="shared" ref="S72:S74" si="37">IF(R72=0,0,(R72*100/R$14))</f>
        <v>13.95567535911564</v>
      </c>
      <c r="T72" s="339"/>
      <c r="U72" s="339"/>
      <c r="V72" s="339"/>
      <c r="W72" s="339"/>
      <c r="X72" s="339"/>
      <c r="Y72" s="339"/>
      <c r="Z72" s="339"/>
      <c r="AA72" s="95"/>
      <c r="AB72" s="96"/>
      <c r="AC72" s="96"/>
      <c r="AD72" s="96"/>
      <c r="AE72" s="96"/>
      <c r="AF72" s="97"/>
      <c r="AG72" s="95"/>
      <c r="AH72" s="96"/>
      <c r="AI72" s="95"/>
      <c r="AJ72" s="96"/>
      <c r="AK72" s="95"/>
      <c r="AL72" s="96"/>
      <c r="AM72" s="95"/>
      <c r="AN72" s="98"/>
      <c r="AO72" s="96"/>
      <c r="AP72" s="96"/>
      <c r="AQ72" s="95"/>
      <c r="AR72" s="98"/>
      <c r="AS72" s="96"/>
      <c r="AT72" s="96"/>
      <c r="AU72" s="95"/>
      <c r="AV72" s="98"/>
      <c r="AW72" s="96"/>
      <c r="AX72" s="96"/>
      <c r="AY72" s="95"/>
      <c r="AZ72" s="98"/>
      <c r="BA72" s="99"/>
      <c r="BB72" s="95"/>
      <c r="BC72" s="96"/>
      <c r="BD72" s="96"/>
      <c r="BE72" s="98"/>
      <c r="BF72" s="95"/>
      <c r="BG72" s="96"/>
      <c r="BH72" s="96"/>
      <c r="BI72" s="98"/>
    </row>
    <row r="73" spans="1:61" ht="12" customHeight="1">
      <c r="A73" s="343">
        <f>+A26+A72</f>
        <v>1289352.7200000002</v>
      </c>
      <c r="B73" s="344">
        <f t="shared" si="30"/>
        <v>17.785354654086717</v>
      </c>
      <c r="C73" s="343">
        <f>+C26+C72</f>
        <v>-1294216.3999999999</v>
      </c>
      <c r="D73" s="344">
        <f t="shared" si="31"/>
        <v>16.337339183327689</v>
      </c>
      <c r="E73" s="343">
        <f>+E26+E72</f>
        <v>0</v>
      </c>
      <c r="F73" s="344">
        <f t="shared" si="32"/>
        <v>0</v>
      </c>
      <c r="G73" s="343">
        <f>+G26+G72</f>
        <v>1294216.3999999999</v>
      </c>
      <c r="H73" s="344">
        <f t="shared" si="33"/>
        <v>16.337339183327689</v>
      </c>
      <c r="I73" s="345"/>
      <c r="J73" s="346" t="s">
        <v>728</v>
      </c>
      <c r="K73" s="345"/>
      <c r="L73" s="343">
        <f>+L26+L72</f>
        <v>1294216.3999999999</v>
      </c>
      <c r="M73" s="347">
        <f t="shared" si="34"/>
        <v>16.337339183327689</v>
      </c>
      <c r="N73" s="343">
        <f>+N26+N72</f>
        <v>0</v>
      </c>
      <c r="O73" s="347">
        <f t="shared" si="35"/>
        <v>0</v>
      </c>
      <c r="P73" s="343">
        <f>+P26+P72</f>
        <v>-1294216.3999999999</v>
      </c>
      <c r="Q73" s="347">
        <f t="shared" si="36"/>
        <v>16.337339183327689</v>
      </c>
      <c r="R73" s="343">
        <f>+R26+R72</f>
        <v>1289352.7200000002</v>
      </c>
      <c r="S73" s="348">
        <f t="shared" si="37"/>
        <v>17.785354654086717</v>
      </c>
      <c r="T73" s="349"/>
      <c r="U73" s="349"/>
      <c r="V73" s="349"/>
      <c r="W73" s="349"/>
      <c r="X73" s="349"/>
      <c r="Y73" s="349"/>
      <c r="Z73" s="349"/>
      <c r="AA73" s="95"/>
      <c r="AB73" s="96"/>
      <c r="AC73" s="96"/>
      <c r="AD73" s="96"/>
      <c r="AE73" s="96"/>
      <c r="AF73" s="97"/>
      <c r="AG73" s="95"/>
      <c r="AH73" s="96"/>
      <c r="AI73" s="95"/>
      <c r="AJ73" s="96"/>
      <c r="AK73" s="95"/>
      <c r="AL73" s="96"/>
      <c r="AM73" s="95"/>
      <c r="AN73" s="98"/>
      <c r="AO73" s="96"/>
      <c r="AP73" s="96"/>
      <c r="AQ73" s="95"/>
      <c r="AR73" s="98"/>
      <c r="AS73" s="96"/>
      <c r="AT73" s="96"/>
      <c r="AU73" s="95"/>
      <c r="AV73" s="98"/>
      <c r="AW73" s="96"/>
      <c r="AX73" s="96"/>
      <c r="AY73" s="95"/>
      <c r="AZ73" s="98"/>
      <c r="BA73" s="99"/>
      <c r="BB73" s="95"/>
      <c r="BC73" s="96"/>
      <c r="BD73" s="96"/>
      <c r="BE73" s="98"/>
      <c r="BF73" s="95"/>
      <c r="BG73" s="96"/>
      <c r="BH73" s="96"/>
      <c r="BI73" s="98"/>
    </row>
    <row r="74" spans="1:61" ht="12" customHeight="1">
      <c r="A74" s="350">
        <f>+A14-A73</f>
        <v>5960166.5899999999</v>
      </c>
      <c r="B74" s="350">
        <f t="shared" si="30"/>
        <v>82.214645345913297</v>
      </c>
      <c r="C74" s="350">
        <f>+C14-C73</f>
        <v>-6627614.6000000015</v>
      </c>
      <c r="D74" s="350">
        <f t="shared" si="31"/>
        <v>83.662660816672314</v>
      </c>
      <c r="E74" s="350">
        <f>+E14-E73</f>
        <v>0</v>
      </c>
      <c r="F74" s="350">
        <f t="shared" si="32"/>
        <v>0</v>
      </c>
      <c r="G74" s="351">
        <f>+G14-G73</f>
        <v>6627614.6000000015</v>
      </c>
      <c r="H74" s="350">
        <f t="shared" si="33"/>
        <v>83.662660816672314</v>
      </c>
      <c r="I74" s="352"/>
      <c r="J74" s="353" t="s">
        <v>729</v>
      </c>
      <c r="K74" s="352"/>
      <c r="L74" s="354">
        <f>+L14-L73</f>
        <v>6627614.6000000015</v>
      </c>
      <c r="M74" s="354">
        <f t="shared" si="34"/>
        <v>83.662660816672314</v>
      </c>
      <c r="N74" s="354">
        <f>+N14-N73</f>
        <v>0</v>
      </c>
      <c r="O74" s="354">
        <f t="shared" si="35"/>
        <v>0</v>
      </c>
      <c r="P74" s="354">
        <f>+P14-P73</f>
        <v>-6627614.6000000015</v>
      </c>
      <c r="Q74" s="354">
        <f t="shared" si="36"/>
        <v>83.662660816672314</v>
      </c>
      <c r="R74" s="354">
        <f>+R14-R73</f>
        <v>5960166.5899999999</v>
      </c>
      <c r="S74" s="355">
        <f t="shared" si="37"/>
        <v>82.214645345913297</v>
      </c>
      <c r="T74" s="349"/>
      <c r="U74" s="349"/>
      <c r="V74" s="349"/>
      <c r="W74" s="349"/>
      <c r="X74" s="349"/>
      <c r="Y74" s="349"/>
      <c r="Z74" s="349"/>
      <c r="AA74" s="95"/>
      <c r="AB74" s="96"/>
      <c r="AC74" s="96"/>
      <c r="AD74" s="96"/>
      <c r="AE74" s="96"/>
      <c r="AF74" s="97"/>
      <c r="AG74" s="95"/>
      <c r="AH74" s="96"/>
      <c r="AI74" s="95"/>
      <c r="AJ74" s="96"/>
      <c r="AK74" s="95"/>
      <c r="AL74" s="96"/>
      <c r="AM74" s="95"/>
      <c r="AN74" s="98"/>
      <c r="AO74" s="96"/>
      <c r="AP74" s="96"/>
      <c r="AQ74" s="95"/>
      <c r="AR74" s="98"/>
      <c r="AS74" s="96"/>
      <c r="AT74" s="96"/>
      <c r="AU74" s="95"/>
      <c r="AV74" s="98"/>
      <c r="AW74" s="96"/>
      <c r="AX74" s="96"/>
      <c r="AY74" s="95"/>
      <c r="AZ74" s="98"/>
      <c r="BA74" s="99"/>
      <c r="BB74" s="95"/>
      <c r="BC74" s="96"/>
      <c r="BD74" s="96"/>
      <c r="BE74" s="98"/>
      <c r="BF74" s="95"/>
      <c r="BG74" s="96"/>
      <c r="BH74" s="96"/>
      <c r="BI74" s="98"/>
    </row>
    <row r="75" spans="1:61" ht="12" customHeight="1">
      <c r="A75" s="279"/>
      <c r="B75" s="279"/>
      <c r="C75" s="279"/>
      <c r="D75" s="279"/>
      <c r="E75" s="279"/>
      <c r="F75" s="279"/>
      <c r="G75" s="356"/>
      <c r="H75" s="279"/>
      <c r="I75" s="279"/>
      <c r="J75" s="339"/>
      <c r="K75" s="279"/>
      <c r="L75" s="262"/>
      <c r="M75" s="262"/>
      <c r="N75" s="262"/>
      <c r="O75" s="262"/>
      <c r="P75" s="262"/>
      <c r="Q75" s="262"/>
      <c r="R75" s="262"/>
      <c r="S75" s="262"/>
      <c r="T75" s="339"/>
      <c r="U75" s="339"/>
      <c r="V75" s="339"/>
      <c r="W75" s="339"/>
      <c r="X75" s="339"/>
      <c r="Y75" s="339"/>
      <c r="Z75" s="339"/>
      <c r="AA75" s="95"/>
      <c r="AB75" s="96"/>
      <c r="AC75" s="96"/>
      <c r="AD75" s="96"/>
      <c r="AE75" s="96"/>
      <c r="AF75" s="97"/>
      <c r="AG75" s="95"/>
      <c r="AH75" s="96"/>
      <c r="AI75" s="95"/>
      <c r="AJ75" s="96"/>
      <c r="AK75" s="95"/>
      <c r="AL75" s="96"/>
      <c r="AM75" s="95"/>
      <c r="AN75" s="98"/>
      <c r="AO75" s="96"/>
      <c r="AP75" s="96"/>
      <c r="AQ75" s="95"/>
      <c r="AR75" s="98"/>
      <c r="AS75" s="96"/>
      <c r="AT75" s="96"/>
      <c r="AU75" s="95"/>
      <c r="AV75" s="98"/>
      <c r="AW75" s="96"/>
      <c r="AX75" s="96"/>
      <c r="AY75" s="95"/>
      <c r="AZ75" s="98"/>
      <c r="BA75" s="99"/>
      <c r="BB75" s="95"/>
      <c r="BC75" s="96"/>
      <c r="BD75" s="96"/>
      <c r="BE75" s="98"/>
      <c r="BF75" s="95"/>
      <c r="BG75" s="96"/>
      <c r="BH75" s="96"/>
      <c r="BI75" s="98"/>
    </row>
    <row r="76" spans="1:61" ht="12" customHeight="1">
      <c r="A76" s="279"/>
      <c r="B76" s="279"/>
      <c r="C76" s="279"/>
      <c r="D76" s="279"/>
      <c r="E76" s="279"/>
      <c r="F76" s="279"/>
      <c r="G76" s="279"/>
      <c r="H76" s="279"/>
      <c r="I76" s="279"/>
      <c r="J76" s="339"/>
      <c r="K76" s="279"/>
      <c r="L76" s="262"/>
      <c r="M76" s="262"/>
      <c r="N76" s="262"/>
      <c r="O76" s="262"/>
      <c r="P76" s="262"/>
      <c r="Q76" s="262"/>
      <c r="R76" s="262"/>
      <c r="S76" s="262"/>
      <c r="T76" s="339"/>
      <c r="U76" s="339"/>
      <c r="V76" s="339"/>
      <c r="W76" s="339"/>
      <c r="X76" s="339"/>
      <c r="Y76" s="339"/>
      <c r="Z76" s="339"/>
      <c r="AA76" s="95"/>
      <c r="AB76" s="96"/>
      <c r="AC76" s="96"/>
      <c r="AD76" s="96"/>
      <c r="AE76" s="96"/>
      <c r="AF76" s="97"/>
      <c r="AG76" s="95"/>
      <c r="AH76" s="96"/>
      <c r="AI76" s="95"/>
      <c r="AJ76" s="96"/>
      <c r="AK76" s="95"/>
      <c r="AL76" s="96"/>
      <c r="AM76" s="95"/>
      <c r="AN76" s="98"/>
      <c r="AO76" s="96"/>
      <c r="AP76" s="96"/>
      <c r="AQ76" s="95"/>
      <c r="AR76" s="98"/>
      <c r="AS76" s="96"/>
      <c r="AT76" s="96"/>
      <c r="AU76" s="95"/>
      <c r="AV76" s="98"/>
      <c r="AW76" s="96"/>
      <c r="AX76" s="96"/>
      <c r="AY76" s="95"/>
      <c r="AZ76" s="98"/>
      <c r="BA76" s="99"/>
      <c r="BB76" s="95"/>
      <c r="BC76" s="96"/>
      <c r="BD76" s="96"/>
      <c r="BE76" s="98"/>
      <c r="BF76" s="95"/>
      <c r="BG76" s="96"/>
      <c r="BH76" s="96"/>
      <c r="BI76" s="98"/>
    </row>
    <row r="77" spans="1:61" ht="12" customHeight="1">
      <c r="A77" s="357"/>
      <c r="B77" s="254"/>
      <c r="C77" s="357"/>
      <c r="D77" s="254"/>
      <c r="E77" s="357"/>
      <c r="F77" s="254"/>
      <c r="G77" s="357"/>
      <c r="H77" s="254"/>
      <c r="I77" s="254"/>
      <c r="J77" s="358" t="s">
        <v>730</v>
      </c>
      <c r="K77" s="254"/>
      <c r="L77" s="251"/>
      <c r="M77" s="237"/>
      <c r="N77" s="251"/>
      <c r="O77" s="237"/>
      <c r="P77" s="251"/>
      <c r="Q77" s="237"/>
      <c r="R77" s="251"/>
      <c r="S77" s="237"/>
      <c r="T77" s="359"/>
      <c r="U77" s="359"/>
      <c r="V77" s="359"/>
      <c r="W77" s="359"/>
      <c r="X77" s="359"/>
      <c r="Y77" s="359"/>
      <c r="Z77" s="359"/>
      <c r="AA77" s="95"/>
      <c r="AB77" s="96"/>
      <c r="AC77" s="96"/>
      <c r="AD77" s="96"/>
      <c r="AE77" s="96"/>
      <c r="AF77" s="97"/>
      <c r="AG77" s="95"/>
      <c r="AH77" s="96"/>
      <c r="AI77" s="95"/>
      <c r="AJ77" s="96"/>
      <c r="AK77" s="95"/>
      <c r="AL77" s="96"/>
      <c r="AM77" s="95"/>
      <c r="AN77" s="98"/>
      <c r="AO77" s="96"/>
      <c r="AP77" s="96"/>
      <c r="AQ77" s="95"/>
      <c r="AR77" s="98"/>
      <c r="AS77" s="96"/>
      <c r="AT77" s="96"/>
      <c r="AU77" s="95"/>
      <c r="AV77" s="98"/>
      <c r="AW77" s="96"/>
      <c r="AX77" s="96"/>
      <c r="AY77" s="95"/>
      <c r="AZ77" s="98"/>
      <c r="BA77" s="99"/>
      <c r="BB77" s="95"/>
      <c r="BC77" s="96"/>
      <c r="BD77" s="96"/>
      <c r="BE77" s="98"/>
      <c r="BF77" s="95"/>
      <c r="BG77" s="96"/>
      <c r="BH77" s="96"/>
      <c r="BI77" s="98"/>
    </row>
    <row r="78" spans="1:61" ht="12" customHeight="1">
      <c r="A78" s="360">
        <f t="array" ref="A78">-_xll.AC(DB,_xll.ArrayDPT($AA78:$AE78),_xll.ArrayCOA($AG78:$AZ78),YR-1,PRD,_xll.ArrayDIM($BB78:$BE78))</f>
        <v>4588</v>
      </c>
      <c r="B78" s="361"/>
      <c r="C78" s="361">
        <f>+G78-E78</f>
        <v>4588</v>
      </c>
      <c r="D78" s="361"/>
      <c r="E78" s="361">
        <f t="array" ref="E78">_xll.BC(DB,_xll.ArrayDPT($AA78:$AE78),_xll.ArrayCOA($AG78:$AZ78),YR,PRD,RV,_xll.ArrayDIM($BB78:$BE78))</f>
        <v>0</v>
      </c>
      <c r="F78" s="361"/>
      <c r="G78" s="361">
        <f>-_xll.AC(DB,_xll.ArrayDPT($AA78:$AE78),_xll.ArrayCOA($AG78:$AZ78),YR,PRD,_xll.ArrayDIM($BB78:$BE78))</f>
        <v>4588</v>
      </c>
      <c r="H78" s="361"/>
      <c r="I78" s="361"/>
      <c r="J78" s="362" t="s">
        <v>731</v>
      </c>
      <c r="K78" s="361"/>
      <c r="L78" s="363">
        <f t="array" ref="L78">-_xll.ACC(DB,_xll.ArrayDPT($AA78:$AE78),_xll.ArrayCOA($AG78:$AZ78),YR,PRD,_xll.ArrayDIM($BB78:$BE78))</f>
        <v>4588</v>
      </c>
      <c r="M78" s="363"/>
      <c r="N78" s="363">
        <f t="array" ref="N78">_xll.BCC(DB,_xll.ArrayDPT($AA78:$AE78),_xll.ArrayCOA($AG78:$AZ78),YR,PRD,RV,_xll.ArrayDIM($BB78:$BE78))</f>
        <v>0</v>
      </c>
      <c r="O78" s="363"/>
      <c r="P78" s="363">
        <f>+N78-L78</f>
        <v>-4588</v>
      </c>
      <c r="Q78" s="363"/>
      <c r="R78" s="363">
        <f t="array" ref="R78">-_xll.ACC(DB,_xll.ArrayDPT($AA78:$AE78),_xll.ArrayCOA($AG78:$AZ78),YR-1,PRD,_xll.ArrayDIM($BB78:$BE78))</f>
        <v>4588</v>
      </c>
      <c r="S78" s="363"/>
      <c r="T78" s="364"/>
      <c r="U78" s="364"/>
      <c r="V78" s="359"/>
      <c r="W78" s="359"/>
      <c r="X78" s="359"/>
      <c r="Y78" s="359"/>
      <c r="Z78" s="359"/>
      <c r="AA78" s="96" t="s">
        <v>634</v>
      </c>
      <c r="AB78" s="96" t="s">
        <v>634</v>
      </c>
      <c r="AC78" s="96"/>
      <c r="AD78" s="96"/>
      <c r="AE78" s="96"/>
      <c r="AF78" s="97"/>
      <c r="AG78" s="95" t="s">
        <v>1357</v>
      </c>
      <c r="AH78" s="96" t="s">
        <v>1357</v>
      </c>
      <c r="AI78" s="95"/>
      <c r="AJ78" s="96"/>
      <c r="AK78" s="95"/>
      <c r="AL78" s="96"/>
      <c r="AM78" s="95"/>
      <c r="AN78" s="98"/>
      <c r="AO78" s="96"/>
      <c r="AP78" s="96"/>
      <c r="AQ78" s="95"/>
      <c r="AR78" s="98"/>
      <c r="AS78" s="96"/>
      <c r="AT78" s="96"/>
      <c r="AU78" s="95"/>
      <c r="AV78" s="98"/>
      <c r="AW78" s="96"/>
      <c r="AX78" s="96"/>
      <c r="AY78" s="95"/>
      <c r="AZ78" s="98"/>
      <c r="BA78" s="99"/>
      <c r="BB78" s="95"/>
      <c r="BC78" s="96"/>
      <c r="BD78" s="96"/>
      <c r="BE78" s="98"/>
      <c r="BF78" s="95"/>
      <c r="BG78" s="96"/>
      <c r="BH78" s="96"/>
      <c r="BI78" s="98"/>
    </row>
    <row r="79" spans="1:61" ht="12" customHeight="1">
      <c r="A79" s="628">
        <f>A80/A78</f>
        <v>0.699433304272014</v>
      </c>
      <c r="B79" s="361"/>
      <c r="C79" s="628">
        <f>C80/C78</f>
        <v>0.75021795989537921</v>
      </c>
      <c r="D79" s="361"/>
      <c r="E79" s="628" t="e">
        <f>E80/E78</f>
        <v>#DIV/0!</v>
      </c>
      <c r="F79" s="361"/>
      <c r="G79" s="628">
        <f>G80/G78</f>
        <v>0.75021795989537921</v>
      </c>
      <c r="H79" s="361"/>
      <c r="I79" s="361"/>
      <c r="J79" s="362" t="s">
        <v>732</v>
      </c>
      <c r="K79" s="361"/>
      <c r="L79" s="628">
        <f>L80/L78</f>
        <v>0.75021795989537921</v>
      </c>
      <c r="M79" s="363"/>
      <c r="N79" s="628" t="e">
        <f>N80/N78</f>
        <v>#DIV/0!</v>
      </c>
      <c r="O79" s="363"/>
      <c r="P79" s="628">
        <f>P80/P78</f>
        <v>0.75021795989537921</v>
      </c>
      <c r="Q79" s="363"/>
      <c r="R79" s="628">
        <f>R80/R78</f>
        <v>0.699433304272014</v>
      </c>
      <c r="S79" s="363"/>
      <c r="T79" s="359"/>
      <c r="U79" s="359"/>
      <c r="V79" s="359"/>
      <c r="W79" s="359"/>
      <c r="X79" s="359"/>
      <c r="Y79" s="359"/>
      <c r="Z79" s="359"/>
      <c r="AA79" s="96"/>
      <c r="AB79" s="96"/>
      <c r="AC79" s="96"/>
      <c r="AD79" s="96"/>
      <c r="AE79" s="96"/>
      <c r="AF79" s="97"/>
      <c r="AG79" s="95"/>
      <c r="AH79" s="96"/>
      <c r="AI79" s="95"/>
      <c r="AJ79" s="96"/>
      <c r="AK79" s="95"/>
      <c r="AL79" s="96"/>
      <c r="AM79" s="95"/>
      <c r="AN79" s="98"/>
      <c r="AO79" s="96"/>
      <c r="AP79" s="96"/>
      <c r="AQ79" s="95"/>
      <c r="AR79" s="98"/>
      <c r="AS79" s="96"/>
      <c r="AT79" s="96"/>
      <c r="AU79" s="95"/>
      <c r="AV79" s="98"/>
      <c r="AW79" s="96"/>
      <c r="AX79" s="96"/>
      <c r="AY79" s="95"/>
      <c r="AZ79" s="98"/>
      <c r="BA79" s="99"/>
      <c r="BB79" s="95"/>
      <c r="BC79" s="96"/>
      <c r="BD79" s="96"/>
      <c r="BE79" s="98"/>
      <c r="BF79" s="95"/>
      <c r="BG79" s="96"/>
      <c r="BH79" s="96"/>
      <c r="BI79" s="98"/>
    </row>
    <row r="80" spans="1:61" ht="12" customHeight="1">
      <c r="A80" s="360">
        <f t="array" ref="A80">-_xll.AC(DB,_xll.ArrayDPT($AA80:$AE80),_xll.ArrayCOA($AG80:$AZ80),YR-1,PRD,_xll.ArrayDIM($BB80:$BE80))</f>
        <v>3209</v>
      </c>
      <c r="B80" s="361"/>
      <c r="C80" s="361">
        <f t="shared" ref="C80:C82" si="38">+G80-E80</f>
        <v>3442</v>
      </c>
      <c r="D80" s="361"/>
      <c r="E80" s="361">
        <f t="array" ref="E80">_xll.BC(DB,_xll.ArrayDPT($AA80:$AE80),_xll.ArrayCOA($AG80:$AZ80),YR,PRD,RV,_xll.ArrayDIM($BB80:$BE80))</f>
        <v>0</v>
      </c>
      <c r="F80" s="361"/>
      <c r="G80" s="361">
        <f>-_xll.AC(DB,_xll.ArrayDPT($AA80:$AE80),_xll.ArrayCOA($AG80:$AZ80),YR,PRD,_xll.ArrayDIM($BB80:$BE80))</f>
        <v>3442</v>
      </c>
      <c r="H80" s="361"/>
      <c r="I80" s="361"/>
      <c r="J80" s="362" t="s">
        <v>733</v>
      </c>
      <c r="K80" s="361"/>
      <c r="L80" s="363">
        <f t="array" ref="L80">-_xll.ACC(DB,_xll.ArrayDPT($AA80:$AE80),_xll.ArrayCOA($AG80:$AZ80),YR,PRD,_xll.ArrayDIM($BB80:$BE80))</f>
        <v>3442</v>
      </c>
      <c r="M80" s="363"/>
      <c r="N80" s="363">
        <f t="array" ref="N80">_xll.BCC(DB,_xll.ArrayDPT($AA80:$AE80),_xll.ArrayCOA($AG80:$AZ80),YR,PRD,RV,_xll.ArrayDIM($BB80:$BE80))</f>
        <v>0</v>
      </c>
      <c r="O80" s="363"/>
      <c r="P80" s="363">
        <f t="shared" ref="P80:P82" si="39">+N80-L80</f>
        <v>-3442</v>
      </c>
      <c r="Q80" s="363"/>
      <c r="R80" s="363">
        <f t="array" ref="R80">-_xll.ACC(DB,_xll.ArrayDPT($AA80:$AE80),_xll.ArrayCOA($AG80:$AZ80),YR-1,PRD,_xll.ArrayDIM($BB80:$BE80))</f>
        <v>3209</v>
      </c>
      <c r="S80" s="363"/>
      <c r="T80" s="364"/>
      <c r="U80" s="364"/>
      <c r="V80" s="364"/>
      <c r="W80" s="359"/>
      <c r="X80" s="359"/>
      <c r="Y80" s="359"/>
      <c r="Z80" s="359"/>
      <c r="AA80" s="96" t="s">
        <v>634</v>
      </c>
      <c r="AB80" s="96" t="s">
        <v>634</v>
      </c>
      <c r="AC80" s="96"/>
      <c r="AD80" s="96"/>
      <c r="AE80" s="96"/>
      <c r="AF80" s="97"/>
      <c r="AG80" s="95" t="s">
        <v>1358</v>
      </c>
      <c r="AH80" s="96" t="s">
        <v>1358</v>
      </c>
      <c r="AI80" s="95"/>
      <c r="AJ80" s="96"/>
      <c r="AK80" s="95"/>
      <c r="AL80" s="96"/>
      <c r="AM80" s="95"/>
      <c r="AN80" s="98"/>
      <c r="AO80" s="96"/>
      <c r="AP80" s="96"/>
      <c r="AQ80" s="95"/>
      <c r="AR80" s="98"/>
      <c r="AS80" s="96"/>
      <c r="AT80" s="96"/>
      <c r="AU80" s="95"/>
      <c r="AV80" s="98"/>
      <c r="AW80" s="96"/>
      <c r="AX80" s="96"/>
      <c r="AY80" s="95"/>
      <c r="AZ80" s="98"/>
      <c r="BA80" s="99"/>
      <c r="BB80" s="95"/>
      <c r="BC80" s="96"/>
      <c r="BD80" s="96"/>
      <c r="BE80" s="98"/>
      <c r="BF80" s="95"/>
      <c r="BG80" s="96"/>
      <c r="BH80" s="96"/>
      <c r="BI80" s="98"/>
    </row>
    <row r="81" spans="1:61" ht="12" customHeight="1">
      <c r="A81" s="361">
        <f>A8/A80</f>
        <v>2254.4789435961357</v>
      </c>
      <c r="B81" s="361"/>
      <c r="C81" s="361">
        <f>C8/C80</f>
        <v>-2294.026722835561</v>
      </c>
      <c r="D81" s="361"/>
      <c r="E81" s="361" t="e">
        <f>E8/E80</f>
        <v>#DIV/0!</v>
      </c>
      <c r="F81" s="361"/>
      <c r="G81" s="361">
        <f>G8/G80</f>
        <v>2294.026722835561</v>
      </c>
      <c r="H81" s="361"/>
      <c r="I81" s="361"/>
      <c r="J81" s="362" t="s">
        <v>734</v>
      </c>
      <c r="K81" s="361"/>
      <c r="L81" s="361">
        <f>L8/L80</f>
        <v>2294.026722835561</v>
      </c>
      <c r="M81" s="363"/>
      <c r="N81" s="361" t="e">
        <f>N8/N80</f>
        <v>#DIV/0!</v>
      </c>
      <c r="O81" s="363"/>
      <c r="P81" s="361">
        <f>P8/P80</f>
        <v>2294.026722835561</v>
      </c>
      <c r="Q81" s="363"/>
      <c r="R81" s="361">
        <f>R8/R80</f>
        <v>2254.4789435961357</v>
      </c>
      <c r="S81" s="363"/>
      <c r="T81" s="365"/>
      <c r="U81" s="359"/>
      <c r="V81" s="359"/>
      <c r="W81" s="359"/>
      <c r="X81" s="359"/>
      <c r="Y81" s="359"/>
      <c r="Z81" s="359"/>
      <c r="AA81" s="96"/>
      <c r="AB81" s="96"/>
      <c r="AC81" s="96"/>
      <c r="AD81" s="96"/>
      <c r="AE81" s="96"/>
      <c r="AF81" s="97"/>
      <c r="AG81" s="95"/>
      <c r="AH81" s="96"/>
      <c r="AI81" s="95"/>
      <c r="AJ81" s="96"/>
      <c r="AK81" s="95"/>
      <c r="AL81" s="96"/>
      <c r="AM81" s="95"/>
      <c r="AN81" s="98"/>
      <c r="AO81" s="96"/>
      <c r="AP81" s="96"/>
      <c r="AQ81" s="95"/>
      <c r="AR81" s="98"/>
      <c r="AS81" s="96"/>
      <c r="AT81" s="96"/>
      <c r="AU81" s="95"/>
      <c r="AV81" s="98"/>
      <c r="AW81" s="96"/>
      <c r="AX81" s="96"/>
      <c r="AY81" s="95"/>
      <c r="AZ81" s="98"/>
      <c r="BA81" s="99"/>
      <c r="BB81" s="95"/>
      <c r="BC81" s="96"/>
      <c r="BD81" s="96"/>
      <c r="BE81" s="98"/>
      <c r="BF81" s="95"/>
      <c r="BG81" s="96"/>
      <c r="BH81" s="96"/>
      <c r="BI81" s="98"/>
    </row>
    <row r="82" spans="1:61" ht="12" customHeight="1">
      <c r="A82" s="360">
        <f t="array" ref="A82">-_xll.AC(DB,_xll.ArrayDPT($AA82:$AE82),_xll.ArrayCOA($AG82:$AZ82),YR-1,PRD,_xll.ArrayDIM($BB82:$BE82))</f>
        <v>6310</v>
      </c>
      <c r="B82" s="361"/>
      <c r="C82" s="361">
        <f t="shared" si="38"/>
        <v>6408</v>
      </c>
      <c r="D82" s="361"/>
      <c r="E82" s="361">
        <f t="array" ref="E82">_xll.BC(DB,_xll.ArrayDPT($AA82:$AE82),_xll.ArrayCOA($AG82:$AZ82),YR,PRD,RV,_xll.ArrayDIM($BB82:$BE82))</f>
        <v>0</v>
      </c>
      <c r="F82" s="361"/>
      <c r="G82" s="361">
        <f>-_xll.AC(DB,_xll.ArrayDPT($AA82:$AE82),_xll.ArrayCOA($AG82:$AZ82),YR,PRD,_xll.ArrayDIM($BB82:$BE82))</f>
        <v>6408</v>
      </c>
      <c r="H82" s="361"/>
      <c r="I82" s="361"/>
      <c r="J82" s="362" t="s">
        <v>735</v>
      </c>
      <c r="K82" s="361"/>
      <c r="L82" s="363">
        <f t="array" ref="L82">-_xll.ACC(DB,_xll.ArrayDPT($AA82:$AE82),_xll.ArrayCOA($AG82:$AZ82),YR,PRD,_xll.ArrayDIM($BB82:$BE82))</f>
        <v>6408</v>
      </c>
      <c r="M82" s="363"/>
      <c r="N82" s="363">
        <f t="array" ref="N82">_xll.BCC(DB,_xll.ArrayDPT($AA82:$AE82),_xll.ArrayCOA($AG82:$AZ82),YR,PRD,RV,_xll.ArrayDIM($BB82:$BE82))</f>
        <v>0</v>
      </c>
      <c r="O82" s="363"/>
      <c r="P82" s="363">
        <f t="shared" si="39"/>
        <v>-6408</v>
      </c>
      <c r="Q82" s="363"/>
      <c r="R82" s="363">
        <f t="array" ref="R82">-_xll.ACC(DB,_xll.ArrayDPT($AA82:$AE82),_xll.ArrayCOA($AG82:$AZ82),YR-1,PRD,_xll.ArrayDIM($BB82:$BE82))</f>
        <v>6310</v>
      </c>
      <c r="S82" s="363"/>
      <c r="T82" s="364"/>
      <c r="U82" s="364"/>
      <c r="V82" s="364"/>
      <c r="W82" s="364"/>
      <c r="X82" s="364"/>
      <c r="Y82" s="364"/>
      <c r="Z82" s="364"/>
      <c r="AA82" s="96" t="s">
        <v>634</v>
      </c>
      <c r="AB82" s="96" t="s">
        <v>634</v>
      </c>
      <c r="AC82" s="96"/>
      <c r="AD82" s="96"/>
      <c r="AE82" s="96"/>
      <c r="AF82" s="97"/>
      <c r="AG82" s="95" t="s">
        <v>1360</v>
      </c>
      <c r="AH82" s="96" t="s">
        <v>1360</v>
      </c>
      <c r="AI82" s="95"/>
      <c r="AJ82" s="96"/>
      <c r="AK82" s="95"/>
      <c r="AL82" s="96"/>
      <c r="AM82" s="95"/>
      <c r="AN82" s="98"/>
      <c r="AO82" s="96"/>
      <c r="AP82" s="96"/>
      <c r="AQ82" s="95"/>
      <c r="AR82" s="98"/>
      <c r="AS82" s="96"/>
      <c r="AT82" s="96"/>
      <c r="AU82" s="95"/>
      <c r="AV82" s="98"/>
      <c r="AW82" s="96"/>
      <c r="AX82" s="96"/>
      <c r="AY82" s="95"/>
      <c r="AZ82" s="98"/>
      <c r="BA82" s="99"/>
      <c r="BB82" s="95"/>
      <c r="BC82" s="96"/>
      <c r="BD82" s="96"/>
      <c r="BE82" s="98"/>
      <c r="BF82" s="95"/>
      <c r="BG82" s="96"/>
      <c r="BH82" s="96"/>
      <c r="BI82" s="98"/>
    </row>
    <row r="83" spans="1:61" ht="12" customHeight="1">
      <c r="A83" s="366"/>
      <c r="B83" s="366"/>
      <c r="C83" s="366"/>
      <c r="D83" s="366"/>
      <c r="E83" s="366"/>
      <c r="F83" s="366"/>
      <c r="G83" s="366"/>
      <c r="H83" s="366"/>
      <c r="I83" s="366"/>
      <c r="J83" s="364"/>
      <c r="K83" s="366"/>
      <c r="L83" s="239"/>
      <c r="M83" s="239"/>
      <c r="N83" s="239"/>
      <c r="O83" s="239"/>
      <c r="P83" s="239"/>
      <c r="Q83" s="239"/>
      <c r="R83" s="239"/>
      <c r="S83" s="239"/>
      <c r="T83" s="364"/>
      <c r="U83" s="364"/>
      <c r="V83" s="364"/>
      <c r="W83" s="364"/>
      <c r="X83" s="364"/>
      <c r="Y83" s="364"/>
      <c r="Z83" s="364"/>
    </row>
    <row r="84" spans="1:61" ht="12" customHeight="1">
      <c r="A84" s="366"/>
      <c r="B84" s="366"/>
      <c r="C84" s="366"/>
      <c r="D84" s="366"/>
      <c r="E84" s="366"/>
      <c r="F84" s="366"/>
      <c r="G84" s="366">
        <f>Front!G74-Housekeeping!G72-Reservation!G70</f>
        <v>6623448.5300000012</v>
      </c>
      <c r="H84" s="366"/>
      <c r="I84" s="366"/>
      <c r="J84" s="364"/>
      <c r="K84" s="366"/>
      <c r="L84" s="239"/>
      <c r="M84" s="239"/>
      <c r="N84" s="239"/>
      <c r="O84" s="239"/>
      <c r="P84" s="239"/>
      <c r="Q84" s="239"/>
      <c r="R84" s="239"/>
      <c r="S84" s="239"/>
      <c r="T84" s="364"/>
      <c r="U84" s="364"/>
      <c r="V84" s="364"/>
      <c r="W84" s="364"/>
      <c r="X84" s="364"/>
      <c r="Y84" s="364"/>
      <c r="Z84" s="364"/>
    </row>
    <row r="85" spans="1:61" ht="12" customHeight="1">
      <c r="A85" s="366"/>
      <c r="B85" s="366"/>
      <c r="C85" s="366"/>
      <c r="D85" s="366"/>
      <c r="E85" s="366"/>
      <c r="F85" s="366"/>
      <c r="G85" s="366">
        <f>G84-G74</f>
        <v>-4166.070000000298</v>
      </c>
      <c r="H85" s="366"/>
      <c r="I85" s="366"/>
      <c r="J85" s="364"/>
      <c r="K85" s="366"/>
      <c r="L85" s="239"/>
      <c r="M85" s="239"/>
      <c r="N85" s="239"/>
      <c r="O85" s="239"/>
      <c r="P85" s="239"/>
      <c r="Q85" s="239"/>
      <c r="R85" s="239"/>
      <c r="S85" s="239"/>
      <c r="T85" s="364"/>
      <c r="U85" s="364"/>
      <c r="V85" s="364"/>
      <c r="W85" s="364"/>
      <c r="X85" s="364"/>
      <c r="Y85" s="364"/>
      <c r="Z85" s="364"/>
    </row>
    <row r="86" spans="1:61" ht="12" customHeight="1">
      <c r="A86" s="367"/>
      <c r="B86" s="367"/>
      <c r="C86" s="367"/>
      <c r="D86" s="367"/>
      <c r="E86" s="367"/>
      <c r="F86" s="367"/>
      <c r="G86" s="367"/>
      <c r="H86" s="367"/>
      <c r="I86" s="367"/>
      <c r="J86" s="365"/>
      <c r="K86" s="367"/>
      <c r="L86" s="244"/>
      <c r="M86" s="244"/>
      <c r="N86" s="244"/>
      <c r="O86" s="244"/>
      <c r="P86" s="244"/>
      <c r="Q86" s="244"/>
      <c r="R86" s="244"/>
      <c r="S86" s="244"/>
      <c r="T86" s="365"/>
      <c r="U86" s="365"/>
      <c r="V86" s="365"/>
      <c r="W86" s="365"/>
      <c r="X86" s="365"/>
      <c r="Y86" s="365"/>
      <c r="Z86" s="365"/>
    </row>
    <row r="87" spans="1:61" ht="12" customHeight="1">
      <c r="A87" s="366"/>
      <c r="B87" s="366"/>
      <c r="C87" s="366"/>
      <c r="D87" s="366"/>
      <c r="E87" s="366"/>
      <c r="F87" s="366"/>
      <c r="G87" s="366"/>
      <c r="H87" s="366"/>
      <c r="I87" s="366"/>
      <c r="J87" s="364"/>
      <c r="K87" s="366"/>
      <c r="L87" s="239"/>
      <c r="M87" s="239"/>
      <c r="N87" s="239"/>
      <c r="O87" s="239"/>
      <c r="P87" s="239"/>
      <c r="Q87" s="239"/>
      <c r="R87" s="239"/>
      <c r="S87" s="239"/>
      <c r="T87" s="364"/>
      <c r="U87" s="364"/>
      <c r="V87" s="359"/>
      <c r="W87" s="359"/>
      <c r="X87" s="359"/>
      <c r="Y87" s="359"/>
      <c r="Z87" s="359"/>
    </row>
    <row r="88" spans="1:61" ht="18" customHeight="1">
      <c r="A88" s="368"/>
      <c r="B88" s="102"/>
      <c r="C88" s="368"/>
      <c r="D88" s="102"/>
      <c r="E88" s="368"/>
      <c r="F88" s="102"/>
      <c r="G88" s="368"/>
      <c r="H88" s="102"/>
      <c r="I88" s="102"/>
      <c r="J88" s="369"/>
      <c r="K88" s="102"/>
      <c r="L88" s="369"/>
      <c r="M88" s="104"/>
      <c r="N88" s="369"/>
      <c r="O88" s="104"/>
      <c r="P88" s="369"/>
      <c r="Q88" s="104"/>
      <c r="R88" s="369"/>
      <c r="S88" s="104"/>
      <c r="T88" s="370"/>
      <c r="U88" s="370"/>
      <c r="V88" s="371"/>
      <c r="W88" s="371"/>
      <c r="X88" s="371"/>
      <c r="Y88" s="371"/>
      <c r="Z88" s="371"/>
    </row>
    <row r="89" spans="1:61" ht="18" customHeight="1">
      <c r="A89" s="368"/>
      <c r="B89" s="102"/>
      <c r="C89" s="368"/>
      <c r="D89" s="102"/>
      <c r="E89" s="368"/>
      <c r="F89" s="102"/>
      <c r="G89" s="368"/>
      <c r="H89" s="102"/>
      <c r="I89" s="102"/>
      <c r="J89" s="369"/>
      <c r="K89" s="102"/>
      <c r="L89" s="369"/>
      <c r="M89" s="104"/>
      <c r="N89" s="369"/>
      <c r="O89" s="104"/>
      <c r="P89" s="369"/>
      <c r="Q89" s="104"/>
      <c r="R89" s="369"/>
      <c r="S89" s="104"/>
      <c r="T89" s="370"/>
      <c r="U89" s="370"/>
      <c r="V89" s="371"/>
      <c r="W89" s="371"/>
      <c r="X89" s="371"/>
      <c r="Y89" s="371"/>
      <c r="Z89" s="371"/>
    </row>
    <row r="90" spans="1:61" ht="18" customHeight="1">
      <c r="A90" s="368"/>
      <c r="B90" s="102"/>
      <c r="C90" s="368"/>
      <c r="D90" s="102"/>
      <c r="E90" s="368"/>
      <c r="F90" s="368"/>
      <c r="G90" s="368"/>
      <c r="H90" s="102"/>
      <c r="I90" s="102"/>
      <c r="J90" s="369"/>
      <c r="K90" s="102"/>
      <c r="L90" s="369"/>
      <c r="M90" s="104"/>
      <c r="N90" s="369"/>
      <c r="O90" s="104"/>
      <c r="P90" s="369"/>
      <c r="Q90" s="104"/>
      <c r="R90" s="369"/>
      <c r="S90" s="104"/>
      <c r="T90" s="370"/>
      <c r="U90" s="370"/>
      <c r="V90" s="371"/>
      <c r="W90" s="371"/>
      <c r="X90" s="371"/>
      <c r="Y90" s="371"/>
      <c r="Z90" s="371"/>
    </row>
    <row r="91" spans="1:61" ht="18" customHeight="1">
      <c r="A91" s="368"/>
      <c r="B91" s="368"/>
      <c r="C91" s="372"/>
      <c r="D91" s="102"/>
      <c r="E91" s="368"/>
      <c r="F91" s="368"/>
      <c r="G91" s="368"/>
      <c r="H91" s="102"/>
      <c r="I91" s="102"/>
      <c r="J91" s="369"/>
      <c r="K91" s="102"/>
      <c r="L91" s="369"/>
      <c r="M91" s="104"/>
      <c r="N91" s="369"/>
      <c r="O91" s="104"/>
      <c r="P91" s="369"/>
      <c r="Q91" s="104"/>
      <c r="R91" s="369"/>
      <c r="S91" s="104"/>
      <c r="T91" s="370"/>
      <c r="U91" s="370"/>
      <c r="V91" s="371"/>
      <c r="W91" s="371"/>
      <c r="X91" s="371"/>
      <c r="Y91" s="371"/>
      <c r="Z91" s="371"/>
    </row>
    <row r="92" spans="1:61" ht="18" customHeight="1">
      <c r="A92" s="372"/>
      <c r="B92" s="373"/>
      <c r="C92" s="372"/>
      <c r="D92" s="102"/>
      <c r="E92" s="372"/>
      <c r="F92" s="373"/>
      <c r="G92" s="372"/>
      <c r="H92" s="102"/>
      <c r="I92" s="102"/>
      <c r="J92" s="125"/>
      <c r="K92" s="102"/>
      <c r="L92" s="125"/>
      <c r="M92" s="104"/>
      <c r="N92" s="125"/>
      <c r="O92" s="104"/>
      <c r="P92" s="125"/>
      <c r="Q92" s="104"/>
      <c r="R92" s="125"/>
      <c r="S92" s="104"/>
      <c r="T92" s="60"/>
      <c r="U92" s="60"/>
      <c r="V92" s="137"/>
      <c r="W92" s="137"/>
      <c r="X92" s="137"/>
      <c r="Y92" s="137"/>
      <c r="Z92" s="137"/>
    </row>
    <row r="93" spans="1:61" ht="18" customHeight="1">
      <c r="A93" s="373"/>
      <c r="B93" s="372"/>
      <c r="C93" s="153"/>
      <c r="D93" s="372"/>
      <c r="E93" s="373"/>
      <c r="F93" s="372"/>
      <c r="G93" s="102"/>
      <c r="H93" s="153"/>
      <c r="I93" s="125"/>
      <c r="J93" s="153"/>
      <c r="K93" s="374"/>
      <c r="L93" s="125"/>
      <c r="M93" s="104"/>
      <c r="N93" s="125"/>
      <c r="O93" s="104"/>
      <c r="P93" s="125"/>
      <c r="Q93" s="104"/>
      <c r="R93" s="125"/>
      <c r="S93" s="104"/>
      <c r="T93" s="60"/>
      <c r="U93" s="60"/>
      <c r="V93" s="137"/>
      <c r="W93" s="137"/>
      <c r="X93" s="137"/>
      <c r="Y93" s="137"/>
      <c r="Z93" s="137"/>
    </row>
    <row r="94" spans="1:61" ht="18" customHeight="1">
      <c r="A94" s="373"/>
      <c r="B94" s="372"/>
      <c r="C94" s="153"/>
      <c r="D94" s="372"/>
      <c r="E94" s="373"/>
      <c r="F94" s="372"/>
      <c r="G94" s="102"/>
      <c r="H94" s="153"/>
      <c r="I94" s="125"/>
      <c r="J94" s="153"/>
      <c r="K94" s="374"/>
      <c r="L94" s="125"/>
      <c r="M94" s="104"/>
      <c r="N94" s="125"/>
      <c r="O94" s="104"/>
      <c r="P94" s="125"/>
      <c r="Q94" s="104"/>
      <c r="R94" s="125"/>
      <c r="S94" s="104"/>
      <c r="T94" s="60"/>
      <c r="U94" s="60"/>
      <c r="V94" s="137"/>
      <c r="W94" s="137"/>
      <c r="X94" s="137"/>
      <c r="Y94" s="137"/>
      <c r="Z94" s="137"/>
    </row>
    <row r="95" spans="1:61" ht="18" customHeight="1">
      <c r="A95" s="373"/>
      <c r="B95" s="372"/>
      <c r="C95" s="153"/>
      <c r="D95" s="372"/>
      <c r="E95" s="373"/>
      <c r="F95" s="372"/>
      <c r="G95" s="102"/>
      <c r="H95" s="153"/>
      <c r="I95" s="125"/>
      <c r="J95" s="153"/>
      <c r="K95" s="374"/>
      <c r="L95" s="125"/>
      <c r="M95" s="104"/>
      <c r="N95" s="125"/>
      <c r="O95" s="104"/>
      <c r="P95" s="125"/>
      <c r="Q95" s="104"/>
      <c r="R95" s="125"/>
      <c r="S95" s="104"/>
      <c r="T95" s="60"/>
      <c r="U95" s="60"/>
      <c r="V95" s="137"/>
      <c r="W95" s="137"/>
      <c r="X95" s="137"/>
      <c r="Y95" s="137"/>
      <c r="Z95" s="137"/>
    </row>
    <row r="96" spans="1:61" ht="18" customHeight="1">
      <c r="A96" s="373"/>
      <c r="B96" s="372"/>
      <c r="C96" s="153"/>
      <c r="D96" s="372"/>
      <c r="E96" s="373"/>
      <c r="F96" s="372"/>
      <c r="G96" s="102"/>
      <c r="H96" s="153"/>
      <c r="I96" s="125"/>
      <c r="J96" s="153"/>
      <c r="K96" s="374"/>
      <c r="L96" s="125"/>
      <c r="M96" s="104"/>
      <c r="N96" s="125"/>
      <c r="O96" s="104"/>
      <c r="P96" s="125"/>
      <c r="Q96" s="104"/>
      <c r="R96" s="125"/>
      <c r="S96" s="104"/>
      <c r="T96" s="60"/>
      <c r="U96" s="60"/>
      <c r="V96" s="137"/>
      <c r="W96" s="137"/>
      <c r="X96" s="137"/>
      <c r="Y96" s="137"/>
      <c r="Z96" s="137"/>
    </row>
    <row r="97" spans="1:26" ht="18" customHeight="1">
      <c r="A97" s="373"/>
      <c r="B97" s="372"/>
      <c r="C97" s="153"/>
      <c r="D97" s="372"/>
      <c r="E97" s="373"/>
      <c r="F97" s="372"/>
      <c r="G97" s="102"/>
      <c r="H97" s="153"/>
      <c r="I97" s="125"/>
      <c r="J97" s="153"/>
      <c r="K97" s="374"/>
      <c r="L97" s="125"/>
      <c r="M97" s="104"/>
      <c r="N97" s="125"/>
      <c r="O97" s="104"/>
      <c r="P97" s="125"/>
      <c r="Q97" s="104"/>
      <c r="R97" s="125"/>
      <c r="S97" s="104"/>
      <c r="T97" s="60"/>
      <c r="U97" s="60"/>
      <c r="V97" s="137"/>
      <c r="W97" s="137"/>
      <c r="X97" s="137"/>
      <c r="Y97" s="137"/>
      <c r="Z97" s="137"/>
    </row>
    <row r="98" spans="1:26" ht="12" customHeight="1">
      <c r="A98" s="373"/>
      <c r="B98" s="372"/>
      <c r="C98" s="102"/>
      <c r="D98" s="372"/>
      <c r="E98" s="373"/>
      <c r="F98" s="372"/>
      <c r="G98" s="102"/>
      <c r="H98" s="102"/>
      <c r="I98" s="125"/>
      <c r="J98" s="102"/>
      <c r="K98" s="374"/>
      <c r="L98" s="125"/>
      <c r="M98" s="104"/>
      <c r="N98" s="125"/>
      <c r="O98" s="104"/>
      <c r="P98" s="125"/>
      <c r="Q98" s="104"/>
      <c r="R98" s="125"/>
      <c r="S98" s="104"/>
      <c r="T98" s="60"/>
      <c r="U98" s="60"/>
      <c r="V98" s="137"/>
      <c r="W98" s="137"/>
      <c r="X98" s="137"/>
      <c r="Y98" s="137"/>
      <c r="Z98" s="137"/>
    </row>
    <row r="99" spans="1:26" ht="12" customHeight="1">
      <c r="A99" s="373"/>
      <c r="B99" s="372"/>
      <c r="C99" s="153"/>
      <c r="D99" s="372"/>
      <c r="E99" s="373"/>
      <c r="F99" s="372"/>
      <c r="G99" s="102"/>
      <c r="H99" s="153"/>
      <c r="I99" s="125"/>
      <c r="J99" s="153"/>
      <c r="K99" s="374"/>
      <c r="L99" s="125"/>
      <c r="M99" s="104"/>
      <c r="N99" s="125"/>
      <c r="O99" s="104"/>
      <c r="P99" s="125"/>
      <c r="Q99" s="104"/>
      <c r="R99" s="125"/>
      <c r="S99" s="104"/>
      <c r="T99" s="60"/>
      <c r="U99" s="60"/>
      <c r="V99" s="137"/>
      <c r="W99" s="137"/>
      <c r="X99" s="137"/>
      <c r="Y99" s="137"/>
      <c r="Z99" s="137"/>
    </row>
    <row r="100" spans="1:26" ht="12" customHeight="1">
      <c r="A100" s="373"/>
      <c r="B100" s="372"/>
      <c r="C100" s="153"/>
      <c r="D100" s="372"/>
      <c r="E100" s="373"/>
      <c r="F100" s="372"/>
      <c r="G100" s="102"/>
      <c r="H100" s="153"/>
      <c r="I100" s="125"/>
      <c r="J100" s="153"/>
      <c r="K100" s="374"/>
      <c r="L100" s="125"/>
      <c r="M100" s="104"/>
      <c r="N100" s="125"/>
      <c r="O100" s="104"/>
      <c r="P100" s="125"/>
      <c r="Q100" s="104"/>
      <c r="R100" s="125"/>
      <c r="S100" s="104"/>
      <c r="T100" s="60"/>
      <c r="U100" s="60"/>
      <c r="V100" s="137"/>
      <c r="W100" s="137"/>
      <c r="X100" s="137"/>
      <c r="Y100" s="137"/>
      <c r="Z100" s="137"/>
    </row>
    <row r="101" spans="1:26" ht="12" customHeight="1">
      <c r="A101" s="373"/>
      <c r="B101" s="372"/>
      <c r="C101" s="102"/>
      <c r="D101" s="372"/>
      <c r="E101" s="373"/>
      <c r="F101" s="372"/>
      <c r="G101" s="102"/>
      <c r="H101" s="102"/>
      <c r="I101" s="125"/>
      <c r="J101" s="102"/>
      <c r="K101" s="374"/>
      <c r="L101" s="125"/>
      <c r="M101" s="104"/>
      <c r="N101" s="125"/>
      <c r="O101" s="104"/>
      <c r="P101" s="125"/>
      <c r="Q101" s="104"/>
      <c r="R101" s="125"/>
      <c r="S101" s="104"/>
      <c r="T101" s="60"/>
      <c r="U101" s="60"/>
      <c r="V101" s="137"/>
      <c r="W101" s="137"/>
      <c r="X101" s="137"/>
      <c r="Y101" s="137"/>
      <c r="Z101" s="137"/>
    </row>
    <row r="102" spans="1:26" ht="12" customHeight="1">
      <c r="A102" s="373"/>
      <c r="B102" s="372"/>
      <c r="C102" s="102"/>
      <c r="D102" s="372"/>
      <c r="E102" s="373"/>
      <c r="F102" s="372"/>
      <c r="G102" s="102"/>
      <c r="H102" s="102"/>
      <c r="I102" s="125"/>
      <c r="J102" s="102"/>
      <c r="K102" s="374"/>
      <c r="L102" s="125"/>
      <c r="M102" s="104"/>
      <c r="N102" s="125"/>
      <c r="O102" s="375"/>
      <c r="P102" s="125"/>
      <c r="Q102" s="104"/>
      <c r="R102" s="125"/>
      <c r="S102" s="104"/>
      <c r="T102" s="60"/>
      <c r="U102" s="60"/>
      <c r="V102" s="137"/>
      <c r="W102" s="137"/>
      <c r="X102" s="137"/>
      <c r="Y102" s="137"/>
      <c r="Z102" s="137"/>
    </row>
    <row r="103" spans="1:26" ht="12" customHeight="1">
      <c r="A103" s="373"/>
      <c r="B103" s="372"/>
      <c r="C103" s="153"/>
      <c r="D103" s="372"/>
      <c r="E103" s="373"/>
      <c r="F103" s="372"/>
      <c r="G103" s="102"/>
      <c r="H103" s="153"/>
      <c r="I103" s="125"/>
      <c r="J103" s="153"/>
      <c r="K103" s="374"/>
      <c r="L103" s="125"/>
      <c r="M103" s="375"/>
      <c r="N103" s="125"/>
      <c r="O103" s="375"/>
      <c r="P103" s="125"/>
      <c r="Q103" s="209"/>
      <c r="R103" s="125"/>
      <c r="S103" s="209"/>
      <c r="T103" s="60"/>
      <c r="U103" s="60"/>
      <c r="V103" s="137"/>
      <c r="W103" s="137"/>
      <c r="X103" s="137"/>
      <c r="Y103" s="137"/>
      <c r="Z103" s="137"/>
    </row>
    <row r="104" spans="1:26" ht="12" customHeight="1">
      <c r="A104" s="373"/>
      <c r="B104" s="372"/>
      <c r="C104" s="153"/>
      <c r="D104" s="372"/>
      <c r="E104" s="373"/>
      <c r="F104" s="372"/>
      <c r="G104" s="102"/>
      <c r="H104" s="153"/>
      <c r="I104" s="125"/>
      <c r="J104" s="153"/>
      <c r="K104" s="374"/>
      <c r="L104" s="125"/>
      <c r="M104" s="375"/>
      <c r="N104" s="125"/>
      <c r="O104" s="375"/>
      <c r="P104" s="125"/>
      <c r="Q104" s="209"/>
      <c r="R104" s="125"/>
      <c r="S104" s="209"/>
      <c r="T104" s="60"/>
      <c r="U104" s="60"/>
      <c r="V104" s="137"/>
      <c r="W104" s="137"/>
      <c r="X104" s="137"/>
      <c r="Y104" s="137"/>
      <c r="Z104" s="137"/>
    </row>
    <row r="105" spans="1:26" ht="12" customHeight="1">
      <c r="A105" s="373"/>
      <c r="B105" s="372"/>
      <c r="C105" s="153"/>
      <c r="D105" s="372"/>
      <c r="E105" s="373"/>
      <c r="F105" s="372"/>
      <c r="G105" s="102"/>
      <c r="H105" s="153"/>
      <c r="I105" s="125"/>
      <c r="J105" s="153"/>
      <c r="K105" s="374"/>
      <c r="L105" s="125"/>
      <c r="M105" s="375"/>
      <c r="N105" s="125"/>
      <c r="O105" s="375"/>
      <c r="P105" s="125"/>
      <c r="Q105" s="209"/>
      <c r="R105" s="125"/>
      <c r="S105" s="209"/>
      <c r="T105" s="60"/>
      <c r="U105" s="60"/>
      <c r="V105" s="137"/>
      <c r="W105" s="137"/>
      <c r="X105" s="137"/>
      <c r="Y105" s="137"/>
      <c r="Z105" s="137"/>
    </row>
    <row r="106" spans="1:26" ht="12" customHeight="1">
      <c r="A106" s="373"/>
      <c r="B106" s="372"/>
      <c r="C106" s="153"/>
      <c r="D106" s="372"/>
      <c r="E106" s="373"/>
      <c r="F106" s="372"/>
      <c r="G106" s="102"/>
      <c r="H106" s="153"/>
      <c r="I106" s="125"/>
      <c r="J106" s="153"/>
      <c r="K106" s="374"/>
      <c r="L106" s="125"/>
      <c r="M106" s="375"/>
      <c r="N106" s="125"/>
      <c r="O106" s="375"/>
      <c r="P106" s="125"/>
      <c r="Q106" s="209"/>
      <c r="R106" s="125"/>
      <c r="S106" s="209"/>
      <c r="T106" s="60"/>
      <c r="U106" s="60"/>
      <c r="V106" s="137"/>
      <c r="W106" s="137"/>
      <c r="X106" s="137"/>
      <c r="Y106" s="137"/>
      <c r="Z106" s="137"/>
    </row>
    <row r="107" spans="1:26" ht="12" customHeight="1">
      <c r="A107" s="373"/>
      <c r="B107" s="372"/>
      <c r="C107" s="153"/>
      <c r="D107" s="372"/>
      <c r="E107" s="373"/>
      <c r="F107" s="372"/>
      <c r="G107" s="102"/>
      <c r="H107" s="153"/>
      <c r="I107" s="125"/>
      <c r="J107" s="153"/>
      <c r="K107" s="374"/>
      <c r="L107" s="125"/>
      <c r="M107" s="375"/>
      <c r="N107" s="125"/>
      <c r="O107" s="375"/>
      <c r="P107" s="125"/>
      <c r="Q107" s="209"/>
      <c r="R107" s="125"/>
      <c r="S107" s="209"/>
      <c r="T107" s="60"/>
      <c r="U107" s="60"/>
      <c r="V107" s="137"/>
      <c r="W107" s="137"/>
      <c r="X107" s="137"/>
      <c r="Y107" s="137"/>
      <c r="Z107" s="137"/>
    </row>
    <row r="108" spans="1:26" ht="12" customHeight="1">
      <c r="A108" s="373"/>
      <c r="B108" s="372"/>
      <c r="C108" s="102"/>
      <c r="D108" s="372"/>
      <c r="E108" s="373"/>
      <c r="F108" s="372"/>
      <c r="G108" s="102"/>
      <c r="H108" s="102"/>
      <c r="I108" s="125"/>
      <c r="J108" s="102"/>
      <c r="K108" s="374"/>
      <c r="L108" s="125"/>
      <c r="M108" s="375"/>
      <c r="N108" s="125"/>
      <c r="O108" s="375"/>
      <c r="P108" s="125"/>
      <c r="Q108" s="209"/>
      <c r="R108" s="125"/>
      <c r="S108" s="209"/>
      <c r="T108" s="60"/>
      <c r="U108" s="60"/>
      <c r="V108" s="137"/>
      <c r="W108" s="137"/>
      <c r="X108" s="137"/>
      <c r="Y108" s="137"/>
      <c r="Z108" s="137"/>
    </row>
    <row r="109" spans="1:26" ht="12" customHeight="1">
      <c r="A109" s="373"/>
      <c r="B109" s="372"/>
      <c r="C109" s="102"/>
      <c r="D109" s="372"/>
      <c r="E109" s="373"/>
      <c r="F109" s="372"/>
      <c r="G109" s="102"/>
      <c r="H109" s="102"/>
      <c r="I109" s="125"/>
      <c r="J109" s="102"/>
      <c r="K109" s="374"/>
      <c r="L109" s="125"/>
      <c r="M109" s="375"/>
      <c r="N109" s="125"/>
      <c r="O109" s="375"/>
      <c r="P109" s="125"/>
      <c r="Q109" s="209"/>
      <c r="R109" s="125"/>
      <c r="S109" s="209"/>
      <c r="T109" s="60"/>
      <c r="U109" s="60"/>
      <c r="V109" s="137"/>
      <c r="W109" s="137"/>
      <c r="X109" s="137"/>
      <c r="Y109" s="137"/>
      <c r="Z109" s="137"/>
    </row>
    <row r="110" spans="1:26" ht="12" customHeight="1">
      <c r="A110" s="373"/>
      <c r="B110" s="372"/>
      <c r="C110" s="102"/>
      <c r="D110" s="372"/>
      <c r="E110" s="373"/>
      <c r="F110" s="372"/>
      <c r="G110" s="102"/>
      <c r="H110" s="102"/>
      <c r="I110" s="125"/>
      <c r="J110" s="102"/>
      <c r="K110" s="374"/>
      <c r="L110" s="125"/>
      <c r="M110" s="375"/>
      <c r="N110" s="125"/>
      <c r="O110" s="375"/>
      <c r="P110" s="125"/>
      <c r="Q110" s="209"/>
      <c r="R110" s="125"/>
      <c r="S110" s="209"/>
      <c r="T110" s="60"/>
      <c r="U110" s="60"/>
      <c r="V110" s="137"/>
      <c r="W110" s="137"/>
      <c r="X110" s="137"/>
      <c r="Y110" s="137"/>
      <c r="Z110" s="137"/>
    </row>
    <row r="111" spans="1:26" ht="12" customHeight="1">
      <c r="A111" s="373"/>
      <c r="B111" s="372"/>
      <c r="C111" s="102"/>
      <c r="D111" s="372"/>
      <c r="E111" s="373"/>
      <c r="F111" s="372"/>
      <c r="G111" s="102"/>
      <c r="H111" s="102"/>
      <c r="I111" s="125"/>
      <c r="J111" s="102"/>
      <c r="K111" s="374"/>
      <c r="L111" s="125"/>
      <c r="M111" s="375"/>
      <c r="N111" s="125"/>
      <c r="O111" s="375"/>
      <c r="P111" s="125"/>
      <c r="Q111" s="209"/>
      <c r="R111" s="125"/>
      <c r="S111" s="209"/>
      <c r="T111" s="60"/>
      <c r="U111" s="60"/>
      <c r="V111" s="137"/>
      <c r="W111" s="137"/>
      <c r="X111" s="137"/>
      <c r="Y111" s="137"/>
      <c r="Z111" s="137"/>
    </row>
    <row r="112" spans="1:26" ht="12" customHeight="1">
      <c r="A112" s="373"/>
      <c r="B112" s="372"/>
      <c r="C112" s="102"/>
      <c r="D112" s="372"/>
      <c r="E112" s="373"/>
      <c r="F112" s="372"/>
      <c r="G112" s="102"/>
      <c r="H112" s="102"/>
      <c r="I112" s="125"/>
      <c r="J112" s="102"/>
      <c r="K112" s="374"/>
      <c r="L112" s="125"/>
      <c r="M112" s="375"/>
      <c r="N112" s="125"/>
      <c r="O112" s="375"/>
      <c r="P112" s="125"/>
      <c r="Q112" s="209"/>
      <c r="R112" s="125"/>
      <c r="S112" s="209"/>
      <c r="T112" s="60"/>
      <c r="U112" s="60"/>
      <c r="V112" s="137"/>
      <c r="W112" s="137"/>
      <c r="X112" s="137"/>
      <c r="Y112" s="137"/>
      <c r="Z112" s="137"/>
    </row>
    <row r="113" spans="1:26" ht="12" customHeight="1">
      <c r="A113" s="373"/>
      <c r="B113" s="372"/>
      <c r="C113" s="153"/>
      <c r="D113" s="372"/>
      <c r="E113" s="373"/>
      <c r="F113" s="372"/>
      <c r="G113" s="102"/>
      <c r="H113" s="153"/>
      <c r="I113" s="125"/>
      <c r="J113" s="153"/>
      <c r="K113" s="374"/>
      <c r="L113" s="125"/>
      <c r="M113" s="375"/>
      <c r="N113" s="125"/>
      <c r="O113" s="375"/>
      <c r="P113" s="125"/>
      <c r="Q113" s="209"/>
      <c r="R113" s="125"/>
      <c r="S113" s="209"/>
      <c r="T113" s="60"/>
      <c r="U113" s="60"/>
      <c r="V113" s="137"/>
      <c r="W113" s="137"/>
      <c r="X113" s="137"/>
      <c r="Y113" s="137"/>
      <c r="Z113" s="137"/>
    </row>
    <row r="114" spans="1:26" ht="12" customHeight="1">
      <c r="A114" s="373"/>
      <c r="B114" s="372"/>
      <c r="C114" s="153"/>
      <c r="D114" s="372"/>
      <c r="E114" s="373"/>
      <c r="F114" s="372"/>
      <c r="G114" s="102"/>
      <c r="H114" s="153"/>
      <c r="I114" s="125"/>
      <c r="J114" s="153"/>
      <c r="K114" s="374"/>
      <c r="L114" s="125"/>
      <c r="M114" s="375"/>
      <c r="N114" s="125"/>
      <c r="O114" s="375"/>
      <c r="P114" s="125"/>
      <c r="Q114" s="209"/>
      <c r="R114" s="125"/>
      <c r="S114" s="209"/>
      <c r="T114" s="60"/>
      <c r="U114" s="60"/>
      <c r="V114" s="137"/>
      <c r="W114" s="137"/>
      <c r="X114" s="137"/>
      <c r="Y114" s="137"/>
      <c r="Z114" s="137"/>
    </row>
    <row r="115" spans="1:26" ht="12" customHeight="1">
      <c r="A115" s="373"/>
      <c r="B115" s="372"/>
      <c r="C115" s="153"/>
      <c r="D115" s="372"/>
      <c r="E115" s="373"/>
      <c r="F115" s="372"/>
      <c r="G115" s="102"/>
      <c r="H115" s="153"/>
      <c r="I115" s="125"/>
      <c r="J115" s="153"/>
      <c r="K115" s="374"/>
      <c r="L115" s="125"/>
      <c r="M115" s="375"/>
      <c r="N115" s="125"/>
      <c r="O115" s="375"/>
      <c r="P115" s="125"/>
      <c r="Q115" s="209"/>
      <c r="R115" s="125"/>
      <c r="S115" s="209"/>
      <c r="T115" s="60"/>
      <c r="U115" s="60"/>
      <c r="V115" s="137"/>
      <c r="W115" s="137"/>
      <c r="X115" s="137"/>
      <c r="Y115" s="137"/>
      <c r="Z115" s="137"/>
    </row>
    <row r="116" spans="1:26" ht="12" customHeight="1">
      <c r="A116" s="373"/>
      <c r="B116" s="372"/>
      <c r="C116" s="153"/>
      <c r="D116" s="372"/>
      <c r="E116" s="373"/>
      <c r="F116" s="372"/>
      <c r="G116" s="102"/>
      <c r="H116" s="153"/>
      <c r="I116" s="125"/>
      <c r="J116" s="153"/>
      <c r="K116" s="374"/>
      <c r="L116" s="125"/>
      <c r="M116" s="375"/>
      <c r="N116" s="125"/>
      <c r="O116" s="375"/>
      <c r="P116" s="125"/>
      <c r="Q116" s="209"/>
      <c r="R116" s="125"/>
      <c r="S116" s="209"/>
      <c r="T116" s="60"/>
      <c r="U116" s="60"/>
      <c r="V116" s="137"/>
      <c r="W116" s="137"/>
      <c r="X116" s="137"/>
      <c r="Y116" s="137"/>
      <c r="Z116" s="137"/>
    </row>
    <row r="117" spans="1:26" ht="12" customHeight="1">
      <c r="A117" s="373"/>
      <c r="B117" s="368"/>
      <c r="C117" s="102"/>
      <c r="D117" s="372"/>
      <c r="E117" s="373"/>
      <c r="F117" s="372"/>
      <c r="G117" s="102"/>
      <c r="H117" s="102"/>
      <c r="I117" s="125"/>
      <c r="J117" s="102"/>
      <c r="K117" s="374"/>
      <c r="L117" s="125"/>
      <c r="M117" s="375"/>
      <c r="N117" s="125"/>
      <c r="O117" s="375"/>
      <c r="P117" s="125"/>
      <c r="Q117" s="209"/>
      <c r="R117" s="125"/>
      <c r="S117" s="209"/>
      <c r="T117" s="60"/>
      <c r="U117" s="60"/>
      <c r="V117" s="137"/>
      <c r="W117" s="137"/>
      <c r="X117" s="137"/>
      <c r="Y117" s="137"/>
      <c r="Z117" s="137"/>
    </row>
    <row r="118" spans="1:26" ht="12" customHeight="1">
      <c r="A118" s="373"/>
      <c r="B118" s="372"/>
      <c r="C118" s="102"/>
      <c r="D118" s="372"/>
      <c r="E118" s="373"/>
      <c r="F118" s="372"/>
      <c r="G118" s="102"/>
      <c r="H118" s="102"/>
      <c r="I118" s="125"/>
      <c r="J118" s="102"/>
      <c r="K118" s="374"/>
      <c r="L118" s="125"/>
      <c r="M118" s="375"/>
      <c r="N118" s="125"/>
      <c r="O118" s="375"/>
      <c r="P118" s="125"/>
      <c r="Q118" s="209"/>
      <c r="R118" s="125"/>
      <c r="S118" s="209"/>
      <c r="T118" s="60"/>
      <c r="U118" s="60"/>
      <c r="V118" s="137"/>
      <c r="W118" s="137"/>
      <c r="X118" s="137"/>
      <c r="Y118" s="137"/>
      <c r="Z118" s="137"/>
    </row>
    <row r="119" spans="1:26" ht="12" customHeight="1">
      <c r="A119" s="373"/>
      <c r="B119" s="372"/>
      <c r="C119" s="153"/>
      <c r="D119" s="372"/>
      <c r="E119" s="373"/>
      <c r="F119" s="372"/>
      <c r="G119" s="102"/>
      <c r="H119" s="153"/>
      <c r="I119" s="125"/>
      <c r="J119" s="153"/>
      <c r="K119" s="374"/>
      <c r="L119" s="125"/>
      <c r="M119" s="375"/>
      <c r="N119" s="125"/>
      <c r="O119" s="375"/>
      <c r="P119" s="125"/>
      <c r="Q119" s="209"/>
      <c r="R119" s="125"/>
      <c r="S119" s="209"/>
      <c r="T119" s="60"/>
      <c r="U119" s="60"/>
      <c r="V119" s="137"/>
      <c r="W119" s="137"/>
      <c r="X119" s="137"/>
      <c r="Y119" s="137"/>
      <c r="Z119" s="137"/>
    </row>
    <row r="120" spans="1:26" ht="12" customHeight="1">
      <c r="A120" s="372"/>
      <c r="B120" s="373"/>
      <c r="C120" s="372"/>
      <c r="D120" s="153"/>
      <c r="E120" s="372"/>
      <c r="F120" s="373"/>
      <c r="G120" s="372"/>
      <c r="H120" s="102"/>
      <c r="I120" s="153"/>
      <c r="J120" s="125"/>
      <c r="K120" s="153"/>
      <c r="L120" s="125"/>
      <c r="M120" s="375"/>
      <c r="N120" s="125"/>
      <c r="O120" s="375"/>
      <c r="P120" s="125"/>
      <c r="Q120" s="209"/>
      <c r="R120" s="125"/>
      <c r="S120" s="209"/>
      <c r="T120" s="60"/>
      <c r="U120" s="60"/>
      <c r="V120" s="137"/>
      <c r="W120" s="137"/>
      <c r="X120" s="137"/>
      <c r="Y120" s="137"/>
      <c r="Z120" s="137"/>
    </row>
    <row r="121" spans="1:26" ht="12" customHeight="1">
      <c r="A121" s="372"/>
      <c r="B121" s="373"/>
      <c r="C121" s="372"/>
      <c r="D121" s="153"/>
      <c r="E121" s="372"/>
      <c r="F121" s="373"/>
      <c r="G121" s="372"/>
      <c r="H121" s="102"/>
      <c r="I121" s="153"/>
      <c r="J121" s="125"/>
      <c r="K121" s="153"/>
      <c r="L121" s="125"/>
      <c r="M121" s="375"/>
      <c r="N121" s="125"/>
      <c r="O121" s="375"/>
      <c r="P121" s="125"/>
      <c r="Q121" s="209"/>
      <c r="R121" s="125"/>
      <c r="S121" s="209"/>
      <c r="T121" s="60"/>
      <c r="U121" s="60"/>
      <c r="V121" s="137"/>
      <c r="W121" s="137"/>
      <c r="X121" s="137"/>
      <c r="Y121" s="137"/>
      <c r="Z121" s="137"/>
    </row>
    <row r="122" spans="1:26" ht="12" customHeight="1">
      <c r="A122" s="372"/>
      <c r="B122" s="373"/>
      <c r="C122" s="372"/>
      <c r="D122" s="153"/>
      <c r="E122" s="372"/>
      <c r="F122" s="373"/>
      <c r="G122" s="372"/>
      <c r="H122" s="102"/>
      <c r="I122" s="153"/>
      <c r="J122" s="125"/>
      <c r="K122" s="153"/>
      <c r="L122" s="125"/>
      <c r="M122" s="375"/>
      <c r="N122" s="125"/>
      <c r="O122" s="375"/>
      <c r="P122" s="125"/>
      <c r="Q122" s="209"/>
      <c r="R122" s="125"/>
      <c r="S122" s="209"/>
      <c r="T122" s="60"/>
      <c r="U122" s="60"/>
      <c r="V122" s="137"/>
      <c r="W122" s="137"/>
      <c r="X122" s="137"/>
      <c r="Y122" s="137"/>
      <c r="Z122" s="137"/>
    </row>
    <row r="123" spans="1:26" ht="12" customHeight="1">
      <c r="A123" s="372"/>
      <c r="B123" s="373"/>
      <c r="C123" s="372"/>
      <c r="D123" s="153"/>
      <c r="E123" s="372"/>
      <c r="F123" s="373"/>
      <c r="G123" s="372"/>
      <c r="H123" s="102"/>
      <c r="I123" s="153"/>
      <c r="J123" s="125"/>
      <c r="K123" s="153"/>
      <c r="L123" s="125"/>
      <c r="M123" s="375"/>
      <c r="N123" s="125"/>
      <c r="O123" s="375"/>
      <c r="P123" s="125"/>
      <c r="Q123" s="209"/>
      <c r="R123" s="125"/>
      <c r="S123" s="209"/>
      <c r="T123" s="60"/>
      <c r="U123" s="60"/>
      <c r="V123" s="137"/>
      <c r="W123" s="137"/>
      <c r="X123" s="137"/>
      <c r="Y123" s="137"/>
      <c r="Z123" s="137"/>
    </row>
    <row r="124" spans="1:26" ht="12" customHeight="1">
      <c r="A124" s="372"/>
      <c r="B124" s="373"/>
      <c r="C124" s="372"/>
      <c r="D124" s="153"/>
      <c r="E124" s="372"/>
      <c r="F124" s="373"/>
      <c r="G124" s="372"/>
      <c r="H124" s="102"/>
      <c r="I124" s="153"/>
      <c r="J124" s="125"/>
      <c r="K124" s="153"/>
      <c r="L124" s="125"/>
      <c r="M124" s="375"/>
      <c r="N124" s="125"/>
      <c r="O124" s="375"/>
      <c r="P124" s="125"/>
      <c r="Q124" s="209"/>
      <c r="R124" s="125"/>
      <c r="S124" s="209"/>
      <c r="T124" s="60"/>
      <c r="U124" s="60"/>
      <c r="V124" s="137"/>
      <c r="W124" s="137"/>
      <c r="X124" s="137"/>
      <c r="Y124" s="137"/>
      <c r="Z124" s="137"/>
    </row>
    <row r="125" spans="1:26" ht="12" customHeight="1">
      <c r="A125" s="372"/>
      <c r="B125" s="373"/>
      <c r="C125" s="372"/>
      <c r="D125" s="153"/>
      <c r="E125" s="372"/>
      <c r="F125" s="373"/>
      <c r="G125" s="372"/>
      <c r="H125" s="102"/>
      <c r="I125" s="153"/>
      <c r="J125" s="125"/>
      <c r="K125" s="153"/>
      <c r="L125" s="125"/>
      <c r="M125" s="375"/>
      <c r="N125" s="125"/>
      <c r="O125" s="375"/>
      <c r="P125" s="125"/>
      <c r="Q125" s="209"/>
      <c r="R125" s="125"/>
      <c r="S125" s="209"/>
      <c r="T125" s="60"/>
      <c r="U125" s="60"/>
      <c r="V125" s="137"/>
      <c r="W125" s="137"/>
      <c r="X125" s="137"/>
      <c r="Y125" s="137"/>
      <c r="Z125" s="137"/>
    </row>
    <row r="126" spans="1:26" ht="12" customHeight="1">
      <c r="A126" s="372"/>
      <c r="B126" s="373"/>
      <c r="C126" s="372"/>
      <c r="D126" s="153"/>
      <c r="E126" s="372"/>
      <c r="F126" s="373"/>
      <c r="G126" s="372"/>
      <c r="H126" s="102"/>
      <c r="I126" s="153"/>
      <c r="J126" s="125"/>
      <c r="K126" s="153"/>
      <c r="L126" s="125"/>
      <c r="M126" s="375"/>
      <c r="N126" s="125"/>
      <c r="O126" s="375"/>
      <c r="P126" s="125"/>
      <c r="Q126" s="209"/>
      <c r="R126" s="125"/>
      <c r="S126" s="209"/>
      <c r="T126" s="60"/>
      <c r="U126" s="60"/>
      <c r="V126" s="137"/>
      <c r="W126" s="137"/>
      <c r="X126" s="137"/>
      <c r="Y126" s="137"/>
      <c r="Z126" s="137"/>
    </row>
    <row r="127" spans="1:26" ht="12" customHeight="1">
      <c r="A127" s="372"/>
      <c r="B127" s="373"/>
      <c r="C127" s="372"/>
      <c r="D127" s="153"/>
      <c r="E127" s="372"/>
      <c r="F127" s="373"/>
      <c r="G127" s="372"/>
      <c r="H127" s="102"/>
      <c r="I127" s="153"/>
      <c r="J127" s="125"/>
      <c r="K127" s="153"/>
      <c r="L127" s="125"/>
      <c r="M127" s="375"/>
      <c r="N127" s="125"/>
      <c r="O127" s="375"/>
      <c r="P127" s="125"/>
      <c r="Q127" s="209"/>
      <c r="R127" s="125"/>
      <c r="S127" s="209"/>
      <c r="T127" s="60"/>
      <c r="U127" s="60"/>
      <c r="V127" s="137"/>
      <c r="W127" s="137"/>
      <c r="X127" s="137"/>
      <c r="Y127" s="137"/>
      <c r="Z127" s="137"/>
    </row>
    <row r="128" spans="1:26" ht="12" customHeight="1">
      <c r="A128" s="372"/>
      <c r="B128" s="373"/>
      <c r="C128" s="372"/>
      <c r="D128" s="153"/>
      <c r="E128" s="372"/>
      <c r="F128" s="373"/>
      <c r="G128" s="372"/>
      <c r="H128" s="102"/>
      <c r="I128" s="153"/>
      <c r="J128" s="125"/>
      <c r="K128" s="153"/>
      <c r="L128" s="125"/>
      <c r="M128" s="375"/>
      <c r="N128" s="125"/>
      <c r="O128" s="375"/>
      <c r="P128" s="125"/>
      <c r="Q128" s="209"/>
      <c r="R128" s="125"/>
      <c r="S128" s="209"/>
      <c r="T128" s="60"/>
      <c r="U128" s="60"/>
      <c r="V128" s="137"/>
      <c r="W128" s="137"/>
      <c r="X128" s="137"/>
      <c r="Y128" s="137"/>
      <c r="Z128" s="137"/>
    </row>
    <row r="129" spans="1:26" ht="12" customHeight="1">
      <c r="A129" s="372"/>
      <c r="B129" s="373"/>
      <c r="C129" s="372"/>
      <c r="D129" s="153"/>
      <c r="E129" s="372"/>
      <c r="F129" s="373"/>
      <c r="G129" s="372"/>
      <c r="H129" s="102"/>
      <c r="I129" s="153"/>
      <c r="J129" s="125"/>
      <c r="K129" s="153"/>
      <c r="L129" s="125"/>
      <c r="M129" s="375"/>
      <c r="N129" s="125"/>
      <c r="O129" s="375"/>
      <c r="P129" s="125"/>
      <c r="Q129" s="209"/>
      <c r="R129" s="125"/>
      <c r="S129" s="209"/>
      <c r="T129" s="60"/>
      <c r="U129" s="60"/>
      <c r="V129" s="137"/>
      <c r="W129" s="137"/>
      <c r="X129" s="137"/>
      <c r="Y129" s="137"/>
      <c r="Z129" s="137"/>
    </row>
    <row r="130" spans="1:26" ht="12" customHeight="1">
      <c r="A130" s="372"/>
      <c r="B130" s="373"/>
      <c r="C130" s="372"/>
      <c r="D130" s="153"/>
      <c r="E130" s="372"/>
      <c r="F130" s="373"/>
      <c r="G130" s="372"/>
      <c r="H130" s="102"/>
      <c r="I130" s="153"/>
      <c r="J130" s="125"/>
      <c r="K130" s="153"/>
      <c r="L130" s="125"/>
      <c r="M130" s="375"/>
      <c r="N130" s="125"/>
      <c r="O130" s="375"/>
      <c r="P130" s="125"/>
      <c r="Q130" s="209"/>
      <c r="R130" s="125"/>
      <c r="S130" s="209"/>
      <c r="T130" s="60"/>
      <c r="U130" s="60"/>
      <c r="V130" s="137"/>
      <c r="W130" s="137"/>
      <c r="X130" s="137"/>
      <c r="Y130" s="137"/>
      <c r="Z130" s="137"/>
    </row>
    <row r="131" spans="1:26" ht="12" customHeight="1">
      <c r="A131" s="372"/>
      <c r="B131" s="373"/>
      <c r="C131" s="372"/>
      <c r="D131" s="153"/>
      <c r="E131" s="372"/>
      <c r="F131" s="373"/>
      <c r="G131" s="372"/>
      <c r="H131" s="102"/>
      <c r="I131" s="153"/>
      <c r="J131" s="125"/>
      <c r="K131" s="153"/>
      <c r="L131" s="125"/>
      <c r="M131" s="375"/>
      <c r="N131" s="125"/>
      <c r="O131" s="375"/>
      <c r="P131" s="125"/>
      <c r="Q131" s="209"/>
      <c r="R131" s="125"/>
      <c r="S131" s="209"/>
      <c r="T131" s="60"/>
      <c r="U131" s="60"/>
      <c r="V131" s="137"/>
      <c r="W131" s="137"/>
      <c r="X131" s="137"/>
      <c r="Y131" s="137"/>
      <c r="Z131" s="137"/>
    </row>
    <row r="132" spans="1:26" ht="12" customHeight="1">
      <c r="A132" s="372"/>
      <c r="B132" s="373"/>
      <c r="C132" s="372"/>
      <c r="D132" s="153"/>
      <c r="E132" s="372"/>
      <c r="F132" s="373"/>
      <c r="G132" s="372"/>
      <c r="H132" s="102"/>
      <c r="I132" s="153"/>
      <c r="J132" s="125"/>
      <c r="K132" s="153"/>
      <c r="L132" s="125"/>
      <c r="M132" s="375"/>
      <c r="N132" s="125"/>
      <c r="O132" s="375"/>
      <c r="P132" s="125"/>
      <c r="Q132" s="209"/>
      <c r="R132" s="125"/>
      <c r="S132" s="209"/>
      <c r="T132" s="60"/>
      <c r="U132" s="60"/>
      <c r="V132" s="137"/>
      <c r="W132" s="137"/>
      <c r="X132" s="137"/>
      <c r="Y132" s="137"/>
      <c r="Z132" s="137"/>
    </row>
    <row r="133" spans="1:26" ht="12" customHeight="1">
      <c r="A133" s="372"/>
      <c r="B133" s="373"/>
      <c r="C133" s="372"/>
      <c r="D133" s="153"/>
      <c r="E133" s="372"/>
      <c r="F133" s="373"/>
      <c r="G133" s="372"/>
      <c r="H133" s="102"/>
      <c r="I133" s="153"/>
      <c r="J133" s="125"/>
      <c r="K133" s="153"/>
      <c r="L133" s="125"/>
      <c r="M133" s="375"/>
      <c r="N133" s="125"/>
      <c r="O133" s="375"/>
      <c r="P133" s="125"/>
      <c r="Q133" s="209"/>
      <c r="R133" s="125"/>
      <c r="S133" s="209"/>
      <c r="T133" s="60"/>
      <c r="U133" s="60"/>
      <c r="V133" s="137"/>
      <c r="W133" s="137"/>
      <c r="X133" s="137"/>
      <c r="Y133" s="137"/>
      <c r="Z133" s="137"/>
    </row>
    <row r="134" spans="1:26" ht="12" customHeight="1">
      <c r="A134" s="372"/>
      <c r="B134" s="373"/>
      <c r="C134" s="372"/>
      <c r="D134" s="153"/>
      <c r="E134" s="372"/>
      <c r="F134" s="373"/>
      <c r="G134" s="372"/>
      <c r="H134" s="102"/>
      <c r="I134" s="153"/>
      <c r="J134" s="125"/>
      <c r="K134" s="153"/>
      <c r="L134" s="125"/>
      <c r="M134" s="375"/>
      <c r="N134" s="125"/>
      <c r="O134" s="375"/>
      <c r="P134" s="125"/>
      <c r="Q134" s="209"/>
      <c r="R134" s="125"/>
      <c r="S134" s="209"/>
      <c r="T134" s="60"/>
      <c r="U134" s="60"/>
      <c r="V134" s="137"/>
      <c r="W134" s="137"/>
      <c r="X134" s="137"/>
      <c r="Y134" s="137"/>
      <c r="Z134" s="137"/>
    </row>
    <row r="135" spans="1:26" ht="12" customHeight="1">
      <c r="A135" s="372"/>
      <c r="B135" s="373"/>
      <c r="C135" s="372"/>
      <c r="D135" s="153"/>
      <c r="E135" s="372"/>
      <c r="F135" s="373"/>
      <c r="G135" s="372"/>
      <c r="H135" s="102"/>
      <c r="I135" s="153"/>
      <c r="J135" s="125"/>
      <c r="K135" s="153"/>
      <c r="L135" s="125"/>
      <c r="M135" s="375"/>
      <c r="N135" s="125"/>
      <c r="O135" s="375"/>
      <c r="P135" s="125"/>
      <c r="Q135" s="209"/>
      <c r="R135" s="125"/>
      <c r="S135" s="209"/>
      <c r="T135" s="60"/>
      <c r="U135" s="60"/>
      <c r="V135" s="137"/>
      <c r="W135" s="137"/>
      <c r="X135" s="137"/>
      <c r="Y135" s="137"/>
      <c r="Z135" s="137"/>
    </row>
    <row r="136" spans="1:26" ht="12" customHeight="1">
      <c r="A136" s="372"/>
      <c r="B136" s="373"/>
      <c r="C136" s="372"/>
      <c r="D136" s="153"/>
      <c r="E136" s="372"/>
      <c r="F136" s="373"/>
      <c r="G136" s="372"/>
      <c r="H136" s="102"/>
      <c r="I136" s="153"/>
      <c r="J136" s="125"/>
      <c r="K136" s="153"/>
      <c r="L136" s="125"/>
      <c r="M136" s="375"/>
      <c r="N136" s="125"/>
      <c r="O136" s="375"/>
      <c r="P136" s="125"/>
      <c r="Q136" s="209"/>
      <c r="R136" s="125"/>
      <c r="S136" s="209"/>
      <c r="T136" s="60"/>
      <c r="U136" s="60"/>
      <c r="V136" s="137"/>
      <c r="W136" s="137"/>
      <c r="X136" s="137"/>
      <c r="Y136" s="137"/>
      <c r="Z136" s="137"/>
    </row>
    <row r="137" spans="1:26" ht="12" customHeight="1">
      <c r="A137" s="372"/>
      <c r="B137" s="373"/>
      <c r="C137" s="372"/>
      <c r="D137" s="153"/>
      <c r="E137" s="372"/>
      <c r="F137" s="373"/>
      <c r="G137" s="372"/>
      <c r="H137" s="102"/>
      <c r="I137" s="153"/>
      <c r="J137" s="125"/>
      <c r="K137" s="153"/>
      <c r="L137" s="125"/>
      <c r="M137" s="375"/>
      <c r="N137" s="125"/>
      <c r="O137" s="375"/>
      <c r="P137" s="125"/>
      <c r="Q137" s="209"/>
      <c r="R137" s="125"/>
      <c r="S137" s="209"/>
      <c r="T137" s="60"/>
      <c r="U137" s="60"/>
      <c r="V137" s="137"/>
      <c r="W137" s="137"/>
      <c r="X137" s="137"/>
      <c r="Y137" s="137"/>
      <c r="Z137" s="137"/>
    </row>
    <row r="138" spans="1:26" ht="12" customHeight="1">
      <c r="A138" s="372"/>
      <c r="B138" s="373"/>
      <c r="C138" s="372"/>
      <c r="D138" s="153"/>
      <c r="E138" s="372"/>
      <c r="F138" s="373"/>
      <c r="G138" s="372"/>
      <c r="H138" s="102"/>
      <c r="I138" s="153"/>
      <c r="J138" s="125"/>
      <c r="K138" s="153"/>
      <c r="L138" s="125"/>
      <c r="M138" s="375"/>
      <c r="N138" s="125"/>
      <c r="O138" s="375"/>
      <c r="P138" s="125"/>
      <c r="Q138" s="209"/>
      <c r="R138" s="125"/>
      <c r="S138" s="209"/>
      <c r="T138" s="60"/>
      <c r="U138" s="60"/>
      <c r="V138" s="137"/>
      <c r="W138" s="137"/>
      <c r="X138" s="137"/>
      <c r="Y138" s="137"/>
      <c r="Z138" s="137"/>
    </row>
    <row r="139" spans="1:26" ht="12" customHeight="1">
      <c r="A139" s="372"/>
      <c r="B139" s="373"/>
      <c r="C139" s="372"/>
      <c r="D139" s="153"/>
      <c r="E139" s="372"/>
      <c r="F139" s="373"/>
      <c r="G139" s="372"/>
      <c r="H139" s="102"/>
      <c r="I139" s="153"/>
      <c r="J139" s="125"/>
      <c r="K139" s="153"/>
      <c r="L139" s="125"/>
      <c r="M139" s="375"/>
      <c r="N139" s="125"/>
      <c r="O139" s="375"/>
      <c r="P139" s="125"/>
      <c r="Q139" s="209"/>
      <c r="R139" s="125"/>
      <c r="S139" s="209"/>
      <c r="T139" s="60"/>
      <c r="U139" s="60"/>
      <c r="V139" s="137"/>
      <c r="W139" s="137"/>
      <c r="X139" s="137"/>
      <c r="Y139" s="137"/>
      <c r="Z139" s="137"/>
    </row>
    <row r="140" spans="1:26" ht="12" customHeight="1">
      <c r="A140" s="372"/>
      <c r="B140" s="373"/>
      <c r="C140" s="372"/>
      <c r="D140" s="153"/>
      <c r="E140" s="372"/>
      <c r="F140" s="373"/>
      <c r="G140" s="372"/>
      <c r="H140" s="102"/>
      <c r="I140" s="153"/>
      <c r="J140" s="125"/>
      <c r="K140" s="153"/>
      <c r="L140" s="125"/>
      <c r="M140" s="375"/>
      <c r="N140" s="125"/>
      <c r="O140" s="375"/>
      <c r="P140" s="125"/>
      <c r="Q140" s="209"/>
      <c r="R140" s="125"/>
      <c r="S140" s="209"/>
      <c r="T140" s="60"/>
      <c r="U140" s="60"/>
      <c r="V140" s="137"/>
      <c r="W140" s="137"/>
      <c r="X140" s="137"/>
      <c r="Y140" s="137"/>
      <c r="Z140" s="137"/>
    </row>
    <row r="141" spans="1:26" ht="12" customHeight="1">
      <c r="A141" s="372"/>
      <c r="B141" s="373"/>
      <c r="C141" s="372"/>
      <c r="D141" s="153"/>
      <c r="E141" s="372"/>
      <c r="F141" s="373"/>
      <c r="G141" s="372"/>
      <c r="H141" s="102"/>
      <c r="I141" s="153"/>
      <c r="J141" s="125"/>
      <c r="K141" s="153"/>
      <c r="L141" s="125"/>
      <c r="M141" s="375"/>
      <c r="N141" s="125"/>
      <c r="O141" s="375"/>
      <c r="P141" s="125"/>
      <c r="Q141" s="209"/>
      <c r="R141" s="125"/>
      <c r="S141" s="209"/>
      <c r="T141" s="60"/>
      <c r="U141" s="60"/>
      <c r="V141" s="137"/>
      <c r="W141" s="137"/>
      <c r="X141" s="137"/>
      <c r="Y141" s="137"/>
      <c r="Z141" s="137"/>
    </row>
    <row r="142" spans="1:26" ht="12" customHeight="1">
      <c r="A142" s="372"/>
      <c r="B142" s="373"/>
      <c r="C142" s="372"/>
      <c r="D142" s="153"/>
      <c r="E142" s="372"/>
      <c r="F142" s="373"/>
      <c r="G142" s="372"/>
      <c r="H142" s="102"/>
      <c r="I142" s="153"/>
      <c r="J142" s="125"/>
      <c r="K142" s="153"/>
      <c r="L142" s="125"/>
      <c r="M142" s="375"/>
      <c r="N142" s="125"/>
      <c r="O142" s="375"/>
      <c r="P142" s="125"/>
      <c r="Q142" s="209"/>
      <c r="R142" s="125"/>
      <c r="S142" s="375"/>
      <c r="T142" s="60"/>
      <c r="U142" s="60"/>
      <c r="V142" s="137"/>
      <c r="W142" s="137"/>
      <c r="X142" s="137"/>
      <c r="Y142" s="137"/>
      <c r="Z142" s="137"/>
    </row>
    <row r="143" spans="1:26" ht="12" customHeight="1">
      <c r="A143" s="372"/>
      <c r="B143" s="373"/>
      <c r="C143" s="372"/>
      <c r="D143" s="153"/>
      <c r="E143" s="372"/>
      <c r="F143" s="373"/>
      <c r="G143" s="372"/>
      <c r="H143" s="102"/>
      <c r="I143" s="153"/>
      <c r="J143" s="125"/>
      <c r="K143" s="153"/>
      <c r="L143" s="125"/>
      <c r="M143" s="375"/>
      <c r="N143" s="125"/>
      <c r="O143" s="375"/>
      <c r="P143" s="125"/>
      <c r="Q143" s="209"/>
      <c r="R143" s="125"/>
      <c r="S143" s="375"/>
      <c r="T143" s="60"/>
      <c r="U143" s="60"/>
      <c r="V143" s="137"/>
      <c r="W143" s="137"/>
      <c r="X143" s="137"/>
      <c r="Y143" s="137"/>
      <c r="Z143" s="137"/>
    </row>
    <row r="144" spans="1:26" ht="12" customHeight="1">
      <c r="A144" s="372"/>
      <c r="B144" s="373"/>
      <c r="C144" s="372"/>
      <c r="D144" s="153"/>
      <c r="E144" s="372"/>
      <c r="F144" s="373"/>
      <c r="G144" s="372"/>
      <c r="H144" s="102"/>
      <c r="I144" s="153"/>
      <c r="J144" s="125"/>
      <c r="K144" s="153"/>
      <c r="L144" s="125"/>
      <c r="M144" s="375"/>
      <c r="N144" s="125"/>
      <c r="O144" s="375"/>
      <c r="P144" s="125"/>
      <c r="Q144" s="209"/>
      <c r="R144" s="125"/>
      <c r="S144" s="375"/>
      <c r="T144" s="60"/>
      <c r="U144" s="60"/>
      <c r="V144" s="137"/>
      <c r="W144" s="137"/>
      <c r="X144" s="137"/>
      <c r="Y144" s="137"/>
      <c r="Z144" s="137"/>
    </row>
    <row r="145" spans="1:26" ht="12" customHeight="1">
      <c r="A145" s="372"/>
      <c r="B145" s="373"/>
      <c r="C145" s="372"/>
      <c r="D145" s="153"/>
      <c r="E145" s="372"/>
      <c r="F145" s="373"/>
      <c r="G145" s="372"/>
      <c r="H145" s="102"/>
      <c r="I145" s="153"/>
      <c r="J145" s="125"/>
      <c r="K145" s="153"/>
      <c r="L145" s="125"/>
      <c r="M145" s="375"/>
      <c r="N145" s="125"/>
      <c r="O145" s="375"/>
      <c r="P145" s="125"/>
      <c r="Q145" s="209"/>
      <c r="R145" s="125"/>
      <c r="S145" s="375"/>
      <c r="T145" s="60"/>
      <c r="U145" s="60"/>
      <c r="V145" s="137"/>
      <c r="W145" s="137"/>
      <c r="X145" s="137"/>
      <c r="Y145" s="137"/>
      <c r="Z145" s="137"/>
    </row>
    <row r="146" spans="1:26" ht="12" customHeight="1">
      <c r="A146" s="372"/>
      <c r="B146" s="373"/>
      <c r="C146" s="372"/>
      <c r="D146" s="153"/>
      <c r="E146" s="372"/>
      <c r="F146" s="373"/>
      <c r="G146" s="372"/>
      <c r="H146" s="102"/>
      <c r="I146" s="153"/>
      <c r="J146" s="125"/>
      <c r="K146" s="153"/>
      <c r="L146" s="125"/>
      <c r="M146" s="375"/>
      <c r="N146" s="125"/>
      <c r="O146" s="375"/>
      <c r="P146" s="125"/>
      <c r="Q146" s="209"/>
      <c r="R146" s="125"/>
      <c r="S146" s="375"/>
      <c r="T146" s="60"/>
      <c r="U146" s="60"/>
      <c r="V146" s="137"/>
      <c r="W146" s="137"/>
      <c r="X146" s="137"/>
      <c r="Y146" s="137"/>
      <c r="Z146" s="137"/>
    </row>
    <row r="147" spans="1:26" ht="12" customHeight="1">
      <c r="A147" s="372"/>
      <c r="B147" s="373"/>
      <c r="C147" s="372"/>
      <c r="D147" s="153"/>
      <c r="E147" s="372"/>
      <c r="F147" s="373"/>
      <c r="G147" s="372"/>
      <c r="H147" s="102"/>
      <c r="I147" s="153"/>
      <c r="J147" s="125"/>
      <c r="K147" s="153"/>
      <c r="L147" s="125"/>
      <c r="M147" s="375"/>
      <c r="N147" s="125"/>
      <c r="O147" s="375"/>
      <c r="P147" s="125"/>
      <c r="Q147" s="209"/>
      <c r="R147" s="125"/>
      <c r="S147" s="375"/>
      <c r="T147" s="60"/>
      <c r="U147" s="60"/>
      <c r="V147" s="137"/>
      <c r="W147" s="137"/>
      <c r="X147" s="137"/>
      <c r="Y147" s="137"/>
      <c r="Z147" s="137"/>
    </row>
    <row r="148" spans="1:26" ht="12" customHeight="1">
      <c r="A148" s="372"/>
      <c r="B148" s="373"/>
      <c r="C148" s="372"/>
      <c r="D148" s="153"/>
      <c r="E148" s="372"/>
      <c r="F148" s="373"/>
      <c r="G148" s="372"/>
      <c r="H148" s="102"/>
      <c r="I148" s="153"/>
      <c r="J148" s="125"/>
      <c r="K148" s="153"/>
      <c r="L148" s="125"/>
      <c r="M148" s="375"/>
      <c r="N148" s="125"/>
      <c r="O148" s="375"/>
      <c r="P148" s="125"/>
      <c r="Q148" s="209"/>
      <c r="R148" s="125"/>
      <c r="S148" s="375"/>
      <c r="T148" s="60"/>
      <c r="U148" s="60"/>
      <c r="V148" s="137"/>
      <c r="W148" s="137"/>
      <c r="X148" s="137"/>
      <c r="Y148" s="137"/>
      <c r="Z148" s="137"/>
    </row>
    <row r="149" spans="1:26" ht="12" customHeight="1">
      <c r="A149" s="372"/>
      <c r="B149" s="373"/>
      <c r="C149" s="372"/>
      <c r="D149" s="153"/>
      <c r="E149" s="372"/>
      <c r="F149" s="373"/>
      <c r="G149" s="372"/>
      <c r="H149" s="102"/>
      <c r="I149" s="153"/>
      <c r="J149" s="125"/>
      <c r="K149" s="153"/>
      <c r="L149" s="125"/>
      <c r="M149" s="375"/>
      <c r="N149" s="125"/>
      <c r="O149" s="375"/>
      <c r="P149" s="125"/>
      <c r="Q149" s="209"/>
      <c r="R149" s="125"/>
      <c r="S149" s="375"/>
      <c r="T149" s="60"/>
      <c r="U149" s="60"/>
      <c r="V149" s="137"/>
      <c r="W149" s="137"/>
      <c r="X149" s="137"/>
      <c r="Y149" s="137"/>
      <c r="Z149" s="137"/>
    </row>
    <row r="150" spans="1:26" ht="12" customHeight="1">
      <c r="A150" s="372"/>
      <c r="B150" s="373"/>
      <c r="C150" s="372"/>
      <c r="D150" s="153"/>
      <c r="E150" s="372"/>
      <c r="F150" s="373"/>
      <c r="G150" s="372"/>
      <c r="H150" s="102"/>
      <c r="I150" s="153"/>
      <c r="J150" s="125"/>
      <c r="K150" s="153"/>
      <c r="L150" s="125"/>
      <c r="M150" s="375"/>
      <c r="N150" s="125"/>
      <c r="O150" s="375"/>
      <c r="P150" s="125"/>
      <c r="Q150" s="209"/>
      <c r="R150" s="125"/>
      <c r="S150" s="375"/>
      <c r="T150" s="60"/>
      <c r="U150" s="60"/>
      <c r="V150" s="137"/>
      <c r="W150" s="137"/>
      <c r="X150" s="137"/>
      <c r="Y150" s="137"/>
      <c r="Z150" s="137"/>
    </row>
    <row r="151" spans="1:26" ht="12" customHeight="1">
      <c r="A151" s="372"/>
      <c r="B151" s="373"/>
      <c r="C151" s="372"/>
      <c r="D151" s="153"/>
      <c r="E151" s="372"/>
      <c r="F151" s="373"/>
      <c r="G151" s="372"/>
      <c r="H151" s="102"/>
      <c r="I151" s="153"/>
      <c r="J151" s="125"/>
      <c r="K151" s="153"/>
      <c r="L151" s="125"/>
      <c r="M151" s="375"/>
      <c r="N151" s="125"/>
      <c r="O151" s="375"/>
      <c r="P151" s="125"/>
      <c r="Q151" s="209"/>
      <c r="R151" s="125"/>
      <c r="S151" s="375"/>
      <c r="T151" s="60"/>
      <c r="U151" s="60"/>
      <c r="V151" s="137"/>
      <c r="W151" s="137"/>
      <c r="X151" s="137"/>
      <c r="Y151" s="137"/>
      <c r="Z151" s="137"/>
    </row>
    <row r="152" spans="1:26" ht="12" customHeight="1">
      <c r="A152" s="372"/>
      <c r="B152" s="373"/>
      <c r="C152" s="372"/>
      <c r="D152" s="153"/>
      <c r="E152" s="372"/>
      <c r="F152" s="373"/>
      <c r="G152" s="372"/>
      <c r="H152" s="102"/>
      <c r="I152" s="153"/>
      <c r="J152" s="125"/>
      <c r="K152" s="153"/>
      <c r="L152" s="125"/>
      <c r="M152" s="375"/>
      <c r="N152" s="125"/>
      <c r="O152" s="375"/>
      <c r="P152" s="125"/>
      <c r="Q152" s="209"/>
      <c r="R152" s="125"/>
      <c r="S152" s="375"/>
      <c r="T152" s="60"/>
      <c r="U152" s="60"/>
      <c r="V152" s="137"/>
      <c r="W152" s="137"/>
      <c r="X152" s="137"/>
      <c r="Y152" s="137"/>
      <c r="Z152" s="137"/>
    </row>
    <row r="153" spans="1:26" ht="12" customHeight="1">
      <c r="A153" s="372"/>
      <c r="B153" s="373"/>
      <c r="C153" s="372"/>
      <c r="D153" s="153"/>
      <c r="E153" s="372"/>
      <c r="F153" s="373"/>
      <c r="G153" s="372"/>
      <c r="H153" s="102"/>
      <c r="I153" s="153"/>
      <c r="J153" s="125"/>
      <c r="K153" s="153"/>
      <c r="L153" s="125"/>
      <c r="M153" s="375"/>
      <c r="N153" s="125"/>
      <c r="O153" s="375"/>
      <c r="P153" s="125"/>
      <c r="Q153" s="209"/>
      <c r="R153" s="125"/>
      <c r="S153" s="375"/>
      <c r="T153" s="60"/>
      <c r="U153" s="60"/>
      <c r="V153" s="137"/>
      <c r="W153" s="137"/>
      <c r="X153" s="137"/>
      <c r="Y153" s="137"/>
      <c r="Z153" s="137"/>
    </row>
    <row r="154" spans="1:26" ht="12" customHeight="1">
      <c r="A154" s="372"/>
      <c r="B154" s="373"/>
      <c r="C154" s="372"/>
      <c r="D154" s="153"/>
      <c r="E154" s="372"/>
      <c r="F154" s="373"/>
      <c r="G154" s="372"/>
      <c r="H154" s="102"/>
      <c r="I154" s="153"/>
      <c r="J154" s="125"/>
      <c r="K154" s="153"/>
      <c r="L154" s="125"/>
      <c r="M154" s="375"/>
      <c r="N154" s="125"/>
      <c r="O154" s="375"/>
      <c r="P154" s="125"/>
      <c r="Q154" s="209"/>
      <c r="R154" s="125"/>
      <c r="S154" s="375"/>
      <c r="T154" s="60"/>
      <c r="U154" s="60"/>
      <c r="V154" s="137"/>
      <c r="W154" s="137"/>
      <c r="X154" s="137"/>
      <c r="Y154" s="137"/>
      <c r="Z154" s="137"/>
    </row>
    <row r="155" spans="1:26" ht="12" customHeight="1">
      <c r="A155" s="372"/>
      <c r="B155" s="373"/>
      <c r="C155" s="372"/>
      <c r="D155" s="153"/>
      <c r="E155" s="372"/>
      <c r="F155" s="373"/>
      <c r="G155" s="372"/>
      <c r="H155" s="102"/>
      <c r="I155" s="153"/>
      <c r="J155" s="125"/>
      <c r="K155" s="153"/>
      <c r="L155" s="125"/>
      <c r="M155" s="375"/>
      <c r="N155" s="125"/>
      <c r="O155" s="375"/>
      <c r="P155" s="125"/>
      <c r="Q155" s="209"/>
      <c r="R155" s="125"/>
      <c r="S155" s="375"/>
      <c r="T155" s="60"/>
      <c r="U155" s="60"/>
      <c r="V155" s="137"/>
      <c r="W155" s="137"/>
      <c r="X155" s="137"/>
      <c r="Y155" s="137"/>
      <c r="Z155" s="137"/>
    </row>
    <row r="156" spans="1:26" ht="12" customHeight="1">
      <c r="A156" s="372"/>
      <c r="B156" s="373"/>
      <c r="C156" s="372"/>
      <c r="D156" s="153"/>
      <c r="E156" s="372"/>
      <c r="F156" s="373"/>
      <c r="G156" s="372"/>
      <c r="H156" s="102"/>
      <c r="I156" s="153"/>
      <c r="J156" s="125"/>
      <c r="K156" s="153"/>
      <c r="L156" s="125"/>
      <c r="M156" s="375"/>
      <c r="N156" s="125"/>
      <c r="O156" s="375"/>
      <c r="P156" s="125"/>
      <c r="Q156" s="209"/>
      <c r="R156" s="125"/>
      <c r="S156" s="375"/>
      <c r="T156" s="60"/>
      <c r="U156" s="60"/>
      <c r="V156" s="137"/>
      <c r="W156" s="137"/>
      <c r="X156" s="137"/>
      <c r="Y156" s="137"/>
      <c r="Z156" s="137"/>
    </row>
    <row r="157" spans="1:26" ht="12" customHeight="1">
      <c r="A157" s="372"/>
      <c r="B157" s="373"/>
      <c r="C157" s="372"/>
      <c r="D157" s="153"/>
      <c r="E157" s="372"/>
      <c r="F157" s="373"/>
      <c r="G157" s="372"/>
      <c r="H157" s="102"/>
      <c r="I157" s="153"/>
      <c r="J157" s="125"/>
      <c r="K157" s="153"/>
      <c r="L157" s="125"/>
      <c r="M157" s="375"/>
      <c r="N157" s="125"/>
      <c r="O157" s="375"/>
      <c r="P157" s="125"/>
      <c r="Q157" s="209"/>
      <c r="R157" s="125"/>
      <c r="S157" s="375"/>
      <c r="T157" s="60"/>
      <c r="U157" s="60"/>
      <c r="V157" s="137"/>
      <c r="W157" s="137"/>
      <c r="X157" s="137"/>
      <c r="Y157" s="137"/>
      <c r="Z157" s="137"/>
    </row>
    <row r="158" spans="1:26" ht="12" customHeight="1">
      <c r="A158" s="376"/>
      <c r="B158" s="374"/>
      <c r="C158" s="376"/>
      <c r="D158" s="377"/>
      <c r="E158" s="376"/>
      <c r="F158" s="374"/>
      <c r="G158" s="376"/>
      <c r="H158" s="378"/>
      <c r="I158" s="377"/>
      <c r="J158" s="137"/>
      <c r="K158" s="377"/>
      <c r="L158" s="137"/>
      <c r="M158" s="379"/>
      <c r="N158" s="137"/>
      <c r="O158" s="379"/>
      <c r="P158" s="137"/>
      <c r="Q158" s="380"/>
      <c r="R158" s="137"/>
      <c r="S158" s="379"/>
      <c r="T158" s="137"/>
      <c r="U158" s="137"/>
      <c r="V158" s="137"/>
      <c r="W158" s="137"/>
      <c r="X158" s="137"/>
      <c r="Y158" s="137"/>
      <c r="Z158" s="137"/>
    </row>
    <row r="159" spans="1:26" ht="12" customHeight="1">
      <c r="A159" s="376"/>
      <c r="B159" s="374"/>
      <c r="C159" s="376"/>
      <c r="D159" s="377"/>
      <c r="E159" s="376"/>
      <c r="F159" s="374"/>
      <c r="G159" s="376"/>
      <c r="H159" s="378"/>
      <c r="I159" s="377"/>
      <c r="J159" s="137"/>
      <c r="K159" s="377"/>
      <c r="L159" s="137"/>
      <c r="M159" s="379"/>
      <c r="N159" s="137"/>
      <c r="O159" s="379"/>
      <c r="P159" s="137"/>
      <c r="Q159" s="380"/>
      <c r="R159" s="137"/>
      <c r="S159" s="379"/>
      <c r="T159" s="137"/>
      <c r="U159" s="137"/>
      <c r="V159" s="137"/>
      <c r="W159" s="137"/>
      <c r="X159" s="137"/>
      <c r="Y159" s="137"/>
      <c r="Z159" s="137"/>
    </row>
    <row r="160" spans="1:26" ht="12" customHeight="1">
      <c r="A160" s="376"/>
      <c r="B160" s="374"/>
      <c r="C160" s="376"/>
      <c r="D160" s="377"/>
      <c r="E160" s="376"/>
      <c r="F160" s="374"/>
      <c r="G160" s="376"/>
      <c r="H160" s="378"/>
      <c r="I160" s="377"/>
      <c r="J160" s="137"/>
      <c r="K160" s="377"/>
      <c r="L160" s="137"/>
      <c r="M160" s="379"/>
      <c r="N160" s="137"/>
      <c r="O160" s="379"/>
      <c r="P160" s="137"/>
      <c r="Q160" s="380"/>
      <c r="R160" s="137"/>
      <c r="S160" s="379"/>
      <c r="T160" s="137"/>
      <c r="U160" s="137"/>
      <c r="V160" s="137"/>
      <c r="W160" s="137"/>
      <c r="X160" s="137"/>
      <c r="Y160" s="137"/>
      <c r="Z160" s="137"/>
    </row>
    <row r="161" spans="1:26" ht="12" customHeight="1">
      <c r="A161" s="376"/>
      <c r="B161" s="374"/>
      <c r="C161" s="376"/>
      <c r="D161" s="377"/>
      <c r="E161" s="376"/>
      <c r="F161" s="374"/>
      <c r="G161" s="376"/>
      <c r="H161" s="378"/>
      <c r="I161" s="377"/>
      <c r="J161" s="137"/>
      <c r="K161" s="377"/>
      <c r="L161" s="137"/>
      <c r="M161" s="379"/>
      <c r="N161" s="137"/>
      <c r="O161" s="379"/>
      <c r="P161" s="137"/>
      <c r="Q161" s="380"/>
      <c r="R161" s="137"/>
      <c r="S161" s="379"/>
      <c r="T161" s="137"/>
      <c r="U161" s="137"/>
      <c r="V161" s="137"/>
      <c r="W161" s="137"/>
      <c r="X161" s="137"/>
      <c r="Y161" s="137"/>
      <c r="Z161" s="137"/>
    </row>
    <row r="162" spans="1:26" ht="12" customHeight="1">
      <c r="A162" s="376"/>
      <c r="B162" s="374"/>
      <c r="C162" s="376"/>
      <c r="D162" s="377"/>
      <c r="E162" s="376"/>
      <c r="F162" s="374"/>
      <c r="G162" s="376"/>
      <c r="H162" s="378"/>
      <c r="I162" s="377"/>
      <c r="J162" s="137"/>
      <c r="K162" s="377"/>
      <c r="L162" s="137"/>
      <c r="M162" s="379"/>
      <c r="N162" s="137"/>
      <c r="O162" s="379"/>
      <c r="P162" s="137"/>
      <c r="Q162" s="380"/>
      <c r="R162" s="137"/>
      <c r="S162" s="379"/>
      <c r="T162" s="137"/>
      <c r="U162" s="137"/>
      <c r="V162" s="137"/>
      <c r="W162" s="137"/>
      <c r="X162" s="137"/>
      <c r="Y162" s="137"/>
      <c r="Z162" s="137"/>
    </row>
    <row r="163" spans="1:26" ht="12" customHeight="1">
      <c r="A163" s="376"/>
      <c r="B163" s="374"/>
      <c r="C163" s="376"/>
      <c r="D163" s="377"/>
      <c r="E163" s="376"/>
      <c r="F163" s="374"/>
      <c r="G163" s="376"/>
      <c r="H163" s="378"/>
      <c r="I163" s="377"/>
      <c r="J163" s="137"/>
      <c r="K163" s="377"/>
      <c r="L163" s="137"/>
      <c r="M163" s="379"/>
      <c r="N163" s="137"/>
      <c r="O163" s="379"/>
      <c r="P163" s="137"/>
      <c r="Q163" s="380"/>
      <c r="R163" s="137"/>
      <c r="S163" s="379"/>
      <c r="T163" s="137"/>
      <c r="U163" s="137"/>
      <c r="V163" s="137"/>
      <c r="W163" s="137"/>
      <c r="X163" s="137"/>
      <c r="Y163" s="137"/>
      <c r="Z163" s="137"/>
    </row>
    <row r="164" spans="1:26" ht="12" customHeight="1">
      <c r="A164" s="376"/>
      <c r="B164" s="374"/>
      <c r="C164" s="376"/>
      <c r="D164" s="377"/>
      <c r="E164" s="376"/>
      <c r="F164" s="374"/>
      <c r="G164" s="376"/>
      <c r="H164" s="378"/>
      <c r="I164" s="377"/>
      <c r="J164" s="137"/>
      <c r="K164" s="377"/>
      <c r="L164" s="137"/>
      <c r="M164" s="379"/>
      <c r="N164" s="137"/>
      <c r="O164" s="379"/>
      <c r="P164" s="137"/>
      <c r="Q164" s="380"/>
      <c r="R164" s="137"/>
      <c r="S164" s="379"/>
      <c r="T164" s="137"/>
      <c r="U164" s="137"/>
      <c r="V164" s="137"/>
      <c r="W164" s="137"/>
      <c r="X164" s="137"/>
      <c r="Y164" s="137"/>
      <c r="Z164" s="137"/>
    </row>
    <row r="165" spans="1:26" ht="12" customHeight="1">
      <c r="A165" s="376"/>
      <c r="B165" s="374"/>
      <c r="C165" s="376"/>
      <c r="D165" s="377"/>
      <c r="E165" s="376"/>
      <c r="F165" s="374"/>
      <c r="G165" s="376"/>
      <c r="H165" s="378"/>
      <c r="I165" s="377"/>
      <c r="J165" s="137"/>
      <c r="K165" s="377"/>
      <c r="L165" s="137"/>
      <c r="M165" s="379"/>
      <c r="N165" s="137"/>
      <c r="O165" s="379"/>
      <c r="P165" s="137"/>
      <c r="Q165" s="380"/>
      <c r="R165" s="137"/>
      <c r="S165" s="379"/>
      <c r="T165" s="137"/>
      <c r="U165" s="137"/>
      <c r="V165" s="137"/>
      <c r="W165" s="137"/>
      <c r="X165" s="137"/>
      <c r="Y165" s="137"/>
      <c r="Z165" s="137"/>
    </row>
    <row r="166" spans="1:26" ht="12" customHeight="1">
      <c r="A166" s="376"/>
      <c r="B166" s="374"/>
      <c r="C166" s="376"/>
      <c r="D166" s="377"/>
      <c r="E166" s="376"/>
      <c r="F166" s="374"/>
      <c r="G166" s="376"/>
      <c r="H166" s="378"/>
      <c r="I166" s="377"/>
      <c r="J166" s="137"/>
      <c r="K166" s="377"/>
      <c r="L166" s="137"/>
      <c r="M166" s="379"/>
      <c r="N166" s="137"/>
      <c r="O166" s="379"/>
      <c r="P166" s="137"/>
      <c r="Q166" s="380"/>
      <c r="R166" s="137"/>
      <c r="S166" s="379"/>
      <c r="T166" s="137"/>
      <c r="U166" s="137"/>
      <c r="V166" s="137"/>
      <c r="W166" s="137"/>
      <c r="X166" s="137"/>
      <c r="Y166" s="137"/>
      <c r="Z166" s="137"/>
    </row>
    <row r="167" spans="1:26" ht="12" customHeight="1">
      <c r="A167" s="376"/>
      <c r="B167" s="374"/>
      <c r="C167" s="376"/>
      <c r="D167" s="377"/>
      <c r="E167" s="376"/>
      <c r="F167" s="374"/>
      <c r="G167" s="376"/>
      <c r="H167" s="378"/>
      <c r="I167" s="377"/>
      <c r="J167" s="137"/>
      <c r="K167" s="377"/>
      <c r="L167" s="137"/>
      <c r="M167" s="379"/>
      <c r="N167" s="137"/>
      <c r="O167" s="379"/>
      <c r="P167" s="137"/>
      <c r="Q167" s="380"/>
      <c r="R167" s="137"/>
      <c r="S167" s="379"/>
      <c r="T167" s="137"/>
      <c r="U167" s="137"/>
      <c r="V167" s="137"/>
      <c r="W167" s="137"/>
      <c r="X167" s="137"/>
      <c r="Y167" s="137"/>
      <c r="Z167" s="137"/>
    </row>
    <row r="168" spans="1:26" ht="12" customHeight="1">
      <c r="A168" s="376"/>
      <c r="B168" s="374"/>
      <c r="C168" s="376"/>
      <c r="D168" s="377"/>
      <c r="E168" s="376"/>
      <c r="F168" s="374"/>
      <c r="G168" s="376"/>
      <c r="H168" s="378"/>
      <c r="I168" s="377"/>
      <c r="J168" s="137"/>
      <c r="K168" s="377"/>
      <c r="L168" s="137"/>
      <c r="M168" s="379"/>
      <c r="N168" s="137"/>
      <c r="O168" s="379"/>
      <c r="P168" s="137"/>
      <c r="Q168" s="380"/>
      <c r="R168" s="137"/>
      <c r="S168" s="379"/>
      <c r="T168" s="137"/>
      <c r="U168" s="137"/>
      <c r="V168" s="137"/>
      <c r="W168" s="137"/>
      <c r="X168" s="137"/>
      <c r="Y168" s="137"/>
      <c r="Z168" s="137"/>
    </row>
    <row r="169" spans="1:26" ht="12" customHeight="1">
      <c r="A169" s="376"/>
      <c r="B169" s="374"/>
      <c r="C169" s="376"/>
      <c r="D169" s="377"/>
      <c r="E169" s="376"/>
      <c r="F169" s="374"/>
      <c r="G169" s="376"/>
      <c r="H169" s="378"/>
      <c r="I169" s="377"/>
      <c r="J169" s="137"/>
      <c r="K169" s="377"/>
      <c r="L169" s="137"/>
      <c r="M169" s="379"/>
      <c r="N169" s="137"/>
      <c r="O169" s="379"/>
      <c r="P169" s="137"/>
      <c r="Q169" s="380"/>
      <c r="R169" s="137"/>
      <c r="S169" s="379"/>
      <c r="T169" s="137"/>
      <c r="U169" s="137"/>
      <c r="V169" s="137"/>
      <c r="W169" s="137"/>
      <c r="X169" s="137"/>
      <c r="Y169" s="137"/>
      <c r="Z169" s="137"/>
    </row>
    <row r="170" spans="1:26" ht="12" customHeight="1">
      <c r="A170" s="376"/>
      <c r="B170" s="374"/>
      <c r="C170" s="376"/>
      <c r="D170" s="377"/>
      <c r="E170" s="376"/>
      <c r="F170" s="374"/>
      <c r="G170" s="376"/>
      <c r="H170" s="378"/>
      <c r="I170" s="377"/>
      <c r="J170" s="137"/>
      <c r="K170" s="377"/>
      <c r="L170" s="137"/>
      <c r="M170" s="379"/>
      <c r="N170" s="137"/>
      <c r="O170" s="379"/>
      <c r="P170" s="137"/>
      <c r="Q170" s="380"/>
      <c r="R170" s="137"/>
      <c r="S170" s="379"/>
      <c r="T170" s="137"/>
      <c r="U170" s="137"/>
      <c r="V170" s="137"/>
      <c r="W170" s="137"/>
      <c r="X170" s="137"/>
      <c r="Y170" s="137"/>
      <c r="Z170" s="137"/>
    </row>
    <row r="171" spans="1:26" ht="12" customHeight="1">
      <c r="A171" s="376"/>
      <c r="B171" s="374"/>
      <c r="C171" s="376"/>
      <c r="D171" s="377"/>
      <c r="E171" s="376"/>
      <c r="F171" s="374"/>
      <c r="G171" s="376"/>
      <c r="H171" s="378"/>
      <c r="I171" s="377"/>
      <c r="J171" s="137"/>
      <c r="K171" s="377"/>
      <c r="L171" s="137"/>
      <c r="M171" s="379"/>
      <c r="N171" s="137"/>
      <c r="O171" s="379"/>
      <c r="P171" s="137"/>
      <c r="Q171" s="380"/>
      <c r="R171" s="137"/>
      <c r="S171" s="379"/>
      <c r="T171" s="137"/>
      <c r="U171" s="137"/>
      <c r="V171" s="137"/>
      <c r="W171" s="137"/>
      <c r="X171" s="137"/>
      <c r="Y171" s="137"/>
      <c r="Z171" s="137"/>
    </row>
    <row r="172" spans="1:26" ht="12" customHeight="1">
      <c r="A172" s="376"/>
      <c r="B172" s="374"/>
      <c r="C172" s="376"/>
      <c r="D172" s="377"/>
      <c r="E172" s="376"/>
      <c r="F172" s="374"/>
      <c r="G172" s="376"/>
      <c r="H172" s="378"/>
      <c r="I172" s="377"/>
      <c r="J172" s="137"/>
      <c r="K172" s="377"/>
      <c r="L172" s="137"/>
      <c r="M172" s="379"/>
      <c r="N172" s="137"/>
      <c r="O172" s="379"/>
      <c r="P172" s="137"/>
      <c r="Q172" s="380"/>
      <c r="R172" s="137"/>
      <c r="S172" s="379"/>
      <c r="T172" s="137"/>
      <c r="U172" s="137"/>
      <c r="V172" s="137"/>
      <c r="W172" s="137"/>
      <c r="X172" s="137"/>
      <c r="Y172" s="137"/>
      <c r="Z172" s="137"/>
    </row>
    <row r="173" spans="1:26" ht="12" customHeight="1">
      <c r="A173" s="376"/>
      <c r="B173" s="374"/>
      <c r="C173" s="376"/>
      <c r="D173" s="377"/>
      <c r="E173" s="376"/>
      <c r="F173" s="374"/>
      <c r="G173" s="376"/>
      <c r="H173" s="378"/>
      <c r="I173" s="377"/>
      <c r="J173" s="137"/>
      <c r="K173" s="377"/>
      <c r="L173" s="137"/>
      <c r="M173" s="379"/>
      <c r="N173" s="137"/>
      <c r="O173" s="379"/>
      <c r="P173" s="137"/>
      <c r="Q173" s="380"/>
      <c r="R173" s="137"/>
      <c r="S173" s="379"/>
      <c r="T173" s="137"/>
      <c r="U173" s="137"/>
      <c r="V173" s="137"/>
      <c r="W173" s="137"/>
      <c r="X173" s="137"/>
      <c r="Y173" s="137"/>
      <c r="Z173" s="137"/>
    </row>
    <row r="174" spans="1:26" ht="12" customHeight="1">
      <c r="A174" s="376"/>
      <c r="B174" s="374"/>
      <c r="C174" s="376"/>
      <c r="D174" s="377"/>
      <c r="E174" s="376"/>
      <c r="F174" s="374"/>
      <c r="G174" s="376"/>
      <c r="H174" s="378"/>
      <c r="I174" s="377"/>
      <c r="J174" s="137"/>
      <c r="K174" s="377"/>
      <c r="L174" s="137"/>
      <c r="M174" s="379"/>
      <c r="N174" s="137"/>
      <c r="O174" s="379"/>
      <c r="P174" s="137"/>
      <c r="Q174" s="380"/>
      <c r="R174" s="137"/>
      <c r="S174" s="379"/>
      <c r="T174" s="137"/>
      <c r="U174" s="137"/>
      <c r="V174" s="137"/>
      <c r="W174" s="137"/>
      <c r="X174" s="137"/>
      <c r="Y174" s="137"/>
      <c r="Z174" s="137"/>
    </row>
    <row r="175" spans="1:26" ht="12" customHeight="1">
      <c r="A175" s="376"/>
      <c r="B175" s="374"/>
      <c r="C175" s="376"/>
      <c r="D175" s="377"/>
      <c r="E175" s="376"/>
      <c r="F175" s="374"/>
      <c r="G175" s="376"/>
      <c r="H175" s="378"/>
      <c r="I175" s="377"/>
      <c r="J175" s="137"/>
      <c r="K175" s="377"/>
      <c r="L175" s="137"/>
      <c r="M175" s="379"/>
      <c r="N175" s="137"/>
      <c r="O175" s="379"/>
      <c r="P175" s="137"/>
      <c r="Q175" s="380"/>
      <c r="R175" s="137"/>
      <c r="S175" s="379"/>
      <c r="T175" s="137"/>
      <c r="U175" s="137"/>
      <c r="V175" s="137"/>
      <c r="W175" s="137"/>
      <c r="X175" s="137"/>
      <c r="Y175" s="137"/>
      <c r="Z175" s="137"/>
    </row>
    <row r="176" spans="1:26" ht="12" customHeight="1">
      <c r="A176" s="376"/>
      <c r="B176" s="374"/>
      <c r="C176" s="376"/>
      <c r="D176" s="377"/>
      <c r="E176" s="376"/>
      <c r="F176" s="374"/>
      <c r="G176" s="376"/>
      <c r="H176" s="378"/>
      <c r="I176" s="377"/>
      <c r="J176" s="137"/>
      <c r="K176" s="377"/>
      <c r="L176" s="137"/>
      <c r="M176" s="379"/>
      <c r="N176" s="137"/>
      <c r="O176" s="379"/>
      <c r="P176" s="137"/>
      <c r="Q176" s="380"/>
      <c r="R176" s="137"/>
      <c r="S176" s="379"/>
      <c r="T176" s="137"/>
      <c r="U176" s="137"/>
      <c r="V176" s="137"/>
      <c r="W176" s="137"/>
      <c r="X176" s="137"/>
      <c r="Y176" s="137"/>
      <c r="Z176" s="137"/>
    </row>
    <row r="177" spans="1:26" ht="12" customHeight="1">
      <c r="A177" s="376"/>
      <c r="B177" s="374"/>
      <c r="C177" s="376"/>
      <c r="D177" s="377"/>
      <c r="E177" s="376"/>
      <c r="F177" s="374"/>
      <c r="G177" s="376"/>
      <c r="H177" s="378"/>
      <c r="I177" s="377"/>
      <c r="J177" s="137"/>
      <c r="K177" s="377"/>
      <c r="L177" s="137"/>
      <c r="M177" s="379"/>
      <c r="N177" s="137"/>
      <c r="O177" s="379"/>
      <c r="P177" s="137"/>
      <c r="Q177" s="380"/>
      <c r="R177" s="137"/>
      <c r="S177" s="379"/>
      <c r="T177" s="137"/>
      <c r="U177" s="137"/>
      <c r="V177" s="137"/>
      <c r="W177" s="137"/>
      <c r="X177" s="137"/>
      <c r="Y177" s="137"/>
      <c r="Z177" s="137"/>
    </row>
    <row r="178" spans="1:26" ht="12" customHeight="1">
      <c r="A178" s="376"/>
      <c r="B178" s="374"/>
      <c r="C178" s="376"/>
      <c r="D178" s="377"/>
      <c r="E178" s="376"/>
      <c r="F178" s="374"/>
      <c r="G178" s="376"/>
      <c r="H178" s="378"/>
      <c r="I178" s="377"/>
      <c r="J178" s="137"/>
      <c r="K178" s="377"/>
      <c r="L178" s="137"/>
      <c r="M178" s="379"/>
      <c r="N178" s="137"/>
      <c r="O178" s="379"/>
      <c r="P178" s="137"/>
      <c r="Q178" s="380"/>
      <c r="R178" s="137"/>
      <c r="S178" s="379"/>
      <c r="T178" s="137"/>
      <c r="U178" s="137"/>
      <c r="V178" s="137"/>
      <c r="W178" s="137"/>
      <c r="X178" s="137"/>
      <c r="Y178" s="137"/>
      <c r="Z178" s="137"/>
    </row>
    <row r="179" spans="1:26" ht="12" customHeight="1">
      <c r="A179" s="376"/>
      <c r="B179" s="374"/>
      <c r="C179" s="376"/>
      <c r="D179" s="377"/>
      <c r="E179" s="376"/>
      <c r="F179" s="374"/>
      <c r="G179" s="376"/>
      <c r="H179" s="378"/>
      <c r="I179" s="377"/>
      <c r="J179" s="137"/>
      <c r="K179" s="377"/>
      <c r="L179" s="137"/>
      <c r="M179" s="379"/>
      <c r="N179" s="137"/>
      <c r="O179" s="379"/>
      <c r="P179" s="137"/>
      <c r="Q179" s="380"/>
      <c r="R179" s="137"/>
      <c r="S179" s="379"/>
      <c r="T179" s="137"/>
      <c r="U179" s="137"/>
      <c r="V179" s="137"/>
      <c r="W179" s="137"/>
      <c r="X179" s="137"/>
      <c r="Y179" s="137"/>
      <c r="Z179" s="137"/>
    </row>
    <row r="180" spans="1:26" ht="12" customHeight="1">
      <c r="A180" s="376"/>
      <c r="B180" s="374"/>
      <c r="C180" s="376"/>
      <c r="D180" s="377"/>
      <c r="E180" s="376"/>
      <c r="F180" s="374"/>
      <c r="G180" s="376"/>
      <c r="H180" s="378"/>
      <c r="I180" s="377"/>
      <c r="J180" s="137"/>
      <c r="K180" s="377"/>
      <c r="L180" s="137"/>
      <c r="M180" s="379"/>
      <c r="N180" s="137"/>
      <c r="O180" s="379"/>
      <c r="P180" s="137"/>
      <c r="Q180" s="380"/>
      <c r="R180" s="137"/>
      <c r="S180" s="379"/>
      <c r="T180" s="137"/>
      <c r="U180" s="137"/>
      <c r="V180" s="137"/>
      <c r="W180" s="137"/>
      <c r="X180" s="137"/>
      <c r="Y180" s="137"/>
      <c r="Z180" s="137"/>
    </row>
    <row r="181" spans="1:26" ht="12" customHeight="1">
      <c r="A181" s="376"/>
      <c r="B181" s="374"/>
      <c r="C181" s="376"/>
      <c r="D181" s="377"/>
      <c r="E181" s="376"/>
      <c r="F181" s="374"/>
      <c r="G181" s="376"/>
      <c r="H181" s="378"/>
      <c r="I181" s="377"/>
      <c r="J181" s="137"/>
      <c r="K181" s="377"/>
      <c r="L181" s="137"/>
      <c r="M181" s="379"/>
      <c r="N181" s="137"/>
      <c r="O181" s="379"/>
      <c r="P181" s="137"/>
      <c r="Q181" s="380"/>
      <c r="R181" s="137"/>
      <c r="S181" s="379"/>
      <c r="T181" s="137"/>
      <c r="U181" s="137"/>
      <c r="V181" s="137"/>
      <c r="W181" s="137"/>
      <c r="X181" s="137"/>
      <c r="Y181" s="137"/>
      <c r="Z181" s="137"/>
    </row>
    <row r="182" spans="1:26" ht="12" customHeight="1">
      <c r="A182" s="376"/>
      <c r="B182" s="374"/>
      <c r="C182" s="376"/>
      <c r="D182" s="377"/>
      <c r="E182" s="376"/>
      <c r="F182" s="374"/>
      <c r="G182" s="376"/>
      <c r="H182" s="378"/>
      <c r="I182" s="377"/>
      <c r="J182" s="137"/>
      <c r="K182" s="377"/>
      <c r="L182" s="137"/>
      <c r="M182" s="379"/>
      <c r="N182" s="137"/>
      <c r="O182" s="379"/>
      <c r="P182" s="137"/>
      <c r="Q182" s="380"/>
      <c r="R182" s="137"/>
      <c r="S182" s="379"/>
      <c r="T182" s="137"/>
      <c r="U182" s="137"/>
      <c r="V182" s="137"/>
      <c r="W182" s="137"/>
      <c r="X182" s="137"/>
      <c r="Y182" s="137"/>
      <c r="Z182" s="137"/>
    </row>
    <row r="183" spans="1:26" ht="12" customHeight="1">
      <c r="A183" s="376"/>
      <c r="B183" s="374"/>
      <c r="C183" s="376"/>
      <c r="D183" s="377"/>
      <c r="E183" s="376"/>
      <c r="F183" s="374"/>
      <c r="G183" s="376"/>
      <c r="H183" s="378"/>
      <c r="I183" s="377"/>
      <c r="J183" s="137"/>
      <c r="K183" s="377"/>
      <c r="L183" s="137"/>
      <c r="M183" s="379"/>
      <c r="N183" s="137"/>
      <c r="O183" s="379"/>
      <c r="P183" s="137"/>
      <c r="Q183" s="380"/>
      <c r="R183" s="137"/>
      <c r="S183" s="379"/>
      <c r="T183" s="137"/>
      <c r="U183" s="137"/>
      <c r="V183" s="137"/>
      <c r="W183" s="137"/>
      <c r="X183" s="137"/>
      <c r="Y183" s="137"/>
      <c r="Z183" s="137"/>
    </row>
    <row r="184" spans="1:26" ht="12" customHeight="1">
      <c r="A184" s="376"/>
      <c r="B184" s="374"/>
      <c r="C184" s="376"/>
      <c r="D184" s="377"/>
      <c r="E184" s="376"/>
      <c r="F184" s="374"/>
      <c r="G184" s="376"/>
      <c r="H184" s="378"/>
      <c r="I184" s="377"/>
      <c r="J184" s="137"/>
      <c r="K184" s="377"/>
      <c r="L184" s="137"/>
      <c r="M184" s="379"/>
      <c r="N184" s="137"/>
      <c r="O184" s="379"/>
      <c r="P184" s="137"/>
      <c r="Q184" s="380"/>
      <c r="R184" s="137"/>
      <c r="S184" s="379"/>
      <c r="T184" s="137"/>
      <c r="U184" s="137"/>
      <c r="V184" s="137"/>
      <c r="W184" s="137"/>
      <c r="X184" s="137"/>
      <c r="Y184" s="137"/>
      <c r="Z184" s="137"/>
    </row>
    <row r="185" spans="1:26" ht="12" customHeight="1">
      <c r="A185" s="376"/>
      <c r="B185" s="374"/>
      <c r="C185" s="376"/>
      <c r="D185" s="377"/>
      <c r="E185" s="376"/>
      <c r="F185" s="374"/>
      <c r="G185" s="376"/>
      <c r="H185" s="378"/>
      <c r="I185" s="377"/>
      <c r="J185" s="137"/>
      <c r="K185" s="377"/>
      <c r="L185" s="137"/>
      <c r="M185" s="379"/>
      <c r="N185" s="137"/>
      <c r="O185" s="379"/>
      <c r="P185" s="137"/>
      <c r="Q185" s="380"/>
      <c r="R185" s="137"/>
      <c r="S185" s="379"/>
      <c r="T185" s="137"/>
      <c r="U185" s="137"/>
      <c r="V185" s="137"/>
      <c r="W185" s="137"/>
      <c r="X185" s="137"/>
      <c r="Y185" s="137"/>
      <c r="Z185" s="137"/>
    </row>
    <row r="186" spans="1:26" ht="12" customHeight="1">
      <c r="A186" s="376"/>
      <c r="B186" s="374"/>
      <c r="C186" s="376"/>
      <c r="D186" s="377"/>
      <c r="E186" s="376"/>
      <c r="F186" s="374"/>
      <c r="G186" s="376"/>
      <c r="H186" s="378"/>
      <c r="I186" s="377"/>
      <c r="J186" s="137"/>
      <c r="K186" s="377"/>
      <c r="L186" s="137"/>
      <c r="M186" s="379"/>
      <c r="N186" s="137"/>
      <c r="O186" s="379"/>
      <c r="P186" s="137"/>
      <c r="Q186" s="380"/>
      <c r="R186" s="137"/>
      <c r="S186" s="379"/>
      <c r="T186" s="137"/>
      <c r="U186" s="137"/>
      <c r="V186" s="137"/>
      <c r="W186" s="137"/>
      <c r="X186" s="137"/>
      <c r="Y186" s="137"/>
      <c r="Z186" s="137"/>
    </row>
    <row r="187" spans="1:26" ht="12" customHeight="1">
      <c r="A187" s="376"/>
      <c r="B187" s="374"/>
      <c r="C187" s="376"/>
      <c r="D187" s="377"/>
      <c r="E187" s="376"/>
      <c r="F187" s="374"/>
      <c r="G187" s="376"/>
      <c r="H187" s="378"/>
      <c r="I187" s="377"/>
      <c r="J187" s="137"/>
      <c r="K187" s="377"/>
      <c r="L187" s="137"/>
      <c r="M187" s="379"/>
      <c r="N187" s="137"/>
      <c r="O187" s="379"/>
      <c r="P187" s="137"/>
      <c r="Q187" s="380"/>
      <c r="R187" s="137"/>
      <c r="S187" s="379"/>
      <c r="T187" s="137"/>
      <c r="U187" s="137"/>
      <c r="V187" s="137"/>
      <c r="W187" s="137"/>
      <c r="X187" s="137"/>
      <c r="Y187" s="137"/>
      <c r="Z187" s="137"/>
    </row>
    <row r="188" spans="1:26" ht="12" customHeight="1">
      <c r="A188" s="376"/>
      <c r="B188" s="374"/>
      <c r="C188" s="376"/>
      <c r="D188" s="377"/>
      <c r="E188" s="376"/>
      <c r="F188" s="374"/>
      <c r="G188" s="376"/>
      <c r="H188" s="378"/>
      <c r="I188" s="377"/>
      <c r="J188" s="137"/>
      <c r="K188" s="377"/>
      <c r="L188" s="137"/>
      <c r="M188" s="379"/>
      <c r="N188" s="137"/>
      <c r="O188" s="379"/>
      <c r="P188" s="137"/>
      <c r="Q188" s="380"/>
      <c r="R188" s="137"/>
      <c r="S188" s="379"/>
      <c r="T188" s="137"/>
      <c r="U188" s="137"/>
      <c r="V188" s="137"/>
      <c r="W188" s="137"/>
      <c r="X188" s="137"/>
      <c r="Y188" s="137"/>
      <c r="Z188" s="137"/>
    </row>
    <row r="189" spans="1:26" ht="12" customHeight="1">
      <c r="A189" s="376"/>
      <c r="B189" s="374"/>
      <c r="C189" s="376"/>
      <c r="D189" s="377"/>
      <c r="E189" s="376"/>
      <c r="F189" s="374"/>
      <c r="G189" s="376"/>
      <c r="H189" s="378"/>
      <c r="I189" s="377"/>
      <c r="J189" s="137"/>
      <c r="K189" s="377"/>
      <c r="L189" s="137"/>
      <c r="M189" s="379"/>
      <c r="N189" s="137"/>
      <c r="O189" s="379"/>
      <c r="P189" s="137"/>
      <c r="Q189" s="380"/>
      <c r="R189" s="137"/>
      <c r="S189" s="379"/>
      <c r="T189" s="137"/>
      <c r="U189" s="137"/>
      <c r="V189" s="137"/>
      <c r="W189" s="137"/>
      <c r="X189" s="137"/>
      <c r="Y189" s="137"/>
      <c r="Z189" s="137"/>
    </row>
    <row r="190" spans="1:26" ht="12" customHeight="1">
      <c r="A190" s="376"/>
      <c r="B190" s="374"/>
      <c r="C190" s="376"/>
      <c r="D190" s="377"/>
      <c r="E190" s="376"/>
      <c r="F190" s="374"/>
      <c r="G190" s="376"/>
      <c r="H190" s="378"/>
      <c r="I190" s="377"/>
      <c r="J190" s="137"/>
      <c r="K190" s="377"/>
      <c r="L190" s="137"/>
      <c r="M190" s="379"/>
      <c r="N190" s="137"/>
      <c r="O190" s="379"/>
      <c r="P190" s="137"/>
      <c r="Q190" s="380"/>
      <c r="R190" s="137"/>
      <c r="S190" s="379"/>
      <c r="T190" s="137"/>
      <c r="U190" s="137"/>
      <c r="V190" s="137"/>
      <c r="W190" s="137"/>
      <c r="X190" s="137"/>
      <c r="Y190" s="137"/>
      <c r="Z190" s="137"/>
    </row>
    <row r="191" spans="1:26" ht="12" customHeight="1">
      <c r="A191" s="376"/>
      <c r="B191" s="374"/>
      <c r="C191" s="376"/>
      <c r="D191" s="377"/>
      <c r="E191" s="376"/>
      <c r="F191" s="374"/>
      <c r="G191" s="376"/>
      <c r="H191" s="378"/>
      <c r="I191" s="377"/>
      <c r="J191" s="137"/>
      <c r="K191" s="377"/>
      <c r="L191" s="137"/>
      <c r="M191" s="379"/>
      <c r="N191" s="137"/>
      <c r="O191" s="379"/>
      <c r="P191" s="137"/>
      <c r="Q191" s="380"/>
      <c r="R191" s="137"/>
      <c r="S191" s="379"/>
      <c r="T191" s="137"/>
      <c r="U191" s="137"/>
      <c r="V191" s="137"/>
      <c r="W191" s="137"/>
      <c r="X191" s="137"/>
      <c r="Y191" s="137"/>
      <c r="Z191" s="137"/>
    </row>
    <row r="192" spans="1:26" ht="12" customHeight="1">
      <c r="A192" s="376"/>
      <c r="B192" s="374"/>
      <c r="C192" s="376"/>
      <c r="D192" s="377"/>
      <c r="E192" s="376"/>
      <c r="F192" s="374"/>
      <c r="G192" s="376"/>
      <c r="H192" s="378"/>
      <c r="I192" s="377"/>
      <c r="J192" s="137"/>
      <c r="K192" s="377"/>
      <c r="L192" s="137"/>
      <c r="M192" s="379"/>
      <c r="N192" s="137"/>
      <c r="O192" s="379"/>
      <c r="P192" s="137"/>
      <c r="Q192" s="380"/>
      <c r="R192" s="137"/>
      <c r="S192" s="379"/>
      <c r="T192" s="137"/>
      <c r="U192" s="137"/>
      <c r="V192" s="137"/>
      <c r="W192" s="137"/>
      <c r="X192" s="137"/>
      <c r="Y192" s="137"/>
      <c r="Z192" s="137"/>
    </row>
    <row r="193" spans="1:26" ht="12" customHeight="1">
      <c r="A193" s="376"/>
      <c r="B193" s="374"/>
      <c r="C193" s="376"/>
      <c r="D193" s="377"/>
      <c r="E193" s="376"/>
      <c r="F193" s="374"/>
      <c r="G193" s="376"/>
      <c r="H193" s="378"/>
      <c r="I193" s="377"/>
      <c r="J193" s="137"/>
      <c r="K193" s="377"/>
      <c r="L193" s="137"/>
      <c r="M193" s="379"/>
      <c r="N193" s="137"/>
      <c r="O193" s="379"/>
      <c r="P193" s="137"/>
      <c r="Q193" s="380"/>
      <c r="R193" s="137"/>
      <c r="S193" s="379"/>
      <c r="T193" s="137"/>
      <c r="U193" s="137"/>
      <c r="V193" s="137"/>
      <c r="W193" s="137"/>
      <c r="X193" s="137"/>
      <c r="Y193" s="137"/>
      <c r="Z193" s="137"/>
    </row>
    <row r="194" spans="1:26" ht="12" customHeight="1">
      <c r="A194" s="376"/>
      <c r="B194" s="374"/>
      <c r="C194" s="376"/>
      <c r="D194" s="377"/>
      <c r="E194" s="376"/>
      <c r="F194" s="374"/>
      <c r="G194" s="376"/>
      <c r="H194" s="378"/>
      <c r="I194" s="377"/>
      <c r="J194" s="137"/>
      <c r="K194" s="377"/>
      <c r="L194" s="137"/>
      <c r="M194" s="379"/>
      <c r="N194" s="137"/>
      <c r="O194" s="379"/>
      <c r="P194" s="137"/>
      <c r="Q194" s="380"/>
      <c r="R194" s="137"/>
      <c r="S194" s="379"/>
      <c r="T194" s="137"/>
      <c r="U194" s="137"/>
      <c r="V194" s="137"/>
      <c r="W194" s="137"/>
      <c r="X194" s="137"/>
      <c r="Y194" s="137"/>
      <c r="Z194" s="137"/>
    </row>
    <row r="195" spans="1:26" ht="12" customHeight="1">
      <c r="A195" s="376"/>
      <c r="B195" s="374"/>
      <c r="C195" s="376"/>
      <c r="D195" s="377"/>
      <c r="E195" s="376"/>
      <c r="F195" s="374"/>
      <c r="G195" s="376"/>
      <c r="H195" s="378"/>
      <c r="I195" s="377"/>
      <c r="J195" s="137"/>
      <c r="K195" s="377"/>
      <c r="L195" s="137"/>
      <c r="M195" s="379"/>
      <c r="N195" s="137"/>
      <c r="O195" s="379"/>
      <c r="P195" s="137"/>
      <c r="Q195" s="380"/>
      <c r="R195" s="137"/>
      <c r="S195" s="379"/>
      <c r="T195" s="137"/>
      <c r="U195" s="137"/>
      <c r="V195" s="137"/>
      <c r="W195" s="137"/>
      <c r="X195" s="137"/>
      <c r="Y195" s="137"/>
      <c r="Z195" s="137"/>
    </row>
    <row r="196" spans="1:26" ht="12" customHeight="1">
      <c r="A196" s="376"/>
      <c r="B196" s="374"/>
      <c r="C196" s="376"/>
      <c r="D196" s="377"/>
      <c r="E196" s="376"/>
      <c r="F196" s="374"/>
      <c r="G196" s="376"/>
      <c r="H196" s="378"/>
      <c r="I196" s="377"/>
      <c r="J196" s="137"/>
      <c r="K196" s="377"/>
      <c r="L196" s="137"/>
      <c r="M196" s="379"/>
      <c r="N196" s="137"/>
      <c r="O196" s="379"/>
      <c r="P196" s="137"/>
      <c r="Q196" s="380"/>
      <c r="R196" s="137"/>
      <c r="S196" s="379"/>
      <c r="T196" s="137"/>
      <c r="U196" s="137"/>
      <c r="V196" s="137"/>
      <c r="W196" s="137"/>
      <c r="X196" s="137"/>
      <c r="Y196" s="137"/>
      <c r="Z196" s="137"/>
    </row>
    <row r="197" spans="1:26" ht="12" customHeight="1">
      <c r="A197" s="376"/>
      <c r="B197" s="374"/>
      <c r="C197" s="376"/>
      <c r="D197" s="377"/>
      <c r="E197" s="376"/>
      <c r="F197" s="374"/>
      <c r="G197" s="376"/>
      <c r="H197" s="378"/>
      <c r="I197" s="377"/>
      <c r="J197" s="137"/>
      <c r="K197" s="377"/>
      <c r="L197" s="137"/>
      <c r="M197" s="379"/>
      <c r="N197" s="137"/>
      <c r="O197" s="379"/>
      <c r="P197" s="137"/>
      <c r="Q197" s="380"/>
      <c r="R197" s="137"/>
      <c r="S197" s="379"/>
      <c r="T197" s="137"/>
      <c r="U197" s="137"/>
      <c r="V197" s="137"/>
      <c r="W197" s="137"/>
      <c r="X197" s="137"/>
      <c r="Y197" s="137"/>
      <c r="Z197" s="137"/>
    </row>
    <row r="198" spans="1:26" ht="12" customHeight="1">
      <c r="A198" s="376"/>
      <c r="B198" s="374"/>
      <c r="C198" s="376"/>
      <c r="D198" s="377"/>
      <c r="E198" s="376"/>
      <c r="F198" s="374"/>
      <c r="G198" s="376"/>
      <c r="H198" s="378"/>
      <c r="I198" s="377"/>
      <c r="J198" s="137"/>
      <c r="K198" s="377"/>
      <c r="L198" s="137"/>
      <c r="M198" s="379"/>
      <c r="N198" s="137"/>
      <c r="O198" s="379"/>
      <c r="P198" s="137"/>
      <c r="Q198" s="380"/>
      <c r="R198" s="137"/>
      <c r="S198" s="379"/>
      <c r="T198" s="137"/>
      <c r="U198" s="137"/>
      <c r="V198" s="137"/>
      <c r="W198" s="137"/>
      <c r="X198" s="137"/>
      <c r="Y198" s="137"/>
      <c r="Z198" s="137"/>
    </row>
    <row r="199" spans="1:26" ht="12" customHeight="1">
      <c r="A199" s="376"/>
      <c r="B199" s="374"/>
      <c r="C199" s="376"/>
      <c r="D199" s="377"/>
      <c r="E199" s="376"/>
      <c r="F199" s="374"/>
      <c r="G199" s="376"/>
      <c r="H199" s="378"/>
      <c r="I199" s="377"/>
      <c r="J199" s="137"/>
      <c r="K199" s="377"/>
      <c r="L199" s="137"/>
      <c r="M199" s="379"/>
      <c r="N199" s="137"/>
      <c r="O199" s="379"/>
      <c r="P199" s="137"/>
      <c r="Q199" s="380"/>
      <c r="R199" s="137"/>
      <c r="S199" s="379"/>
      <c r="T199" s="137"/>
      <c r="U199" s="137"/>
      <c r="V199" s="137"/>
      <c r="W199" s="137"/>
      <c r="X199" s="137"/>
      <c r="Y199" s="137"/>
      <c r="Z199" s="137"/>
    </row>
    <row r="200" spans="1:26" ht="12" customHeight="1">
      <c r="A200" s="376"/>
      <c r="B200" s="374"/>
      <c r="C200" s="376"/>
      <c r="D200" s="377"/>
      <c r="E200" s="376"/>
      <c r="F200" s="374"/>
      <c r="G200" s="376"/>
      <c r="H200" s="378"/>
      <c r="I200" s="377"/>
      <c r="J200" s="137"/>
      <c r="K200" s="377"/>
      <c r="L200" s="137"/>
      <c r="M200" s="379"/>
      <c r="N200" s="137"/>
      <c r="O200" s="379"/>
      <c r="P200" s="137"/>
      <c r="Q200" s="380"/>
      <c r="R200" s="137"/>
      <c r="S200" s="379"/>
      <c r="T200" s="137"/>
      <c r="U200" s="137"/>
      <c r="V200" s="137"/>
      <c r="W200" s="137"/>
      <c r="X200" s="137"/>
      <c r="Y200" s="137"/>
      <c r="Z200" s="137"/>
    </row>
    <row r="201" spans="1:26" ht="12" customHeight="1">
      <c r="A201" s="376"/>
      <c r="B201" s="374"/>
      <c r="C201" s="376"/>
      <c r="D201" s="377"/>
      <c r="E201" s="376"/>
      <c r="F201" s="374"/>
      <c r="G201" s="376"/>
      <c r="H201" s="378"/>
      <c r="I201" s="377"/>
      <c r="J201" s="137"/>
      <c r="K201" s="377"/>
      <c r="L201" s="137"/>
      <c r="M201" s="379"/>
      <c r="N201" s="137"/>
      <c r="O201" s="379"/>
      <c r="P201" s="137"/>
      <c r="Q201" s="380"/>
      <c r="R201" s="137"/>
      <c r="S201" s="379"/>
      <c r="T201" s="137"/>
      <c r="U201" s="137"/>
      <c r="V201" s="137"/>
      <c r="W201" s="137"/>
      <c r="X201" s="137"/>
      <c r="Y201" s="137"/>
      <c r="Z201" s="137"/>
    </row>
    <row r="202" spans="1:26" ht="12" customHeight="1">
      <c r="A202" s="376"/>
      <c r="B202" s="374"/>
      <c r="C202" s="376"/>
      <c r="D202" s="377"/>
      <c r="E202" s="376"/>
      <c r="F202" s="374"/>
      <c r="G202" s="376"/>
      <c r="H202" s="378"/>
      <c r="I202" s="377"/>
      <c r="J202" s="137"/>
      <c r="K202" s="377"/>
      <c r="L202" s="137"/>
      <c r="M202" s="379"/>
      <c r="N202" s="137"/>
      <c r="O202" s="379"/>
      <c r="P202" s="137"/>
      <c r="Q202" s="380"/>
      <c r="R202" s="137"/>
      <c r="S202" s="379"/>
      <c r="T202" s="137"/>
      <c r="U202" s="137"/>
      <c r="V202" s="137"/>
      <c r="W202" s="137"/>
      <c r="X202" s="137"/>
      <c r="Y202" s="137"/>
      <c r="Z202" s="137"/>
    </row>
    <row r="203" spans="1:26" ht="12" customHeight="1">
      <c r="A203" s="376"/>
      <c r="B203" s="374"/>
      <c r="C203" s="376"/>
      <c r="D203" s="377"/>
      <c r="E203" s="376"/>
      <c r="F203" s="374"/>
      <c r="G203" s="376"/>
      <c r="H203" s="378"/>
      <c r="I203" s="377"/>
      <c r="J203" s="137"/>
      <c r="K203" s="377"/>
      <c r="L203" s="137"/>
      <c r="M203" s="379"/>
      <c r="N203" s="137"/>
      <c r="O203" s="379"/>
      <c r="P203" s="137"/>
      <c r="Q203" s="380"/>
      <c r="R203" s="137"/>
      <c r="S203" s="379"/>
      <c r="T203" s="137"/>
      <c r="U203" s="137"/>
      <c r="V203" s="137"/>
      <c r="W203" s="137"/>
      <c r="X203" s="137"/>
      <c r="Y203" s="137"/>
      <c r="Z203" s="137"/>
    </row>
    <row r="204" spans="1:26" ht="12" customHeight="1">
      <c r="A204" s="376"/>
      <c r="B204" s="374"/>
      <c r="C204" s="376"/>
      <c r="D204" s="377"/>
      <c r="E204" s="376"/>
      <c r="F204" s="374"/>
      <c r="G204" s="376"/>
      <c r="H204" s="378"/>
      <c r="I204" s="377"/>
      <c r="J204" s="137"/>
      <c r="K204" s="377"/>
      <c r="L204" s="137"/>
      <c r="M204" s="379"/>
      <c r="N204" s="137"/>
      <c r="O204" s="379"/>
      <c r="P204" s="137"/>
      <c r="Q204" s="380"/>
      <c r="R204" s="137"/>
      <c r="S204" s="379"/>
      <c r="T204" s="137"/>
      <c r="U204" s="137"/>
      <c r="V204" s="137"/>
      <c r="W204" s="137"/>
      <c r="X204" s="137"/>
      <c r="Y204" s="137"/>
      <c r="Z204" s="137"/>
    </row>
    <row r="205" spans="1:26" ht="12" customHeight="1">
      <c r="A205" s="376"/>
      <c r="B205" s="374"/>
      <c r="C205" s="376"/>
      <c r="D205" s="377"/>
      <c r="E205" s="376"/>
      <c r="F205" s="374"/>
      <c r="G205" s="376"/>
      <c r="H205" s="378"/>
      <c r="I205" s="377"/>
      <c r="J205" s="137"/>
      <c r="K205" s="377"/>
      <c r="L205" s="137"/>
      <c r="M205" s="379"/>
      <c r="N205" s="137"/>
      <c r="O205" s="379"/>
      <c r="P205" s="137"/>
      <c r="Q205" s="380"/>
      <c r="R205" s="137"/>
      <c r="S205" s="379"/>
      <c r="T205" s="137"/>
      <c r="U205" s="137"/>
      <c r="V205" s="137"/>
      <c r="W205" s="137"/>
      <c r="X205" s="137"/>
      <c r="Y205" s="137"/>
      <c r="Z205" s="137"/>
    </row>
    <row r="206" spans="1:26" ht="12" customHeight="1">
      <c r="A206" s="376"/>
      <c r="B206" s="374"/>
      <c r="C206" s="376"/>
      <c r="D206" s="377"/>
      <c r="E206" s="376"/>
      <c r="F206" s="374"/>
      <c r="G206" s="376"/>
      <c r="H206" s="378"/>
      <c r="I206" s="377"/>
      <c r="J206" s="137"/>
      <c r="K206" s="377"/>
      <c r="L206" s="137"/>
      <c r="M206" s="379"/>
      <c r="N206" s="137"/>
      <c r="O206" s="379"/>
      <c r="P206" s="137"/>
      <c r="Q206" s="380"/>
      <c r="R206" s="137"/>
      <c r="S206" s="379"/>
      <c r="T206" s="137"/>
      <c r="U206" s="137"/>
      <c r="V206" s="137"/>
      <c r="W206" s="137"/>
      <c r="X206" s="137"/>
      <c r="Y206" s="137"/>
      <c r="Z206" s="137"/>
    </row>
    <row r="207" spans="1:26" ht="12" customHeight="1">
      <c r="A207" s="376"/>
      <c r="B207" s="374"/>
      <c r="C207" s="376"/>
      <c r="D207" s="377"/>
      <c r="E207" s="376"/>
      <c r="F207" s="374"/>
      <c r="G207" s="376"/>
      <c r="H207" s="378"/>
      <c r="I207" s="377"/>
      <c r="J207" s="137"/>
      <c r="K207" s="377"/>
      <c r="L207" s="137"/>
      <c r="M207" s="379"/>
      <c r="N207" s="137"/>
      <c r="O207" s="379"/>
      <c r="P207" s="137"/>
      <c r="Q207" s="380"/>
      <c r="R207" s="137"/>
      <c r="S207" s="379"/>
      <c r="T207" s="137"/>
      <c r="U207" s="137"/>
      <c r="V207" s="137"/>
      <c r="W207" s="137"/>
      <c r="X207" s="137"/>
      <c r="Y207" s="137"/>
      <c r="Z207" s="137"/>
    </row>
    <row r="208" spans="1:26" ht="12" customHeight="1">
      <c r="A208" s="376"/>
      <c r="B208" s="374"/>
      <c r="C208" s="376"/>
      <c r="D208" s="377"/>
      <c r="E208" s="376"/>
      <c r="F208" s="374"/>
      <c r="G208" s="376"/>
      <c r="H208" s="378"/>
      <c r="I208" s="377"/>
      <c r="J208" s="137"/>
      <c r="K208" s="377"/>
      <c r="L208" s="137"/>
      <c r="M208" s="379"/>
      <c r="N208" s="137"/>
      <c r="O208" s="379"/>
      <c r="P208" s="137"/>
      <c r="Q208" s="380"/>
      <c r="R208" s="137"/>
      <c r="S208" s="379"/>
      <c r="T208" s="137"/>
      <c r="U208" s="137"/>
      <c r="V208" s="137"/>
      <c r="W208" s="137"/>
      <c r="X208" s="137"/>
      <c r="Y208" s="137"/>
      <c r="Z208" s="137"/>
    </row>
    <row r="209" spans="1:26" ht="12" customHeight="1">
      <c r="A209" s="376"/>
      <c r="B209" s="374"/>
      <c r="C209" s="376"/>
      <c r="D209" s="377"/>
      <c r="E209" s="376"/>
      <c r="F209" s="374"/>
      <c r="G209" s="376"/>
      <c r="H209" s="378"/>
      <c r="I209" s="377"/>
      <c r="J209" s="137"/>
      <c r="K209" s="377"/>
      <c r="L209" s="137"/>
      <c r="M209" s="379"/>
      <c r="N209" s="137"/>
      <c r="O209" s="379"/>
      <c r="P209" s="137"/>
      <c r="Q209" s="380"/>
      <c r="R209" s="137"/>
      <c r="S209" s="379"/>
      <c r="T209" s="137"/>
      <c r="U209" s="137"/>
      <c r="V209" s="137"/>
      <c r="W209" s="137"/>
      <c r="X209" s="137"/>
      <c r="Y209" s="137"/>
      <c r="Z209" s="137"/>
    </row>
    <row r="210" spans="1:26" ht="12" customHeight="1">
      <c r="A210" s="376"/>
      <c r="B210" s="374"/>
      <c r="C210" s="376"/>
      <c r="D210" s="377"/>
      <c r="E210" s="376"/>
      <c r="F210" s="374"/>
      <c r="G210" s="376"/>
      <c r="H210" s="378"/>
      <c r="I210" s="377"/>
      <c r="J210" s="137"/>
      <c r="K210" s="377"/>
      <c r="L210" s="137"/>
      <c r="M210" s="379"/>
      <c r="N210" s="137"/>
      <c r="O210" s="379"/>
      <c r="P210" s="137"/>
      <c r="Q210" s="380"/>
      <c r="R210" s="137"/>
      <c r="S210" s="379"/>
      <c r="T210" s="137"/>
      <c r="U210" s="137"/>
      <c r="V210" s="137"/>
      <c r="W210" s="137"/>
      <c r="X210" s="137"/>
      <c r="Y210" s="137"/>
      <c r="Z210" s="137"/>
    </row>
    <row r="211" spans="1:26" ht="12" customHeight="1">
      <c r="A211" s="376"/>
      <c r="B211" s="374"/>
      <c r="C211" s="376"/>
      <c r="D211" s="377"/>
      <c r="E211" s="376"/>
      <c r="F211" s="374"/>
      <c r="G211" s="376"/>
      <c r="H211" s="378"/>
      <c r="I211" s="377"/>
      <c r="J211" s="137"/>
      <c r="K211" s="377"/>
      <c r="L211" s="137"/>
      <c r="M211" s="379"/>
      <c r="N211" s="137"/>
      <c r="O211" s="379"/>
      <c r="P211" s="137"/>
      <c r="Q211" s="380"/>
      <c r="R211" s="137"/>
      <c r="S211" s="379"/>
      <c r="T211" s="137"/>
      <c r="U211" s="137"/>
      <c r="V211" s="137"/>
      <c r="W211" s="137"/>
      <c r="X211" s="137"/>
      <c r="Y211" s="137"/>
      <c r="Z211" s="137"/>
    </row>
    <row r="212" spans="1:26" ht="12" customHeight="1">
      <c r="A212" s="376"/>
      <c r="B212" s="374"/>
      <c r="C212" s="376"/>
      <c r="D212" s="377"/>
      <c r="E212" s="376"/>
      <c r="F212" s="374"/>
      <c r="G212" s="376"/>
      <c r="H212" s="378"/>
      <c r="I212" s="377"/>
      <c r="J212" s="137"/>
      <c r="K212" s="377"/>
      <c r="L212" s="137"/>
      <c r="M212" s="379"/>
      <c r="N212" s="137"/>
      <c r="O212" s="379"/>
      <c r="P212" s="137"/>
      <c r="Q212" s="380"/>
      <c r="R212" s="137"/>
      <c r="S212" s="379"/>
      <c r="T212" s="137"/>
      <c r="U212" s="137"/>
      <c r="V212" s="137"/>
      <c r="W212" s="137"/>
      <c r="X212" s="137"/>
      <c r="Y212" s="137"/>
      <c r="Z212" s="137"/>
    </row>
    <row r="213" spans="1:26" ht="12" customHeight="1">
      <c r="A213" s="376"/>
      <c r="B213" s="374"/>
      <c r="C213" s="376"/>
      <c r="D213" s="377"/>
      <c r="E213" s="376"/>
      <c r="F213" s="374"/>
      <c r="G213" s="376"/>
      <c r="H213" s="378"/>
      <c r="I213" s="377"/>
      <c r="J213" s="137"/>
      <c r="K213" s="377"/>
      <c r="L213" s="137"/>
      <c r="M213" s="379"/>
      <c r="N213" s="137"/>
      <c r="O213" s="379"/>
      <c r="P213" s="137"/>
      <c r="Q213" s="380"/>
      <c r="R213" s="137"/>
      <c r="S213" s="379"/>
      <c r="T213" s="137"/>
      <c r="U213" s="137"/>
      <c r="V213" s="137"/>
      <c r="W213" s="137"/>
      <c r="X213" s="137"/>
      <c r="Y213" s="137"/>
      <c r="Z213" s="137"/>
    </row>
    <row r="214" spans="1:26" ht="12" customHeight="1">
      <c r="A214" s="376"/>
      <c r="B214" s="374"/>
      <c r="C214" s="376"/>
      <c r="D214" s="377"/>
      <c r="E214" s="376"/>
      <c r="F214" s="374"/>
      <c r="G214" s="376"/>
      <c r="H214" s="378"/>
      <c r="I214" s="377"/>
      <c r="J214" s="137"/>
      <c r="K214" s="377"/>
      <c r="L214" s="137"/>
      <c r="M214" s="379"/>
      <c r="N214" s="137"/>
      <c r="O214" s="379"/>
      <c r="P214" s="137"/>
      <c r="Q214" s="380"/>
      <c r="R214" s="137"/>
      <c r="S214" s="379"/>
      <c r="T214" s="137"/>
      <c r="U214" s="137"/>
      <c r="V214" s="137"/>
      <c r="W214" s="137"/>
      <c r="X214" s="137"/>
      <c r="Y214" s="137"/>
      <c r="Z214" s="137"/>
    </row>
    <row r="215" spans="1:26" ht="12" customHeight="1">
      <c r="A215" s="376"/>
      <c r="B215" s="374"/>
      <c r="C215" s="376"/>
      <c r="D215" s="377"/>
      <c r="E215" s="376"/>
      <c r="F215" s="374"/>
      <c r="G215" s="376"/>
      <c r="H215" s="378"/>
      <c r="I215" s="377"/>
      <c r="J215" s="137"/>
      <c r="K215" s="377"/>
      <c r="L215" s="137"/>
      <c r="M215" s="379"/>
      <c r="N215" s="137"/>
      <c r="O215" s="379"/>
      <c r="P215" s="137"/>
      <c r="Q215" s="380"/>
      <c r="R215" s="137"/>
      <c r="S215" s="379"/>
      <c r="T215" s="137"/>
      <c r="U215" s="137"/>
      <c r="V215" s="137"/>
      <c r="W215" s="137"/>
      <c r="X215" s="137"/>
      <c r="Y215" s="137"/>
      <c r="Z215" s="137"/>
    </row>
    <row r="216" spans="1:26" ht="12" customHeight="1">
      <c r="A216" s="376"/>
      <c r="B216" s="374"/>
      <c r="C216" s="376"/>
      <c r="D216" s="377"/>
      <c r="E216" s="376"/>
      <c r="F216" s="374"/>
      <c r="G216" s="376"/>
      <c r="H216" s="378"/>
      <c r="I216" s="377"/>
      <c r="J216" s="137"/>
      <c r="K216" s="377"/>
      <c r="L216" s="137"/>
      <c r="M216" s="379"/>
      <c r="N216" s="137"/>
      <c r="O216" s="379"/>
      <c r="P216" s="137"/>
      <c r="Q216" s="380"/>
      <c r="R216" s="137"/>
      <c r="S216" s="379"/>
      <c r="T216" s="137"/>
      <c r="U216" s="137"/>
      <c r="V216" s="137"/>
      <c r="W216" s="137"/>
      <c r="X216" s="137"/>
      <c r="Y216" s="137"/>
      <c r="Z216" s="137"/>
    </row>
    <row r="217" spans="1:26" ht="12" customHeight="1">
      <c r="A217" s="376"/>
      <c r="B217" s="374"/>
      <c r="C217" s="376"/>
      <c r="D217" s="377"/>
      <c r="E217" s="376"/>
      <c r="F217" s="374"/>
      <c r="G217" s="376"/>
      <c r="H217" s="378"/>
      <c r="I217" s="377"/>
      <c r="J217" s="137"/>
      <c r="K217" s="377"/>
      <c r="L217" s="137"/>
      <c r="M217" s="379"/>
      <c r="N217" s="137"/>
      <c r="O217" s="379"/>
      <c r="P217" s="137"/>
      <c r="Q217" s="380"/>
      <c r="R217" s="137"/>
      <c r="S217" s="379"/>
      <c r="T217" s="137"/>
      <c r="U217" s="137"/>
      <c r="V217" s="137"/>
      <c r="W217" s="137"/>
      <c r="X217" s="137"/>
      <c r="Y217" s="137"/>
      <c r="Z217" s="137"/>
    </row>
    <row r="218" spans="1:26" ht="12" customHeight="1">
      <c r="A218" s="376"/>
      <c r="B218" s="374"/>
      <c r="C218" s="376"/>
      <c r="D218" s="377"/>
      <c r="E218" s="376"/>
      <c r="F218" s="374"/>
      <c r="G218" s="376"/>
      <c r="H218" s="378"/>
      <c r="I218" s="377"/>
      <c r="J218" s="137"/>
      <c r="K218" s="377"/>
      <c r="L218" s="137"/>
      <c r="M218" s="379"/>
      <c r="N218" s="137"/>
      <c r="O218" s="379"/>
      <c r="P218" s="137"/>
      <c r="Q218" s="380"/>
      <c r="R218" s="137"/>
      <c r="S218" s="379"/>
      <c r="T218" s="137"/>
      <c r="U218" s="137"/>
      <c r="V218" s="137"/>
      <c r="W218" s="137"/>
      <c r="X218" s="137"/>
      <c r="Y218" s="137"/>
      <c r="Z218" s="137"/>
    </row>
    <row r="219" spans="1:26" ht="12" customHeight="1">
      <c r="A219" s="376"/>
      <c r="B219" s="374"/>
      <c r="C219" s="376"/>
      <c r="D219" s="377"/>
      <c r="E219" s="376"/>
      <c r="F219" s="374"/>
      <c r="G219" s="376"/>
      <c r="H219" s="378"/>
      <c r="I219" s="377"/>
      <c r="J219" s="137"/>
      <c r="K219" s="377"/>
      <c r="L219" s="137"/>
      <c r="M219" s="379"/>
      <c r="N219" s="137"/>
      <c r="O219" s="379"/>
      <c r="P219" s="137"/>
      <c r="Q219" s="380"/>
      <c r="R219" s="137"/>
      <c r="S219" s="379"/>
      <c r="T219" s="137"/>
      <c r="U219" s="137"/>
      <c r="V219" s="137"/>
      <c r="W219" s="137"/>
      <c r="X219" s="137"/>
      <c r="Y219" s="137"/>
      <c r="Z219" s="137"/>
    </row>
    <row r="220" spans="1:26" ht="12" customHeight="1">
      <c r="A220" s="376"/>
      <c r="B220" s="374"/>
      <c r="C220" s="376"/>
      <c r="D220" s="377"/>
      <c r="E220" s="376"/>
      <c r="F220" s="374"/>
      <c r="G220" s="376"/>
      <c r="H220" s="378"/>
      <c r="I220" s="377"/>
      <c r="J220" s="137"/>
      <c r="K220" s="377"/>
      <c r="L220" s="137"/>
      <c r="M220" s="379"/>
      <c r="N220" s="137"/>
      <c r="O220" s="379"/>
      <c r="P220" s="137"/>
      <c r="Q220" s="380"/>
      <c r="R220" s="137"/>
      <c r="S220" s="379"/>
      <c r="T220" s="137"/>
      <c r="U220" s="137"/>
      <c r="V220" s="137"/>
      <c r="W220" s="137"/>
      <c r="X220" s="137"/>
      <c r="Y220" s="137"/>
      <c r="Z220" s="137"/>
    </row>
    <row r="221" spans="1:26" ht="12" customHeight="1">
      <c r="A221" s="376"/>
      <c r="B221" s="374"/>
      <c r="C221" s="376"/>
      <c r="D221" s="377"/>
      <c r="E221" s="376"/>
      <c r="F221" s="374"/>
      <c r="G221" s="376"/>
      <c r="H221" s="378"/>
      <c r="I221" s="377"/>
      <c r="J221" s="137"/>
      <c r="K221" s="377"/>
      <c r="L221" s="137"/>
      <c r="M221" s="379"/>
      <c r="N221" s="137"/>
      <c r="O221" s="379"/>
      <c r="P221" s="137"/>
      <c r="Q221" s="380"/>
      <c r="R221" s="137"/>
      <c r="S221" s="379"/>
      <c r="T221" s="137"/>
      <c r="U221" s="137"/>
      <c r="V221" s="137"/>
      <c r="W221" s="137"/>
      <c r="X221" s="137"/>
      <c r="Y221" s="137"/>
      <c r="Z221" s="137"/>
    </row>
    <row r="222" spans="1:26" ht="12" customHeight="1">
      <c r="A222" s="376"/>
      <c r="B222" s="374"/>
      <c r="C222" s="376"/>
      <c r="D222" s="377"/>
      <c r="E222" s="376"/>
      <c r="F222" s="374"/>
      <c r="G222" s="376"/>
      <c r="H222" s="378"/>
      <c r="I222" s="377"/>
      <c r="J222" s="137"/>
      <c r="K222" s="377"/>
      <c r="L222" s="137"/>
      <c r="M222" s="379"/>
      <c r="N222" s="137"/>
      <c r="O222" s="379"/>
      <c r="P222" s="137"/>
      <c r="Q222" s="380"/>
      <c r="R222" s="137"/>
      <c r="S222" s="379"/>
      <c r="T222" s="137"/>
      <c r="U222" s="137"/>
      <c r="V222" s="137"/>
      <c r="W222" s="137"/>
      <c r="X222" s="137"/>
      <c r="Y222" s="137"/>
      <c r="Z222" s="137"/>
    </row>
    <row r="223" spans="1:26" ht="12" customHeight="1">
      <c r="A223" s="376"/>
      <c r="B223" s="374"/>
      <c r="C223" s="376"/>
      <c r="D223" s="377"/>
      <c r="E223" s="376"/>
      <c r="F223" s="374"/>
      <c r="G223" s="376"/>
      <c r="H223" s="378"/>
      <c r="I223" s="377"/>
      <c r="J223" s="137"/>
      <c r="K223" s="377"/>
      <c r="L223" s="137"/>
      <c r="M223" s="379"/>
      <c r="N223" s="137"/>
      <c r="O223" s="379"/>
      <c r="P223" s="137"/>
      <c r="Q223" s="380"/>
      <c r="R223" s="137"/>
      <c r="S223" s="379"/>
      <c r="T223" s="137"/>
      <c r="U223" s="137"/>
      <c r="V223" s="137"/>
      <c r="W223" s="137"/>
      <c r="X223" s="137"/>
      <c r="Y223" s="137"/>
      <c r="Z223" s="137"/>
    </row>
    <row r="224" spans="1:26" ht="12" customHeight="1">
      <c r="A224" s="376"/>
      <c r="B224" s="374"/>
      <c r="C224" s="376"/>
      <c r="D224" s="377"/>
      <c r="E224" s="376"/>
      <c r="F224" s="374"/>
      <c r="G224" s="376"/>
      <c r="H224" s="378"/>
      <c r="I224" s="377"/>
      <c r="J224" s="137"/>
      <c r="K224" s="377"/>
      <c r="L224" s="137"/>
      <c r="M224" s="379"/>
      <c r="N224" s="137"/>
      <c r="O224" s="379"/>
      <c r="P224" s="137"/>
      <c r="Q224" s="380"/>
      <c r="R224" s="137"/>
      <c r="S224" s="379"/>
      <c r="T224" s="137"/>
      <c r="U224" s="137"/>
      <c r="V224" s="137"/>
      <c r="W224" s="137"/>
      <c r="X224" s="137"/>
      <c r="Y224" s="137"/>
      <c r="Z224" s="137"/>
    </row>
    <row r="225" spans="1:26" ht="12" customHeight="1">
      <c r="A225" s="376"/>
      <c r="B225" s="374"/>
      <c r="C225" s="376"/>
      <c r="D225" s="377"/>
      <c r="E225" s="376"/>
      <c r="F225" s="374"/>
      <c r="G225" s="376"/>
      <c r="H225" s="378"/>
      <c r="I225" s="377"/>
      <c r="J225" s="137"/>
      <c r="K225" s="377"/>
      <c r="L225" s="137"/>
      <c r="M225" s="379"/>
      <c r="N225" s="137"/>
      <c r="O225" s="379"/>
      <c r="P225" s="137"/>
      <c r="Q225" s="380"/>
      <c r="R225" s="137"/>
      <c r="S225" s="379"/>
      <c r="T225" s="137"/>
      <c r="U225" s="137"/>
      <c r="V225" s="137"/>
      <c r="W225" s="137"/>
      <c r="X225" s="137"/>
      <c r="Y225" s="137"/>
      <c r="Z225" s="137"/>
    </row>
    <row r="226" spans="1:26" ht="12" customHeight="1">
      <c r="A226" s="376"/>
      <c r="B226" s="374"/>
      <c r="C226" s="376"/>
      <c r="D226" s="377"/>
      <c r="E226" s="376"/>
      <c r="F226" s="374"/>
      <c r="G226" s="376"/>
      <c r="H226" s="378"/>
      <c r="I226" s="377"/>
      <c r="J226" s="137"/>
      <c r="K226" s="377"/>
      <c r="L226" s="137"/>
      <c r="M226" s="379"/>
      <c r="N226" s="137"/>
      <c r="O226" s="379"/>
      <c r="P226" s="137"/>
      <c r="Q226" s="380"/>
      <c r="R226" s="137"/>
      <c r="S226" s="379"/>
      <c r="T226" s="137"/>
      <c r="U226" s="137"/>
      <c r="V226" s="137"/>
      <c r="W226" s="137"/>
      <c r="X226" s="137"/>
      <c r="Y226" s="137"/>
      <c r="Z226" s="137"/>
    </row>
    <row r="227" spans="1:26" ht="12" customHeight="1">
      <c r="A227" s="376"/>
      <c r="B227" s="374"/>
      <c r="C227" s="376"/>
      <c r="D227" s="377"/>
      <c r="E227" s="376"/>
      <c r="F227" s="374"/>
      <c r="G227" s="376"/>
      <c r="H227" s="378"/>
      <c r="I227" s="377"/>
      <c r="J227" s="137"/>
      <c r="K227" s="377"/>
      <c r="L227" s="137"/>
      <c r="M227" s="379"/>
      <c r="N227" s="137"/>
      <c r="O227" s="379"/>
      <c r="P227" s="137"/>
      <c r="Q227" s="380"/>
      <c r="R227" s="137"/>
      <c r="S227" s="379"/>
      <c r="T227" s="137"/>
      <c r="U227" s="137"/>
      <c r="V227" s="137"/>
      <c r="W227" s="137"/>
      <c r="X227" s="137"/>
      <c r="Y227" s="137"/>
      <c r="Z227" s="137"/>
    </row>
    <row r="228" spans="1:26" ht="12" customHeight="1">
      <c r="A228" s="376"/>
      <c r="B228" s="374"/>
      <c r="C228" s="376"/>
      <c r="D228" s="377"/>
      <c r="E228" s="376"/>
      <c r="F228" s="374"/>
      <c r="G228" s="376"/>
      <c r="H228" s="378"/>
      <c r="I228" s="377"/>
      <c r="J228" s="137"/>
      <c r="K228" s="377"/>
      <c r="L228" s="137"/>
      <c r="M228" s="379"/>
      <c r="N228" s="137"/>
      <c r="O228" s="379"/>
      <c r="P228" s="137"/>
      <c r="Q228" s="380"/>
      <c r="R228" s="137"/>
      <c r="S228" s="379"/>
      <c r="T228" s="137"/>
      <c r="U228" s="137"/>
      <c r="V228" s="137"/>
      <c r="W228" s="137"/>
      <c r="X228" s="137"/>
      <c r="Y228" s="137"/>
      <c r="Z228" s="137"/>
    </row>
    <row r="229" spans="1:26" ht="12" customHeight="1">
      <c r="A229" s="376"/>
      <c r="B229" s="374"/>
      <c r="C229" s="376"/>
      <c r="D229" s="377"/>
      <c r="E229" s="376"/>
      <c r="F229" s="374"/>
      <c r="G229" s="376"/>
      <c r="H229" s="378"/>
      <c r="I229" s="377"/>
      <c r="J229" s="137"/>
      <c r="K229" s="377"/>
      <c r="L229" s="137"/>
      <c r="M229" s="379"/>
      <c r="N229" s="137"/>
      <c r="O229" s="379"/>
      <c r="P229" s="137"/>
      <c r="Q229" s="380"/>
      <c r="R229" s="137"/>
      <c r="S229" s="379"/>
      <c r="T229" s="137"/>
      <c r="U229" s="137"/>
      <c r="V229" s="137"/>
      <c r="W229" s="137"/>
      <c r="X229" s="137"/>
      <c r="Y229" s="137"/>
      <c r="Z229" s="137"/>
    </row>
    <row r="230" spans="1:26" ht="12" customHeight="1">
      <c r="A230" s="376"/>
      <c r="B230" s="374"/>
      <c r="C230" s="376"/>
      <c r="D230" s="377"/>
      <c r="E230" s="376"/>
      <c r="F230" s="374"/>
      <c r="G230" s="376"/>
      <c r="H230" s="378"/>
      <c r="I230" s="377"/>
      <c r="J230" s="137"/>
      <c r="K230" s="377"/>
      <c r="L230" s="137"/>
      <c r="M230" s="379"/>
      <c r="N230" s="137"/>
      <c r="O230" s="379"/>
      <c r="P230" s="137"/>
      <c r="Q230" s="380"/>
      <c r="R230" s="137"/>
      <c r="S230" s="379"/>
      <c r="T230" s="137"/>
      <c r="U230" s="137"/>
      <c r="V230" s="137"/>
      <c r="W230" s="137"/>
      <c r="X230" s="137"/>
      <c r="Y230" s="137"/>
      <c r="Z230" s="137"/>
    </row>
    <row r="231" spans="1:26" ht="12" customHeight="1">
      <c r="A231" s="376"/>
      <c r="B231" s="374"/>
      <c r="C231" s="376"/>
      <c r="D231" s="377"/>
      <c r="E231" s="376"/>
      <c r="F231" s="374"/>
      <c r="G231" s="376"/>
      <c r="H231" s="378"/>
      <c r="I231" s="377"/>
      <c r="J231" s="137"/>
      <c r="K231" s="377"/>
      <c r="L231" s="137"/>
      <c r="M231" s="379"/>
      <c r="N231" s="137"/>
      <c r="O231" s="379"/>
      <c r="P231" s="137"/>
      <c r="Q231" s="380"/>
      <c r="R231" s="137"/>
      <c r="S231" s="379"/>
      <c r="T231" s="137"/>
      <c r="U231" s="137"/>
      <c r="V231" s="137"/>
      <c r="W231" s="137"/>
      <c r="X231" s="137"/>
      <c r="Y231" s="137"/>
      <c r="Z231" s="137"/>
    </row>
    <row r="232" spans="1:26" ht="12" customHeight="1">
      <c r="A232" s="376"/>
      <c r="B232" s="374"/>
      <c r="C232" s="376"/>
      <c r="D232" s="377"/>
      <c r="E232" s="376"/>
      <c r="F232" s="374"/>
      <c r="G232" s="376"/>
      <c r="H232" s="378"/>
      <c r="I232" s="377"/>
      <c r="J232" s="137"/>
      <c r="K232" s="377"/>
      <c r="L232" s="137"/>
      <c r="M232" s="379"/>
      <c r="N232" s="137"/>
      <c r="O232" s="379"/>
      <c r="P232" s="137"/>
      <c r="Q232" s="380"/>
      <c r="R232" s="137"/>
      <c r="S232" s="379"/>
      <c r="T232" s="137"/>
      <c r="U232" s="137"/>
      <c r="V232" s="137"/>
      <c r="W232" s="137"/>
      <c r="X232" s="137"/>
      <c r="Y232" s="137"/>
      <c r="Z232" s="137"/>
    </row>
    <row r="233" spans="1:26" ht="12" customHeight="1">
      <c r="A233" s="376"/>
      <c r="B233" s="374"/>
      <c r="C233" s="376"/>
      <c r="D233" s="377"/>
      <c r="E233" s="376"/>
      <c r="F233" s="374"/>
      <c r="G233" s="376"/>
      <c r="H233" s="378"/>
      <c r="I233" s="377"/>
      <c r="J233" s="137"/>
      <c r="K233" s="377"/>
      <c r="L233" s="137"/>
      <c r="M233" s="379"/>
      <c r="N233" s="137"/>
      <c r="O233" s="379"/>
      <c r="P233" s="137"/>
      <c r="Q233" s="380"/>
      <c r="R233" s="137"/>
      <c r="S233" s="379"/>
      <c r="T233" s="137"/>
      <c r="U233" s="137"/>
      <c r="V233" s="137"/>
      <c r="W233" s="137"/>
      <c r="X233" s="137"/>
      <c r="Y233" s="137"/>
      <c r="Z233" s="137"/>
    </row>
    <row r="234" spans="1:26" ht="12" customHeight="1">
      <c r="A234" s="376"/>
      <c r="B234" s="374"/>
      <c r="C234" s="376"/>
      <c r="D234" s="377"/>
      <c r="E234" s="376"/>
      <c r="F234" s="374"/>
      <c r="G234" s="376"/>
      <c r="H234" s="378"/>
      <c r="I234" s="377"/>
      <c r="J234" s="137"/>
      <c r="K234" s="377"/>
      <c r="L234" s="137"/>
      <c r="M234" s="379"/>
      <c r="N234" s="137"/>
      <c r="O234" s="379"/>
      <c r="P234" s="137"/>
      <c r="Q234" s="380"/>
      <c r="R234" s="137"/>
      <c r="S234" s="379"/>
      <c r="T234" s="137"/>
      <c r="U234" s="137"/>
      <c r="V234" s="137"/>
      <c r="W234" s="137"/>
      <c r="X234" s="137"/>
      <c r="Y234" s="137"/>
      <c r="Z234" s="137"/>
    </row>
    <row r="235" spans="1:26" ht="12" customHeight="1">
      <c r="A235" s="376"/>
      <c r="B235" s="374"/>
      <c r="C235" s="376"/>
      <c r="D235" s="377"/>
      <c r="E235" s="376"/>
      <c r="F235" s="374"/>
      <c r="G235" s="376"/>
      <c r="H235" s="378"/>
      <c r="I235" s="377"/>
      <c r="J235" s="137"/>
      <c r="K235" s="377"/>
      <c r="L235" s="137"/>
      <c r="M235" s="379"/>
      <c r="N235" s="137"/>
      <c r="O235" s="379"/>
      <c r="P235" s="137"/>
      <c r="Q235" s="380"/>
      <c r="R235" s="137"/>
      <c r="S235" s="379"/>
      <c r="T235" s="137"/>
      <c r="U235" s="137"/>
      <c r="V235" s="137"/>
      <c r="W235" s="137"/>
      <c r="X235" s="137"/>
      <c r="Y235" s="137"/>
      <c r="Z235" s="137"/>
    </row>
    <row r="236" spans="1:26" ht="12" customHeight="1">
      <c r="A236" s="376"/>
      <c r="B236" s="374"/>
      <c r="C236" s="376"/>
      <c r="D236" s="377"/>
      <c r="E236" s="376"/>
      <c r="F236" s="374"/>
      <c r="G236" s="376"/>
      <c r="H236" s="378"/>
      <c r="I236" s="377"/>
      <c r="J236" s="137"/>
      <c r="K236" s="377"/>
      <c r="L236" s="137"/>
      <c r="M236" s="379"/>
      <c r="N236" s="137"/>
      <c r="O236" s="379"/>
      <c r="P236" s="137"/>
      <c r="Q236" s="380"/>
      <c r="R236" s="137"/>
      <c r="S236" s="379"/>
      <c r="T236" s="137"/>
      <c r="U236" s="137"/>
      <c r="V236" s="137"/>
      <c r="W236" s="137"/>
      <c r="X236" s="137"/>
      <c r="Y236" s="137"/>
      <c r="Z236" s="137"/>
    </row>
    <row r="237" spans="1:26" ht="12" customHeight="1">
      <c r="A237" s="376"/>
      <c r="B237" s="374"/>
      <c r="C237" s="376"/>
      <c r="D237" s="377"/>
      <c r="E237" s="376"/>
      <c r="F237" s="374"/>
      <c r="G237" s="376"/>
      <c r="H237" s="378"/>
      <c r="I237" s="377"/>
      <c r="J237" s="137"/>
      <c r="K237" s="377"/>
      <c r="L237" s="137"/>
      <c r="M237" s="379"/>
      <c r="N237" s="137"/>
      <c r="O237" s="379"/>
      <c r="P237" s="137"/>
      <c r="Q237" s="380"/>
      <c r="R237" s="137"/>
      <c r="S237" s="379"/>
      <c r="T237" s="137"/>
      <c r="U237" s="137"/>
      <c r="V237" s="137"/>
      <c r="W237" s="137"/>
      <c r="X237" s="137"/>
      <c r="Y237" s="137"/>
      <c r="Z237" s="137"/>
    </row>
    <row r="238" spans="1:26" ht="12" customHeight="1">
      <c r="A238" s="376"/>
      <c r="B238" s="374"/>
      <c r="C238" s="376"/>
      <c r="D238" s="377"/>
      <c r="E238" s="376"/>
      <c r="F238" s="374"/>
      <c r="G238" s="376"/>
      <c r="H238" s="378"/>
      <c r="I238" s="377"/>
      <c r="J238" s="137"/>
      <c r="K238" s="377"/>
      <c r="L238" s="137"/>
      <c r="M238" s="379"/>
      <c r="N238" s="137"/>
      <c r="O238" s="379"/>
      <c r="P238" s="137"/>
      <c r="Q238" s="380"/>
      <c r="R238" s="137"/>
      <c r="S238" s="379"/>
      <c r="T238" s="137"/>
      <c r="U238" s="137"/>
      <c r="V238" s="137"/>
      <c r="W238" s="137"/>
      <c r="X238" s="137"/>
      <c r="Y238" s="137"/>
      <c r="Z238" s="137"/>
    </row>
    <row r="239" spans="1:26" ht="12" customHeight="1">
      <c r="A239" s="376"/>
      <c r="B239" s="374"/>
      <c r="C239" s="376"/>
      <c r="D239" s="377"/>
      <c r="E239" s="376"/>
      <c r="F239" s="374"/>
      <c r="G239" s="376"/>
      <c r="H239" s="378"/>
      <c r="I239" s="377"/>
      <c r="J239" s="137"/>
      <c r="K239" s="377"/>
      <c r="L239" s="137"/>
      <c r="M239" s="379"/>
      <c r="N239" s="137"/>
      <c r="O239" s="379"/>
      <c r="P239" s="137"/>
      <c r="Q239" s="380"/>
      <c r="R239" s="137"/>
      <c r="S239" s="379"/>
      <c r="T239" s="137"/>
      <c r="U239" s="137"/>
      <c r="V239" s="137"/>
      <c r="W239" s="137"/>
      <c r="X239" s="137"/>
      <c r="Y239" s="137"/>
      <c r="Z239" s="137"/>
    </row>
    <row r="240" spans="1:26" ht="12" customHeight="1">
      <c r="A240" s="376"/>
      <c r="B240" s="374"/>
      <c r="C240" s="376"/>
      <c r="D240" s="377"/>
      <c r="E240" s="376"/>
      <c r="F240" s="374"/>
      <c r="G240" s="376"/>
      <c r="H240" s="378"/>
      <c r="I240" s="377"/>
      <c r="J240" s="137"/>
      <c r="K240" s="377"/>
      <c r="L240" s="137"/>
      <c r="M240" s="379"/>
      <c r="N240" s="137"/>
      <c r="O240" s="379"/>
      <c r="P240" s="137"/>
      <c r="Q240" s="380"/>
      <c r="R240" s="137"/>
      <c r="S240" s="379"/>
      <c r="T240" s="137"/>
      <c r="U240" s="137"/>
      <c r="V240" s="137"/>
      <c r="W240" s="137"/>
      <c r="X240" s="137"/>
      <c r="Y240" s="137"/>
      <c r="Z240" s="137"/>
    </row>
    <row r="241" spans="1:26" ht="12" customHeight="1">
      <c r="A241" s="376"/>
      <c r="B241" s="374"/>
      <c r="C241" s="376"/>
      <c r="D241" s="377"/>
      <c r="E241" s="376"/>
      <c r="F241" s="374"/>
      <c r="G241" s="376"/>
      <c r="H241" s="378"/>
      <c r="I241" s="377"/>
      <c r="J241" s="137"/>
      <c r="K241" s="377"/>
      <c r="L241" s="137"/>
      <c r="M241" s="379"/>
      <c r="N241" s="137"/>
      <c r="O241" s="379"/>
      <c r="P241" s="137"/>
      <c r="Q241" s="380"/>
      <c r="R241" s="137"/>
      <c r="S241" s="379"/>
      <c r="T241" s="137"/>
      <c r="U241" s="137"/>
      <c r="V241" s="137"/>
      <c r="W241" s="137"/>
      <c r="X241" s="137"/>
      <c r="Y241" s="137"/>
      <c r="Z241" s="137"/>
    </row>
    <row r="242" spans="1:26" ht="12" customHeight="1">
      <c r="A242" s="376"/>
      <c r="B242" s="374"/>
      <c r="C242" s="376"/>
      <c r="D242" s="377"/>
      <c r="E242" s="376"/>
      <c r="F242" s="374"/>
      <c r="G242" s="376"/>
      <c r="H242" s="378"/>
      <c r="I242" s="377"/>
      <c r="J242" s="137"/>
      <c r="K242" s="377"/>
      <c r="L242" s="137"/>
      <c r="M242" s="379"/>
      <c r="N242" s="137"/>
      <c r="O242" s="379"/>
      <c r="P242" s="137"/>
      <c r="Q242" s="380"/>
      <c r="R242" s="137"/>
      <c r="S242" s="379"/>
      <c r="T242" s="137"/>
      <c r="U242" s="137"/>
      <c r="V242" s="137"/>
      <c r="W242" s="137"/>
      <c r="X242" s="137"/>
      <c r="Y242" s="137"/>
      <c r="Z242" s="137"/>
    </row>
    <row r="243" spans="1:26" ht="12" customHeight="1">
      <c r="A243" s="376"/>
      <c r="B243" s="374"/>
      <c r="C243" s="376"/>
      <c r="D243" s="377"/>
      <c r="E243" s="376"/>
      <c r="F243" s="374"/>
      <c r="G243" s="376"/>
      <c r="H243" s="378"/>
      <c r="I243" s="377"/>
      <c r="J243" s="137"/>
      <c r="K243" s="377"/>
      <c r="L243" s="137"/>
      <c r="M243" s="379"/>
      <c r="N243" s="137"/>
      <c r="O243" s="379"/>
      <c r="P243" s="137"/>
      <c r="Q243" s="380"/>
      <c r="R243" s="137"/>
      <c r="S243" s="379"/>
      <c r="T243" s="137"/>
      <c r="U243" s="137"/>
      <c r="V243" s="137"/>
      <c r="W243" s="137"/>
      <c r="X243" s="137"/>
      <c r="Y243" s="137"/>
      <c r="Z243" s="137"/>
    </row>
    <row r="244" spans="1:26" ht="12" customHeight="1">
      <c r="A244" s="376"/>
      <c r="B244" s="374"/>
      <c r="C244" s="376"/>
      <c r="D244" s="377"/>
      <c r="E244" s="376"/>
      <c r="F244" s="374"/>
      <c r="G244" s="376"/>
      <c r="H244" s="378"/>
      <c r="I244" s="377"/>
      <c r="J244" s="137"/>
      <c r="K244" s="377"/>
      <c r="L244" s="137"/>
      <c r="M244" s="379"/>
      <c r="N244" s="137"/>
      <c r="O244" s="379"/>
      <c r="P244" s="137"/>
      <c r="Q244" s="380"/>
      <c r="R244" s="137"/>
      <c r="S244" s="379"/>
      <c r="T244" s="137"/>
      <c r="U244" s="137"/>
      <c r="V244" s="137"/>
      <c r="W244" s="137"/>
      <c r="X244" s="137"/>
      <c r="Y244" s="137"/>
      <c r="Z244" s="137"/>
    </row>
    <row r="245" spans="1:26" ht="12" customHeight="1">
      <c r="A245" s="376"/>
      <c r="B245" s="374"/>
      <c r="C245" s="376"/>
      <c r="D245" s="377"/>
      <c r="E245" s="376"/>
      <c r="F245" s="374"/>
      <c r="G245" s="376"/>
      <c r="H245" s="378"/>
      <c r="I245" s="377"/>
      <c r="J245" s="137"/>
      <c r="K245" s="377"/>
      <c r="L245" s="137"/>
      <c r="M245" s="379"/>
      <c r="N245" s="137"/>
      <c r="O245" s="379"/>
      <c r="P245" s="137"/>
      <c r="Q245" s="380"/>
      <c r="R245" s="137"/>
      <c r="S245" s="379"/>
      <c r="T245" s="137"/>
      <c r="U245" s="137"/>
      <c r="V245" s="137"/>
      <c r="W245" s="137"/>
      <c r="X245" s="137"/>
      <c r="Y245" s="137"/>
      <c r="Z245" s="137"/>
    </row>
    <row r="246" spans="1:26" ht="12" customHeight="1">
      <c r="A246" s="376"/>
      <c r="B246" s="374"/>
      <c r="C246" s="376"/>
      <c r="D246" s="377"/>
      <c r="E246" s="376"/>
      <c r="F246" s="374"/>
      <c r="G246" s="376"/>
      <c r="H246" s="378"/>
      <c r="I246" s="377"/>
      <c r="J246" s="137"/>
      <c r="K246" s="377"/>
      <c r="L246" s="137"/>
      <c r="M246" s="379"/>
      <c r="N246" s="137"/>
      <c r="O246" s="379"/>
      <c r="P246" s="137"/>
      <c r="Q246" s="380"/>
      <c r="R246" s="137"/>
      <c r="S246" s="379"/>
      <c r="T246" s="137"/>
      <c r="U246" s="137"/>
      <c r="V246" s="137"/>
      <c r="W246" s="137"/>
      <c r="X246" s="137"/>
      <c r="Y246" s="137"/>
      <c r="Z246" s="137"/>
    </row>
    <row r="247" spans="1:26" ht="12" customHeight="1">
      <c r="A247" s="376"/>
      <c r="B247" s="374"/>
      <c r="C247" s="376"/>
      <c r="D247" s="377"/>
      <c r="E247" s="376"/>
      <c r="F247" s="374"/>
      <c r="G247" s="376"/>
      <c r="H247" s="378"/>
      <c r="I247" s="377"/>
      <c r="J247" s="137"/>
      <c r="K247" s="377"/>
      <c r="L247" s="137"/>
      <c r="M247" s="379"/>
      <c r="N247" s="137"/>
      <c r="O247" s="379"/>
      <c r="P247" s="137"/>
      <c r="Q247" s="380"/>
      <c r="R247" s="137"/>
      <c r="S247" s="379"/>
      <c r="T247" s="137"/>
      <c r="U247" s="137"/>
      <c r="V247" s="137"/>
      <c r="W247" s="137"/>
      <c r="X247" s="137"/>
      <c r="Y247" s="137"/>
      <c r="Z247" s="137"/>
    </row>
    <row r="248" spans="1:26" ht="12" customHeight="1">
      <c r="A248" s="376"/>
      <c r="B248" s="374"/>
      <c r="C248" s="376"/>
      <c r="D248" s="377"/>
      <c r="E248" s="376"/>
      <c r="F248" s="374"/>
      <c r="G248" s="376"/>
      <c r="H248" s="378"/>
      <c r="I248" s="377"/>
      <c r="J248" s="137"/>
      <c r="K248" s="377"/>
      <c r="L248" s="137"/>
      <c r="M248" s="379"/>
      <c r="N248" s="137"/>
      <c r="O248" s="379"/>
      <c r="P248" s="137"/>
      <c r="Q248" s="380"/>
      <c r="R248" s="137"/>
      <c r="S248" s="379"/>
      <c r="T248" s="137"/>
      <c r="U248" s="137"/>
      <c r="V248" s="137"/>
      <c r="W248" s="137"/>
      <c r="X248" s="137"/>
      <c r="Y248" s="137"/>
      <c r="Z248" s="137"/>
    </row>
    <row r="249" spans="1:26" ht="12" customHeight="1">
      <c r="A249" s="376"/>
      <c r="B249" s="374"/>
      <c r="C249" s="376"/>
      <c r="D249" s="377"/>
      <c r="E249" s="376"/>
      <c r="F249" s="374"/>
      <c r="G249" s="376"/>
      <c r="H249" s="378"/>
      <c r="I249" s="377"/>
      <c r="J249" s="137"/>
      <c r="K249" s="377"/>
      <c r="L249" s="137"/>
      <c r="M249" s="379"/>
      <c r="N249" s="137"/>
      <c r="O249" s="379"/>
      <c r="P249" s="137"/>
      <c r="Q249" s="380"/>
      <c r="R249" s="137"/>
      <c r="S249" s="379"/>
      <c r="T249" s="137"/>
      <c r="U249" s="137"/>
      <c r="V249" s="137"/>
      <c r="W249" s="137"/>
      <c r="X249" s="137"/>
      <c r="Y249" s="137"/>
      <c r="Z249" s="137"/>
    </row>
    <row r="250" spans="1:26" ht="12" customHeight="1">
      <c r="A250" s="376"/>
      <c r="B250" s="374"/>
      <c r="C250" s="376"/>
      <c r="D250" s="377"/>
      <c r="E250" s="376"/>
      <c r="F250" s="374"/>
      <c r="G250" s="376"/>
      <c r="H250" s="378"/>
      <c r="I250" s="377"/>
      <c r="J250" s="137"/>
      <c r="K250" s="377"/>
      <c r="L250" s="137"/>
      <c r="M250" s="379"/>
      <c r="N250" s="137"/>
      <c r="O250" s="379"/>
      <c r="P250" s="137"/>
      <c r="Q250" s="380"/>
      <c r="R250" s="137"/>
      <c r="S250" s="379"/>
      <c r="T250" s="137"/>
      <c r="U250" s="137"/>
      <c r="V250" s="137"/>
      <c r="W250" s="137"/>
      <c r="X250" s="137"/>
      <c r="Y250" s="137"/>
      <c r="Z250" s="137"/>
    </row>
    <row r="251" spans="1:26" ht="12" customHeight="1">
      <c r="A251" s="376"/>
      <c r="B251" s="374"/>
      <c r="C251" s="376"/>
      <c r="D251" s="377"/>
      <c r="E251" s="376"/>
      <c r="F251" s="374"/>
      <c r="G251" s="376"/>
      <c r="H251" s="378"/>
      <c r="I251" s="377"/>
      <c r="J251" s="137"/>
      <c r="K251" s="377"/>
      <c r="L251" s="137"/>
      <c r="M251" s="379"/>
      <c r="N251" s="137"/>
      <c r="O251" s="379"/>
      <c r="P251" s="137"/>
      <c r="Q251" s="380"/>
      <c r="R251" s="137"/>
      <c r="S251" s="379"/>
      <c r="T251" s="137"/>
      <c r="U251" s="137"/>
      <c r="V251" s="137"/>
      <c r="W251" s="137"/>
      <c r="X251" s="137"/>
      <c r="Y251" s="137"/>
      <c r="Z251" s="137"/>
    </row>
    <row r="252" spans="1:26" ht="12" customHeight="1">
      <c r="A252" s="376"/>
      <c r="B252" s="374"/>
      <c r="C252" s="376"/>
      <c r="D252" s="377"/>
      <c r="E252" s="376"/>
      <c r="F252" s="374"/>
      <c r="G252" s="376"/>
      <c r="H252" s="378"/>
      <c r="I252" s="377"/>
      <c r="J252" s="137"/>
      <c r="K252" s="377"/>
      <c r="L252" s="137"/>
      <c r="M252" s="379"/>
      <c r="N252" s="137"/>
      <c r="O252" s="379"/>
      <c r="P252" s="137"/>
      <c r="Q252" s="380"/>
      <c r="R252" s="137"/>
      <c r="S252" s="379"/>
      <c r="T252" s="137"/>
      <c r="U252" s="137"/>
      <c r="V252" s="137"/>
      <c r="W252" s="137"/>
      <c r="X252" s="137"/>
      <c r="Y252" s="137"/>
      <c r="Z252" s="137"/>
    </row>
    <row r="253" spans="1:26" ht="12" customHeight="1">
      <c r="A253" s="376"/>
      <c r="B253" s="374"/>
      <c r="C253" s="376"/>
      <c r="D253" s="377"/>
      <c r="E253" s="376"/>
      <c r="F253" s="374"/>
      <c r="G253" s="376"/>
      <c r="H253" s="378"/>
      <c r="I253" s="377"/>
      <c r="J253" s="137"/>
      <c r="K253" s="377"/>
      <c r="L253" s="137"/>
      <c r="M253" s="379"/>
      <c r="N253" s="137"/>
      <c r="O253" s="379"/>
      <c r="P253" s="137"/>
      <c r="Q253" s="380"/>
      <c r="R253" s="137"/>
      <c r="S253" s="379"/>
      <c r="T253" s="137"/>
      <c r="U253" s="137"/>
      <c r="V253" s="137"/>
      <c r="W253" s="137"/>
      <c r="X253" s="137"/>
      <c r="Y253" s="137"/>
      <c r="Z253" s="137"/>
    </row>
    <row r="254" spans="1:26" ht="12" customHeight="1">
      <c r="A254" s="376"/>
      <c r="B254" s="374"/>
      <c r="C254" s="376"/>
      <c r="D254" s="377"/>
      <c r="E254" s="376"/>
      <c r="F254" s="374"/>
      <c r="G254" s="376"/>
      <c r="H254" s="378"/>
      <c r="I254" s="377"/>
      <c r="J254" s="137"/>
      <c r="K254" s="377"/>
      <c r="L254" s="137"/>
      <c r="M254" s="379"/>
      <c r="N254" s="137"/>
      <c r="O254" s="379"/>
      <c r="P254" s="137"/>
      <c r="Q254" s="380"/>
      <c r="R254" s="137"/>
      <c r="S254" s="379"/>
      <c r="T254" s="137"/>
      <c r="U254" s="137"/>
      <c r="V254" s="137"/>
      <c r="W254" s="137"/>
      <c r="X254" s="137"/>
      <c r="Y254" s="137"/>
      <c r="Z254" s="137"/>
    </row>
    <row r="255" spans="1:26" ht="12" customHeight="1">
      <c r="A255" s="376"/>
      <c r="B255" s="374"/>
      <c r="C255" s="376"/>
      <c r="D255" s="377"/>
      <c r="E255" s="376"/>
      <c r="F255" s="374"/>
      <c r="G255" s="376"/>
      <c r="H255" s="378"/>
      <c r="I255" s="377"/>
      <c r="J255" s="137"/>
      <c r="K255" s="377"/>
      <c r="L255" s="137"/>
      <c r="M255" s="379"/>
      <c r="N255" s="137"/>
      <c r="O255" s="379"/>
      <c r="P255" s="137"/>
      <c r="Q255" s="380"/>
      <c r="R255" s="137"/>
      <c r="S255" s="379"/>
      <c r="T255" s="137"/>
      <c r="U255" s="137"/>
      <c r="V255" s="137"/>
      <c r="W255" s="137"/>
      <c r="X255" s="137"/>
      <c r="Y255" s="137"/>
      <c r="Z255" s="137"/>
    </row>
    <row r="256" spans="1:26" ht="12" customHeight="1">
      <c r="A256" s="376"/>
      <c r="B256" s="374"/>
      <c r="C256" s="376"/>
      <c r="D256" s="377"/>
      <c r="E256" s="376"/>
      <c r="F256" s="374"/>
      <c r="G256" s="376"/>
      <c r="H256" s="378"/>
      <c r="I256" s="377"/>
      <c r="J256" s="137"/>
      <c r="K256" s="377"/>
      <c r="L256" s="137"/>
      <c r="M256" s="379"/>
      <c r="N256" s="137"/>
      <c r="O256" s="379"/>
      <c r="P256" s="137"/>
      <c r="Q256" s="380"/>
      <c r="R256" s="137"/>
      <c r="S256" s="379"/>
      <c r="T256" s="137"/>
      <c r="U256" s="137"/>
      <c r="V256" s="137"/>
      <c r="W256" s="137"/>
      <c r="X256" s="137"/>
      <c r="Y256" s="137"/>
      <c r="Z256" s="137"/>
    </row>
    <row r="257" spans="1:26" ht="12" customHeight="1">
      <c r="A257" s="376"/>
      <c r="B257" s="374"/>
      <c r="C257" s="376"/>
      <c r="D257" s="377"/>
      <c r="E257" s="376"/>
      <c r="F257" s="374"/>
      <c r="G257" s="376"/>
      <c r="H257" s="378"/>
      <c r="I257" s="377"/>
      <c r="J257" s="137"/>
      <c r="K257" s="377"/>
      <c r="L257" s="137"/>
      <c r="M257" s="379"/>
      <c r="N257" s="137"/>
      <c r="O257" s="379"/>
      <c r="P257" s="137"/>
      <c r="Q257" s="380"/>
      <c r="R257" s="137"/>
      <c r="S257" s="379"/>
      <c r="T257" s="137"/>
      <c r="U257" s="137"/>
      <c r="V257" s="137"/>
      <c r="W257" s="137"/>
      <c r="X257" s="137"/>
      <c r="Y257" s="137"/>
      <c r="Z257" s="137"/>
    </row>
    <row r="258" spans="1:26" ht="12" customHeight="1">
      <c r="A258" s="376"/>
      <c r="B258" s="374"/>
      <c r="C258" s="376"/>
      <c r="D258" s="377"/>
      <c r="E258" s="376"/>
      <c r="F258" s="374"/>
      <c r="G258" s="376"/>
      <c r="H258" s="378"/>
      <c r="I258" s="377"/>
      <c r="J258" s="137"/>
      <c r="K258" s="377"/>
      <c r="L258" s="137"/>
      <c r="M258" s="379"/>
      <c r="N258" s="137"/>
      <c r="O258" s="379"/>
      <c r="P258" s="137"/>
      <c r="Q258" s="380"/>
      <c r="R258" s="137"/>
      <c r="S258" s="379"/>
      <c r="T258" s="137"/>
      <c r="U258" s="137"/>
      <c r="V258" s="137"/>
      <c r="W258" s="137"/>
      <c r="X258" s="137"/>
      <c r="Y258" s="137"/>
      <c r="Z258" s="137"/>
    </row>
    <row r="259" spans="1:26" ht="12" customHeight="1">
      <c r="A259" s="376"/>
      <c r="B259" s="374"/>
      <c r="C259" s="376"/>
      <c r="D259" s="377"/>
      <c r="E259" s="376"/>
      <c r="F259" s="374"/>
      <c r="G259" s="376"/>
      <c r="H259" s="378"/>
      <c r="I259" s="377"/>
      <c r="J259" s="137"/>
      <c r="K259" s="377"/>
      <c r="L259" s="137"/>
      <c r="M259" s="379"/>
      <c r="N259" s="137"/>
      <c r="O259" s="379"/>
      <c r="P259" s="137"/>
      <c r="Q259" s="380"/>
      <c r="R259" s="137"/>
      <c r="S259" s="379"/>
      <c r="T259" s="137"/>
      <c r="U259" s="137"/>
      <c r="V259" s="137"/>
      <c r="W259" s="137"/>
      <c r="X259" s="137"/>
      <c r="Y259" s="137"/>
      <c r="Z259" s="137"/>
    </row>
    <row r="260" spans="1:26" ht="12" customHeight="1">
      <c r="A260" s="376"/>
      <c r="B260" s="374"/>
      <c r="C260" s="376"/>
      <c r="D260" s="377"/>
      <c r="E260" s="376"/>
      <c r="F260" s="374"/>
      <c r="G260" s="376"/>
      <c r="H260" s="378"/>
      <c r="I260" s="377"/>
      <c r="J260" s="137"/>
      <c r="K260" s="377"/>
      <c r="L260" s="137"/>
      <c r="M260" s="379"/>
      <c r="N260" s="137"/>
      <c r="O260" s="379"/>
      <c r="P260" s="137"/>
      <c r="Q260" s="380"/>
      <c r="R260" s="137"/>
      <c r="S260" s="379"/>
      <c r="T260" s="137"/>
      <c r="U260" s="137"/>
      <c r="V260" s="137"/>
      <c r="W260" s="137"/>
      <c r="X260" s="137"/>
      <c r="Y260" s="137"/>
      <c r="Z260" s="137"/>
    </row>
    <row r="261" spans="1:26" ht="12" customHeight="1">
      <c r="A261" s="376"/>
      <c r="B261" s="374"/>
      <c r="C261" s="376"/>
      <c r="D261" s="377"/>
      <c r="E261" s="376"/>
      <c r="F261" s="374"/>
      <c r="G261" s="376"/>
      <c r="H261" s="378"/>
      <c r="I261" s="377"/>
      <c r="J261" s="137"/>
      <c r="K261" s="377"/>
      <c r="L261" s="137"/>
      <c r="M261" s="379"/>
      <c r="N261" s="137"/>
      <c r="O261" s="379"/>
      <c r="P261" s="137"/>
      <c r="Q261" s="380"/>
      <c r="R261" s="137"/>
      <c r="S261" s="379"/>
      <c r="T261" s="137"/>
      <c r="U261" s="137"/>
      <c r="V261" s="137"/>
      <c r="W261" s="137"/>
      <c r="X261" s="137"/>
      <c r="Y261" s="137"/>
      <c r="Z261" s="137"/>
    </row>
    <row r="262" spans="1:26" ht="12" customHeight="1">
      <c r="A262" s="376"/>
      <c r="B262" s="374"/>
      <c r="C262" s="376"/>
      <c r="D262" s="377"/>
      <c r="E262" s="376"/>
      <c r="F262" s="374"/>
      <c r="G262" s="376"/>
      <c r="H262" s="378"/>
      <c r="I262" s="377"/>
      <c r="J262" s="137"/>
      <c r="K262" s="377"/>
      <c r="L262" s="137"/>
      <c r="M262" s="379"/>
      <c r="N262" s="137"/>
      <c r="O262" s="379"/>
      <c r="P262" s="137"/>
      <c r="Q262" s="380"/>
      <c r="R262" s="137"/>
      <c r="S262" s="379"/>
      <c r="T262" s="137"/>
      <c r="U262" s="137"/>
      <c r="V262" s="137"/>
      <c r="W262" s="137"/>
      <c r="X262" s="137"/>
      <c r="Y262" s="137"/>
      <c r="Z262" s="137"/>
    </row>
    <row r="263" spans="1:26" ht="12" customHeight="1">
      <c r="A263" s="376"/>
      <c r="B263" s="374"/>
      <c r="C263" s="376"/>
      <c r="D263" s="377"/>
      <c r="E263" s="376"/>
      <c r="F263" s="374"/>
      <c r="G263" s="376"/>
      <c r="H263" s="378"/>
      <c r="I263" s="377"/>
      <c r="J263" s="137"/>
      <c r="K263" s="377"/>
      <c r="L263" s="137"/>
      <c r="M263" s="379"/>
      <c r="N263" s="137"/>
      <c r="O263" s="379"/>
      <c r="P263" s="137"/>
      <c r="Q263" s="380"/>
      <c r="R263" s="137"/>
      <c r="S263" s="379"/>
      <c r="T263" s="137"/>
      <c r="U263" s="137"/>
      <c r="V263" s="137"/>
      <c r="W263" s="137"/>
      <c r="X263" s="137"/>
      <c r="Y263" s="137"/>
      <c r="Z263" s="137"/>
    </row>
    <row r="264" spans="1:26" ht="12" customHeight="1">
      <c r="A264" s="376"/>
      <c r="B264" s="374"/>
      <c r="C264" s="376"/>
      <c r="D264" s="377"/>
      <c r="E264" s="376"/>
      <c r="F264" s="374"/>
      <c r="G264" s="376"/>
      <c r="H264" s="378"/>
      <c r="I264" s="377"/>
      <c r="J264" s="137"/>
      <c r="K264" s="377"/>
      <c r="L264" s="137"/>
      <c r="M264" s="379"/>
      <c r="N264" s="137"/>
      <c r="O264" s="379"/>
      <c r="P264" s="137"/>
      <c r="Q264" s="380"/>
      <c r="R264" s="137"/>
      <c r="S264" s="379"/>
      <c r="T264" s="137"/>
      <c r="U264" s="137"/>
      <c r="V264" s="137"/>
      <c r="W264" s="137"/>
      <c r="X264" s="137"/>
      <c r="Y264" s="137"/>
      <c r="Z264" s="137"/>
    </row>
    <row r="265" spans="1:26" ht="12" customHeight="1">
      <c r="A265" s="376"/>
      <c r="B265" s="374"/>
      <c r="C265" s="376"/>
      <c r="D265" s="377"/>
      <c r="E265" s="376"/>
      <c r="F265" s="374"/>
      <c r="G265" s="376"/>
      <c r="H265" s="378"/>
      <c r="I265" s="377"/>
      <c r="J265" s="137"/>
      <c r="K265" s="377"/>
      <c r="L265" s="137"/>
      <c r="M265" s="379"/>
      <c r="N265" s="137"/>
      <c r="O265" s="379"/>
      <c r="P265" s="137"/>
      <c r="Q265" s="380"/>
      <c r="R265" s="137"/>
      <c r="S265" s="379"/>
      <c r="T265" s="137"/>
      <c r="U265" s="137"/>
      <c r="V265" s="137"/>
      <c r="W265" s="137"/>
      <c r="X265" s="137"/>
      <c r="Y265" s="137"/>
      <c r="Z265" s="137"/>
    </row>
    <row r="266" spans="1:26" ht="12" customHeight="1">
      <c r="A266" s="376"/>
      <c r="B266" s="374"/>
      <c r="C266" s="376"/>
      <c r="D266" s="377"/>
      <c r="E266" s="376"/>
      <c r="F266" s="374"/>
      <c r="G266" s="376"/>
      <c r="H266" s="378"/>
      <c r="I266" s="377"/>
      <c r="J266" s="137"/>
      <c r="K266" s="377"/>
      <c r="L266" s="137"/>
      <c r="M266" s="379"/>
      <c r="N266" s="137"/>
      <c r="O266" s="379"/>
      <c r="P266" s="137"/>
      <c r="Q266" s="380"/>
      <c r="R266" s="137"/>
      <c r="S266" s="379"/>
      <c r="T266" s="137"/>
      <c r="U266" s="137"/>
      <c r="V266" s="137"/>
      <c r="W266" s="137"/>
      <c r="X266" s="137"/>
      <c r="Y266" s="137"/>
      <c r="Z266" s="137"/>
    </row>
    <row r="267" spans="1:26" ht="12" customHeight="1">
      <c r="A267" s="376"/>
      <c r="B267" s="374"/>
      <c r="C267" s="376"/>
      <c r="D267" s="377"/>
      <c r="E267" s="376"/>
      <c r="F267" s="374"/>
      <c r="G267" s="376"/>
      <c r="H267" s="378"/>
      <c r="I267" s="377"/>
      <c r="J267" s="137"/>
      <c r="K267" s="377"/>
      <c r="L267" s="137"/>
      <c r="M267" s="379"/>
      <c r="N267" s="137"/>
      <c r="O267" s="379"/>
      <c r="P267" s="137"/>
      <c r="Q267" s="380"/>
      <c r="R267" s="137"/>
      <c r="S267" s="379"/>
      <c r="T267" s="137"/>
      <c r="U267" s="137"/>
      <c r="V267" s="137"/>
      <c r="W267" s="137"/>
      <c r="X267" s="137"/>
      <c r="Y267" s="137"/>
      <c r="Z267" s="137"/>
    </row>
    <row r="268" spans="1:26" ht="12" customHeight="1">
      <c r="A268" s="376"/>
      <c r="B268" s="374"/>
      <c r="C268" s="376"/>
      <c r="D268" s="377"/>
      <c r="E268" s="376"/>
      <c r="F268" s="374"/>
      <c r="G268" s="376"/>
      <c r="H268" s="378"/>
      <c r="I268" s="377"/>
      <c r="J268" s="137"/>
      <c r="K268" s="377"/>
      <c r="L268" s="137"/>
      <c r="M268" s="379"/>
      <c r="N268" s="137"/>
      <c r="O268" s="379"/>
      <c r="P268" s="137"/>
      <c r="Q268" s="379"/>
      <c r="R268" s="137"/>
      <c r="S268" s="379"/>
      <c r="T268" s="137"/>
      <c r="U268" s="137"/>
      <c r="V268" s="137"/>
      <c r="W268" s="137"/>
      <c r="X268" s="137"/>
      <c r="Y268" s="137"/>
      <c r="Z268" s="137"/>
    </row>
    <row r="269" spans="1:26" ht="12" customHeight="1">
      <c r="A269" s="376"/>
      <c r="B269" s="374"/>
      <c r="C269" s="376"/>
      <c r="D269" s="377"/>
      <c r="E269" s="376"/>
      <c r="F269" s="374"/>
      <c r="G269" s="376"/>
      <c r="H269" s="378"/>
      <c r="I269" s="377"/>
      <c r="J269" s="137"/>
      <c r="K269" s="377"/>
      <c r="L269" s="137"/>
      <c r="M269" s="379"/>
      <c r="N269" s="137"/>
      <c r="O269" s="379"/>
      <c r="P269" s="137"/>
      <c r="Q269" s="379"/>
      <c r="R269" s="137"/>
      <c r="S269" s="379"/>
      <c r="T269" s="137"/>
      <c r="U269" s="137"/>
      <c r="V269" s="137"/>
      <c r="W269" s="137"/>
      <c r="X269" s="137"/>
      <c r="Y269" s="137"/>
      <c r="Z269" s="137"/>
    </row>
    <row r="270" spans="1:26" ht="12" customHeight="1">
      <c r="A270" s="376"/>
      <c r="B270" s="374"/>
      <c r="C270" s="376"/>
      <c r="D270" s="377"/>
      <c r="E270" s="376"/>
      <c r="F270" s="374"/>
      <c r="G270" s="376"/>
      <c r="H270" s="378"/>
      <c r="I270" s="377"/>
      <c r="J270" s="137"/>
      <c r="K270" s="377"/>
      <c r="L270" s="137"/>
      <c r="M270" s="379"/>
      <c r="N270" s="137"/>
      <c r="O270" s="379"/>
      <c r="P270" s="137"/>
      <c r="Q270" s="379"/>
      <c r="R270" s="137"/>
      <c r="S270" s="379"/>
      <c r="T270" s="137"/>
      <c r="U270" s="137"/>
      <c r="V270" s="137"/>
      <c r="W270" s="137"/>
      <c r="X270" s="137"/>
      <c r="Y270" s="137"/>
      <c r="Z270" s="137"/>
    </row>
    <row r="271" spans="1:26" ht="12" customHeight="1">
      <c r="A271" s="376"/>
      <c r="B271" s="374"/>
      <c r="C271" s="376"/>
      <c r="D271" s="377"/>
      <c r="E271" s="376"/>
      <c r="F271" s="374"/>
      <c r="G271" s="376"/>
      <c r="H271" s="378"/>
      <c r="I271" s="377"/>
      <c r="J271" s="137"/>
      <c r="K271" s="377"/>
      <c r="L271" s="137"/>
      <c r="M271" s="379"/>
      <c r="N271" s="137"/>
      <c r="O271" s="379"/>
      <c r="P271" s="137"/>
      <c r="Q271" s="379"/>
      <c r="R271" s="137"/>
      <c r="S271" s="379"/>
      <c r="T271" s="137"/>
      <c r="U271" s="137"/>
      <c r="V271" s="137"/>
      <c r="W271" s="137"/>
      <c r="X271" s="137"/>
      <c r="Y271" s="137"/>
      <c r="Z271" s="137"/>
    </row>
    <row r="272" spans="1:26" ht="12" customHeight="1">
      <c r="A272" s="376"/>
      <c r="B272" s="374"/>
      <c r="C272" s="376"/>
      <c r="D272" s="377"/>
      <c r="E272" s="376"/>
      <c r="F272" s="374"/>
      <c r="G272" s="376"/>
      <c r="H272" s="378"/>
      <c r="I272" s="377"/>
      <c r="J272" s="137"/>
      <c r="K272" s="377"/>
      <c r="L272" s="137"/>
      <c r="M272" s="379"/>
      <c r="N272" s="137"/>
      <c r="O272" s="379"/>
      <c r="P272" s="137"/>
      <c r="Q272" s="379"/>
      <c r="R272" s="137"/>
      <c r="S272" s="379"/>
      <c r="T272" s="137"/>
      <c r="U272" s="137"/>
      <c r="V272" s="137"/>
      <c r="W272" s="137"/>
      <c r="X272" s="137"/>
      <c r="Y272" s="137"/>
      <c r="Z272" s="137"/>
    </row>
    <row r="273" spans="1:26" ht="12" customHeight="1">
      <c r="A273" s="376"/>
      <c r="B273" s="374"/>
      <c r="C273" s="376"/>
      <c r="D273" s="377"/>
      <c r="E273" s="376"/>
      <c r="F273" s="374"/>
      <c r="G273" s="376"/>
      <c r="H273" s="378"/>
      <c r="I273" s="377"/>
      <c r="J273" s="137"/>
      <c r="K273" s="377"/>
      <c r="L273" s="137"/>
      <c r="M273" s="379"/>
      <c r="N273" s="137"/>
      <c r="O273" s="379"/>
      <c r="P273" s="137"/>
      <c r="Q273" s="379"/>
      <c r="R273" s="137"/>
      <c r="S273" s="379"/>
      <c r="T273" s="137"/>
      <c r="U273" s="137"/>
      <c r="V273" s="137"/>
      <c r="W273" s="137"/>
      <c r="X273" s="137"/>
      <c r="Y273" s="137"/>
      <c r="Z273" s="137"/>
    </row>
    <row r="274" spans="1:26" ht="12" customHeight="1">
      <c r="A274" s="376"/>
      <c r="B274" s="374"/>
      <c r="C274" s="376"/>
      <c r="D274" s="377"/>
      <c r="E274" s="376"/>
      <c r="F274" s="374"/>
      <c r="G274" s="376"/>
      <c r="H274" s="378"/>
      <c r="I274" s="377"/>
      <c r="J274" s="137"/>
      <c r="K274" s="377"/>
      <c r="L274" s="137"/>
      <c r="M274" s="379"/>
      <c r="N274" s="137"/>
      <c r="O274" s="379"/>
      <c r="P274" s="137"/>
      <c r="Q274" s="379"/>
      <c r="R274" s="137"/>
      <c r="S274" s="379"/>
      <c r="T274" s="137"/>
      <c r="U274" s="137"/>
      <c r="V274" s="137"/>
      <c r="W274" s="137"/>
      <c r="X274" s="137"/>
      <c r="Y274" s="137"/>
      <c r="Z274" s="137"/>
    </row>
    <row r="275" spans="1:26" ht="12" customHeight="1">
      <c r="A275" s="376"/>
      <c r="B275" s="374"/>
      <c r="C275" s="376"/>
      <c r="D275" s="377"/>
      <c r="E275" s="376"/>
      <c r="F275" s="374"/>
      <c r="G275" s="376"/>
      <c r="H275" s="378"/>
      <c r="I275" s="377"/>
      <c r="J275" s="137"/>
      <c r="K275" s="377"/>
      <c r="L275" s="137"/>
      <c r="M275" s="379"/>
      <c r="N275" s="137"/>
      <c r="O275" s="379"/>
      <c r="P275" s="137"/>
      <c r="Q275" s="379"/>
      <c r="R275" s="137"/>
      <c r="S275" s="379"/>
      <c r="T275" s="137"/>
      <c r="U275" s="137"/>
      <c r="V275" s="137"/>
      <c r="W275" s="137"/>
      <c r="X275" s="137"/>
      <c r="Y275" s="137"/>
      <c r="Z275" s="137"/>
    </row>
    <row r="276" spans="1:26" ht="12" customHeight="1">
      <c r="A276" s="376"/>
      <c r="B276" s="374"/>
      <c r="C276" s="376"/>
      <c r="D276" s="377"/>
      <c r="E276" s="376"/>
      <c r="F276" s="374"/>
      <c r="G276" s="376"/>
      <c r="H276" s="378"/>
      <c r="I276" s="377"/>
      <c r="J276" s="137"/>
      <c r="K276" s="377"/>
      <c r="L276" s="137"/>
      <c r="M276" s="379"/>
      <c r="N276" s="137"/>
      <c r="O276" s="379"/>
      <c r="P276" s="137"/>
      <c r="Q276" s="379"/>
      <c r="R276" s="137"/>
      <c r="S276" s="379"/>
      <c r="T276" s="137"/>
      <c r="U276" s="137"/>
      <c r="V276" s="137"/>
      <c r="W276" s="137"/>
      <c r="X276" s="137"/>
      <c r="Y276" s="137"/>
      <c r="Z276" s="137"/>
    </row>
    <row r="277" spans="1:26" ht="12" customHeight="1">
      <c r="A277" s="376"/>
      <c r="B277" s="374"/>
      <c r="C277" s="376"/>
      <c r="D277" s="377"/>
      <c r="E277" s="376"/>
      <c r="F277" s="374"/>
      <c r="G277" s="376"/>
      <c r="H277" s="378"/>
      <c r="I277" s="377"/>
      <c r="J277" s="137"/>
      <c r="K277" s="377"/>
      <c r="L277" s="137"/>
      <c r="M277" s="379"/>
      <c r="N277" s="137"/>
      <c r="O277" s="379"/>
      <c r="P277" s="137"/>
      <c r="Q277" s="379"/>
      <c r="R277" s="137"/>
      <c r="S277" s="379"/>
      <c r="T277" s="137"/>
      <c r="U277" s="137"/>
      <c r="V277" s="137"/>
      <c r="W277" s="137"/>
      <c r="X277" s="137"/>
      <c r="Y277" s="137"/>
      <c r="Z277" s="137"/>
    </row>
    <row r="278" spans="1:26" ht="12" customHeight="1">
      <c r="A278" s="376"/>
      <c r="B278" s="374"/>
      <c r="C278" s="376"/>
      <c r="D278" s="377"/>
      <c r="E278" s="376"/>
      <c r="F278" s="374"/>
      <c r="G278" s="376"/>
      <c r="H278" s="378"/>
      <c r="I278" s="377"/>
      <c r="J278" s="137"/>
      <c r="K278" s="377"/>
      <c r="L278" s="137"/>
      <c r="M278" s="379"/>
      <c r="N278" s="137"/>
      <c r="O278" s="379"/>
      <c r="P278" s="137"/>
      <c r="Q278" s="379"/>
      <c r="R278" s="137"/>
      <c r="S278" s="379"/>
      <c r="T278" s="137"/>
      <c r="U278" s="137"/>
      <c r="V278" s="137"/>
      <c r="W278" s="137"/>
      <c r="X278" s="137"/>
      <c r="Y278" s="137"/>
      <c r="Z278" s="137"/>
    </row>
    <row r="279" spans="1:26" ht="12" customHeight="1">
      <c r="A279" s="376"/>
      <c r="B279" s="374"/>
      <c r="C279" s="376"/>
      <c r="D279" s="377"/>
      <c r="E279" s="376"/>
      <c r="F279" s="374"/>
      <c r="G279" s="376"/>
      <c r="H279" s="378"/>
      <c r="I279" s="377"/>
      <c r="J279" s="137"/>
      <c r="K279" s="377"/>
      <c r="L279" s="137"/>
      <c r="M279" s="379"/>
      <c r="N279" s="137"/>
      <c r="O279" s="379"/>
      <c r="P279" s="137"/>
      <c r="Q279" s="379"/>
      <c r="R279" s="137"/>
      <c r="S279" s="379"/>
      <c r="T279" s="137"/>
      <c r="U279" s="137"/>
      <c r="V279" s="137"/>
      <c r="W279" s="137"/>
      <c r="X279" s="137"/>
      <c r="Y279" s="137"/>
      <c r="Z279" s="137"/>
    </row>
    <row r="280" spans="1:26" ht="12" customHeight="1">
      <c r="A280" s="376"/>
      <c r="B280" s="374"/>
      <c r="C280" s="376"/>
      <c r="D280" s="377"/>
      <c r="E280" s="376"/>
      <c r="F280" s="374"/>
      <c r="G280" s="376"/>
      <c r="H280" s="378"/>
      <c r="I280" s="377"/>
      <c r="J280" s="137"/>
      <c r="K280" s="377"/>
      <c r="L280" s="137"/>
      <c r="M280" s="379"/>
      <c r="N280" s="137"/>
      <c r="O280" s="379"/>
      <c r="P280" s="137"/>
      <c r="Q280" s="379"/>
      <c r="R280" s="137"/>
      <c r="S280" s="379"/>
      <c r="T280" s="137"/>
      <c r="U280" s="137"/>
      <c r="V280" s="137"/>
      <c r="W280" s="137"/>
      <c r="X280" s="137"/>
      <c r="Y280" s="137"/>
      <c r="Z280" s="137"/>
    </row>
    <row r="281" spans="1:26" ht="12" customHeight="1">
      <c r="A281" s="376"/>
      <c r="B281" s="374"/>
      <c r="C281" s="376"/>
      <c r="D281" s="377"/>
      <c r="E281" s="376"/>
      <c r="F281" s="374"/>
      <c r="G281" s="376"/>
      <c r="H281" s="378"/>
      <c r="I281" s="377"/>
      <c r="J281" s="137"/>
      <c r="K281" s="377"/>
      <c r="L281" s="137"/>
      <c r="M281" s="379"/>
      <c r="N281" s="137"/>
      <c r="O281" s="379"/>
      <c r="P281" s="137"/>
      <c r="Q281" s="379"/>
      <c r="R281" s="137"/>
      <c r="S281" s="379"/>
      <c r="T281" s="137"/>
      <c r="U281" s="137"/>
      <c r="V281" s="137"/>
      <c r="W281" s="137"/>
      <c r="X281" s="137"/>
      <c r="Y281" s="137"/>
      <c r="Z281" s="137"/>
    </row>
    <row r="282" spans="1:26" ht="12" customHeight="1">
      <c r="A282" s="376"/>
      <c r="B282" s="374"/>
      <c r="C282" s="376"/>
      <c r="D282" s="377"/>
      <c r="E282" s="376"/>
      <c r="F282" s="374"/>
      <c r="G282" s="376"/>
      <c r="H282" s="378"/>
      <c r="I282" s="377"/>
      <c r="J282" s="137"/>
      <c r="K282" s="377"/>
      <c r="L282" s="137"/>
      <c r="M282" s="379"/>
      <c r="N282" s="137"/>
      <c r="O282" s="379"/>
      <c r="P282" s="137"/>
      <c r="Q282" s="379"/>
      <c r="R282" s="137"/>
      <c r="S282" s="379"/>
      <c r="T282" s="137"/>
      <c r="U282" s="137"/>
      <c r="V282" s="137"/>
      <c r="W282" s="137"/>
      <c r="X282" s="137"/>
      <c r="Y282" s="137"/>
      <c r="Z282" s="137"/>
    </row>
    <row r="283" spans="1:26" ht="12" customHeight="1">
      <c r="A283" s="376"/>
      <c r="B283" s="374"/>
      <c r="C283" s="376"/>
      <c r="D283" s="374"/>
      <c r="E283" s="376"/>
      <c r="F283" s="374"/>
      <c r="G283" s="376"/>
      <c r="H283" s="378"/>
      <c r="I283" s="374"/>
      <c r="J283" s="137"/>
      <c r="K283" s="374"/>
      <c r="L283" s="137"/>
      <c r="M283" s="379"/>
      <c r="N283" s="137"/>
      <c r="O283" s="379"/>
      <c r="P283" s="137"/>
      <c r="Q283" s="379"/>
      <c r="R283" s="137"/>
      <c r="S283" s="379"/>
      <c r="T283" s="137"/>
      <c r="U283" s="137"/>
      <c r="V283" s="137"/>
      <c r="W283" s="137"/>
      <c r="X283" s="137"/>
      <c r="Y283" s="137"/>
      <c r="Z283" s="137"/>
    </row>
    <row r="284" spans="1:26" ht="12" customHeight="1">
      <c r="A284" s="376"/>
      <c r="B284" s="374"/>
      <c r="C284" s="376"/>
      <c r="D284" s="374"/>
      <c r="E284" s="376"/>
      <c r="F284" s="374"/>
      <c r="G284" s="376"/>
      <c r="H284" s="378"/>
      <c r="I284" s="374"/>
      <c r="J284" s="137"/>
      <c r="K284" s="374"/>
      <c r="L284" s="137"/>
      <c r="M284" s="379"/>
      <c r="N284" s="137"/>
      <c r="O284" s="379"/>
      <c r="P284" s="137"/>
      <c r="Q284" s="379"/>
      <c r="R284" s="137"/>
      <c r="S284" s="379"/>
      <c r="T284" s="137"/>
      <c r="U284" s="137"/>
      <c r="V284" s="137"/>
      <c r="W284" s="137"/>
      <c r="X284" s="137"/>
      <c r="Y284" s="137"/>
      <c r="Z284" s="137"/>
    </row>
    <row r="285" spans="1:26" ht="12" customHeight="1">
      <c r="A285" s="376"/>
      <c r="B285" s="374"/>
      <c r="C285" s="376"/>
      <c r="D285" s="374"/>
      <c r="E285" s="376"/>
      <c r="F285" s="374"/>
      <c r="G285" s="376"/>
      <c r="H285" s="378"/>
      <c r="I285" s="374"/>
      <c r="J285" s="137"/>
      <c r="K285" s="374"/>
      <c r="L285" s="137"/>
      <c r="M285" s="379"/>
      <c r="N285" s="137"/>
      <c r="O285" s="379"/>
      <c r="P285" s="137"/>
      <c r="Q285" s="379"/>
      <c r="R285" s="137"/>
      <c r="S285" s="379"/>
      <c r="T285" s="137"/>
      <c r="U285" s="137"/>
      <c r="V285" s="137"/>
      <c r="W285" s="137"/>
      <c r="X285" s="137"/>
      <c r="Y285" s="137"/>
      <c r="Z285" s="137"/>
    </row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4:H4"/>
    <mergeCell ref="A5:B5"/>
    <mergeCell ref="C5:D5"/>
    <mergeCell ref="E5:F5"/>
    <mergeCell ref="G5:H5"/>
    <mergeCell ref="A2:S2"/>
    <mergeCell ref="AA3:BI3"/>
    <mergeCell ref="L4:S4"/>
    <mergeCell ref="AA4:AE4"/>
    <mergeCell ref="AG4:AZ4"/>
    <mergeCell ref="BB4:BE5"/>
    <mergeCell ref="BF4:BI5"/>
    <mergeCell ref="L5:M5"/>
    <mergeCell ref="N5:O5"/>
    <mergeCell ref="P5:Q5"/>
    <mergeCell ref="R5:S5"/>
    <mergeCell ref="AA5:AA6"/>
    <mergeCell ref="AB5:AB6"/>
    <mergeCell ref="AC5:AC6"/>
    <mergeCell ref="AD5:AD6"/>
    <mergeCell ref="AE5:AE6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</mergeCells>
  <dataValidations count="1">
    <dataValidation type="list" allowBlank="1" showErrorMessage="1" sqref="BB7:BB82 BF7:BF82" xr:uid="{00000000-0002-0000-0500-000000000000}">
      <formula1>"A,O"</formula1>
    </dataValidation>
  </dataValidations>
  <printOptions horizontalCentered="1"/>
  <pageMargins left="0.2" right="7.0000000000000007E-2" top="0.24" bottom="0.28999999999999998" header="0" footer="0"/>
  <pageSetup paperSize="9" scale="85" orientation="landscape"/>
  <headerFooter>
    <oddFooter>&amp;L&amp;F; &amp;A&amp;CPage &amp;P of &amp;RPrint on &amp;D,&amp;T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99"/>
  </sheetPr>
  <dimension ref="A1:BI1000"/>
  <sheetViews>
    <sheetView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E8" sqref="E8"/>
    </sheetView>
  </sheetViews>
  <sheetFormatPr defaultColWidth="14.42578125" defaultRowHeight="15" customHeight="1"/>
  <cols>
    <col min="1" max="1" width="12.28515625" customWidth="1"/>
    <col min="2" max="2" width="6.5703125" customWidth="1"/>
    <col min="3" max="3" width="12.28515625" customWidth="1"/>
    <col min="4" max="4" width="6.5703125" customWidth="1"/>
    <col min="5" max="5" width="12.28515625" customWidth="1"/>
    <col min="6" max="6" width="6.5703125" customWidth="1"/>
    <col min="7" max="7" width="12.28515625" customWidth="1"/>
    <col min="8" max="8" width="6.5703125" customWidth="1"/>
    <col min="9" max="9" width="2" customWidth="1"/>
    <col min="10" max="10" width="35.140625" customWidth="1"/>
    <col min="11" max="11" width="2" customWidth="1"/>
    <col min="12" max="12" width="12.28515625" customWidth="1"/>
    <col min="13" max="13" width="7.7109375" customWidth="1"/>
    <col min="14" max="14" width="12.28515625" customWidth="1"/>
    <col min="15" max="15" width="6.5703125" customWidth="1"/>
    <col min="16" max="16" width="12.28515625" customWidth="1"/>
    <col min="17" max="17" width="6.5703125" customWidth="1"/>
    <col min="18" max="18" width="12.28515625" customWidth="1"/>
    <col min="19" max="19" width="6.5703125" customWidth="1"/>
    <col min="20" max="20" width="10.42578125" customWidth="1"/>
    <col min="21" max="21" width="4.7109375" customWidth="1"/>
    <col min="22" max="26" width="2.5703125" customWidth="1"/>
  </cols>
  <sheetData>
    <row r="1" spans="1:61" ht="15" customHeight="1">
      <c r="A1" s="67"/>
      <c r="B1" s="67"/>
      <c r="C1" s="67"/>
      <c r="D1" s="67"/>
      <c r="E1" s="67"/>
      <c r="F1" s="67"/>
      <c r="G1" s="308"/>
      <c r="H1" s="67"/>
      <c r="I1" s="67"/>
      <c r="J1" s="67"/>
      <c r="K1" s="67"/>
      <c r="L1" s="67"/>
      <c r="M1" s="309"/>
      <c r="N1" s="310"/>
      <c r="O1" s="309"/>
      <c r="P1" s="310"/>
      <c r="Q1" s="309"/>
      <c r="R1" s="310"/>
      <c r="S1" s="309"/>
      <c r="T1" s="62"/>
      <c r="U1" s="62"/>
      <c r="V1" s="62"/>
      <c r="W1" s="62"/>
      <c r="X1" s="62"/>
      <c r="Y1" s="62"/>
      <c r="Z1" s="62"/>
    </row>
    <row r="2" spans="1:61" ht="15" customHeight="1">
      <c r="A2" s="664" t="s">
        <v>26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665"/>
      <c r="O2" s="665"/>
      <c r="P2" s="665"/>
      <c r="Q2" s="665"/>
      <c r="R2" s="665"/>
      <c r="S2" s="665"/>
      <c r="T2" s="64" t="s">
        <v>506</v>
      </c>
      <c r="U2" s="64">
        <f>PRD</f>
        <v>1</v>
      </c>
      <c r="V2" s="62"/>
      <c r="W2" s="62"/>
      <c r="X2" s="62"/>
      <c r="Y2" s="62"/>
      <c r="Z2" s="62"/>
    </row>
    <row r="3" spans="1:61" ht="15" customHeight="1">
      <c r="A3" s="311"/>
      <c r="B3" s="312"/>
      <c r="C3" s="311"/>
      <c r="D3" s="313"/>
      <c r="E3" s="311"/>
      <c r="F3" s="313"/>
      <c r="G3" s="218"/>
      <c r="H3" s="102"/>
      <c r="I3" s="313"/>
      <c r="J3" s="314" t="s">
        <v>736</v>
      </c>
      <c r="K3" s="313"/>
      <c r="L3" s="315"/>
      <c r="M3" s="316"/>
      <c r="N3" s="315"/>
      <c r="O3" s="316"/>
      <c r="P3" s="67"/>
      <c r="Q3" s="222" t="s">
        <v>614</v>
      </c>
      <c r="R3" s="67"/>
      <c r="S3" s="67"/>
      <c r="T3" s="62"/>
      <c r="U3" s="62"/>
      <c r="V3" s="62"/>
      <c r="W3" s="62"/>
      <c r="X3" s="62"/>
      <c r="Y3" s="62"/>
      <c r="Z3" s="62"/>
      <c r="AA3" s="656" t="s">
        <v>29</v>
      </c>
      <c r="AB3" s="660"/>
      <c r="AC3" s="660"/>
      <c r="AD3" s="660"/>
      <c r="AE3" s="660"/>
      <c r="AF3" s="660"/>
      <c r="AG3" s="660"/>
      <c r="AH3" s="660"/>
      <c r="AI3" s="660"/>
      <c r="AJ3" s="660"/>
      <c r="AK3" s="660"/>
      <c r="AL3" s="660"/>
      <c r="AM3" s="660"/>
      <c r="AN3" s="660"/>
      <c r="AO3" s="660"/>
      <c r="AP3" s="660"/>
      <c r="AQ3" s="660"/>
      <c r="AR3" s="660"/>
      <c r="AS3" s="660"/>
      <c r="AT3" s="660"/>
      <c r="AU3" s="660"/>
      <c r="AV3" s="660"/>
      <c r="AW3" s="660"/>
      <c r="AX3" s="660"/>
      <c r="AY3" s="660"/>
      <c r="AZ3" s="660"/>
      <c r="BA3" s="660"/>
      <c r="BB3" s="660"/>
      <c r="BC3" s="660"/>
      <c r="BD3" s="660"/>
      <c r="BE3" s="660"/>
      <c r="BF3" s="660"/>
      <c r="BG3" s="660"/>
      <c r="BH3" s="660"/>
      <c r="BI3" s="657"/>
    </row>
    <row r="4" spans="1:61" ht="13.5" customHeight="1">
      <c r="A4" s="666" t="s">
        <v>509</v>
      </c>
      <c r="B4" s="667"/>
      <c r="C4" s="667"/>
      <c r="D4" s="667"/>
      <c r="E4" s="667"/>
      <c r="F4" s="667"/>
      <c r="G4" s="667"/>
      <c r="H4" s="668"/>
      <c r="I4" s="317"/>
      <c r="J4" s="225"/>
      <c r="K4" s="317"/>
      <c r="L4" s="669" t="s">
        <v>510</v>
      </c>
      <c r="M4" s="667"/>
      <c r="N4" s="667"/>
      <c r="O4" s="667"/>
      <c r="P4" s="667"/>
      <c r="Q4" s="667"/>
      <c r="R4" s="667"/>
      <c r="S4" s="670"/>
      <c r="T4" s="226"/>
      <c r="U4" s="226"/>
      <c r="V4" s="226"/>
      <c r="W4" s="226"/>
      <c r="X4" s="226"/>
      <c r="Y4" s="226"/>
      <c r="Z4" s="226"/>
      <c r="AA4" s="671" t="s">
        <v>30</v>
      </c>
      <c r="AB4" s="665"/>
      <c r="AC4" s="665"/>
      <c r="AD4" s="665"/>
      <c r="AE4" s="665"/>
      <c r="AF4" s="73"/>
      <c r="AG4" s="671" t="s">
        <v>31</v>
      </c>
      <c r="AH4" s="665"/>
      <c r="AI4" s="665"/>
      <c r="AJ4" s="665"/>
      <c r="AK4" s="665"/>
      <c r="AL4" s="665"/>
      <c r="AM4" s="665"/>
      <c r="AN4" s="665"/>
      <c r="AO4" s="665"/>
      <c r="AP4" s="665"/>
      <c r="AQ4" s="665"/>
      <c r="AR4" s="665"/>
      <c r="AS4" s="665"/>
      <c r="AT4" s="665"/>
      <c r="AU4" s="665"/>
      <c r="AV4" s="665"/>
      <c r="AW4" s="665"/>
      <c r="AX4" s="665"/>
      <c r="AY4" s="665"/>
      <c r="AZ4" s="672"/>
      <c r="BA4" s="74"/>
      <c r="BB4" s="673" t="s">
        <v>32</v>
      </c>
      <c r="BC4" s="674"/>
      <c r="BD4" s="674"/>
      <c r="BE4" s="675"/>
      <c r="BF4" s="673" t="s">
        <v>32</v>
      </c>
      <c r="BG4" s="674"/>
      <c r="BH4" s="674"/>
      <c r="BI4" s="675"/>
    </row>
    <row r="5" spans="1:61" ht="14.25" customHeight="1">
      <c r="A5" s="679" t="s">
        <v>511</v>
      </c>
      <c r="B5" s="662"/>
      <c r="C5" s="661" t="s">
        <v>512</v>
      </c>
      <c r="D5" s="662"/>
      <c r="E5" s="661" t="s">
        <v>513</v>
      </c>
      <c r="F5" s="662"/>
      <c r="G5" s="661" t="s">
        <v>514</v>
      </c>
      <c r="H5" s="662"/>
      <c r="I5" s="318"/>
      <c r="J5" s="229" t="s">
        <v>515</v>
      </c>
      <c r="K5" s="318"/>
      <c r="L5" s="661" t="s">
        <v>514</v>
      </c>
      <c r="M5" s="662"/>
      <c r="N5" s="661" t="s">
        <v>513</v>
      </c>
      <c r="O5" s="662"/>
      <c r="P5" s="661" t="s">
        <v>512</v>
      </c>
      <c r="Q5" s="662"/>
      <c r="R5" s="661" t="s">
        <v>511</v>
      </c>
      <c r="S5" s="663"/>
      <c r="T5" s="319"/>
      <c r="U5" s="319"/>
      <c r="V5" s="319"/>
      <c r="W5" s="319"/>
      <c r="X5" s="319"/>
      <c r="Y5" s="319"/>
      <c r="Z5" s="319"/>
      <c r="AA5" s="658" t="s">
        <v>38</v>
      </c>
      <c r="AB5" s="658" t="s">
        <v>39</v>
      </c>
      <c r="AC5" s="658" t="s">
        <v>40</v>
      </c>
      <c r="AD5" s="658" t="s">
        <v>41</v>
      </c>
      <c r="AE5" s="673" t="s">
        <v>42</v>
      </c>
      <c r="AF5" s="80"/>
      <c r="AG5" s="656" t="s">
        <v>43</v>
      </c>
      <c r="AH5" s="660"/>
      <c r="AI5" s="656" t="s">
        <v>44</v>
      </c>
      <c r="AJ5" s="660"/>
      <c r="AK5" s="656" t="s">
        <v>45</v>
      </c>
      <c r="AL5" s="660"/>
      <c r="AM5" s="656" t="s">
        <v>46</v>
      </c>
      <c r="AN5" s="657"/>
      <c r="AO5" s="680" t="s">
        <v>47</v>
      </c>
      <c r="AP5" s="660"/>
      <c r="AQ5" s="656" t="s">
        <v>48</v>
      </c>
      <c r="AR5" s="657"/>
      <c r="AS5" s="680" t="s">
        <v>49</v>
      </c>
      <c r="AT5" s="660"/>
      <c r="AU5" s="656" t="s">
        <v>50</v>
      </c>
      <c r="AV5" s="657"/>
      <c r="AW5" s="680" t="s">
        <v>51</v>
      </c>
      <c r="AX5" s="657"/>
      <c r="AY5" s="656" t="s">
        <v>52</v>
      </c>
      <c r="AZ5" s="657"/>
      <c r="BA5" s="81"/>
      <c r="BB5" s="676"/>
      <c r="BC5" s="677"/>
      <c r="BD5" s="677"/>
      <c r="BE5" s="678"/>
      <c r="BF5" s="676"/>
      <c r="BG5" s="677"/>
      <c r="BH5" s="677"/>
      <c r="BI5" s="678"/>
    </row>
    <row r="6" spans="1:61" ht="13.5" customHeight="1">
      <c r="A6" s="230" t="s">
        <v>526</v>
      </c>
      <c r="B6" s="231" t="s">
        <v>37</v>
      </c>
      <c r="C6" s="232" t="s">
        <v>526</v>
      </c>
      <c r="D6" s="231" t="s">
        <v>37</v>
      </c>
      <c r="E6" s="232" t="s">
        <v>526</v>
      </c>
      <c r="F6" s="231" t="s">
        <v>37</v>
      </c>
      <c r="G6" s="232" t="s">
        <v>526</v>
      </c>
      <c r="H6" s="231" t="s">
        <v>37</v>
      </c>
      <c r="I6" s="233"/>
      <c r="J6" s="320"/>
      <c r="K6" s="233"/>
      <c r="L6" s="232" t="s">
        <v>526</v>
      </c>
      <c r="M6" s="231" t="s">
        <v>37</v>
      </c>
      <c r="N6" s="232" t="s">
        <v>526</v>
      </c>
      <c r="O6" s="231" t="s">
        <v>37</v>
      </c>
      <c r="P6" s="232" t="s">
        <v>526</v>
      </c>
      <c r="Q6" s="231" t="s">
        <v>37</v>
      </c>
      <c r="R6" s="232" t="s">
        <v>526</v>
      </c>
      <c r="S6" s="236" t="s">
        <v>37</v>
      </c>
      <c r="T6" s="226"/>
      <c r="U6" s="226"/>
      <c r="V6" s="226"/>
      <c r="W6" s="226"/>
      <c r="X6" s="226"/>
      <c r="Y6" s="226"/>
      <c r="Z6" s="226"/>
      <c r="AA6" s="659"/>
      <c r="AB6" s="659"/>
      <c r="AC6" s="659"/>
      <c r="AD6" s="659"/>
      <c r="AE6" s="676"/>
      <c r="AF6" s="84"/>
      <c r="AG6" s="85" t="s">
        <v>56</v>
      </c>
      <c r="AH6" s="86" t="s">
        <v>57</v>
      </c>
      <c r="AI6" s="85" t="s">
        <v>56</v>
      </c>
      <c r="AJ6" s="86" t="s">
        <v>57</v>
      </c>
      <c r="AK6" s="85" t="s">
        <v>56</v>
      </c>
      <c r="AL6" s="86" t="s">
        <v>57</v>
      </c>
      <c r="AM6" s="64" t="s">
        <v>56</v>
      </c>
      <c r="AN6" s="87" t="s">
        <v>57</v>
      </c>
      <c r="AO6" s="88" t="s">
        <v>56</v>
      </c>
      <c r="AP6" s="86" t="s">
        <v>57</v>
      </c>
      <c r="AQ6" s="85" t="s">
        <v>56</v>
      </c>
      <c r="AR6" s="89" t="s">
        <v>57</v>
      </c>
      <c r="AS6" s="88" t="s">
        <v>56</v>
      </c>
      <c r="AT6" s="86" t="s">
        <v>57</v>
      </c>
      <c r="AU6" s="85" t="s">
        <v>56</v>
      </c>
      <c r="AV6" s="89" t="s">
        <v>57</v>
      </c>
      <c r="AW6" s="88" t="s">
        <v>56</v>
      </c>
      <c r="AX6" s="89" t="s">
        <v>57</v>
      </c>
      <c r="AY6" s="85" t="s">
        <v>56</v>
      </c>
      <c r="AZ6" s="89" t="s">
        <v>57</v>
      </c>
      <c r="BA6" s="90"/>
      <c r="BB6" s="64" t="s">
        <v>58</v>
      </c>
      <c r="BC6" s="64" t="s">
        <v>59</v>
      </c>
      <c r="BD6" s="64" t="s">
        <v>60</v>
      </c>
      <c r="BE6" s="91" t="s">
        <v>61</v>
      </c>
      <c r="BF6" s="64" t="s">
        <v>58</v>
      </c>
      <c r="BG6" s="64" t="s">
        <v>59</v>
      </c>
      <c r="BH6" s="64" t="s">
        <v>60</v>
      </c>
      <c r="BI6" s="91" t="s">
        <v>61</v>
      </c>
    </row>
    <row r="7" spans="1:61" ht="12" customHeight="1">
      <c r="A7" s="321"/>
      <c r="B7" s="322"/>
      <c r="C7" s="321"/>
      <c r="D7" s="322"/>
      <c r="E7" s="321"/>
      <c r="F7" s="322"/>
      <c r="G7" s="321"/>
      <c r="H7" s="279"/>
      <c r="I7" s="322"/>
      <c r="J7" s="323" t="s">
        <v>615</v>
      </c>
      <c r="K7" s="322"/>
      <c r="L7" s="324"/>
      <c r="M7" s="325"/>
      <c r="N7" s="324"/>
      <c r="O7" s="262"/>
      <c r="P7" s="324"/>
      <c r="Q7" s="325"/>
      <c r="R7" s="324"/>
      <c r="S7" s="325"/>
      <c r="T7" s="326"/>
      <c r="U7" s="327"/>
      <c r="V7" s="327"/>
      <c r="W7" s="326"/>
      <c r="X7" s="326"/>
      <c r="Y7" s="326"/>
      <c r="Z7" s="326"/>
      <c r="AA7" s="95"/>
      <c r="AB7" s="96"/>
      <c r="AC7" s="96"/>
      <c r="AD7" s="96"/>
      <c r="AE7" s="96"/>
      <c r="AF7" s="97"/>
      <c r="AG7" s="95"/>
      <c r="AH7" s="96"/>
      <c r="AI7" s="95"/>
      <c r="AJ7" s="96"/>
      <c r="AK7" s="95"/>
      <c r="AL7" s="96"/>
      <c r="AM7" s="95"/>
      <c r="AN7" s="98"/>
      <c r="AO7" s="96"/>
      <c r="AP7" s="96"/>
      <c r="AQ7" s="95"/>
      <c r="AR7" s="98"/>
      <c r="AS7" s="96"/>
      <c r="AT7" s="96"/>
      <c r="AU7" s="95"/>
      <c r="AV7" s="98"/>
      <c r="AW7" s="96"/>
      <c r="AX7" s="96"/>
      <c r="AY7" s="95"/>
      <c r="AZ7" s="98"/>
      <c r="BA7" s="99"/>
      <c r="BB7" s="95" t="s">
        <v>616</v>
      </c>
      <c r="BC7" s="100" t="s">
        <v>617</v>
      </c>
      <c r="BD7" s="96" t="s">
        <v>618</v>
      </c>
      <c r="BE7" s="98" t="s">
        <v>619</v>
      </c>
      <c r="BF7" s="95" t="s">
        <v>616</v>
      </c>
      <c r="BG7" s="100" t="s">
        <v>620</v>
      </c>
      <c r="BH7" s="96" t="s">
        <v>618</v>
      </c>
      <c r="BI7" s="98" t="s">
        <v>621</v>
      </c>
    </row>
    <row r="8" spans="1:61" ht="12" customHeight="1">
      <c r="A8" s="254">
        <f t="array" ref="A8">_xll.AC(DB,_xll.ArrayDPT($AA8:$AE8),_xll.ArrayCOA($AG8:$AZ8),YR-1,PRD,_xll.ArrayDIM($BB8:$BE8))</f>
        <v>7234622.9299999997</v>
      </c>
      <c r="B8" s="254">
        <f t="shared" ref="B8:B12" si="0">IF(A8=0,0,(A8*100/A$14))</f>
        <v>99.794519065844113</v>
      </c>
      <c r="C8" s="254">
        <f t="shared" ref="C8:C12" si="1">+E8-G8</f>
        <v>-7896039.9800000004</v>
      </c>
      <c r="D8" s="254">
        <f t="shared" ref="D8:D12" si="2">IF(C8=0,0,(C8*100/C$14))</f>
        <v>99.674431075341033</v>
      </c>
      <c r="E8" s="254">
        <f t="array" ref="E8">_xll.BC(DB,_xll.ArrayDPT($AA8:$AE8),_xll.ArrayCOA($AG8:$AZ8),YR,PRD,RV,_xll.ArrayDIM($BB8:$BE8))</f>
        <v>0</v>
      </c>
      <c r="F8" s="254">
        <f t="shared" ref="F8:F12" si="3">IF(E8=0,0,(E8*100/E$14))</f>
        <v>0</v>
      </c>
      <c r="G8" s="254">
        <f t="array" ref="G8">_xll.AC(DB,_xll.ArrayDPT($AA8:$AE8),_xll.ArrayCOA($AG8:$AZ8),YR,PRD,_xll.ArrayDIM($BB8:$BE8))</f>
        <v>7896039.9800000004</v>
      </c>
      <c r="H8" s="254">
        <f t="shared" ref="H8:H12" si="4">IF(G8=0,0,(G8*100/G$14))</f>
        <v>99.674431075341033</v>
      </c>
      <c r="I8" s="254"/>
      <c r="J8" s="328" t="s">
        <v>622</v>
      </c>
      <c r="K8" s="254"/>
      <c r="L8" s="254">
        <f>_xll.ACC(DB,_xll.ArrayDPT($AA8:$AE8),_xll.ArrayCOA($AG8:$AZ8),YR,PRD,_xll.ArrayDIM($BB8:$BE8))</f>
        <v>7896039.9800000004</v>
      </c>
      <c r="M8" s="237">
        <f t="shared" ref="M8:M12" si="5">IF(L8=0,0,(L8*100/L$14))</f>
        <v>99.674431075341033</v>
      </c>
      <c r="N8" s="254">
        <f t="array" ref="N8">_xll.BCC(DB,_xll.ArrayDPT($AA8:$AE8),_xll.ArrayCOA($AG8:$AZ8),YR,PRD,RV,_xll.ArrayDIM($BB8:$BE8))</f>
        <v>0</v>
      </c>
      <c r="O8" s="237">
        <f t="shared" ref="O8:O12" si="6">IF(N8=0,0,(N8*100/N$14))</f>
        <v>0</v>
      </c>
      <c r="P8" s="237">
        <f t="shared" ref="P8:P12" si="7">+N8-L8</f>
        <v>-7896039.9800000004</v>
      </c>
      <c r="Q8" s="237">
        <f t="shared" ref="Q8:Q12" si="8">IF(P8=0,0,(P8*100/P$14))</f>
        <v>99.674431075341033</v>
      </c>
      <c r="R8" s="254">
        <f t="array" ref="R8">_xll.ACC(DB,_xll.ArrayDPT($AA8:$AE8),_xll.ArrayCOA($AG8:$AZ8),YR-1,PRD,_xll.ArrayDIM($BB8:$BE8))</f>
        <v>7234622.9299999997</v>
      </c>
      <c r="S8" s="237">
        <f t="shared" ref="S8:S12" si="9">IF(R8=0,0,(R8*100/R$14))</f>
        <v>99.794519065844113</v>
      </c>
      <c r="T8" s="328"/>
      <c r="U8" s="328"/>
      <c r="V8" s="328"/>
      <c r="W8" s="328"/>
      <c r="X8" s="328"/>
      <c r="Y8" s="328"/>
      <c r="Z8" s="328"/>
      <c r="AA8" s="95" t="s">
        <v>623</v>
      </c>
      <c r="AB8" s="96"/>
      <c r="AC8" s="96"/>
      <c r="AD8" s="96"/>
      <c r="AE8" s="96"/>
      <c r="AF8" s="97"/>
      <c r="AG8" s="95" t="s">
        <v>624</v>
      </c>
      <c r="AH8" s="96" t="s">
        <v>624</v>
      </c>
      <c r="AI8" s="95"/>
      <c r="AJ8" s="96"/>
      <c r="AK8" s="95"/>
      <c r="AL8" s="96"/>
      <c r="AM8" s="95"/>
      <c r="AN8" s="98"/>
      <c r="AO8" s="96"/>
      <c r="AP8" s="96"/>
      <c r="AQ8" s="95"/>
      <c r="AR8" s="98"/>
      <c r="AS8" s="96"/>
      <c r="AT8" s="96"/>
      <c r="AU8" s="95"/>
      <c r="AV8" s="98"/>
      <c r="AW8" s="96"/>
      <c r="AX8" s="96"/>
      <c r="AY8" s="95"/>
      <c r="AZ8" s="98"/>
      <c r="BA8" s="99"/>
      <c r="BB8" s="95"/>
      <c r="BC8" s="96"/>
      <c r="BD8" s="96"/>
      <c r="BE8" s="98"/>
      <c r="BF8" s="95"/>
      <c r="BG8" s="96"/>
      <c r="BH8" s="96"/>
      <c r="BI8" s="98"/>
    </row>
    <row r="9" spans="1:61" ht="12" customHeight="1">
      <c r="A9" s="254">
        <f t="array" ref="A9">_xll.AC(DB,_xll.ArrayDPT($AA9:$AE9),_xll.ArrayCOA($AG9:$AZ9),YR-1,PRD,_xll.ArrayDIM($BB9:$BE9))</f>
        <v>0</v>
      </c>
      <c r="B9" s="254">
        <f t="shared" si="0"/>
        <v>0</v>
      </c>
      <c r="C9" s="254">
        <f t="shared" si="1"/>
        <v>0</v>
      </c>
      <c r="D9" s="254">
        <f t="shared" si="2"/>
        <v>0</v>
      </c>
      <c r="E9" s="254">
        <f t="array" ref="E9">_xll.BC(DB,_xll.ArrayDPT($AA9:$AE9),_xll.ArrayCOA($AG9:$AZ9),YR,PRD,RV,_xll.ArrayDIM($BB9:$BE9))</f>
        <v>0</v>
      </c>
      <c r="F9" s="254">
        <f t="shared" si="3"/>
        <v>0</v>
      </c>
      <c r="G9" s="254">
        <f t="array" ref="G9">_xll.AC(DB,_xll.ArrayDPT($AA9:$AE9),_xll.ArrayCOA($AG9:$AZ9),YR,PRD,_xll.ArrayDIM($BB9:$BE9))</f>
        <v>0</v>
      </c>
      <c r="H9" s="254">
        <f t="shared" si="4"/>
        <v>0</v>
      </c>
      <c r="I9" s="254"/>
      <c r="J9" s="328" t="s">
        <v>625</v>
      </c>
      <c r="K9" s="254"/>
      <c r="L9" s="254">
        <f t="array" ref="L9">_xll.ACC(DB,_xll.ArrayDPT($AA9:$AE9),_xll.ArrayCOA($AG9:$AZ9),YR,PRD,_xll.ArrayDIM($BB9:$BE9))</f>
        <v>0</v>
      </c>
      <c r="M9" s="237">
        <f t="shared" si="5"/>
        <v>0</v>
      </c>
      <c r="N9" s="254">
        <f t="array" ref="N9">_xll.BCC(DB,_xll.ArrayDPT($AA9:$AE9),_xll.ArrayCOA($AG9:$AZ9),YR,PRD,RV,_xll.ArrayDIM($BB9:$BE9))</f>
        <v>0</v>
      </c>
      <c r="O9" s="237">
        <f t="shared" si="6"/>
        <v>0</v>
      </c>
      <c r="P9" s="237">
        <f t="shared" si="7"/>
        <v>0</v>
      </c>
      <c r="Q9" s="237">
        <f t="shared" si="8"/>
        <v>0</v>
      </c>
      <c r="R9" s="254">
        <f t="array" ref="R9">_xll.ACC(DB,_xll.ArrayDPT($AA9:$AE9),_xll.ArrayCOA($AG9:$AZ9),YR-1,PRD,_xll.ArrayDIM($BB9:$BE9))</f>
        <v>0</v>
      </c>
      <c r="S9" s="237">
        <f t="shared" si="9"/>
        <v>0</v>
      </c>
      <c r="T9" s="328"/>
      <c r="U9" s="328"/>
      <c r="V9" s="328"/>
      <c r="W9" s="328"/>
      <c r="X9" s="328"/>
      <c r="Y9" s="328"/>
      <c r="Z9" s="328"/>
      <c r="AA9" s="95"/>
      <c r="AB9" s="96"/>
      <c r="AC9" s="96"/>
      <c r="AD9" s="96"/>
      <c r="AE9" s="96"/>
      <c r="AF9" s="97"/>
      <c r="AG9" s="95"/>
      <c r="AH9" s="96"/>
      <c r="AI9" s="95"/>
      <c r="AJ9" s="96"/>
      <c r="AK9" s="95"/>
      <c r="AL9" s="96"/>
      <c r="AM9" s="95"/>
      <c r="AN9" s="98"/>
      <c r="AO9" s="96"/>
      <c r="AP9" s="96"/>
      <c r="AQ9" s="95"/>
      <c r="AR9" s="98"/>
      <c r="AS9" s="96"/>
      <c r="AT9" s="96"/>
      <c r="AU9" s="95"/>
      <c r="AV9" s="98"/>
      <c r="AW9" s="96"/>
      <c r="AX9" s="96"/>
      <c r="AY9" s="95"/>
      <c r="AZ9" s="98"/>
      <c r="BA9" s="99"/>
      <c r="BB9" s="95"/>
      <c r="BC9" s="96"/>
      <c r="BD9" s="96"/>
      <c r="BE9" s="98"/>
      <c r="BF9" s="95"/>
      <c r="BG9" s="96"/>
      <c r="BH9" s="96"/>
      <c r="BI9" s="98"/>
    </row>
    <row r="10" spans="1:61" ht="12" customHeight="1">
      <c r="A10" s="254">
        <f t="array" ref="A10">_xll.AC(DB,_xll.ArrayDPT($AA10:$AE10),_xll.ArrayCOA($AG10:$AZ10),YR-1,PRD,_xll.ArrayDIM($BB10:$BE10))</f>
        <v>36402.76</v>
      </c>
      <c r="B10" s="254">
        <f t="shared" si="0"/>
        <v>0.50214032742537795</v>
      </c>
      <c r="C10" s="254">
        <f t="shared" si="1"/>
        <v>-38913.08</v>
      </c>
      <c r="D10" s="254">
        <f t="shared" si="2"/>
        <v>0.49121320563389947</v>
      </c>
      <c r="E10" s="254">
        <f t="array" ref="E10">_xll.BC(DB,_xll.ArrayDPT($AA10:$AE10),_xll.ArrayCOA($AG10:$AZ10),YR,PRD,RV,_xll.ArrayDIM($BB10:$BE10))</f>
        <v>0</v>
      </c>
      <c r="F10" s="254">
        <f t="shared" si="3"/>
        <v>0</v>
      </c>
      <c r="G10" s="254">
        <f t="array" ref="G10">_xll.AC(DB,_xll.ArrayDPT($AA10:$AE10),_xll.ArrayCOA($AG10:$AZ10),YR,PRD,_xll.ArrayDIM($BB10:$BE10))</f>
        <v>38913.08</v>
      </c>
      <c r="H10" s="254">
        <f t="shared" si="4"/>
        <v>0.49121320563389947</v>
      </c>
      <c r="I10" s="254"/>
      <c r="J10" s="328" t="s">
        <v>626</v>
      </c>
      <c r="K10" s="254"/>
      <c r="L10" s="254">
        <f t="array" ref="L10">_xll.ACC(DB,_xll.ArrayDPT($AA10:$AE10),_xll.ArrayCOA($AG10:$AZ10),YR,PRD,_xll.ArrayDIM($BB10:$BE10))</f>
        <v>38913.08</v>
      </c>
      <c r="M10" s="237">
        <f t="shared" si="5"/>
        <v>0.49121320563389947</v>
      </c>
      <c r="N10" s="254">
        <f t="array" ref="N10">_xll.BCC(DB,_xll.ArrayDPT($AA10:$AE10),_xll.ArrayCOA($AG10:$AZ10),YR,PRD,RV,_xll.ArrayDIM($BB10:$BE10))</f>
        <v>0</v>
      </c>
      <c r="O10" s="237">
        <f t="shared" si="6"/>
        <v>0</v>
      </c>
      <c r="P10" s="237">
        <f t="shared" si="7"/>
        <v>-38913.08</v>
      </c>
      <c r="Q10" s="237">
        <f t="shared" si="8"/>
        <v>0.49121320563389947</v>
      </c>
      <c r="R10" s="254">
        <f t="array" ref="R10">_xll.ACC(DB,_xll.ArrayDPT($AA10:$AE10),_xll.ArrayCOA($AG10:$AZ10),YR-1,PRD,_xll.ArrayDIM($BB10:$BE10))</f>
        <v>36402.76</v>
      </c>
      <c r="S10" s="237">
        <f t="shared" si="9"/>
        <v>0.50214032742537795</v>
      </c>
      <c r="T10" s="328"/>
      <c r="U10" s="328"/>
      <c r="V10" s="328"/>
      <c r="W10" s="328"/>
      <c r="X10" s="328"/>
      <c r="Y10" s="328"/>
      <c r="Z10" s="328"/>
      <c r="AA10" s="95" t="s">
        <v>623</v>
      </c>
      <c r="AB10" s="96"/>
      <c r="AC10" s="96"/>
      <c r="AD10" s="96"/>
      <c r="AE10" s="96"/>
      <c r="AF10" s="97"/>
      <c r="AG10" s="95" t="s">
        <v>627</v>
      </c>
      <c r="AH10" s="96" t="s">
        <v>627</v>
      </c>
      <c r="AI10" s="95"/>
      <c r="AJ10" s="96"/>
      <c r="AK10" s="95"/>
      <c r="AL10" s="96"/>
      <c r="AM10" s="95"/>
      <c r="AN10" s="98"/>
      <c r="AO10" s="96"/>
      <c r="AP10" s="96"/>
      <c r="AQ10" s="95"/>
      <c r="AR10" s="98"/>
      <c r="AS10" s="96"/>
      <c r="AT10" s="96"/>
      <c r="AU10" s="95"/>
      <c r="AV10" s="98"/>
      <c r="AW10" s="96"/>
      <c r="AX10" s="96"/>
      <c r="AY10" s="95"/>
      <c r="AZ10" s="98"/>
      <c r="BA10" s="99"/>
      <c r="BB10" s="95"/>
      <c r="BC10" s="96"/>
      <c r="BD10" s="96"/>
      <c r="BE10" s="98"/>
      <c r="BF10" s="95"/>
      <c r="BG10" s="96"/>
      <c r="BH10" s="96"/>
      <c r="BI10" s="98"/>
    </row>
    <row r="11" spans="1:61" ht="12" customHeight="1">
      <c r="A11" s="254">
        <f t="array" ref="A11">_xll.AC(DB,_xll.ArrayDPT($AA11:$AE11),_xll.ArrayCOA($AG11:$AZ11),YR-1,PRD,_xll.ArrayDIM($BB11:$BE11))</f>
        <v>-21506.38</v>
      </c>
      <c r="B11" s="254">
        <f t="shared" si="0"/>
        <v>-0.29665939326948287</v>
      </c>
      <c r="C11" s="254">
        <f t="shared" si="1"/>
        <v>13122.06</v>
      </c>
      <c r="D11" s="254">
        <f t="shared" si="2"/>
        <v>-0.16564428097494124</v>
      </c>
      <c r="E11" s="254">
        <f t="array" ref="E11">_xll.BC(DB,_xll.ArrayDPT($AA11:$AE11),_xll.ArrayCOA($AG11:$AZ11),YR,PRD,RV,_xll.ArrayDIM($BB11:$BE11))</f>
        <v>0</v>
      </c>
      <c r="F11" s="254">
        <f t="shared" si="3"/>
        <v>0</v>
      </c>
      <c r="G11" s="254">
        <f t="array" ref="G11">_xll.AC(DB,_xll.ArrayDPT($AA11:$AE11),_xll.ArrayCOA($AG11:$AZ11),YR,PRD,_xll.ArrayDIM($BB11:$BE11))</f>
        <v>-13122.06</v>
      </c>
      <c r="H11" s="254">
        <f t="shared" si="4"/>
        <v>-0.16564428097494124</v>
      </c>
      <c r="I11" s="254"/>
      <c r="J11" s="328" t="s">
        <v>628</v>
      </c>
      <c r="K11" s="254"/>
      <c r="L11" s="254">
        <f t="array" ref="L11">_xll.ACC(DB,_xll.ArrayDPT($AA11:$AE11),_xll.ArrayCOA($AG11:$AZ11),YR,PRD,_xll.ArrayDIM($BB11:$BE11))</f>
        <v>-13122.06</v>
      </c>
      <c r="M11" s="237">
        <f t="shared" si="5"/>
        <v>-0.16564428097494124</v>
      </c>
      <c r="N11" s="254">
        <f t="array" ref="N11">_xll.BCC(DB,_xll.ArrayDPT($AA11:$AE11),_xll.ArrayCOA($AG11:$AZ11),YR,PRD,RV,_xll.ArrayDIM($BB11:$BE11))</f>
        <v>0</v>
      </c>
      <c r="O11" s="237">
        <f t="shared" si="6"/>
        <v>0</v>
      </c>
      <c r="P11" s="237">
        <f t="shared" si="7"/>
        <v>13122.06</v>
      </c>
      <c r="Q11" s="237">
        <f t="shared" si="8"/>
        <v>-0.16564428097494124</v>
      </c>
      <c r="R11" s="254">
        <f t="array" ref="R11">_xll.ACC(DB,_xll.ArrayDPT($AA11:$AE11),_xll.ArrayCOA($AG11:$AZ11),YR-1,PRD,_xll.ArrayDIM($BB11:$BE11))</f>
        <v>-21506.38</v>
      </c>
      <c r="S11" s="237">
        <f t="shared" si="9"/>
        <v>-0.29665939326948287</v>
      </c>
      <c r="T11" s="328"/>
      <c r="U11" s="328"/>
      <c r="V11" s="328"/>
      <c r="W11" s="328"/>
      <c r="X11" s="328"/>
      <c r="Y11" s="328"/>
      <c r="Z11" s="328"/>
      <c r="AA11" s="95" t="s">
        <v>623</v>
      </c>
      <c r="AB11" s="96"/>
      <c r="AC11" s="96"/>
      <c r="AD11" s="96"/>
      <c r="AE11" s="96"/>
      <c r="AF11" s="97"/>
      <c r="AG11" s="95" t="s">
        <v>629</v>
      </c>
      <c r="AH11" s="96" t="s">
        <v>629</v>
      </c>
      <c r="AI11" s="95"/>
      <c r="AJ11" s="96"/>
      <c r="AK11" s="95"/>
      <c r="AL11" s="96"/>
      <c r="AM11" s="95"/>
      <c r="AN11" s="98"/>
      <c r="AO11" s="96"/>
      <c r="AP11" s="96"/>
      <c r="AQ11" s="95"/>
      <c r="AR11" s="98"/>
      <c r="AS11" s="96"/>
      <c r="AT11" s="96"/>
      <c r="AU11" s="95"/>
      <c r="AV11" s="98"/>
      <c r="AW11" s="96"/>
      <c r="AX11" s="96"/>
      <c r="AY11" s="95"/>
      <c r="AZ11" s="98"/>
      <c r="BA11" s="99"/>
      <c r="BB11" s="95"/>
      <c r="BC11" s="96"/>
      <c r="BD11" s="96"/>
      <c r="BE11" s="98"/>
      <c r="BF11" s="95"/>
      <c r="BG11" s="96"/>
      <c r="BH11" s="96"/>
      <c r="BI11" s="98"/>
    </row>
    <row r="12" spans="1:61" ht="12" hidden="1" customHeight="1">
      <c r="A12" s="254">
        <f t="array" ref="A12">_xll.AC(DB,_xll.ArrayDPT($AA12:$AE12),_xll.ArrayCOA($AG12:$AZ12),YR-1,PRD,_xll.ArrayDIM($BB12:$BE12))</f>
        <v>0</v>
      </c>
      <c r="B12" s="254">
        <f t="shared" si="0"/>
        <v>0</v>
      </c>
      <c r="C12" s="254">
        <f t="shared" si="1"/>
        <v>0</v>
      </c>
      <c r="D12" s="254">
        <f t="shared" si="2"/>
        <v>0</v>
      </c>
      <c r="E12" s="254">
        <f t="array" ref="E12">_xll.BC(DB,_xll.ArrayDPT($AA12:$AE12),_xll.ArrayCOA($AG12:$AZ12),YR,PRD,RV,_xll.ArrayDIM($BB12:$BE12))</f>
        <v>0</v>
      </c>
      <c r="F12" s="254">
        <f t="shared" si="3"/>
        <v>0</v>
      </c>
      <c r="G12" s="254">
        <f t="array" ref="G12">_xll.AC(DB,_xll.ArrayDPT($AA12:$AE12),_xll.ArrayCOA($AG12:$AZ12),YR,PRD,_xll.ArrayDIM($BB12:$BE12))</f>
        <v>0</v>
      </c>
      <c r="H12" s="254">
        <f t="shared" si="4"/>
        <v>0</v>
      </c>
      <c r="I12" s="254"/>
      <c r="J12" s="328" t="s">
        <v>630</v>
      </c>
      <c r="K12" s="254"/>
      <c r="L12" s="254">
        <f t="array" ref="L12">_xll.ACC(DB,_xll.ArrayDPT($AA12:$AE12),_xll.ArrayCOA($AG12:$AZ12),YR,PRD,_xll.ArrayDIM($BB12:$BE12))</f>
        <v>0</v>
      </c>
      <c r="M12" s="237">
        <f t="shared" si="5"/>
        <v>0</v>
      </c>
      <c r="N12" s="254">
        <f t="array" ref="N12">_xll.BCC(DB,_xll.ArrayDPT($AA12:$AE12),_xll.ArrayCOA($AG12:$AZ12),YR,PRD,RV,_xll.ArrayDIM($BB12:$BE12))</f>
        <v>0</v>
      </c>
      <c r="O12" s="237">
        <f t="shared" si="6"/>
        <v>0</v>
      </c>
      <c r="P12" s="237">
        <f t="shared" si="7"/>
        <v>0</v>
      </c>
      <c r="Q12" s="237">
        <f t="shared" si="8"/>
        <v>0</v>
      </c>
      <c r="R12" s="254">
        <f t="array" ref="R12">_xll.ACC(DB,_xll.ArrayDPT($AA12:$AE12),_xll.ArrayCOA($AG12:$AZ12),YR-1,PRD,_xll.ArrayDIM($BB12:$BE12))</f>
        <v>0</v>
      </c>
      <c r="S12" s="237">
        <f t="shared" si="9"/>
        <v>0</v>
      </c>
      <c r="T12" s="328"/>
      <c r="U12" s="328"/>
      <c r="V12" s="328"/>
      <c r="W12" s="328"/>
      <c r="X12" s="328"/>
      <c r="Y12" s="328"/>
      <c r="Z12" s="328"/>
      <c r="AA12" s="95" t="s">
        <v>623</v>
      </c>
      <c r="AB12" s="96"/>
      <c r="AC12" s="96"/>
      <c r="AD12" s="96"/>
      <c r="AE12" s="96"/>
      <c r="AF12" s="97"/>
      <c r="AG12" s="95"/>
      <c r="AH12" s="96"/>
      <c r="AI12" s="95"/>
      <c r="AJ12" s="96"/>
      <c r="AK12" s="95"/>
      <c r="AL12" s="96"/>
      <c r="AM12" s="95"/>
      <c r="AN12" s="98"/>
      <c r="AO12" s="96"/>
      <c r="AP12" s="96"/>
      <c r="AQ12" s="95"/>
      <c r="AR12" s="98"/>
      <c r="AS12" s="96"/>
      <c r="AT12" s="96"/>
      <c r="AU12" s="95"/>
      <c r="AV12" s="98"/>
      <c r="AW12" s="96"/>
      <c r="AX12" s="96"/>
      <c r="AY12" s="95"/>
      <c r="AZ12" s="98"/>
      <c r="BA12" s="99"/>
      <c r="BB12" s="95"/>
      <c r="BC12" s="96"/>
      <c r="BD12" s="96"/>
      <c r="BE12" s="98"/>
      <c r="BF12" s="95"/>
      <c r="BG12" s="96"/>
      <c r="BH12" s="96"/>
      <c r="BI12" s="98"/>
    </row>
    <row r="13" spans="1:61" ht="6" customHeight="1">
      <c r="A13" s="329"/>
      <c r="B13" s="329"/>
      <c r="C13" s="329"/>
      <c r="D13" s="329"/>
      <c r="E13" s="329"/>
      <c r="F13" s="329"/>
      <c r="G13" s="329"/>
      <c r="H13" s="329"/>
      <c r="I13" s="330"/>
      <c r="J13" s="331"/>
      <c r="K13" s="332"/>
      <c r="L13" s="333"/>
      <c r="M13" s="333"/>
      <c r="N13" s="333"/>
      <c r="O13" s="333"/>
      <c r="P13" s="333"/>
      <c r="Q13" s="333"/>
      <c r="R13" s="333"/>
      <c r="S13" s="333"/>
      <c r="T13" s="328"/>
      <c r="U13" s="328"/>
      <c r="V13" s="328"/>
      <c r="W13" s="328"/>
      <c r="X13" s="328"/>
      <c r="Y13" s="328"/>
      <c r="Z13" s="328"/>
      <c r="AA13" s="95"/>
      <c r="AB13" s="96"/>
      <c r="AC13" s="96"/>
      <c r="AD13" s="96"/>
      <c r="AE13" s="96"/>
      <c r="AF13" s="97"/>
      <c r="AG13" s="95"/>
      <c r="AH13" s="96"/>
      <c r="AI13" s="95"/>
      <c r="AJ13" s="96"/>
      <c r="AK13" s="95"/>
      <c r="AL13" s="96"/>
      <c r="AM13" s="95"/>
      <c r="AN13" s="98"/>
      <c r="AO13" s="96"/>
      <c r="AP13" s="96"/>
      <c r="AQ13" s="95"/>
      <c r="AR13" s="98"/>
      <c r="AS13" s="96"/>
      <c r="AT13" s="96"/>
      <c r="AU13" s="95"/>
      <c r="AV13" s="98"/>
      <c r="AW13" s="96"/>
      <c r="AX13" s="96"/>
      <c r="AY13" s="95"/>
      <c r="AZ13" s="98"/>
      <c r="BA13" s="99"/>
      <c r="BB13" s="95"/>
      <c r="BC13" s="96"/>
      <c r="BD13" s="96"/>
      <c r="BE13" s="98"/>
      <c r="BF13" s="95"/>
      <c r="BG13" s="96"/>
      <c r="BH13" s="96"/>
      <c r="BI13" s="98"/>
    </row>
    <row r="14" spans="1:61" ht="12" customHeight="1">
      <c r="A14" s="334">
        <f>SUM(A8:A13)</f>
        <v>7249519.3099999996</v>
      </c>
      <c r="B14" s="334">
        <f>IF(A14=0,0,(A14*100/A$14))</f>
        <v>100</v>
      </c>
      <c r="C14" s="334">
        <f>SUM(C8:C13)</f>
        <v>-7921831.0000000009</v>
      </c>
      <c r="D14" s="334">
        <f>IF(C14=0,0,(C14*100/C$14))</f>
        <v>100</v>
      </c>
      <c r="E14" s="334">
        <f>SUM(E8:E13)</f>
        <v>0</v>
      </c>
      <c r="F14" s="334">
        <f>IF(E14=0,0,(E14*100/E$14))</f>
        <v>0</v>
      </c>
      <c r="G14" s="334">
        <f>SUM(G8:G13)</f>
        <v>7921831.0000000009</v>
      </c>
      <c r="H14" s="334">
        <f>IF(G14=0,0,(G14*100/G$14))</f>
        <v>100</v>
      </c>
      <c r="I14" s="335"/>
      <c r="J14" s="336" t="s">
        <v>631</v>
      </c>
      <c r="K14" s="337"/>
      <c r="L14" s="338">
        <f>SUM(L8:L13)</f>
        <v>7921831.0000000009</v>
      </c>
      <c r="M14" s="338">
        <f>IF(L14=0,0,(L14*100/L$14))</f>
        <v>100</v>
      </c>
      <c r="N14" s="338">
        <f>SUM(N8:N13)</f>
        <v>0</v>
      </c>
      <c r="O14" s="338">
        <f>IF(N14=0,0,(N14*100/N$14))</f>
        <v>0</v>
      </c>
      <c r="P14" s="338">
        <f>SUM(P8:P13)</f>
        <v>-7921831.0000000009</v>
      </c>
      <c r="Q14" s="338">
        <f>IF(P14=0,0,(P14*100/P$14))</f>
        <v>100</v>
      </c>
      <c r="R14" s="338">
        <f>SUM(R8:R13)</f>
        <v>7249519.3099999996</v>
      </c>
      <c r="S14" s="338">
        <f>IF(R14=0,0,(R14*100/R$14))</f>
        <v>100</v>
      </c>
      <c r="T14" s="339"/>
      <c r="U14" s="339"/>
      <c r="V14" s="339"/>
      <c r="W14" s="339"/>
      <c r="X14" s="339"/>
      <c r="Y14" s="339"/>
      <c r="Z14" s="339"/>
      <c r="AA14" s="95"/>
      <c r="AB14" s="96"/>
      <c r="AC14" s="96"/>
      <c r="AD14" s="96"/>
      <c r="AE14" s="96"/>
      <c r="AF14" s="97"/>
      <c r="AG14" s="95"/>
      <c r="AH14" s="96"/>
      <c r="AI14" s="95"/>
      <c r="AJ14" s="96"/>
      <c r="AK14" s="95"/>
      <c r="AL14" s="96"/>
      <c r="AM14" s="95"/>
      <c r="AN14" s="98"/>
      <c r="AO14" s="96"/>
      <c r="AP14" s="96"/>
      <c r="AQ14" s="95"/>
      <c r="AR14" s="98"/>
      <c r="AS14" s="96"/>
      <c r="AT14" s="96"/>
      <c r="AU14" s="95"/>
      <c r="AV14" s="98"/>
      <c r="AW14" s="96"/>
      <c r="AX14" s="96"/>
      <c r="AY14" s="95"/>
      <c r="AZ14" s="98"/>
      <c r="BA14" s="99"/>
      <c r="BB14" s="95"/>
      <c r="BC14" s="96"/>
      <c r="BD14" s="96"/>
      <c r="BE14" s="98"/>
      <c r="BF14" s="95"/>
      <c r="BG14" s="96"/>
      <c r="BH14" s="96"/>
      <c r="BI14" s="98"/>
    </row>
    <row r="15" spans="1:61" ht="12" customHeight="1">
      <c r="A15" s="279"/>
      <c r="B15" s="279"/>
      <c r="C15" s="279"/>
      <c r="D15" s="279"/>
      <c r="E15" s="279"/>
      <c r="F15" s="279"/>
      <c r="G15" s="279"/>
      <c r="H15" s="254"/>
      <c r="I15" s="279"/>
      <c r="J15" s="340" t="s">
        <v>632</v>
      </c>
      <c r="K15" s="279"/>
      <c r="L15" s="262"/>
      <c r="M15" s="237"/>
      <c r="N15" s="262"/>
      <c r="O15" s="262"/>
      <c r="P15" s="262"/>
      <c r="Q15" s="262"/>
      <c r="R15" s="262"/>
      <c r="S15" s="262"/>
      <c r="T15" s="339"/>
      <c r="U15" s="339"/>
      <c r="V15" s="339"/>
      <c r="W15" s="339"/>
      <c r="X15" s="339"/>
      <c r="Y15" s="339"/>
      <c r="Z15" s="339"/>
      <c r="AA15" s="95"/>
      <c r="AB15" s="96"/>
      <c r="AC15" s="96"/>
      <c r="AD15" s="96"/>
      <c r="AE15" s="96"/>
      <c r="AF15" s="97"/>
      <c r="AG15" s="95"/>
      <c r="AH15" s="96"/>
      <c r="AI15" s="95"/>
      <c r="AJ15" s="96"/>
      <c r="AK15" s="95"/>
      <c r="AL15" s="96"/>
      <c r="AM15" s="95"/>
      <c r="AN15" s="98"/>
      <c r="AO15" s="96"/>
      <c r="AP15" s="96"/>
      <c r="AQ15" s="95"/>
      <c r="AR15" s="98"/>
      <c r="AS15" s="96"/>
      <c r="AT15" s="96"/>
      <c r="AU15" s="95"/>
      <c r="AV15" s="98"/>
      <c r="AW15" s="96"/>
      <c r="AX15" s="96"/>
      <c r="AY15" s="95"/>
      <c r="AZ15" s="98"/>
      <c r="BA15" s="99"/>
      <c r="BB15" s="95"/>
      <c r="BC15" s="96"/>
      <c r="BD15" s="96"/>
      <c r="BE15" s="98"/>
      <c r="BF15" s="95"/>
      <c r="BG15" s="96"/>
      <c r="BH15" s="96"/>
      <c r="BI15" s="98"/>
    </row>
    <row r="16" spans="1:61" ht="12" customHeight="1">
      <c r="A16" s="254">
        <f t="array" ref="A16">_xll.AC(DB,_xll.ArrayDPT($AA16:$AE16),_xll.ArrayCOA($AG16:$AZ16),YR-1,PRD,_xll.ArrayDIM($BB16:$BE16))</f>
        <v>0</v>
      </c>
      <c r="B16" s="254">
        <f t="shared" ref="B16:B24" si="10">IF(A16=0,0,(A16*100/A$14))</f>
        <v>0</v>
      </c>
      <c r="C16" s="254">
        <f t="shared" ref="C16:C24" si="11">+E16-G16</f>
        <v>0</v>
      </c>
      <c r="D16" s="254">
        <f t="shared" ref="D16:D24" si="12">IF(C16=0,0,(C16*100/C$14))</f>
        <v>0</v>
      </c>
      <c r="E16" s="254">
        <f t="array" ref="E16">_xll.BC(DB,_xll.ArrayDPT($AA16:$AE16),_xll.ArrayCOA($AG16:$AZ16),YR,PRD,RV,_xll.ArrayDIM($BB16:$BE16))</f>
        <v>0</v>
      </c>
      <c r="F16" s="254">
        <f t="shared" ref="F16:F24" si="13">IF(E16=0,0,(E16*100/E$14))</f>
        <v>0</v>
      </c>
      <c r="G16" s="254">
        <f>_xll.AC(DB,_xll.ArrayDPT($AA16:$AE16),_xll.ArrayCOA($AG16:$AZ16),YR,PRD,_xll.ArrayDIM($BB16:$BE16))</f>
        <v>0</v>
      </c>
      <c r="H16" s="254">
        <f t="shared" ref="H16:H24" si="14">IF(G16=0,0,(G16*100/G$14))</f>
        <v>0</v>
      </c>
      <c r="I16" s="254"/>
      <c r="J16" s="328" t="s">
        <v>633</v>
      </c>
      <c r="K16" s="254"/>
      <c r="L16" s="254">
        <f t="array" ref="L16">_xll.ACC(DB,_xll.ArrayDPT($AA16:$AE16),_xll.ArrayCOA($AG16:$AZ16),YR,PRD,_xll.ArrayDIM($BB16:$BE16))</f>
        <v>0</v>
      </c>
      <c r="M16" s="237">
        <f t="shared" ref="M16:M24" si="15">IF(L16=0,0,(L16*100/L$14))</f>
        <v>0</v>
      </c>
      <c r="N16" s="254">
        <f t="array" ref="N16">_xll.BCC(DB,_xll.ArrayDPT($AA16:$AE16),_xll.ArrayCOA($AG16:$AZ16),YR,PRD,RV,_xll.ArrayDIM($BB16:$BE16))</f>
        <v>0</v>
      </c>
      <c r="O16" s="237">
        <f t="shared" ref="O16:O24" si="16">IF(N16=0,0,(N16*100/N$14))</f>
        <v>0</v>
      </c>
      <c r="P16" s="237">
        <f t="shared" ref="P16:P24" si="17">+N16-L16</f>
        <v>0</v>
      </c>
      <c r="Q16" s="254">
        <f t="shared" ref="Q16:Q24" si="18">IF(P16=0,0,(P16*100/P$14))</f>
        <v>0</v>
      </c>
      <c r="R16" s="254">
        <f t="array" ref="R16">_xll.ACC(DB,_xll.ArrayDPT($AA16:$AE16),_xll.ArrayCOA($AG16:$AZ16),YR-1,PRD,_xll.ArrayDIM($BB16:$BE16))</f>
        <v>0</v>
      </c>
      <c r="S16" s="237">
        <f t="shared" ref="S16:S24" si="19">IF(R16=0,0,(R16*100/R$14))</f>
        <v>0</v>
      </c>
      <c r="T16" s="328"/>
      <c r="U16" s="328"/>
      <c r="V16" s="328"/>
      <c r="W16" s="328"/>
      <c r="X16" s="328"/>
      <c r="Y16" s="328"/>
      <c r="Z16" s="328"/>
      <c r="AA16" s="95" t="s">
        <v>634</v>
      </c>
      <c r="AB16" s="96" t="s">
        <v>623</v>
      </c>
      <c r="AC16" s="96"/>
      <c r="AD16" s="96"/>
      <c r="AE16" s="96"/>
      <c r="AF16" s="97"/>
      <c r="AG16" s="95" t="s">
        <v>635</v>
      </c>
      <c r="AH16" s="96" t="s">
        <v>635</v>
      </c>
      <c r="AI16" s="95"/>
      <c r="AJ16" s="96"/>
      <c r="AK16" s="95"/>
      <c r="AL16" s="96"/>
      <c r="AM16" s="95"/>
      <c r="AN16" s="98"/>
      <c r="AO16" s="96"/>
      <c r="AP16" s="96"/>
      <c r="AQ16" s="95"/>
      <c r="AR16" s="98"/>
      <c r="AS16" s="96"/>
      <c r="AT16" s="96"/>
      <c r="AU16" s="95"/>
      <c r="AV16" s="98"/>
      <c r="AW16" s="96"/>
      <c r="AX16" s="96"/>
      <c r="AY16" s="95"/>
      <c r="AZ16" s="98"/>
      <c r="BA16" s="99"/>
      <c r="BB16" s="95"/>
      <c r="BC16" s="96"/>
      <c r="BD16" s="96"/>
      <c r="BE16" s="98"/>
      <c r="BF16" s="95"/>
      <c r="BG16" s="96"/>
      <c r="BH16" s="96"/>
      <c r="BI16" s="98"/>
    </row>
    <row r="17" spans="1:61" ht="12" customHeight="1">
      <c r="A17" s="254">
        <f t="array" ref="A17">_xll.AC(DB,_xll.ArrayDPT($AA17:$AE17),_xll.ArrayCOA($AG17:$AZ17),YR-1,PRD,_xll.ArrayDIM($BB17:$BE17))</f>
        <v>0</v>
      </c>
      <c r="B17" s="254">
        <f t="shared" si="10"/>
        <v>0</v>
      </c>
      <c r="C17" s="254">
        <f t="shared" si="11"/>
        <v>-37066.67</v>
      </c>
      <c r="D17" s="254">
        <f t="shared" si="12"/>
        <v>0.46790533653141547</v>
      </c>
      <c r="E17" s="254">
        <f t="array" ref="E17">_xll.BC(DB,_xll.ArrayDPT($AA17:$AE17),_xll.ArrayCOA($AG17:$AZ17),YR,PRD,RV,_xll.ArrayDIM($BB17:$BE17))</f>
        <v>0</v>
      </c>
      <c r="F17" s="254">
        <f t="shared" si="13"/>
        <v>0</v>
      </c>
      <c r="G17" s="254">
        <f t="array" ref="G17">_xll.AC(DB,_xll.ArrayDPT($AA17:$AE17),_xll.ArrayCOA($AG17:$AZ17),YR,PRD,_xll.ArrayDIM($BB17:$BE17))</f>
        <v>37066.67</v>
      </c>
      <c r="H17" s="254">
        <f t="shared" si="14"/>
        <v>0.46790533653141547</v>
      </c>
      <c r="I17" s="254"/>
      <c r="J17" s="328" t="s">
        <v>636</v>
      </c>
      <c r="K17" s="254"/>
      <c r="L17" s="254">
        <f t="array" ref="L17">_xll.ACC(DB,_xll.ArrayDPT($AA17:$AE17),_xll.ArrayCOA($AG17:$AZ17),YR,PRD,_xll.ArrayDIM($BB17:$BE17))</f>
        <v>37066.67</v>
      </c>
      <c r="M17" s="237">
        <f t="shared" si="15"/>
        <v>0.46790533653141547</v>
      </c>
      <c r="N17" s="254">
        <f t="array" ref="N17">_xll.BCC(DB,_xll.ArrayDPT($AA17:$AE17),_xll.ArrayCOA($AG17:$AZ17),YR,PRD,RV,_xll.ArrayDIM($BB17:$BE17))</f>
        <v>0</v>
      </c>
      <c r="O17" s="237">
        <f t="shared" si="16"/>
        <v>0</v>
      </c>
      <c r="P17" s="237">
        <f t="shared" si="17"/>
        <v>-37066.67</v>
      </c>
      <c r="Q17" s="254">
        <f t="shared" si="18"/>
        <v>0.46790533653141547</v>
      </c>
      <c r="R17" s="254">
        <f t="array" ref="R17">_xll.ACC(DB,_xll.ArrayDPT($AA17:$AE17),_xll.ArrayCOA($AG17:$AZ17),YR-1,PRD,_xll.ArrayDIM($BB17:$BE17))</f>
        <v>0</v>
      </c>
      <c r="S17" s="237">
        <f t="shared" si="19"/>
        <v>0</v>
      </c>
      <c r="T17" s="328"/>
      <c r="U17" s="328"/>
      <c r="V17" s="328"/>
      <c r="W17" s="328"/>
      <c r="X17" s="328"/>
      <c r="Y17" s="328"/>
      <c r="Z17" s="328"/>
      <c r="AA17" s="95" t="s">
        <v>634</v>
      </c>
      <c r="AB17" s="96" t="s">
        <v>623</v>
      </c>
      <c r="AC17" s="96"/>
      <c r="AD17" s="96"/>
      <c r="AE17" s="96"/>
      <c r="AF17" s="97"/>
      <c r="AG17" s="95" t="s">
        <v>638</v>
      </c>
      <c r="AH17" s="96" t="s">
        <v>638</v>
      </c>
      <c r="AI17" s="95"/>
      <c r="AJ17" s="96"/>
      <c r="AK17" s="95"/>
      <c r="AL17" s="96"/>
      <c r="AM17" s="95"/>
      <c r="AN17" s="98"/>
      <c r="AO17" s="96"/>
      <c r="AP17" s="96"/>
      <c r="AQ17" s="95"/>
      <c r="AR17" s="98"/>
      <c r="AS17" s="96"/>
      <c r="AT17" s="96"/>
      <c r="AU17" s="95"/>
      <c r="AV17" s="98"/>
      <c r="AW17" s="96"/>
      <c r="AX17" s="96"/>
      <c r="AY17" s="95"/>
      <c r="AZ17" s="98"/>
      <c r="BA17" s="99"/>
      <c r="BB17" s="95"/>
      <c r="BC17" s="96"/>
      <c r="BD17" s="96"/>
      <c r="BE17" s="98"/>
      <c r="BF17" s="95"/>
      <c r="BG17" s="96"/>
      <c r="BH17" s="96"/>
      <c r="BI17" s="98"/>
    </row>
    <row r="18" spans="1:61" ht="12" customHeight="1">
      <c r="A18" s="254">
        <f t="array" ref="A18">_xll.AC(DB,_xll.ArrayDPT($AA18:$AE18),_xll.ArrayCOA($AG18:$AZ18),YR-1,PRD,_xll.ArrayDIM($BB18:$BE18))</f>
        <v>129333.34</v>
      </c>
      <c r="B18" s="254">
        <f t="shared" si="10"/>
        <v>1.7840264225739404</v>
      </c>
      <c r="C18" s="254">
        <f t="shared" si="11"/>
        <v>-90200</v>
      </c>
      <c r="D18" s="254">
        <f t="shared" si="12"/>
        <v>1.1386256535894288</v>
      </c>
      <c r="E18" s="254">
        <f t="array" ref="E18">_xll.BC(DB,_xll.ArrayDPT($AA18:$AE18),_xll.ArrayCOA($AG18:$AZ18),YR,PRD,RV,_xll.ArrayDIM($BB18:$BE18))</f>
        <v>0</v>
      </c>
      <c r="F18" s="254">
        <f t="shared" si="13"/>
        <v>0</v>
      </c>
      <c r="G18" s="254">
        <f t="array" ref="G18">_xll.AC(DB,_xll.ArrayDPT($AA18:$AE18),_xll.ArrayCOA($AG18:$AZ18),YR,PRD,_xll.ArrayDIM($BB18:$BE18))</f>
        <v>90200</v>
      </c>
      <c r="H18" s="254">
        <f t="shared" si="14"/>
        <v>1.1386256535894288</v>
      </c>
      <c r="I18" s="254"/>
      <c r="J18" s="328" t="s">
        <v>639</v>
      </c>
      <c r="K18" s="254"/>
      <c r="L18" s="254">
        <f t="array" ref="L18">_xll.ACC(DB,_xll.ArrayDPT($AA18:$AE18),_xll.ArrayCOA($AG18:$AZ18),YR,PRD,_xll.ArrayDIM($BB18:$BE18))</f>
        <v>90200</v>
      </c>
      <c r="M18" s="237">
        <f t="shared" si="15"/>
        <v>1.1386256535894288</v>
      </c>
      <c r="N18" s="254">
        <f t="array" ref="N18">_xll.BCC(DB,_xll.ArrayDPT($AA18:$AE18),_xll.ArrayCOA($AG18:$AZ18),YR,PRD,RV,_xll.ArrayDIM($BB18:$BE18))</f>
        <v>0</v>
      </c>
      <c r="O18" s="237">
        <f t="shared" si="16"/>
        <v>0</v>
      </c>
      <c r="P18" s="237">
        <f t="shared" si="17"/>
        <v>-90200</v>
      </c>
      <c r="Q18" s="254">
        <f t="shared" si="18"/>
        <v>1.1386256535894288</v>
      </c>
      <c r="R18" s="254">
        <f t="array" ref="R18">_xll.ACC(DB,_xll.ArrayDPT($AA18:$AE18),_xll.ArrayCOA($AG18:$AZ18),YR-1,PRD,_xll.ArrayDIM($BB18:$BE18))</f>
        <v>129333.34</v>
      </c>
      <c r="S18" s="237">
        <f t="shared" si="19"/>
        <v>1.7840264225739404</v>
      </c>
      <c r="T18" s="328"/>
      <c r="U18" s="328"/>
      <c r="V18" s="328"/>
      <c r="W18" s="328"/>
      <c r="X18" s="328"/>
      <c r="Y18" s="328"/>
      <c r="Z18" s="328"/>
      <c r="AA18" s="95" t="s">
        <v>634</v>
      </c>
      <c r="AB18" s="96" t="s">
        <v>623</v>
      </c>
      <c r="AC18" s="96"/>
      <c r="AD18" s="96"/>
      <c r="AE18" s="96"/>
      <c r="AF18" s="97"/>
      <c r="AG18" s="95" t="s">
        <v>641</v>
      </c>
      <c r="AH18" s="96" t="s">
        <v>641</v>
      </c>
      <c r="AI18" s="95"/>
      <c r="AJ18" s="96"/>
      <c r="AK18" s="95"/>
      <c r="AL18" s="96"/>
      <c r="AM18" s="95"/>
      <c r="AN18" s="98"/>
      <c r="AO18" s="96"/>
      <c r="AP18" s="96"/>
      <c r="AQ18" s="95"/>
      <c r="AR18" s="98"/>
      <c r="AS18" s="96"/>
      <c r="AT18" s="96"/>
      <c r="AU18" s="95"/>
      <c r="AV18" s="98"/>
      <c r="AW18" s="96"/>
      <c r="AX18" s="96"/>
      <c r="AY18" s="95"/>
      <c r="AZ18" s="98"/>
      <c r="BA18" s="99"/>
      <c r="BB18" s="95"/>
      <c r="BC18" s="96"/>
      <c r="BD18" s="96"/>
      <c r="BE18" s="98"/>
      <c r="BF18" s="95"/>
      <c r="BG18" s="96"/>
      <c r="BH18" s="96"/>
      <c r="BI18" s="98"/>
    </row>
    <row r="19" spans="1:61" ht="12" customHeight="1">
      <c r="A19" s="254">
        <f t="array" ref="A19">_xll.AC(DB,_xll.ArrayDPT($AA19:$AE19),_xll.ArrayCOA($AG19:$AZ19),YR-1,PRD,_xll.ArrayDIM($BB19:$BE19))</f>
        <v>0</v>
      </c>
      <c r="B19" s="254">
        <f t="shared" si="10"/>
        <v>0</v>
      </c>
      <c r="C19" s="254">
        <f t="shared" si="11"/>
        <v>0</v>
      </c>
      <c r="D19" s="254">
        <f t="shared" si="12"/>
        <v>0</v>
      </c>
      <c r="E19" s="254">
        <f t="array" ref="E19">_xll.BC(DB,_xll.ArrayDPT($AA19:$AE19),_xll.ArrayCOA($AG19:$AZ19),YR,PRD,RV,_xll.ArrayDIM($BB19:$BE19))</f>
        <v>0</v>
      </c>
      <c r="F19" s="254">
        <f t="shared" si="13"/>
        <v>0</v>
      </c>
      <c r="G19" s="254">
        <f t="array" ref="G19">_xll.AC(DB,_xll.ArrayDPT($AA19:$AE19),_xll.ArrayCOA($AG19:$AZ19),YR,PRD,_xll.ArrayDIM($BB19:$BE19))</f>
        <v>0</v>
      </c>
      <c r="H19" s="254">
        <f t="shared" si="14"/>
        <v>0</v>
      </c>
      <c r="I19" s="254"/>
      <c r="J19" s="328" t="s">
        <v>642</v>
      </c>
      <c r="K19" s="254"/>
      <c r="L19" s="254">
        <f t="array" ref="L19">_xll.ACC(DB,_xll.ArrayDPT($AA19:$AE19),_xll.ArrayCOA($AG19:$AZ19),YR,PRD,_xll.ArrayDIM($BB19:$BE19))</f>
        <v>0</v>
      </c>
      <c r="M19" s="237">
        <f t="shared" si="15"/>
        <v>0</v>
      </c>
      <c r="N19" s="254">
        <f t="array" ref="N19">_xll.BCC(DB,_xll.ArrayDPT($AA19:$AE19),_xll.ArrayCOA($AG19:$AZ19),YR,PRD,RV,_xll.ArrayDIM($BB19:$BE19))</f>
        <v>0</v>
      </c>
      <c r="O19" s="237">
        <f t="shared" si="16"/>
        <v>0</v>
      </c>
      <c r="P19" s="237">
        <f t="shared" si="17"/>
        <v>0</v>
      </c>
      <c r="Q19" s="254">
        <f t="shared" si="18"/>
        <v>0</v>
      </c>
      <c r="R19" s="254">
        <f t="array" ref="R19">_xll.ACC(DB,_xll.ArrayDPT($AA19:$AE19),_xll.ArrayCOA($AG19:$AZ19),YR-1,PRD,_xll.ArrayDIM($BB19:$BE19))</f>
        <v>0</v>
      </c>
      <c r="S19" s="237">
        <f t="shared" si="19"/>
        <v>0</v>
      </c>
      <c r="T19" s="328"/>
      <c r="U19" s="328"/>
      <c r="V19" s="328"/>
      <c r="W19" s="328"/>
      <c r="X19" s="328"/>
      <c r="Y19" s="328"/>
      <c r="Z19" s="328"/>
      <c r="AA19" s="95" t="s">
        <v>634</v>
      </c>
      <c r="AB19" s="96" t="s">
        <v>623</v>
      </c>
      <c r="AC19" s="96"/>
      <c r="AD19" s="96"/>
      <c r="AE19" s="96"/>
      <c r="AF19" s="97"/>
      <c r="AG19" s="95" t="s">
        <v>643</v>
      </c>
      <c r="AH19" s="96" t="s">
        <v>643</v>
      </c>
      <c r="AI19" s="95"/>
      <c r="AJ19" s="96"/>
      <c r="AK19" s="95"/>
      <c r="AL19" s="96"/>
      <c r="AM19" s="95"/>
      <c r="AN19" s="98"/>
      <c r="AO19" s="96"/>
      <c r="AP19" s="96"/>
      <c r="AQ19" s="95"/>
      <c r="AR19" s="98"/>
      <c r="AS19" s="96"/>
      <c r="AT19" s="96"/>
      <c r="AU19" s="95"/>
      <c r="AV19" s="98"/>
      <c r="AW19" s="96"/>
      <c r="AX19" s="96"/>
      <c r="AY19" s="95"/>
      <c r="AZ19" s="98"/>
      <c r="BA19" s="99"/>
      <c r="BB19" s="95"/>
      <c r="BC19" s="96"/>
      <c r="BD19" s="96"/>
      <c r="BE19" s="98"/>
      <c r="BF19" s="95"/>
      <c r="BG19" s="96"/>
      <c r="BH19" s="96"/>
      <c r="BI19" s="98"/>
    </row>
    <row r="20" spans="1:61" ht="12" customHeight="1">
      <c r="A20" s="254">
        <f t="array" ref="A20">_xll.AC(DB,_xll.ArrayDPT($AA20:$AE20),_xll.ArrayCOA($AG20:$AZ20),YR-1,PRD,_xll.ArrayDIM($BB20:$BE20))</f>
        <v>0</v>
      </c>
      <c r="B20" s="254">
        <f t="shared" si="10"/>
        <v>0</v>
      </c>
      <c r="C20" s="254">
        <f t="shared" si="11"/>
        <v>0</v>
      </c>
      <c r="D20" s="254">
        <f t="shared" si="12"/>
        <v>0</v>
      </c>
      <c r="E20" s="254">
        <f t="array" ref="E20">_xll.BC(DB,_xll.ArrayDPT($AA20:$AE20),_xll.ArrayCOA($AG20:$AZ20),YR,PRD,RV,_xll.ArrayDIM($BB20:$BE20))</f>
        <v>0</v>
      </c>
      <c r="F20" s="254">
        <f t="shared" si="13"/>
        <v>0</v>
      </c>
      <c r="G20" s="254">
        <f t="array" ref="G20">_xll.AC(DB,_xll.ArrayDPT($AA20:$AE20),_xll.ArrayCOA($AG20:$AZ20),YR,PRD,_xll.ArrayDIM($BB20:$BE20))</f>
        <v>0</v>
      </c>
      <c r="H20" s="254">
        <f t="shared" si="14"/>
        <v>0</v>
      </c>
      <c r="I20" s="254"/>
      <c r="J20" s="328" t="s">
        <v>644</v>
      </c>
      <c r="K20" s="254"/>
      <c r="L20" s="254">
        <f t="array" ref="L20">_xll.ACC(DB,_xll.ArrayDPT($AA20:$AE20),_xll.ArrayCOA($AG20:$AZ20),YR,PRD,_xll.ArrayDIM($BB20:$BE20))</f>
        <v>0</v>
      </c>
      <c r="M20" s="237">
        <f t="shared" si="15"/>
        <v>0</v>
      </c>
      <c r="N20" s="254">
        <f t="array" ref="N20">_xll.BCC(DB,_xll.ArrayDPT($AA20:$AE20),_xll.ArrayCOA($AG20:$AZ20),YR,PRD,RV,_xll.ArrayDIM($BB20:$BE20))</f>
        <v>0</v>
      </c>
      <c r="O20" s="237">
        <f t="shared" si="16"/>
        <v>0</v>
      </c>
      <c r="P20" s="237">
        <f t="shared" si="17"/>
        <v>0</v>
      </c>
      <c r="Q20" s="254">
        <f t="shared" si="18"/>
        <v>0</v>
      </c>
      <c r="R20" s="254">
        <f t="array" ref="R20">_xll.ACC(DB,_xll.ArrayDPT($AA20:$AE20),_xll.ArrayCOA($AG20:$AZ20),YR-1,PRD,_xll.ArrayDIM($BB20:$BE20))</f>
        <v>0</v>
      </c>
      <c r="S20" s="237">
        <f t="shared" si="19"/>
        <v>0</v>
      </c>
      <c r="T20" s="328"/>
      <c r="U20" s="328"/>
      <c r="V20" s="328"/>
      <c r="W20" s="328"/>
      <c r="X20" s="328"/>
      <c r="Y20" s="328"/>
      <c r="Z20" s="328"/>
      <c r="AA20" s="95" t="s">
        <v>634</v>
      </c>
      <c r="AB20" s="96" t="s">
        <v>623</v>
      </c>
      <c r="AC20" s="96"/>
      <c r="AD20" s="96"/>
      <c r="AE20" s="96"/>
      <c r="AF20" s="97"/>
      <c r="AG20" s="95" t="s">
        <v>645</v>
      </c>
      <c r="AH20" s="96" t="s">
        <v>645</v>
      </c>
      <c r="AI20" s="95"/>
      <c r="AJ20" s="96"/>
      <c r="AK20" s="95"/>
      <c r="AL20" s="96"/>
      <c r="AM20" s="95"/>
      <c r="AN20" s="98"/>
      <c r="AO20" s="96"/>
      <c r="AP20" s="96"/>
      <c r="AQ20" s="95"/>
      <c r="AR20" s="98"/>
      <c r="AS20" s="96"/>
      <c r="AT20" s="96"/>
      <c r="AU20" s="95"/>
      <c r="AV20" s="98"/>
      <c r="AW20" s="96"/>
      <c r="AX20" s="96"/>
      <c r="AY20" s="95"/>
      <c r="AZ20" s="98"/>
      <c r="BA20" s="99"/>
      <c r="BB20" s="95"/>
      <c r="BC20" s="96"/>
      <c r="BD20" s="96"/>
      <c r="BE20" s="98"/>
      <c r="BF20" s="95"/>
      <c r="BG20" s="96"/>
      <c r="BH20" s="96"/>
      <c r="BI20" s="98"/>
    </row>
    <row r="21" spans="1:61" ht="12" customHeight="1">
      <c r="A21" s="254">
        <f t="array" ref="A21">_xll.AC(DB,_xll.ArrayDPT($AA21:$AE21),_xll.ArrayCOA($AG21:$AZ21),YR-1,PRD,_xll.ArrayDIM($BB21:$BE21))</f>
        <v>0</v>
      </c>
      <c r="B21" s="254">
        <f t="shared" si="10"/>
        <v>0</v>
      </c>
      <c r="C21" s="254">
        <f t="shared" si="11"/>
        <v>-5863</v>
      </c>
      <c r="D21" s="254">
        <f t="shared" si="12"/>
        <v>7.4010667483312878E-2</v>
      </c>
      <c r="E21" s="254">
        <f t="array" ref="E21">_xll.BC(DB,_xll.ArrayDPT($AA21:$AE21),_xll.ArrayCOA($AG21:$AZ21),YR,PRD,RV,_xll.ArrayDIM($BB21:$BE21))</f>
        <v>0</v>
      </c>
      <c r="F21" s="254">
        <f t="shared" si="13"/>
        <v>0</v>
      </c>
      <c r="G21" s="254">
        <f t="array" ref="G21">_xll.AC(DB,_xll.ArrayDPT($AA21:$AE21),_xll.ArrayCOA($AG21:$AZ21),YR,PRD,_xll.ArrayDIM($BB21:$BE21))</f>
        <v>5863</v>
      </c>
      <c r="H21" s="254">
        <f t="shared" si="14"/>
        <v>7.4010667483312878E-2</v>
      </c>
      <c r="I21" s="254"/>
      <c r="J21" s="328" t="s">
        <v>646</v>
      </c>
      <c r="K21" s="254"/>
      <c r="L21" s="254">
        <f t="array" ref="L21">_xll.ACC(DB,_xll.ArrayDPT($AA21:$AE21),_xll.ArrayCOA($AG21:$AZ21),YR,PRD,_xll.ArrayDIM($BB21:$BE21))</f>
        <v>5863</v>
      </c>
      <c r="M21" s="237">
        <f t="shared" si="15"/>
        <v>7.4010667483312878E-2</v>
      </c>
      <c r="N21" s="254">
        <f t="array" ref="N21">_xll.BCC(DB,_xll.ArrayDPT($AA21:$AE21),_xll.ArrayCOA($AG21:$AZ21),YR,PRD,RV,_xll.ArrayDIM($BB21:$BE21))</f>
        <v>0</v>
      </c>
      <c r="O21" s="237">
        <f t="shared" si="16"/>
        <v>0</v>
      </c>
      <c r="P21" s="237">
        <f t="shared" si="17"/>
        <v>-5863</v>
      </c>
      <c r="Q21" s="254">
        <f t="shared" si="18"/>
        <v>7.4010667483312878E-2</v>
      </c>
      <c r="R21" s="254">
        <f t="array" ref="R21">_xll.ACC(DB,_xll.ArrayDPT($AA21:$AE21),_xll.ArrayCOA($AG21:$AZ21),YR-1,PRD,_xll.ArrayDIM($BB21:$BE21))</f>
        <v>0</v>
      </c>
      <c r="S21" s="237">
        <f t="shared" si="19"/>
        <v>0</v>
      </c>
      <c r="T21" s="328"/>
      <c r="U21" s="328"/>
      <c r="V21" s="328"/>
      <c r="W21" s="328"/>
      <c r="X21" s="328"/>
      <c r="Y21" s="328"/>
      <c r="Z21" s="328"/>
      <c r="AA21" s="95" t="s">
        <v>634</v>
      </c>
      <c r="AB21" s="96"/>
      <c r="AC21" s="96"/>
      <c r="AD21" s="96"/>
      <c r="AE21" s="96"/>
      <c r="AF21" s="97"/>
      <c r="AG21" s="95" t="s">
        <v>647</v>
      </c>
      <c r="AH21" s="96" t="s">
        <v>647</v>
      </c>
      <c r="AI21" s="95"/>
      <c r="AJ21" s="96"/>
      <c r="AK21" s="95"/>
      <c r="AL21" s="96"/>
      <c r="AM21" s="95"/>
      <c r="AN21" s="98"/>
      <c r="AO21" s="96"/>
      <c r="AP21" s="96"/>
      <c r="AQ21" s="95"/>
      <c r="AR21" s="98"/>
      <c r="AS21" s="96"/>
      <c r="AT21" s="96"/>
      <c r="AU21" s="95"/>
      <c r="AV21" s="98"/>
      <c r="AW21" s="96"/>
      <c r="AX21" s="96"/>
      <c r="AY21" s="95"/>
      <c r="AZ21" s="98"/>
      <c r="BA21" s="99"/>
      <c r="BB21" s="95"/>
      <c r="BC21" s="96"/>
      <c r="BD21" s="96"/>
      <c r="BE21" s="98"/>
      <c r="BF21" s="95"/>
      <c r="BG21" s="96"/>
      <c r="BH21" s="96"/>
      <c r="BI21" s="98"/>
    </row>
    <row r="22" spans="1:61" ht="12" customHeight="1">
      <c r="A22" s="254">
        <f t="array" ref="A22">_xll.AC(DB,_xll.ArrayDPT($AA22:$AE22),_xll.ArrayCOA($AG22:$AZ22),YR-1,PRD,_xll.ArrayDIM($BB22:$BE22))</f>
        <v>0</v>
      </c>
      <c r="B22" s="254">
        <f t="shared" si="10"/>
        <v>0</v>
      </c>
      <c r="C22" s="254">
        <f t="shared" si="11"/>
        <v>0</v>
      </c>
      <c r="D22" s="254">
        <f t="shared" si="12"/>
        <v>0</v>
      </c>
      <c r="E22" s="254">
        <f t="array" ref="E22">_xll.BC(DB,_xll.ArrayDPT($AA22:$AE22),_xll.ArrayCOA($AG22:$AZ22),YR,PRD,RV,_xll.ArrayDIM($BB22:$BE22))</f>
        <v>0</v>
      </c>
      <c r="F22" s="254">
        <f t="shared" si="13"/>
        <v>0</v>
      </c>
      <c r="G22" s="254">
        <f t="array" ref="G22">_xll.AC(DB,_xll.ArrayDPT($AA22:$AE22),_xll.ArrayCOA($AG22:$AZ22),YR,PRD,_xll.ArrayDIM($BB22:$BE22))</f>
        <v>0</v>
      </c>
      <c r="H22" s="254">
        <f t="shared" si="14"/>
        <v>0</v>
      </c>
      <c r="I22" s="254"/>
      <c r="J22" s="328" t="s">
        <v>648</v>
      </c>
      <c r="K22" s="254"/>
      <c r="L22" s="254">
        <f t="array" ref="L22">_xll.ACC(DB,_xll.ArrayDPT($AA22:$AE22),_xll.ArrayCOA($AG22:$AZ22),YR,PRD,_xll.ArrayDIM($BB22:$BE22))</f>
        <v>0</v>
      </c>
      <c r="M22" s="237">
        <f t="shared" si="15"/>
        <v>0</v>
      </c>
      <c r="N22" s="254">
        <f t="array" ref="N22">_xll.BCC(DB,_xll.ArrayDPT($AA22:$AE22),_xll.ArrayCOA($AG22:$AZ22),YR,PRD,RV,_xll.ArrayDIM($BB22:$BE22))</f>
        <v>0</v>
      </c>
      <c r="O22" s="237">
        <f t="shared" si="16"/>
        <v>0</v>
      </c>
      <c r="P22" s="237">
        <f t="shared" si="17"/>
        <v>0</v>
      </c>
      <c r="Q22" s="254">
        <f t="shared" si="18"/>
        <v>0</v>
      </c>
      <c r="R22" s="254">
        <f t="array" ref="R22">_xll.ACC(DB,_xll.ArrayDPT($AA22:$AE22),_xll.ArrayCOA($AG22:$AZ22),YR-1,PRD,_xll.ArrayDIM($BB22:$BE22))</f>
        <v>0</v>
      </c>
      <c r="S22" s="237">
        <f t="shared" si="19"/>
        <v>0</v>
      </c>
      <c r="T22" s="328"/>
      <c r="U22" s="328"/>
      <c r="V22" s="328"/>
      <c r="W22" s="328"/>
      <c r="X22" s="328"/>
      <c r="Y22" s="328"/>
      <c r="Z22" s="328"/>
      <c r="AA22" s="95" t="s">
        <v>634</v>
      </c>
      <c r="AB22" s="96" t="s">
        <v>623</v>
      </c>
      <c r="AC22" s="96"/>
      <c r="AD22" s="96"/>
      <c r="AE22" s="96"/>
      <c r="AF22" s="97"/>
      <c r="AG22" s="95" t="s">
        <v>649</v>
      </c>
      <c r="AH22" s="96" t="s">
        <v>649</v>
      </c>
      <c r="AI22" s="95"/>
      <c r="AJ22" s="96"/>
      <c r="AK22" s="95"/>
      <c r="AL22" s="96"/>
      <c r="AM22" s="95"/>
      <c r="AN22" s="98"/>
      <c r="AO22" s="96"/>
      <c r="AP22" s="96"/>
      <c r="AQ22" s="95"/>
      <c r="AR22" s="98"/>
      <c r="AS22" s="96"/>
      <c r="AT22" s="96"/>
      <c r="AU22" s="95"/>
      <c r="AV22" s="98"/>
      <c r="AW22" s="96"/>
      <c r="AX22" s="96"/>
      <c r="AY22" s="95"/>
      <c r="AZ22" s="98"/>
      <c r="BA22" s="99"/>
      <c r="BB22" s="95"/>
      <c r="BC22" s="96"/>
      <c r="BD22" s="96"/>
      <c r="BE22" s="98"/>
      <c r="BF22" s="95"/>
      <c r="BG22" s="96"/>
      <c r="BH22" s="96"/>
      <c r="BI22" s="98"/>
    </row>
    <row r="23" spans="1:61" ht="12" customHeight="1">
      <c r="A23" s="254">
        <f t="array" ref="A23">_xll.AC(DB,_xll.ArrayDPT($AA23:$AE23),_xll.ArrayCOA($AG23:$AZ23),YR-1,PRD,_xll.ArrayDIM($BB23:$BE23))</f>
        <v>0</v>
      </c>
      <c r="B23" s="254">
        <f t="shared" si="10"/>
        <v>0</v>
      </c>
      <c r="C23" s="254">
        <f t="shared" si="11"/>
        <v>-4335.9399999999996</v>
      </c>
      <c r="D23" s="254">
        <f t="shared" si="12"/>
        <v>5.4734063374994986E-2</v>
      </c>
      <c r="E23" s="254">
        <f t="array" ref="E23">_xll.BC(DB,_xll.ArrayDPT($AA23:$AE23),_xll.ArrayCOA($AG23:$AZ23),YR,PRD,RV,_xll.ArrayDIM($BB23:$BE23))</f>
        <v>0</v>
      </c>
      <c r="F23" s="254">
        <f t="shared" si="13"/>
        <v>0</v>
      </c>
      <c r="G23" s="254">
        <f t="array" ref="G23">_xll.AC(DB,_xll.ArrayDPT($AA23:$AE23),_xll.ArrayCOA($AG23:$AZ23),YR,PRD,_xll.ArrayDIM($BB23:$BE23))</f>
        <v>4335.9399999999996</v>
      </c>
      <c r="H23" s="254">
        <f t="shared" si="14"/>
        <v>5.4734063374994986E-2</v>
      </c>
      <c r="I23" s="254"/>
      <c r="J23" s="328" t="s">
        <v>650</v>
      </c>
      <c r="K23" s="254"/>
      <c r="L23" s="254">
        <f t="array" ref="L23">_xll.ACC(DB,_xll.ArrayDPT($AA23:$AE23),_xll.ArrayCOA($AG23:$AZ23),YR,PRD,_xll.ArrayDIM($BB23:$BE23))</f>
        <v>4335.9399999999996</v>
      </c>
      <c r="M23" s="237">
        <f t="shared" si="15"/>
        <v>5.4734063374994986E-2</v>
      </c>
      <c r="N23" s="254">
        <f t="array" ref="N23">_xll.BCC(DB,_xll.ArrayDPT($AA23:$AE23),_xll.ArrayCOA($AG23:$AZ23),YR,PRD,RV,_xll.ArrayDIM($BB23:$BE23))</f>
        <v>0</v>
      </c>
      <c r="O23" s="237">
        <f t="shared" si="16"/>
        <v>0</v>
      </c>
      <c r="P23" s="237">
        <f t="shared" si="17"/>
        <v>-4335.9399999999996</v>
      </c>
      <c r="Q23" s="254">
        <f t="shared" si="18"/>
        <v>5.4734063374994986E-2</v>
      </c>
      <c r="R23" s="254">
        <f t="array" ref="R23">_xll.ACC(DB,_xll.ArrayDPT($AA23:$AE23),_xll.ArrayCOA($AG23:$AZ23),YR-1,PRD,_xll.ArrayDIM($BB23:$BE23))</f>
        <v>0</v>
      </c>
      <c r="S23" s="237">
        <f t="shared" si="19"/>
        <v>0</v>
      </c>
      <c r="T23" s="328"/>
      <c r="U23" s="328"/>
      <c r="V23" s="328"/>
      <c r="W23" s="328"/>
      <c r="X23" s="328"/>
      <c r="Y23" s="328"/>
      <c r="Z23" s="328"/>
      <c r="AA23" s="95" t="s">
        <v>634</v>
      </c>
      <c r="AB23" s="96" t="s">
        <v>623</v>
      </c>
      <c r="AC23" s="96"/>
      <c r="AD23" s="96"/>
      <c r="AE23" s="96"/>
      <c r="AF23" s="97"/>
      <c r="AG23" s="95" t="s">
        <v>651</v>
      </c>
      <c r="AH23" s="96" t="s">
        <v>651</v>
      </c>
      <c r="AI23" s="95"/>
      <c r="AJ23" s="96"/>
      <c r="AK23" s="95"/>
      <c r="AL23" s="96"/>
      <c r="AM23" s="95"/>
      <c r="AN23" s="98"/>
      <c r="AO23" s="96"/>
      <c r="AP23" s="96"/>
      <c r="AQ23" s="95"/>
      <c r="AR23" s="98"/>
      <c r="AS23" s="96"/>
      <c r="AT23" s="96"/>
      <c r="AU23" s="95"/>
      <c r="AV23" s="98"/>
      <c r="AW23" s="96"/>
      <c r="AX23" s="96"/>
      <c r="AY23" s="95"/>
      <c r="AZ23" s="98"/>
      <c r="BA23" s="99"/>
      <c r="BB23" s="95"/>
      <c r="BC23" s="96"/>
      <c r="BD23" s="96"/>
      <c r="BE23" s="98"/>
      <c r="BF23" s="95"/>
      <c r="BG23" s="96"/>
      <c r="BH23" s="96"/>
      <c r="BI23" s="98"/>
    </row>
    <row r="24" spans="1:61" ht="12" customHeight="1">
      <c r="A24" s="254">
        <f t="array" ref="A24">_xll.AC(DB,_xll.ArrayDPT($AA24:$AE24),_xll.ArrayCOA($AG24:$AZ24),YR-1,PRD,_xll.ArrayDIM($BB24:$BE24))</f>
        <v>3800</v>
      </c>
      <c r="B24" s="254">
        <f t="shared" si="10"/>
        <v>5.2417268476797813E-2</v>
      </c>
      <c r="C24" s="254">
        <f t="shared" si="11"/>
        <v>0</v>
      </c>
      <c r="D24" s="254">
        <f t="shared" si="12"/>
        <v>0</v>
      </c>
      <c r="E24" s="254">
        <f t="array" ref="E24">_xll.BC(DB,_xll.ArrayDPT($AA24:$AE24),_xll.ArrayCOA($AG24:$AZ24),YR,PRD,RV,_xll.ArrayDIM($BB24:$BE24))</f>
        <v>0</v>
      </c>
      <c r="F24" s="254">
        <f t="shared" si="13"/>
        <v>0</v>
      </c>
      <c r="G24" s="254">
        <f t="array" ref="G24">_xll.AC(DB,_xll.ArrayDPT($AA24:$AE24),_xll.ArrayCOA($AG24:$AZ24),YR,PRD,_xll.ArrayDIM($BB24:$BE24))</f>
        <v>0</v>
      </c>
      <c r="H24" s="254">
        <f t="shared" si="14"/>
        <v>0</v>
      </c>
      <c r="I24" s="254"/>
      <c r="J24" s="328" t="s">
        <v>652</v>
      </c>
      <c r="K24" s="254"/>
      <c r="L24" s="254">
        <f t="array" ref="L24">_xll.ACC(DB,_xll.ArrayDPT($AA24:$AE24),_xll.ArrayCOA($AG24:$AZ24),YR,PRD,_xll.ArrayDIM($BB24:$BE24))</f>
        <v>0</v>
      </c>
      <c r="M24" s="237">
        <f t="shared" si="15"/>
        <v>0</v>
      </c>
      <c r="N24" s="254">
        <f t="array" ref="N24">_xll.BCC(DB,_xll.ArrayDPT($AA24:$AE24),_xll.ArrayCOA($AG24:$AZ24),YR,PRD,RV,_xll.ArrayDIM($BB24:$BE24))</f>
        <v>0</v>
      </c>
      <c r="O24" s="237">
        <f t="shared" si="16"/>
        <v>0</v>
      </c>
      <c r="P24" s="237">
        <f t="shared" si="17"/>
        <v>0</v>
      </c>
      <c r="Q24" s="254">
        <f t="shared" si="18"/>
        <v>0</v>
      </c>
      <c r="R24" s="254">
        <f t="array" ref="R24">_xll.ACC(DB,_xll.ArrayDPT($AA24:$AE24),_xll.ArrayCOA($AG24:$AZ24),YR-1,PRD,_xll.ArrayDIM($BB24:$BE24))</f>
        <v>3800</v>
      </c>
      <c r="S24" s="237">
        <f t="shared" si="19"/>
        <v>5.2417268476797813E-2</v>
      </c>
      <c r="T24" s="328"/>
      <c r="U24" s="328"/>
      <c r="V24" s="328"/>
      <c r="W24" s="328"/>
      <c r="X24" s="328"/>
      <c r="Y24" s="328"/>
      <c r="Z24" s="328"/>
      <c r="AA24" s="95" t="s">
        <v>634</v>
      </c>
      <c r="AB24" s="96" t="s">
        <v>623</v>
      </c>
      <c r="AC24" s="96"/>
      <c r="AD24" s="96"/>
      <c r="AE24" s="96"/>
      <c r="AF24" s="97"/>
      <c r="AG24" s="95" t="s">
        <v>579</v>
      </c>
      <c r="AH24" s="96" t="s">
        <v>579</v>
      </c>
      <c r="AI24" s="95"/>
      <c r="AJ24" s="96"/>
      <c r="AK24" s="95"/>
      <c r="AL24" s="96"/>
      <c r="AM24" s="95"/>
      <c r="AN24" s="98"/>
      <c r="AO24" s="96"/>
      <c r="AP24" s="96"/>
      <c r="AQ24" s="95"/>
      <c r="AR24" s="98"/>
      <c r="AS24" s="96"/>
      <c r="AT24" s="96"/>
      <c r="AU24" s="95"/>
      <c r="AV24" s="98"/>
      <c r="AW24" s="96"/>
      <c r="AX24" s="96"/>
      <c r="AY24" s="95"/>
      <c r="AZ24" s="98"/>
      <c r="BA24" s="99"/>
      <c r="BB24" s="95"/>
      <c r="BC24" s="96"/>
      <c r="BD24" s="96"/>
      <c r="BE24" s="98"/>
      <c r="BF24" s="95"/>
      <c r="BG24" s="96"/>
      <c r="BH24" s="96"/>
      <c r="BI24" s="98"/>
    </row>
    <row r="25" spans="1:61" ht="6" customHeight="1">
      <c r="A25" s="329"/>
      <c r="B25" s="329"/>
      <c r="C25" s="329"/>
      <c r="D25" s="329"/>
      <c r="E25" s="329"/>
      <c r="F25" s="329"/>
      <c r="G25" s="329"/>
      <c r="H25" s="329"/>
      <c r="I25" s="330"/>
      <c r="J25" s="331"/>
      <c r="K25" s="332"/>
      <c r="L25" s="333"/>
      <c r="M25" s="329"/>
      <c r="N25" s="333"/>
      <c r="O25" s="329"/>
      <c r="P25" s="333"/>
      <c r="Q25" s="329"/>
      <c r="R25" s="333"/>
      <c r="S25" s="329"/>
      <c r="T25" s="328"/>
      <c r="U25" s="328"/>
      <c r="V25" s="328"/>
      <c r="W25" s="328"/>
      <c r="X25" s="328"/>
      <c r="Y25" s="328"/>
      <c r="Z25" s="328"/>
      <c r="AA25" s="95"/>
      <c r="AB25" s="96"/>
      <c r="AC25" s="96"/>
      <c r="AD25" s="96"/>
      <c r="AE25" s="96"/>
      <c r="AF25" s="97"/>
      <c r="AG25" s="95"/>
      <c r="AH25" s="96"/>
      <c r="AI25" s="95"/>
      <c r="AJ25" s="96"/>
      <c r="AK25" s="95"/>
      <c r="AL25" s="96"/>
      <c r="AM25" s="95"/>
      <c r="AN25" s="98"/>
      <c r="AO25" s="96"/>
      <c r="AP25" s="96"/>
      <c r="AQ25" s="95"/>
      <c r="AR25" s="98"/>
      <c r="AS25" s="96"/>
      <c r="AT25" s="96"/>
      <c r="AU25" s="95"/>
      <c r="AV25" s="98"/>
      <c r="AW25" s="96"/>
      <c r="AX25" s="96"/>
      <c r="AY25" s="95"/>
      <c r="AZ25" s="98"/>
      <c r="BA25" s="99"/>
      <c r="BB25" s="95"/>
      <c r="BC25" s="96"/>
      <c r="BD25" s="96"/>
      <c r="BE25" s="98"/>
      <c r="BF25" s="95"/>
      <c r="BG25" s="96"/>
      <c r="BH25" s="96"/>
      <c r="BI25" s="98"/>
    </row>
    <row r="26" spans="1:61" ht="12" customHeight="1">
      <c r="A26" s="334">
        <f>SUM(A16:A25)</f>
        <v>133133.34</v>
      </c>
      <c r="B26" s="334">
        <f>IF(A26=0,0,(A26*100/A$14))</f>
        <v>1.8364436910507382</v>
      </c>
      <c r="C26" s="334">
        <f>SUM(C16:C25)</f>
        <v>-137465.60999999999</v>
      </c>
      <c r="D26" s="334">
        <f>IF(C26=0,0,(C26*100/C$14))</f>
        <v>1.7352757209791521</v>
      </c>
      <c r="E26" s="334">
        <f>SUM(E16:E25)</f>
        <v>0</v>
      </c>
      <c r="F26" s="334">
        <f>IF(E26=0,0,(E26*100/E$14))</f>
        <v>0</v>
      </c>
      <c r="G26" s="334">
        <f>SUM(G16:G25)</f>
        <v>137465.60999999999</v>
      </c>
      <c r="H26" s="334">
        <f>IF(G26=0,0,(G26*100/G$14))</f>
        <v>1.7352757209791521</v>
      </c>
      <c r="I26" s="335"/>
      <c r="J26" s="336" t="s">
        <v>543</v>
      </c>
      <c r="K26" s="337"/>
      <c r="L26" s="338">
        <f>SUM(L16:L25)</f>
        <v>137465.60999999999</v>
      </c>
      <c r="M26" s="334">
        <f>IF(L26=0,0,(L26*100/L$14))</f>
        <v>1.7352757209791521</v>
      </c>
      <c r="N26" s="338">
        <f>SUM(N16:N25)</f>
        <v>0</v>
      </c>
      <c r="O26" s="334">
        <f>IF(N26=0,0,(N26*100/N$14))</f>
        <v>0</v>
      </c>
      <c r="P26" s="338">
        <f>SUM(P16:P25)</f>
        <v>-137465.60999999999</v>
      </c>
      <c r="Q26" s="334">
        <f>IF(P26=0,0,(P26*100/P$14))</f>
        <v>1.7352757209791521</v>
      </c>
      <c r="R26" s="338">
        <f>SUM(R16:R25)</f>
        <v>133133.34</v>
      </c>
      <c r="S26" s="334">
        <f>IF(R26=0,0,(R26*100/R$14))</f>
        <v>1.8364436910507382</v>
      </c>
      <c r="T26" s="328"/>
      <c r="U26" s="328"/>
      <c r="V26" s="328"/>
      <c r="W26" s="328"/>
      <c r="X26" s="328"/>
      <c r="Y26" s="328"/>
      <c r="Z26" s="328"/>
      <c r="AA26" s="95"/>
      <c r="AB26" s="96"/>
      <c r="AC26" s="96"/>
      <c r="AD26" s="96"/>
      <c r="AE26" s="96"/>
      <c r="AF26" s="97"/>
      <c r="AG26" s="95"/>
      <c r="AH26" s="96"/>
      <c r="AI26" s="95"/>
      <c r="AJ26" s="96"/>
      <c r="AK26" s="95"/>
      <c r="AL26" s="96"/>
      <c r="AM26" s="95"/>
      <c r="AN26" s="98"/>
      <c r="AO26" s="96"/>
      <c r="AP26" s="96"/>
      <c r="AQ26" s="95"/>
      <c r="AR26" s="98"/>
      <c r="AS26" s="96"/>
      <c r="AT26" s="96"/>
      <c r="AU26" s="95"/>
      <c r="AV26" s="98"/>
      <c r="AW26" s="96"/>
      <c r="AX26" s="96"/>
      <c r="AY26" s="95"/>
      <c r="AZ26" s="98"/>
      <c r="BA26" s="99"/>
      <c r="BB26" s="95"/>
      <c r="BC26" s="96"/>
      <c r="BD26" s="96"/>
      <c r="BE26" s="98"/>
      <c r="BF26" s="95"/>
      <c r="BG26" s="96"/>
      <c r="BH26" s="96"/>
      <c r="BI26" s="98"/>
    </row>
    <row r="27" spans="1:61" ht="12" customHeight="1">
      <c r="A27" s="254"/>
      <c r="B27" s="254"/>
      <c r="C27" s="254"/>
      <c r="D27" s="254"/>
      <c r="E27" s="254"/>
      <c r="F27" s="254"/>
      <c r="G27" s="254"/>
      <c r="H27" s="254"/>
      <c r="I27" s="254"/>
      <c r="J27" s="340" t="s">
        <v>653</v>
      </c>
      <c r="K27" s="254"/>
      <c r="L27" s="237"/>
      <c r="M27" s="237"/>
      <c r="N27" s="237"/>
      <c r="O27" s="237"/>
      <c r="P27" s="237"/>
      <c r="Q27" s="237"/>
      <c r="R27" s="237"/>
      <c r="S27" s="237"/>
      <c r="T27" s="328"/>
      <c r="U27" s="328"/>
      <c r="V27" s="328"/>
      <c r="W27" s="328"/>
      <c r="X27" s="328"/>
      <c r="Y27" s="328"/>
      <c r="Z27" s="328"/>
      <c r="AA27" s="95"/>
      <c r="AB27" s="96"/>
      <c r="AC27" s="96"/>
      <c r="AD27" s="96"/>
      <c r="AE27" s="96"/>
      <c r="AF27" s="97"/>
      <c r="AG27" s="95"/>
      <c r="AH27" s="96"/>
      <c r="AI27" s="95"/>
      <c r="AJ27" s="96"/>
      <c r="AK27" s="95"/>
      <c r="AL27" s="96"/>
      <c r="AM27" s="95"/>
      <c r="AN27" s="98"/>
      <c r="AO27" s="96"/>
      <c r="AP27" s="96"/>
      <c r="AQ27" s="95"/>
      <c r="AR27" s="98"/>
      <c r="AS27" s="96"/>
      <c r="AT27" s="96"/>
      <c r="AU27" s="95"/>
      <c r="AV27" s="98"/>
      <c r="AW27" s="96"/>
      <c r="AX27" s="96"/>
      <c r="AY27" s="95"/>
      <c r="AZ27" s="98"/>
      <c r="BA27" s="99"/>
      <c r="BB27" s="95"/>
      <c r="BC27" s="96"/>
      <c r="BD27" s="96"/>
      <c r="BE27" s="98"/>
      <c r="BF27" s="95"/>
      <c r="BG27" s="96"/>
      <c r="BH27" s="96"/>
      <c r="BI27" s="98"/>
    </row>
    <row r="28" spans="1:61" ht="12" customHeight="1">
      <c r="A28" s="254">
        <f t="array" ref="A28">_xll.AC(DB,_xll.ArrayDPT($AA28:$AE28),_xll.ArrayCOA($AG28:$AZ28),YR-1,PRD,_xll.ArrayDIM($BB28:$BE28))</f>
        <v>0</v>
      </c>
      <c r="B28" s="254">
        <f t="shared" ref="B28:B70" si="20">IF(A28=0,0,(A28*100/A$14))</f>
        <v>0</v>
      </c>
      <c r="C28" s="254">
        <f t="shared" ref="C28:C70" si="21">+E28-G28</f>
        <v>0</v>
      </c>
      <c r="D28" s="254">
        <f t="shared" ref="D28:D70" si="22">IF(C28=0,0,(C28*100/C$14))</f>
        <v>0</v>
      </c>
      <c r="E28" s="254">
        <f t="array" ref="E28">_xll.BC(DB,_xll.ArrayDPT($AA28:$AE28),_xll.ArrayCOA($AG28:$AZ28),YR,PRD,RV,_xll.ArrayDIM($BB28:$BE28))</f>
        <v>0</v>
      </c>
      <c r="F28" s="254">
        <f t="shared" ref="F28:F70" si="23">IF(E28=0,0,(E28*100/E$14))</f>
        <v>0</v>
      </c>
      <c r="G28" s="254">
        <f t="array" ref="G28">_xll.AC(DB,_xll.ArrayDPT($AA28:$AE28),_xll.ArrayCOA($AG28:$AZ28),YR,PRD,_xll.ArrayDIM($BB28:$BE28))</f>
        <v>0</v>
      </c>
      <c r="H28" s="254">
        <f t="shared" ref="H28:H70" si="24">IF(G28=0,0,(G28*100/G$14))</f>
        <v>0</v>
      </c>
      <c r="I28" s="254"/>
      <c r="J28" s="328" t="s">
        <v>654</v>
      </c>
      <c r="K28" s="254"/>
      <c r="L28" s="254">
        <f t="array" ref="L28">_xll.ACC(DB,_xll.ArrayDPT($AA28:$AE28),_xll.ArrayCOA($AG28:$AZ28),YR,PRD,_xll.ArrayDIM($BB28:$BE28))</f>
        <v>0</v>
      </c>
      <c r="M28" s="237">
        <f t="shared" ref="M28:M70" si="25">IF(L28=0,0,(L28*100/L$14))</f>
        <v>0</v>
      </c>
      <c r="N28" s="254">
        <f t="array" ref="N28">_xll.BCC(DB,_xll.ArrayDPT($AA28:$AE28),_xll.ArrayCOA($AG28:$AZ28),YR,PRD,RV,_xll.ArrayDIM($BB28:$BE28))</f>
        <v>0</v>
      </c>
      <c r="O28" s="237">
        <f t="shared" ref="O28:O70" si="26">IF(N28=0,0,(N28*100/N$14))</f>
        <v>0</v>
      </c>
      <c r="P28" s="237">
        <f t="shared" ref="P28:P70" si="27">+N28-L28</f>
        <v>0</v>
      </c>
      <c r="Q28" s="237">
        <f t="shared" ref="Q28:Q70" si="28">IF(P28=0,0,(P28*100/P$14))</f>
        <v>0</v>
      </c>
      <c r="R28" s="254">
        <f t="array" ref="R28">_xll.ACC(DB,_xll.ArrayDPT($AA28:$AE28),_xll.ArrayCOA($AG28:$AZ28),YR-1,PRD,_xll.ArrayDIM($BB28:$BE28))</f>
        <v>0</v>
      </c>
      <c r="S28" s="237">
        <f t="shared" ref="S28:S68" si="29">IF(R28=0,0,(R28*100/R$14))</f>
        <v>0</v>
      </c>
      <c r="T28" s="328"/>
      <c r="U28" s="328"/>
      <c r="V28" s="328"/>
      <c r="W28" s="328"/>
      <c r="X28" s="328"/>
      <c r="Y28" s="328"/>
      <c r="Z28" s="328"/>
      <c r="AA28" s="95" t="s">
        <v>634</v>
      </c>
      <c r="AB28" s="96"/>
      <c r="AC28" s="96"/>
      <c r="AD28" s="96"/>
      <c r="AE28" s="96"/>
      <c r="AF28" s="97"/>
      <c r="AG28" s="95" t="s">
        <v>655</v>
      </c>
      <c r="AH28" s="96" t="s">
        <v>655</v>
      </c>
      <c r="AI28" s="95"/>
      <c r="AJ28" s="96"/>
      <c r="AK28" s="95"/>
      <c r="AL28" s="96"/>
      <c r="AM28" s="95"/>
      <c r="AN28" s="98"/>
      <c r="AO28" s="96"/>
      <c r="AP28" s="96"/>
      <c r="AQ28" s="95"/>
      <c r="AR28" s="98"/>
      <c r="AS28" s="96"/>
      <c r="AT28" s="96"/>
      <c r="AU28" s="95"/>
      <c r="AV28" s="98"/>
      <c r="AW28" s="96"/>
      <c r="AX28" s="96"/>
      <c r="AY28" s="95"/>
      <c r="AZ28" s="98"/>
      <c r="BA28" s="99"/>
      <c r="BB28" s="95"/>
      <c r="BC28" s="96"/>
      <c r="BD28" s="96"/>
      <c r="BE28" s="98"/>
      <c r="BF28" s="95"/>
      <c r="BG28" s="96"/>
      <c r="BH28" s="96"/>
      <c r="BI28" s="98"/>
    </row>
    <row r="29" spans="1:61" ht="12" customHeight="1">
      <c r="A29" s="254">
        <f t="array" ref="A29">_xll.AC(DB,_xll.ArrayDPT($AA29:$AE29),_xll.ArrayCOA($AG29:$AZ29),YR-1,PRD,_xll.ArrayDIM($BB29:$BE29))</f>
        <v>24772.01</v>
      </c>
      <c r="B29" s="254">
        <f t="shared" si="20"/>
        <v>0.34170555233682109</v>
      </c>
      <c r="C29" s="254">
        <f t="shared" si="21"/>
        <v>-9435.7999999999993</v>
      </c>
      <c r="D29" s="254">
        <f t="shared" si="22"/>
        <v>0.1191113519084161</v>
      </c>
      <c r="E29" s="254">
        <f t="array" ref="E29">_xll.BC(DB,_xll.ArrayDPT($AA29:$AE29),_xll.ArrayCOA($AG29:$AZ29),YR,PRD,RV,_xll.ArrayDIM($BB29:$BE29))</f>
        <v>0</v>
      </c>
      <c r="F29" s="254">
        <f t="shared" si="23"/>
        <v>0</v>
      </c>
      <c r="G29" s="254">
        <f t="array" ref="G29">_xll.AC(DB,_xll.ArrayDPT($AA29:$AE29),_xll.ArrayCOA($AG29:$AZ29),YR,PRD,_xll.ArrayDIM($BB29:$BE29))</f>
        <v>9435.7999999999993</v>
      </c>
      <c r="H29" s="254">
        <f t="shared" si="24"/>
        <v>0.1191113519084161</v>
      </c>
      <c r="I29" s="254"/>
      <c r="J29" s="328" t="s">
        <v>656</v>
      </c>
      <c r="K29" s="254"/>
      <c r="L29" s="254">
        <f t="array" ref="L29">_xll.ACC(DB,_xll.ArrayDPT($AA29:$AE29),_xll.ArrayCOA($AG29:$AZ29),YR,PRD,_xll.ArrayDIM($BB29:$BE29))</f>
        <v>9435.7999999999993</v>
      </c>
      <c r="M29" s="237">
        <f t="shared" si="25"/>
        <v>0.1191113519084161</v>
      </c>
      <c r="N29" s="254">
        <f t="array" ref="N29">_xll.BCC(DB,_xll.ArrayDPT($AA29:$AE29),_xll.ArrayCOA($AG29:$AZ29),YR,PRD,RV,_xll.ArrayDIM($BB29:$BE29))</f>
        <v>0</v>
      </c>
      <c r="O29" s="237">
        <f t="shared" si="26"/>
        <v>0</v>
      </c>
      <c r="P29" s="237">
        <f t="shared" si="27"/>
        <v>-9435.7999999999993</v>
      </c>
      <c r="Q29" s="237">
        <f t="shared" si="28"/>
        <v>0.1191113519084161</v>
      </c>
      <c r="R29" s="254">
        <f t="array" ref="R29">_xll.ACC(DB,_xll.ArrayDPT($AA29:$AE29),_xll.ArrayCOA($AG29:$AZ29),YR-1,PRD,_xll.ArrayDIM($BB29:$BE29))</f>
        <v>24772.01</v>
      </c>
      <c r="S29" s="237">
        <f t="shared" si="29"/>
        <v>0.34170555233682109</v>
      </c>
      <c r="T29" s="328"/>
      <c r="U29" s="328"/>
      <c r="V29" s="328"/>
      <c r="W29" s="328"/>
      <c r="X29" s="328"/>
      <c r="Y29" s="328"/>
      <c r="Z29" s="328"/>
      <c r="AA29" s="95" t="s">
        <v>634</v>
      </c>
      <c r="AB29" s="96"/>
      <c r="AC29" s="96"/>
      <c r="AD29" s="96"/>
      <c r="AE29" s="96"/>
      <c r="AF29" s="97"/>
      <c r="AG29" s="95" t="s">
        <v>657</v>
      </c>
      <c r="AH29" s="96" t="s">
        <v>657</v>
      </c>
      <c r="AI29" s="95"/>
      <c r="AJ29" s="96"/>
      <c r="AK29" s="95"/>
      <c r="AL29" s="96"/>
      <c r="AM29" s="95"/>
      <c r="AN29" s="98"/>
      <c r="AO29" s="96"/>
      <c r="AP29" s="96"/>
      <c r="AQ29" s="95"/>
      <c r="AR29" s="98"/>
      <c r="AS29" s="96"/>
      <c r="AT29" s="96"/>
      <c r="AU29" s="95"/>
      <c r="AV29" s="98"/>
      <c r="AW29" s="96"/>
      <c r="AX29" s="96"/>
      <c r="AY29" s="95"/>
      <c r="AZ29" s="98"/>
      <c r="BA29" s="99"/>
      <c r="BB29" s="95"/>
      <c r="BC29" s="96"/>
      <c r="BD29" s="96"/>
      <c r="BE29" s="98"/>
      <c r="BF29" s="95"/>
      <c r="BG29" s="96"/>
      <c r="BH29" s="96"/>
      <c r="BI29" s="98"/>
    </row>
    <row r="30" spans="1:61" ht="12" customHeight="1">
      <c r="A30" s="254">
        <f t="array" ref="A30">_xll.AC(DB,_xll.ArrayDPT($AA30:$AE30),_xll.ArrayCOA($AG30:$AZ30),YR-1,PRD,_xll.ArrayDIM($BB30:$BE30))</f>
        <v>0</v>
      </c>
      <c r="B30" s="254">
        <f t="shared" si="20"/>
        <v>0</v>
      </c>
      <c r="C30" s="254">
        <f t="shared" si="21"/>
        <v>0</v>
      </c>
      <c r="D30" s="254">
        <f t="shared" si="22"/>
        <v>0</v>
      </c>
      <c r="E30" s="254">
        <f t="array" ref="E30">_xll.BC(DB,_xll.ArrayDPT($AA30:$AE30),_xll.ArrayCOA($AG30:$AZ30),YR,PRD,RV,_xll.ArrayDIM($BB30:$BE30))</f>
        <v>0</v>
      </c>
      <c r="F30" s="254">
        <f t="shared" si="23"/>
        <v>0</v>
      </c>
      <c r="G30" s="254">
        <f t="array" ref="G30">_xll.AC(DB,_xll.ArrayDPT($AA30:$AE30),_xll.ArrayCOA($AG30:$AZ30),YR,PRD,_xll.ArrayDIM($BB30:$BE30))</f>
        <v>0</v>
      </c>
      <c r="H30" s="254">
        <f t="shared" si="24"/>
        <v>0</v>
      </c>
      <c r="I30" s="254"/>
      <c r="J30" s="328" t="s">
        <v>658</v>
      </c>
      <c r="K30" s="254"/>
      <c r="L30" s="254">
        <f t="array" ref="L30">_xll.ACC(DB,_xll.ArrayDPT($AA30:$AE30),_xll.ArrayCOA($AG30:$AZ30),YR,PRD,_xll.ArrayDIM($BB30:$BE30))</f>
        <v>0</v>
      </c>
      <c r="M30" s="237">
        <f t="shared" si="25"/>
        <v>0</v>
      </c>
      <c r="N30" s="254">
        <f t="array" ref="N30">_xll.BCC(DB,_xll.ArrayDPT($AA30:$AE30),_xll.ArrayCOA($AG30:$AZ30),YR,PRD,RV,_xll.ArrayDIM($BB30:$BE30))</f>
        <v>0</v>
      </c>
      <c r="O30" s="237">
        <f t="shared" si="26"/>
        <v>0</v>
      </c>
      <c r="P30" s="237">
        <f t="shared" si="27"/>
        <v>0</v>
      </c>
      <c r="Q30" s="237">
        <f t="shared" si="28"/>
        <v>0</v>
      </c>
      <c r="R30" s="254">
        <f t="array" ref="R30">_xll.ACC(DB,_xll.ArrayDPT($AA30:$AE30),_xll.ArrayCOA($AG30:$AZ30),YR-1,PRD,_xll.ArrayDIM($BB30:$BE30))</f>
        <v>0</v>
      </c>
      <c r="S30" s="237">
        <f t="shared" si="29"/>
        <v>0</v>
      </c>
      <c r="T30" s="328"/>
      <c r="U30" s="328"/>
      <c r="V30" s="328"/>
      <c r="W30" s="328"/>
      <c r="X30" s="328"/>
      <c r="Y30" s="328"/>
      <c r="Z30" s="328"/>
      <c r="AA30" s="95" t="s">
        <v>634</v>
      </c>
      <c r="AB30" s="96"/>
      <c r="AC30" s="96"/>
      <c r="AD30" s="96"/>
      <c r="AE30" s="96"/>
      <c r="AF30" s="97"/>
      <c r="AG30" s="95" t="s">
        <v>659</v>
      </c>
      <c r="AH30" s="96" t="s">
        <v>659</v>
      </c>
      <c r="AI30" s="95"/>
      <c r="AJ30" s="96"/>
      <c r="AK30" s="95"/>
      <c r="AL30" s="96"/>
      <c r="AM30" s="95"/>
      <c r="AN30" s="98"/>
      <c r="AO30" s="96"/>
      <c r="AP30" s="96"/>
      <c r="AQ30" s="95"/>
      <c r="AR30" s="98"/>
      <c r="AS30" s="96"/>
      <c r="AT30" s="96"/>
      <c r="AU30" s="95"/>
      <c r="AV30" s="98"/>
      <c r="AW30" s="96"/>
      <c r="AX30" s="96"/>
      <c r="AY30" s="95"/>
      <c r="AZ30" s="98"/>
      <c r="BA30" s="99"/>
      <c r="BB30" s="95"/>
      <c r="BC30" s="96"/>
      <c r="BD30" s="96"/>
      <c r="BE30" s="98"/>
      <c r="BF30" s="95"/>
      <c r="BG30" s="96"/>
      <c r="BH30" s="96"/>
      <c r="BI30" s="98"/>
    </row>
    <row r="31" spans="1:61" ht="12" customHeight="1">
      <c r="A31" s="254">
        <f t="array" ref="A31">_xll.AC(DB,_xll.ArrayDPT($AA31:$AE31),_xll.ArrayCOA($AG31:$AZ31),YR-1,PRD,_xll.ArrayDIM($BB31:$BE31))</f>
        <v>0</v>
      </c>
      <c r="B31" s="254">
        <f t="shared" si="20"/>
        <v>0</v>
      </c>
      <c r="C31" s="254">
        <f t="shared" si="21"/>
        <v>0</v>
      </c>
      <c r="D31" s="254">
        <f t="shared" si="22"/>
        <v>0</v>
      </c>
      <c r="E31" s="254">
        <f t="array" ref="E31">_xll.BC(DB,_xll.ArrayDPT($AA31:$AE31),_xll.ArrayCOA($AG31:$AZ31),YR,PRD,RV,_xll.ArrayDIM($BB31:$BE31))</f>
        <v>0</v>
      </c>
      <c r="F31" s="254">
        <f t="shared" si="23"/>
        <v>0</v>
      </c>
      <c r="G31" s="254">
        <f t="array" ref="G31">_xll.AC(DB,_xll.ArrayDPT($AA31:$AE31),_xll.ArrayCOA($AG31:$AZ31),YR,PRD,_xll.ArrayDIM($BB31:$BE31))</f>
        <v>0</v>
      </c>
      <c r="H31" s="254">
        <f t="shared" si="24"/>
        <v>0</v>
      </c>
      <c r="I31" s="254"/>
      <c r="J31" s="328" t="s">
        <v>660</v>
      </c>
      <c r="K31" s="254"/>
      <c r="L31" s="254">
        <f t="array" ref="L31">_xll.ACC(DB,_xll.ArrayDPT($AA31:$AE31),_xll.ArrayCOA($AG31:$AZ31),YR,PRD,_xll.ArrayDIM($BB31:$BE31))</f>
        <v>0</v>
      </c>
      <c r="M31" s="237">
        <f t="shared" si="25"/>
        <v>0</v>
      </c>
      <c r="N31" s="254">
        <f t="array" ref="N31">_xll.BCC(DB,_xll.ArrayDPT($AA31:$AE31),_xll.ArrayCOA($AG31:$AZ31),YR,PRD,RV,_xll.ArrayDIM($BB31:$BE31))</f>
        <v>0</v>
      </c>
      <c r="O31" s="237">
        <f t="shared" si="26"/>
        <v>0</v>
      </c>
      <c r="P31" s="237">
        <f t="shared" si="27"/>
        <v>0</v>
      </c>
      <c r="Q31" s="237">
        <f t="shared" si="28"/>
        <v>0</v>
      </c>
      <c r="R31" s="254">
        <f t="array" ref="R31">_xll.ACC(DB,_xll.ArrayDPT($AA31:$AE31),_xll.ArrayCOA($AG31:$AZ31),YR-1,PRD,_xll.ArrayDIM($BB31:$BE31))</f>
        <v>0</v>
      </c>
      <c r="S31" s="237">
        <f t="shared" si="29"/>
        <v>0</v>
      </c>
      <c r="T31" s="328"/>
      <c r="U31" s="328"/>
      <c r="V31" s="328"/>
      <c r="W31" s="328"/>
      <c r="X31" s="328"/>
      <c r="Y31" s="328"/>
      <c r="Z31" s="328"/>
      <c r="AA31" s="95" t="s">
        <v>634</v>
      </c>
      <c r="AB31" s="96"/>
      <c r="AC31" s="96"/>
      <c r="AD31" s="96"/>
      <c r="AE31" s="96"/>
      <c r="AF31" s="97"/>
      <c r="AG31" s="95" t="s">
        <v>580</v>
      </c>
      <c r="AH31" s="96" t="s">
        <v>580</v>
      </c>
      <c r="AI31" s="95"/>
      <c r="AJ31" s="96"/>
      <c r="AK31" s="95"/>
      <c r="AL31" s="96"/>
      <c r="AM31" s="95"/>
      <c r="AN31" s="98"/>
      <c r="AO31" s="96"/>
      <c r="AP31" s="96"/>
      <c r="AQ31" s="95"/>
      <c r="AR31" s="98"/>
      <c r="AS31" s="96"/>
      <c r="AT31" s="96"/>
      <c r="AU31" s="95"/>
      <c r="AV31" s="98"/>
      <c r="AW31" s="96"/>
      <c r="AX31" s="96"/>
      <c r="AY31" s="95"/>
      <c r="AZ31" s="98"/>
      <c r="BA31" s="99"/>
      <c r="BB31" s="95"/>
      <c r="BC31" s="96"/>
      <c r="BD31" s="96"/>
      <c r="BE31" s="98"/>
      <c r="BF31" s="95"/>
      <c r="BG31" s="96"/>
      <c r="BH31" s="96"/>
      <c r="BI31" s="98"/>
    </row>
    <row r="32" spans="1:61" ht="12" customHeight="1">
      <c r="A32" s="254">
        <f t="array" ref="A32">_xll.AC(DB,_xll.ArrayDPT($AA32:$AE32),_xll.ArrayCOA($AG32:$AZ32),YR-1,PRD,_xll.ArrayDIM($BB32:$BE32))</f>
        <v>0</v>
      </c>
      <c r="B32" s="254">
        <f t="shared" si="20"/>
        <v>0</v>
      </c>
      <c r="C32" s="254">
        <f t="shared" si="21"/>
        <v>0</v>
      </c>
      <c r="D32" s="254">
        <f t="shared" si="22"/>
        <v>0</v>
      </c>
      <c r="E32" s="254">
        <f t="array" ref="E32">_xll.BC(DB,_xll.ArrayDPT($AA32:$AE32),_xll.ArrayCOA($AG32:$AZ32),YR,PRD,RV,_xll.ArrayDIM($BB32:$BE32))</f>
        <v>0</v>
      </c>
      <c r="F32" s="254">
        <f t="shared" si="23"/>
        <v>0</v>
      </c>
      <c r="G32" s="254">
        <f t="array" ref="G32">_xll.AC(DB,_xll.ArrayDPT($AA32:$AE32),_xll.ArrayCOA($AG32:$AZ32),YR,PRD,_xll.ArrayDIM($BB32:$BE32))</f>
        <v>0</v>
      </c>
      <c r="H32" s="254">
        <f t="shared" si="24"/>
        <v>0</v>
      </c>
      <c r="I32" s="254"/>
      <c r="J32" s="328" t="s">
        <v>661</v>
      </c>
      <c r="K32" s="254"/>
      <c r="L32" s="254">
        <f t="array" ref="L32">_xll.ACC(DB,_xll.ArrayDPT($AA32:$AE32),_xll.ArrayCOA($AG32:$AZ32),YR,PRD,_xll.ArrayDIM($BB32:$BE32))</f>
        <v>0</v>
      </c>
      <c r="M32" s="237">
        <f t="shared" si="25"/>
        <v>0</v>
      </c>
      <c r="N32" s="254">
        <f t="array" ref="N32">_xll.BCC(DB,_xll.ArrayDPT($AA32:$AE32),_xll.ArrayCOA($AG32:$AZ32),YR,PRD,RV,_xll.ArrayDIM($BB32:$BE32))</f>
        <v>0</v>
      </c>
      <c r="O32" s="237">
        <f t="shared" si="26"/>
        <v>0</v>
      </c>
      <c r="P32" s="237">
        <f t="shared" si="27"/>
        <v>0</v>
      </c>
      <c r="Q32" s="237">
        <f t="shared" si="28"/>
        <v>0</v>
      </c>
      <c r="R32" s="254">
        <f t="array" ref="R32">_xll.ACC(DB,_xll.ArrayDPT($AA32:$AE32),_xll.ArrayCOA($AG32:$AZ32),YR-1,PRD,_xll.ArrayDIM($BB32:$BE32))</f>
        <v>0</v>
      </c>
      <c r="S32" s="237">
        <f t="shared" si="29"/>
        <v>0</v>
      </c>
      <c r="T32" s="328"/>
      <c r="U32" s="328"/>
      <c r="V32" s="328"/>
      <c r="W32" s="328"/>
      <c r="X32" s="328"/>
      <c r="Y32" s="328"/>
      <c r="Z32" s="328"/>
      <c r="AA32" s="95" t="s">
        <v>634</v>
      </c>
      <c r="AB32" s="96"/>
      <c r="AC32" s="96"/>
      <c r="AD32" s="96"/>
      <c r="AE32" s="96"/>
      <c r="AF32" s="97"/>
      <c r="AG32" s="95" t="s">
        <v>662</v>
      </c>
      <c r="AH32" s="96" t="s">
        <v>662</v>
      </c>
      <c r="AI32" s="95"/>
      <c r="AJ32" s="96"/>
      <c r="AK32" s="95"/>
      <c r="AL32" s="96"/>
      <c r="AM32" s="95"/>
      <c r="AN32" s="98"/>
      <c r="AO32" s="96"/>
      <c r="AP32" s="96"/>
      <c r="AQ32" s="95"/>
      <c r="AR32" s="98"/>
      <c r="AS32" s="96"/>
      <c r="AT32" s="96"/>
      <c r="AU32" s="95"/>
      <c r="AV32" s="98"/>
      <c r="AW32" s="96"/>
      <c r="AX32" s="96"/>
      <c r="AY32" s="95"/>
      <c r="AZ32" s="98"/>
      <c r="BA32" s="99"/>
      <c r="BB32" s="95"/>
      <c r="BC32" s="96"/>
      <c r="BD32" s="96"/>
      <c r="BE32" s="98"/>
      <c r="BF32" s="95"/>
      <c r="BG32" s="96"/>
      <c r="BH32" s="96"/>
      <c r="BI32" s="98"/>
    </row>
    <row r="33" spans="1:61" ht="12" customHeight="1">
      <c r="A33" s="254">
        <f t="array" ref="A33">_xll.AC(DB,_xll.ArrayDPT($AA33:$AE33),_xll.ArrayCOA($AG33:$AZ33),YR-1,PRD,_xll.ArrayDIM($BB33:$BE33))</f>
        <v>0</v>
      </c>
      <c r="B33" s="254">
        <f t="shared" si="20"/>
        <v>0</v>
      </c>
      <c r="C33" s="254">
        <f t="shared" si="21"/>
        <v>0</v>
      </c>
      <c r="D33" s="254">
        <f t="shared" si="22"/>
        <v>0</v>
      </c>
      <c r="E33" s="254">
        <f t="array" ref="E33">_xll.BC(DB,_xll.ArrayDPT($AA33:$AE33),_xll.ArrayCOA($AG33:$AZ33),YR,PRD,RV,_xll.ArrayDIM($BB33:$BE33))</f>
        <v>0</v>
      </c>
      <c r="F33" s="254">
        <f t="shared" si="23"/>
        <v>0</v>
      </c>
      <c r="G33" s="254">
        <f t="array" ref="G33">_xll.AC(DB,_xll.ArrayDPT($AA33:$AE33),_xll.ArrayCOA($AG33:$AZ33),YR,PRD,_xll.ArrayDIM($BB33:$BE33))</f>
        <v>0</v>
      </c>
      <c r="H33" s="254">
        <f t="shared" si="24"/>
        <v>0</v>
      </c>
      <c r="I33" s="254"/>
      <c r="J33" s="328" t="s">
        <v>663</v>
      </c>
      <c r="K33" s="254"/>
      <c r="L33" s="254">
        <f t="array" ref="L33">_xll.ACC(DB,_xll.ArrayDPT($AA33:$AE33),_xll.ArrayCOA($AG33:$AZ33),YR,PRD,_xll.ArrayDIM($BB33:$BE33))</f>
        <v>0</v>
      </c>
      <c r="M33" s="237">
        <f t="shared" si="25"/>
        <v>0</v>
      </c>
      <c r="N33" s="254">
        <f t="array" ref="N33">_xll.BCC(DB,_xll.ArrayDPT($AA33:$AE33),_xll.ArrayCOA($AG33:$AZ33),YR,PRD,RV,_xll.ArrayDIM($BB33:$BE33))</f>
        <v>0</v>
      </c>
      <c r="O33" s="237">
        <f t="shared" si="26"/>
        <v>0</v>
      </c>
      <c r="P33" s="237">
        <f t="shared" si="27"/>
        <v>0</v>
      </c>
      <c r="Q33" s="237">
        <f t="shared" si="28"/>
        <v>0</v>
      </c>
      <c r="R33" s="254">
        <f t="array" ref="R33">_xll.ACC(DB,_xll.ArrayDPT($AA33:$AE33),_xll.ArrayCOA($AG33:$AZ33),YR-1,PRD,_xll.ArrayDIM($BB33:$BE33))</f>
        <v>0</v>
      </c>
      <c r="S33" s="237">
        <f t="shared" si="29"/>
        <v>0</v>
      </c>
      <c r="T33" s="328"/>
      <c r="U33" s="328"/>
      <c r="V33" s="328"/>
      <c r="W33" s="328"/>
      <c r="X33" s="328"/>
      <c r="Y33" s="328"/>
      <c r="Z33" s="328"/>
      <c r="AA33" s="95" t="s">
        <v>634</v>
      </c>
      <c r="AB33" s="96"/>
      <c r="AC33" s="96"/>
      <c r="AD33" s="96"/>
      <c r="AE33" s="96"/>
      <c r="AF33" s="97"/>
      <c r="AG33" s="95" t="s">
        <v>664</v>
      </c>
      <c r="AH33" s="96" t="s">
        <v>664</v>
      </c>
      <c r="AI33" s="95"/>
      <c r="AJ33" s="96"/>
      <c r="AK33" s="95"/>
      <c r="AL33" s="96"/>
      <c r="AM33" s="95"/>
      <c r="AN33" s="98"/>
      <c r="AO33" s="96"/>
      <c r="AP33" s="96"/>
      <c r="AQ33" s="95"/>
      <c r="AR33" s="98"/>
      <c r="AS33" s="96"/>
      <c r="AT33" s="96"/>
      <c r="AU33" s="95"/>
      <c r="AV33" s="98"/>
      <c r="AW33" s="96"/>
      <c r="AX33" s="96"/>
      <c r="AY33" s="95"/>
      <c r="AZ33" s="98"/>
      <c r="BA33" s="99"/>
      <c r="BB33" s="95"/>
      <c r="BC33" s="96"/>
      <c r="BD33" s="96"/>
      <c r="BE33" s="98"/>
      <c r="BF33" s="95"/>
      <c r="BG33" s="96"/>
      <c r="BH33" s="96"/>
      <c r="BI33" s="98"/>
    </row>
    <row r="34" spans="1:61" ht="12" customHeight="1">
      <c r="A34" s="254">
        <f t="array" ref="A34">_xll.AC(DB,_xll.ArrayDPT($AA34:$AE34),_xll.ArrayCOA($AG34:$AZ34),YR-1,PRD,_xll.ArrayDIM($BB34:$BE34))</f>
        <v>0</v>
      </c>
      <c r="B34" s="254">
        <f t="shared" si="20"/>
        <v>0</v>
      </c>
      <c r="C34" s="254">
        <f t="shared" si="21"/>
        <v>0</v>
      </c>
      <c r="D34" s="254">
        <f t="shared" si="22"/>
        <v>0</v>
      </c>
      <c r="E34" s="254">
        <f t="array" ref="E34">_xll.BC(DB,_xll.ArrayDPT($AA34:$AE34),_xll.ArrayCOA($AG34:$AZ34),YR,PRD,RV,_xll.ArrayDIM($BB34:$BE34))</f>
        <v>0</v>
      </c>
      <c r="F34" s="254">
        <f t="shared" si="23"/>
        <v>0</v>
      </c>
      <c r="G34" s="254">
        <f t="array" ref="G34">_xll.AC(DB,_xll.ArrayDPT($AA34:$AE34),_xll.ArrayCOA($AG34:$AZ34),YR,PRD,_xll.ArrayDIM($BB34:$BE34))</f>
        <v>0</v>
      </c>
      <c r="H34" s="254">
        <f t="shared" si="24"/>
        <v>0</v>
      </c>
      <c r="I34" s="254"/>
      <c r="J34" s="328" t="s">
        <v>665</v>
      </c>
      <c r="K34" s="254"/>
      <c r="L34" s="254">
        <f t="array" ref="L34">_xll.ACC(DB,_xll.ArrayDPT($AA34:$AE34),_xll.ArrayCOA($AG34:$AZ34),YR,PRD,_xll.ArrayDIM($BB34:$BE34))</f>
        <v>0</v>
      </c>
      <c r="M34" s="237">
        <f t="shared" si="25"/>
        <v>0</v>
      </c>
      <c r="N34" s="254">
        <f t="array" ref="N34">_xll.BCC(DB,_xll.ArrayDPT($AA34:$AE34),_xll.ArrayCOA($AG34:$AZ34),YR,PRD,RV,_xll.ArrayDIM($BB34:$BE34))</f>
        <v>0</v>
      </c>
      <c r="O34" s="237">
        <f t="shared" si="26"/>
        <v>0</v>
      </c>
      <c r="P34" s="237">
        <f t="shared" si="27"/>
        <v>0</v>
      </c>
      <c r="Q34" s="237">
        <f t="shared" si="28"/>
        <v>0</v>
      </c>
      <c r="R34" s="254">
        <f t="array" ref="R34">_xll.ACC(DB,_xll.ArrayDPT($AA34:$AE34),_xll.ArrayCOA($AG34:$AZ34),YR-1,PRD,_xll.ArrayDIM($BB34:$BE34))</f>
        <v>0</v>
      </c>
      <c r="S34" s="237">
        <f t="shared" si="29"/>
        <v>0</v>
      </c>
      <c r="T34" s="328"/>
      <c r="U34" s="328"/>
      <c r="V34" s="328"/>
      <c r="W34" s="328"/>
      <c r="X34" s="328"/>
      <c r="Y34" s="328"/>
      <c r="Z34" s="328"/>
      <c r="AA34" s="95" t="s">
        <v>634</v>
      </c>
      <c r="AB34" s="96"/>
      <c r="AC34" s="96"/>
      <c r="AD34" s="96"/>
      <c r="AE34" s="96"/>
      <c r="AF34" s="97"/>
      <c r="AG34" s="95" t="s">
        <v>666</v>
      </c>
      <c r="AH34" s="96" t="s">
        <v>666</v>
      </c>
      <c r="AI34" s="95"/>
      <c r="AJ34" s="96"/>
      <c r="AK34" s="95"/>
      <c r="AL34" s="96"/>
      <c r="AM34" s="95"/>
      <c r="AN34" s="98"/>
      <c r="AO34" s="96"/>
      <c r="AP34" s="96"/>
      <c r="AQ34" s="95"/>
      <c r="AR34" s="98"/>
      <c r="AS34" s="96"/>
      <c r="AT34" s="96"/>
      <c r="AU34" s="95"/>
      <c r="AV34" s="98"/>
      <c r="AW34" s="96"/>
      <c r="AX34" s="96"/>
      <c r="AY34" s="95"/>
      <c r="AZ34" s="98"/>
      <c r="BA34" s="99"/>
      <c r="BB34" s="95"/>
      <c r="BC34" s="96"/>
      <c r="BD34" s="96"/>
      <c r="BE34" s="98"/>
      <c r="BF34" s="95"/>
      <c r="BG34" s="96"/>
      <c r="BH34" s="96"/>
      <c r="BI34" s="98"/>
    </row>
    <row r="35" spans="1:61" ht="12" customHeight="1">
      <c r="A35" s="254">
        <f t="array" ref="A35">_xll.AC(DB,_xll.ArrayDPT($AA35:$AE35),_xll.ArrayCOA($AG35:$AZ35),YR-1,PRD,_xll.ArrayDIM($BB35:$BE35))</f>
        <v>0</v>
      </c>
      <c r="B35" s="254">
        <f t="shared" si="20"/>
        <v>0</v>
      </c>
      <c r="C35" s="254">
        <f t="shared" si="21"/>
        <v>0</v>
      </c>
      <c r="D35" s="254">
        <f t="shared" si="22"/>
        <v>0</v>
      </c>
      <c r="E35" s="254">
        <f t="array" ref="E35">_xll.BC(DB,_xll.ArrayDPT($AA35:$AE35),_xll.ArrayCOA($AG35:$AZ35),YR,PRD,RV,_xll.ArrayDIM($BB35:$BE35))</f>
        <v>0</v>
      </c>
      <c r="F35" s="254">
        <f t="shared" si="23"/>
        <v>0</v>
      </c>
      <c r="G35" s="254">
        <f t="array" ref="G35">_xll.AC(DB,_xll.ArrayDPT($AA35:$AE35),_xll.ArrayCOA($AG35:$AZ35),YR,PRD,_xll.ArrayDIM($BB35:$BE35))</f>
        <v>0</v>
      </c>
      <c r="H35" s="254">
        <f t="shared" si="24"/>
        <v>0</v>
      </c>
      <c r="I35" s="254"/>
      <c r="J35" s="328" t="s">
        <v>667</v>
      </c>
      <c r="K35" s="254"/>
      <c r="L35" s="254">
        <f t="array" ref="L35">_xll.ACC(DB,_xll.ArrayDPT($AA35:$AE35),_xll.ArrayCOA($AG35:$AZ35),YR,PRD,_xll.ArrayDIM($BB35:$BE35))</f>
        <v>0</v>
      </c>
      <c r="M35" s="237">
        <f t="shared" si="25"/>
        <v>0</v>
      </c>
      <c r="N35" s="254">
        <f t="array" ref="N35">_xll.BCC(DB,_xll.ArrayDPT($AA35:$AE35),_xll.ArrayCOA($AG35:$AZ35),YR,PRD,RV,_xll.ArrayDIM($BB35:$BE35))</f>
        <v>0</v>
      </c>
      <c r="O35" s="237">
        <f t="shared" si="26"/>
        <v>0</v>
      </c>
      <c r="P35" s="237">
        <f t="shared" si="27"/>
        <v>0</v>
      </c>
      <c r="Q35" s="237">
        <f t="shared" si="28"/>
        <v>0</v>
      </c>
      <c r="R35" s="254">
        <f t="array" ref="R35">_xll.ACC(DB,_xll.ArrayDPT($AA35:$AE35),_xll.ArrayCOA($AG35:$AZ35),YR-1,PRD,_xll.ArrayDIM($BB35:$BE35))</f>
        <v>0</v>
      </c>
      <c r="S35" s="237">
        <f t="shared" si="29"/>
        <v>0</v>
      </c>
      <c r="T35" s="328"/>
      <c r="U35" s="328"/>
      <c r="V35" s="328"/>
      <c r="W35" s="328"/>
      <c r="X35" s="328"/>
      <c r="Y35" s="328"/>
      <c r="Z35" s="328"/>
      <c r="AA35" s="95" t="s">
        <v>634</v>
      </c>
      <c r="AB35" s="96"/>
      <c r="AC35" s="96"/>
      <c r="AD35" s="96"/>
      <c r="AE35" s="96"/>
      <c r="AF35" s="97"/>
      <c r="AG35" s="95" t="s">
        <v>668</v>
      </c>
      <c r="AH35" s="96" t="s">
        <v>668</v>
      </c>
      <c r="AI35" s="95"/>
      <c r="AJ35" s="96"/>
      <c r="AK35" s="95"/>
      <c r="AL35" s="96"/>
      <c r="AM35" s="95"/>
      <c r="AN35" s="98"/>
      <c r="AO35" s="96"/>
      <c r="AP35" s="96"/>
      <c r="AQ35" s="95"/>
      <c r="AR35" s="98"/>
      <c r="AS35" s="96"/>
      <c r="AT35" s="96"/>
      <c r="AU35" s="95"/>
      <c r="AV35" s="98"/>
      <c r="AW35" s="96"/>
      <c r="AX35" s="96"/>
      <c r="AY35" s="95"/>
      <c r="AZ35" s="98"/>
      <c r="BA35" s="99"/>
      <c r="BB35" s="95"/>
      <c r="BC35" s="96"/>
      <c r="BD35" s="96"/>
      <c r="BE35" s="98"/>
      <c r="BF35" s="95"/>
      <c r="BG35" s="96"/>
      <c r="BH35" s="96"/>
      <c r="BI35" s="98"/>
    </row>
    <row r="36" spans="1:61" ht="12" customHeight="1">
      <c r="A36" s="254">
        <f t="array" ref="A36">_xll.AC(DB,_xll.ArrayDPT($AA36:$AE36),_xll.ArrayCOA($AG36:$AZ36),YR-1,PRD,_xll.ArrayDIM($BB36:$BE36))</f>
        <v>0</v>
      </c>
      <c r="B36" s="254">
        <f t="shared" si="20"/>
        <v>0</v>
      </c>
      <c r="C36" s="254">
        <f t="shared" si="21"/>
        <v>0</v>
      </c>
      <c r="D36" s="254">
        <f t="shared" si="22"/>
        <v>0</v>
      </c>
      <c r="E36" s="254">
        <f t="array" ref="E36">_xll.BC(DB,_xll.ArrayDPT($AA36:$AE36),_xll.ArrayCOA($AG36:$AZ36),YR,PRD,RV,_xll.ArrayDIM($BB36:$BE36))</f>
        <v>0</v>
      </c>
      <c r="F36" s="254">
        <f t="shared" si="23"/>
        <v>0</v>
      </c>
      <c r="G36" s="254">
        <f t="array" ref="G36">_xll.AC(DB,_xll.ArrayDPT($AA36:$AE36),_xll.ArrayCOA($AG36:$AZ36),YR,PRD,_xll.ArrayDIM($BB36:$BE36))</f>
        <v>0</v>
      </c>
      <c r="H36" s="254">
        <f t="shared" si="24"/>
        <v>0</v>
      </c>
      <c r="I36" s="254"/>
      <c r="J36" s="328" t="s">
        <v>669</v>
      </c>
      <c r="K36" s="254"/>
      <c r="L36" s="254">
        <f t="array" ref="L36">_xll.ACC(DB,_xll.ArrayDPT($AA36:$AE36),_xll.ArrayCOA($AG36:$AZ36),YR,PRD,_xll.ArrayDIM($BB36:$BE36))</f>
        <v>0</v>
      </c>
      <c r="M36" s="237">
        <f t="shared" si="25"/>
        <v>0</v>
      </c>
      <c r="N36" s="254">
        <f t="array" ref="N36">_xll.BCC(DB,_xll.ArrayDPT($AA36:$AE36),_xll.ArrayCOA($AG36:$AZ36),YR,PRD,RV,_xll.ArrayDIM($BB36:$BE36))</f>
        <v>0</v>
      </c>
      <c r="O36" s="237">
        <f t="shared" si="26"/>
        <v>0</v>
      </c>
      <c r="P36" s="237">
        <f t="shared" si="27"/>
        <v>0</v>
      </c>
      <c r="Q36" s="237">
        <f t="shared" si="28"/>
        <v>0</v>
      </c>
      <c r="R36" s="254">
        <f t="array" ref="R36">_xll.ACC(DB,_xll.ArrayDPT($AA36:$AE36),_xll.ArrayCOA($AG36:$AZ36),YR-1,PRD,_xll.ArrayDIM($BB36:$BE36))</f>
        <v>0</v>
      </c>
      <c r="S36" s="237">
        <f t="shared" si="29"/>
        <v>0</v>
      </c>
      <c r="T36" s="328"/>
      <c r="U36" s="328"/>
      <c r="V36" s="328"/>
      <c r="W36" s="328"/>
      <c r="X36" s="328"/>
      <c r="Y36" s="328"/>
      <c r="Z36" s="328"/>
      <c r="AA36" s="95"/>
      <c r="AB36" s="96"/>
      <c r="AC36" s="96"/>
      <c r="AD36" s="96"/>
      <c r="AE36" s="96"/>
      <c r="AF36" s="97"/>
      <c r="AG36" s="95"/>
      <c r="AH36" s="96"/>
      <c r="AI36" s="95"/>
      <c r="AJ36" s="96"/>
      <c r="AK36" s="95"/>
      <c r="AL36" s="96"/>
      <c r="AM36" s="95"/>
      <c r="AN36" s="98"/>
      <c r="AO36" s="96"/>
      <c r="AP36" s="96"/>
      <c r="AQ36" s="95"/>
      <c r="AR36" s="98"/>
      <c r="AS36" s="96"/>
      <c r="AT36" s="96"/>
      <c r="AU36" s="95"/>
      <c r="AV36" s="98"/>
      <c r="AW36" s="96"/>
      <c r="AX36" s="96"/>
      <c r="AY36" s="95"/>
      <c r="AZ36" s="98"/>
      <c r="BA36" s="99"/>
      <c r="BB36" s="95"/>
      <c r="BC36" s="96"/>
      <c r="BD36" s="96"/>
      <c r="BE36" s="98"/>
      <c r="BF36" s="95"/>
      <c r="BG36" s="96"/>
      <c r="BH36" s="96"/>
      <c r="BI36" s="98"/>
    </row>
    <row r="37" spans="1:61" ht="12" customHeight="1">
      <c r="A37" s="254">
        <f t="array" ref="A37">_xll.AC(DB,_xll.ArrayDPT($AA37:$AE37),_xll.ArrayCOA($AG37:$AZ37),YR-1,PRD,_xll.ArrayDIM($BB37:$BE37))</f>
        <v>0</v>
      </c>
      <c r="B37" s="254">
        <f t="shared" si="20"/>
        <v>0</v>
      </c>
      <c r="C37" s="254">
        <f t="shared" si="21"/>
        <v>0</v>
      </c>
      <c r="D37" s="254">
        <f t="shared" si="22"/>
        <v>0</v>
      </c>
      <c r="E37" s="254">
        <f t="array" ref="E37">_xll.BC(DB,_xll.ArrayDPT($AA37:$AE37),_xll.ArrayCOA($AG37:$AZ37),YR,PRD,RV,_xll.ArrayDIM($BB37:$BE37))</f>
        <v>0</v>
      </c>
      <c r="F37" s="254">
        <f t="shared" si="23"/>
        <v>0</v>
      </c>
      <c r="G37" s="254">
        <f t="array" ref="G37">_xll.AC(DB,_xll.ArrayDPT($AA37:$AE37),_xll.ArrayCOA($AG37:$AZ37),YR,PRD,_xll.ArrayDIM($BB37:$BE37))</f>
        <v>0</v>
      </c>
      <c r="H37" s="254">
        <f t="shared" si="24"/>
        <v>0</v>
      </c>
      <c r="I37" s="254"/>
      <c r="J37" s="328" t="s">
        <v>670</v>
      </c>
      <c r="K37" s="254"/>
      <c r="L37" s="254">
        <f t="array" ref="L37">_xll.ACC(DB,_xll.ArrayDPT($AA37:$AE37),_xll.ArrayCOA($AG37:$AZ37),YR,PRD,_xll.ArrayDIM($BB37:$BE37))</f>
        <v>0</v>
      </c>
      <c r="M37" s="237">
        <f t="shared" si="25"/>
        <v>0</v>
      </c>
      <c r="N37" s="254">
        <f t="array" ref="N37">_xll.BCC(DB,_xll.ArrayDPT($AA37:$AE37),_xll.ArrayCOA($AG37:$AZ37),YR,PRD,RV,_xll.ArrayDIM($BB37:$BE37))</f>
        <v>0</v>
      </c>
      <c r="O37" s="237">
        <f t="shared" si="26"/>
        <v>0</v>
      </c>
      <c r="P37" s="237">
        <f t="shared" si="27"/>
        <v>0</v>
      </c>
      <c r="Q37" s="237">
        <f t="shared" si="28"/>
        <v>0</v>
      </c>
      <c r="R37" s="254">
        <f t="array" ref="R37">_xll.ACC(DB,_xll.ArrayDPT($AA37:$AE37),_xll.ArrayCOA($AG37:$AZ37),YR-1,PRD,_xll.ArrayDIM($BB37:$BE37))</f>
        <v>0</v>
      </c>
      <c r="S37" s="237">
        <f t="shared" si="29"/>
        <v>0</v>
      </c>
      <c r="T37" s="328"/>
      <c r="U37" s="328"/>
      <c r="V37" s="328"/>
      <c r="W37" s="328"/>
      <c r="X37" s="328"/>
      <c r="Y37" s="328"/>
      <c r="Z37" s="328"/>
      <c r="AA37" s="95"/>
      <c r="AB37" s="96"/>
      <c r="AC37" s="96"/>
      <c r="AD37" s="96"/>
      <c r="AE37" s="96"/>
      <c r="AF37" s="97"/>
      <c r="AG37" s="95"/>
      <c r="AH37" s="96"/>
      <c r="AI37" s="95"/>
      <c r="AJ37" s="96"/>
      <c r="AK37" s="95"/>
      <c r="AL37" s="96"/>
      <c r="AM37" s="95"/>
      <c r="AN37" s="98"/>
      <c r="AO37" s="96"/>
      <c r="AP37" s="96"/>
      <c r="AQ37" s="95"/>
      <c r="AR37" s="98"/>
      <c r="AS37" s="96"/>
      <c r="AT37" s="96"/>
      <c r="AU37" s="95"/>
      <c r="AV37" s="98"/>
      <c r="AW37" s="96"/>
      <c r="AX37" s="96"/>
      <c r="AY37" s="95"/>
      <c r="AZ37" s="98"/>
      <c r="BA37" s="99"/>
      <c r="BB37" s="95"/>
      <c r="BC37" s="96"/>
      <c r="BD37" s="96"/>
      <c r="BE37" s="98"/>
      <c r="BF37" s="95"/>
      <c r="BG37" s="96"/>
      <c r="BH37" s="96"/>
      <c r="BI37" s="98"/>
    </row>
    <row r="38" spans="1:61" ht="12" customHeight="1">
      <c r="A38" s="254">
        <f t="array" ref="A38">_xll.AC(DB,_xll.ArrayDPT($AA38:$AE38),_xll.ArrayCOA($AG38:$AZ38),YR-1,PRD,_xll.ArrayDIM($BB38:$BE38))</f>
        <v>0</v>
      </c>
      <c r="B38" s="254">
        <f t="shared" si="20"/>
        <v>0</v>
      </c>
      <c r="C38" s="254">
        <f t="shared" si="21"/>
        <v>0</v>
      </c>
      <c r="D38" s="254">
        <f t="shared" si="22"/>
        <v>0</v>
      </c>
      <c r="E38" s="254">
        <f t="array" ref="E38">_xll.BC(DB,_xll.ArrayDPT($AA38:$AE38),_xll.ArrayCOA($AG38:$AZ38),YR,PRD,RV,_xll.ArrayDIM($BB38:$BE38))</f>
        <v>0</v>
      </c>
      <c r="F38" s="254">
        <f t="shared" si="23"/>
        <v>0</v>
      </c>
      <c r="G38" s="254">
        <f t="array" ref="G38">_xll.AC(DB,_xll.ArrayDPT($AA38:$AE38),_xll.ArrayCOA($AG38:$AZ38),YR,PRD,_xll.ArrayDIM($BB38:$BE38))</f>
        <v>0</v>
      </c>
      <c r="H38" s="254">
        <f t="shared" si="24"/>
        <v>0</v>
      </c>
      <c r="I38" s="254"/>
      <c r="J38" s="328" t="s">
        <v>671</v>
      </c>
      <c r="K38" s="254"/>
      <c r="L38" s="254">
        <f t="array" ref="L38">_xll.ACC(DB,_xll.ArrayDPT($AA38:$AE38),_xll.ArrayCOA($AG38:$AZ38),YR,PRD,_xll.ArrayDIM($BB38:$BE38))</f>
        <v>0</v>
      </c>
      <c r="M38" s="237">
        <f t="shared" si="25"/>
        <v>0</v>
      </c>
      <c r="N38" s="254">
        <f t="array" ref="N38">_xll.BCC(DB,_xll.ArrayDPT($AA38:$AE38),_xll.ArrayCOA($AG38:$AZ38),YR,PRD,RV,_xll.ArrayDIM($BB38:$BE38))</f>
        <v>0</v>
      </c>
      <c r="O38" s="237">
        <f t="shared" si="26"/>
        <v>0</v>
      </c>
      <c r="P38" s="237">
        <f t="shared" si="27"/>
        <v>0</v>
      </c>
      <c r="Q38" s="237">
        <f t="shared" si="28"/>
        <v>0</v>
      </c>
      <c r="R38" s="254">
        <f t="array" ref="R38">_xll.ACC(DB,_xll.ArrayDPT($AA38:$AE38),_xll.ArrayCOA($AG38:$AZ38),YR-1,PRD,_xll.ArrayDIM($BB38:$BE38))</f>
        <v>0</v>
      </c>
      <c r="S38" s="237">
        <f t="shared" si="29"/>
        <v>0</v>
      </c>
      <c r="T38" s="328"/>
      <c r="U38" s="328"/>
      <c r="V38" s="328"/>
      <c r="W38" s="328"/>
      <c r="X38" s="328"/>
      <c r="Y38" s="328"/>
      <c r="Z38" s="328"/>
      <c r="AA38" s="95"/>
      <c r="AB38" s="96"/>
      <c r="AC38" s="96"/>
      <c r="AD38" s="96"/>
      <c r="AE38" s="96"/>
      <c r="AF38" s="97"/>
      <c r="AG38" s="95"/>
      <c r="AH38" s="96"/>
      <c r="AI38" s="95"/>
      <c r="AJ38" s="96"/>
      <c r="AK38" s="95"/>
      <c r="AL38" s="96"/>
      <c r="AM38" s="95"/>
      <c r="AN38" s="98"/>
      <c r="AO38" s="96"/>
      <c r="AP38" s="96"/>
      <c r="AQ38" s="95"/>
      <c r="AR38" s="98"/>
      <c r="AS38" s="96"/>
      <c r="AT38" s="96"/>
      <c r="AU38" s="95"/>
      <c r="AV38" s="98"/>
      <c r="AW38" s="96"/>
      <c r="AX38" s="96"/>
      <c r="AY38" s="95"/>
      <c r="AZ38" s="98"/>
      <c r="BA38" s="99"/>
      <c r="BB38" s="95"/>
      <c r="BC38" s="96"/>
      <c r="BD38" s="96"/>
      <c r="BE38" s="98"/>
      <c r="BF38" s="95"/>
      <c r="BG38" s="96"/>
      <c r="BH38" s="96"/>
      <c r="BI38" s="98"/>
    </row>
    <row r="39" spans="1:61" ht="12" customHeight="1">
      <c r="A39" s="254">
        <f t="array" ref="A39">_xll.AC(DB,_xll.ArrayDPT($AA39:$AE39),_xll.ArrayCOA($AG39:$AZ39),YR-1,PRD,_xll.ArrayDIM($BB39:$BE39))</f>
        <v>0</v>
      </c>
      <c r="B39" s="254">
        <f t="shared" si="20"/>
        <v>0</v>
      </c>
      <c r="C39" s="254">
        <f t="shared" si="21"/>
        <v>0</v>
      </c>
      <c r="D39" s="254">
        <f t="shared" si="22"/>
        <v>0</v>
      </c>
      <c r="E39" s="254">
        <f t="array" ref="E39">_xll.BC(DB,_xll.ArrayDPT($AA39:$AE39),_xll.ArrayCOA($AG39:$AZ39),YR,PRD,RV,_xll.ArrayDIM($BB39:$BE39))</f>
        <v>0</v>
      </c>
      <c r="F39" s="254">
        <f t="shared" si="23"/>
        <v>0</v>
      </c>
      <c r="G39" s="254">
        <f t="array" ref="G39">_xll.AC(DB,_xll.ArrayDPT($AA39:$AE39),_xll.ArrayCOA($AG39:$AZ39),YR,PRD,_xll.ArrayDIM($BB39:$BE39))</f>
        <v>0</v>
      </c>
      <c r="H39" s="254">
        <f t="shared" si="24"/>
        <v>0</v>
      </c>
      <c r="I39" s="254"/>
      <c r="J39" s="328" t="s">
        <v>672</v>
      </c>
      <c r="K39" s="254"/>
      <c r="L39" s="254">
        <f t="array" ref="L39">_xll.ACC(DB,_xll.ArrayDPT($AA39:$AE39),_xll.ArrayCOA($AG39:$AZ39),YR,PRD,_xll.ArrayDIM($BB39:$BE39))</f>
        <v>0</v>
      </c>
      <c r="M39" s="237">
        <f t="shared" si="25"/>
        <v>0</v>
      </c>
      <c r="N39" s="254">
        <f t="array" ref="N39">_xll.BCC(DB,_xll.ArrayDPT($AA39:$AE39),_xll.ArrayCOA($AG39:$AZ39),YR,PRD,RV,_xll.ArrayDIM($BB39:$BE39))</f>
        <v>0</v>
      </c>
      <c r="O39" s="237">
        <f t="shared" si="26"/>
        <v>0</v>
      </c>
      <c r="P39" s="237">
        <f t="shared" si="27"/>
        <v>0</v>
      </c>
      <c r="Q39" s="237">
        <f t="shared" si="28"/>
        <v>0</v>
      </c>
      <c r="R39" s="254">
        <f t="array" ref="R39">_xll.ACC(DB,_xll.ArrayDPT($AA39:$AE39),_xll.ArrayCOA($AG39:$AZ39),YR-1,PRD,_xll.ArrayDIM($BB39:$BE39))</f>
        <v>0</v>
      </c>
      <c r="S39" s="237">
        <f t="shared" si="29"/>
        <v>0</v>
      </c>
      <c r="T39" s="328"/>
      <c r="U39" s="328"/>
      <c r="V39" s="328"/>
      <c r="W39" s="328"/>
      <c r="X39" s="328"/>
      <c r="Y39" s="328"/>
      <c r="Z39" s="328"/>
      <c r="AA39" s="95" t="s">
        <v>623</v>
      </c>
      <c r="AB39" s="96" t="s">
        <v>634</v>
      </c>
      <c r="AC39" s="96"/>
      <c r="AD39" s="96"/>
      <c r="AE39" s="96"/>
      <c r="AF39" s="97"/>
      <c r="AG39" s="95" t="s">
        <v>673</v>
      </c>
      <c r="AH39" s="96" t="s">
        <v>673</v>
      </c>
      <c r="AI39" s="95"/>
      <c r="AJ39" s="96"/>
      <c r="AK39" s="95"/>
      <c r="AL39" s="96"/>
      <c r="AM39" s="95"/>
      <c r="AN39" s="98"/>
      <c r="AO39" s="96"/>
      <c r="AP39" s="96"/>
      <c r="AQ39" s="95"/>
      <c r="AR39" s="98"/>
      <c r="AS39" s="96"/>
      <c r="AT39" s="96"/>
      <c r="AU39" s="95"/>
      <c r="AV39" s="98"/>
      <c r="AW39" s="96"/>
      <c r="AX39" s="96"/>
      <c r="AY39" s="95"/>
      <c r="AZ39" s="98"/>
      <c r="BA39" s="99"/>
      <c r="BB39" s="95"/>
      <c r="BC39" s="96"/>
      <c r="BD39" s="96"/>
      <c r="BE39" s="98"/>
      <c r="BF39" s="95"/>
      <c r="BG39" s="96"/>
      <c r="BH39" s="96"/>
      <c r="BI39" s="98"/>
    </row>
    <row r="40" spans="1:61" ht="12" customHeight="1">
      <c r="A40" s="254">
        <f t="array" ref="A40">_xll.AC(DB,_xll.ArrayDPT($AA40:$AE40),_xll.ArrayCOA($AG40:$AZ40),YR-1,PRD,_xll.ArrayDIM($BB40:$BE40))</f>
        <v>0</v>
      </c>
      <c r="B40" s="254">
        <f t="shared" si="20"/>
        <v>0</v>
      </c>
      <c r="C40" s="254">
        <f t="shared" si="21"/>
        <v>0</v>
      </c>
      <c r="D40" s="254">
        <f t="shared" si="22"/>
        <v>0</v>
      </c>
      <c r="E40" s="254">
        <f t="array" ref="E40">_xll.BC(DB,_xll.ArrayDPT($AA40:$AE40),_xll.ArrayCOA($AG40:$AZ40),YR,PRD,RV,_xll.ArrayDIM($BB40:$BE40))</f>
        <v>0</v>
      </c>
      <c r="F40" s="254">
        <f t="shared" si="23"/>
        <v>0</v>
      </c>
      <c r="G40" s="254">
        <f t="array" ref="G40">_xll.AC(DB,_xll.ArrayDPT($AA40:$AE40),_xll.ArrayCOA($AG40:$AZ40),YR,PRD,_xll.ArrayDIM($BB40:$BE40))</f>
        <v>0</v>
      </c>
      <c r="H40" s="254">
        <f t="shared" si="24"/>
        <v>0</v>
      </c>
      <c r="I40" s="254"/>
      <c r="J40" s="328" t="s">
        <v>674</v>
      </c>
      <c r="K40" s="254"/>
      <c r="L40" s="254">
        <f t="array" ref="L40">_xll.ACC(DB,_xll.ArrayDPT($AA40:$AE40),_xll.ArrayCOA($AG40:$AZ40),YR,PRD,_xll.ArrayDIM($BB40:$BE40))</f>
        <v>0</v>
      </c>
      <c r="M40" s="237">
        <f t="shared" si="25"/>
        <v>0</v>
      </c>
      <c r="N40" s="254">
        <f t="array" ref="N40">_xll.BCC(DB,_xll.ArrayDPT($AA40:$AE40),_xll.ArrayCOA($AG40:$AZ40),YR,PRD,RV,_xll.ArrayDIM($BB40:$BE40))</f>
        <v>0</v>
      </c>
      <c r="O40" s="237">
        <f t="shared" si="26"/>
        <v>0</v>
      </c>
      <c r="P40" s="237">
        <f t="shared" si="27"/>
        <v>0</v>
      </c>
      <c r="Q40" s="237">
        <f t="shared" si="28"/>
        <v>0</v>
      </c>
      <c r="R40" s="254">
        <f t="array" ref="R40">_xll.ACC(DB,_xll.ArrayDPT($AA40:$AE40),_xll.ArrayCOA($AG40:$AZ40),YR-1,PRD,_xll.ArrayDIM($BB40:$BE40))</f>
        <v>0</v>
      </c>
      <c r="S40" s="237">
        <f t="shared" si="29"/>
        <v>0</v>
      </c>
      <c r="T40" s="328"/>
      <c r="U40" s="328"/>
      <c r="V40" s="328"/>
      <c r="W40" s="328"/>
      <c r="X40" s="328"/>
      <c r="Y40" s="328"/>
      <c r="Z40" s="328"/>
      <c r="AA40" s="95"/>
      <c r="AB40" s="96"/>
      <c r="AC40" s="96"/>
      <c r="AD40" s="96"/>
      <c r="AE40" s="96"/>
      <c r="AF40" s="97"/>
      <c r="AG40" s="95"/>
      <c r="AH40" s="96"/>
      <c r="AI40" s="95"/>
      <c r="AJ40" s="96"/>
      <c r="AK40" s="95"/>
      <c r="AL40" s="96"/>
      <c r="AM40" s="95"/>
      <c r="AN40" s="98"/>
      <c r="AO40" s="96"/>
      <c r="AP40" s="96"/>
      <c r="AQ40" s="95"/>
      <c r="AR40" s="98"/>
      <c r="AS40" s="96"/>
      <c r="AT40" s="96"/>
      <c r="AU40" s="95"/>
      <c r="AV40" s="98"/>
      <c r="AW40" s="96"/>
      <c r="AX40" s="96"/>
      <c r="AY40" s="95"/>
      <c r="AZ40" s="98"/>
      <c r="BA40" s="99"/>
      <c r="BB40" s="95"/>
      <c r="BC40" s="96"/>
      <c r="BD40" s="96"/>
      <c r="BE40" s="98"/>
      <c r="BF40" s="95"/>
      <c r="BG40" s="96"/>
      <c r="BH40" s="96"/>
      <c r="BI40" s="98"/>
    </row>
    <row r="41" spans="1:61" ht="12" customHeight="1">
      <c r="A41" s="254">
        <f t="array" ref="A41">_xll.AC(DB,_xll.ArrayDPT($AA41:$AE41),_xll.ArrayCOA($AG41:$AZ41),YR-1,PRD,_xll.ArrayDIM($BB41:$BE41))</f>
        <v>0</v>
      </c>
      <c r="B41" s="254">
        <f t="shared" si="20"/>
        <v>0</v>
      </c>
      <c r="C41" s="254">
        <f t="shared" si="21"/>
        <v>0</v>
      </c>
      <c r="D41" s="254">
        <f t="shared" si="22"/>
        <v>0</v>
      </c>
      <c r="E41" s="254">
        <f t="array" ref="E41">_xll.BC(DB,_xll.ArrayDPT($AA41:$AE41),_xll.ArrayCOA($AG41:$AZ41),YR,PRD,RV,_xll.ArrayDIM($BB41:$BE41))</f>
        <v>0</v>
      </c>
      <c r="F41" s="254">
        <f t="shared" si="23"/>
        <v>0</v>
      </c>
      <c r="G41" s="254">
        <f t="array" ref="G41">_xll.AC(DB,_xll.ArrayDPT($AA41:$AE41),_xll.ArrayCOA($AG41:$AZ41),YR,PRD,_xll.ArrayDIM($BB41:$BE41))</f>
        <v>0</v>
      </c>
      <c r="H41" s="254">
        <f t="shared" si="24"/>
        <v>0</v>
      </c>
      <c r="I41" s="254"/>
      <c r="J41" s="328" t="s">
        <v>675</v>
      </c>
      <c r="K41" s="254"/>
      <c r="L41" s="254">
        <f t="array" ref="L41">_xll.ACC(DB,_xll.ArrayDPT($AA41:$AE41),_xll.ArrayCOA($AG41:$AZ41),YR,PRD,_xll.ArrayDIM($BB41:$BE41))</f>
        <v>0</v>
      </c>
      <c r="M41" s="237">
        <f t="shared" si="25"/>
        <v>0</v>
      </c>
      <c r="N41" s="254">
        <f t="array" ref="N41">_xll.BCC(DB,_xll.ArrayDPT($AA41:$AE41),_xll.ArrayCOA($AG41:$AZ41),YR,PRD,RV,_xll.ArrayDIM($BB41:$BE41))</f>
        <v>0</v>
      </c>
      <c r="O41" s="237">
        <f t="shared" si="26"/>
        <v>0</v>
      </c>
      <c r="P41" s="237">
        <f t="shared" si="27"/>
        <v>0</v>
      </c>
      <c r="Q41" s="237">
        <f t="shared" si="28"/>
        <v>0</v>
      </c>
      <c r="R41" s="254">
        <f t="array" ref="R41">_xll.ACC(DB,_xll.ArrayDPT($AA41:$AE41),_xll.ArrayCOA($AG41:$AZ41),YR-1,PRD,_xll.ArrayDIM($BB41:$BE41))</f>
        <v>0</v>
      </c>
      <c r="S41" s="237">
        <f t="shared" si="29"/>
        <v>0</v>
      </c>
      <c r="T41" s="328"/>
      <c r="U41" s="328"/>
      <c r="V41" s="328"/>
      <c r="W41" s="328"/>
      <c r="X41" s="328"/>
      <c r="Y41" s="328"/>
      <c r="Z41" s="328"/>
      <c r="AA41" s="95"/>
      <c r="AB41" s="96"/>
      <c r="AC41" s="96"/>
      <c r="AD41" s="96"/>
      <c r="AE41" s="96"/>
      <c r="AF41" s="97"/>
      <c r="AG41" s="95"/>
      <c r="AH41" s="96"/>
      <c r="AI41" s="95"/>
      <c r="AJ41" s="96"/>
      <c r="AK41" s="95"/>
      <c r="AL41" s="96"/>
      <c r="AM41" s="95"/>
      <c r="AN41" s="98"/>
      <c r="AO41" s="96"/>
      <c r="AP41" s="96"/>
      <c r="AQ41" s="95"/>
      <c r="AR41" s="98"/>
      <c r="AS41" s="96"/>
      <c r="AT41" s="96"/>
      <c r="AU41" s="95"/>
      <c r="AV41" s="98"/>
      <c r="AW41" s="96"/>
      <c r="AX41" s="96"/>
      <c r="AY41" s="95"/>
      <c r="AZ41" s="98"/>
      <c r="BA41" s="99"/>
      <c r="BB41" s="95"/>
      <c r="BC41" s="96"/>
      <c r="BD41" s="96"/>
      <c r="BE41" s="98"/>
      <c r="BF41" s="95"/>
      <c r="BG41" s="96"/>
      <c r="BH41" s="96"/>
      <c r="BI41" s="98"/>
    </row>
    <row r="42" spans="1:61" ht="12" customHeight="1">
      <c r="A42" s="254">
        <f t="array" ref="A42">_xll.AC(DB,_xll.ArrayDPT($AA42:$AE42),_xll.ArrayCOA($AG42:$AZ42),YR-1,PRD,_xll.ArrayDIM($BB42:$BE42))</f>
        <v>0</v>
      </c>
      <c r="B42" s="254">
        <f t="shared" si="20"/>
        <v>0</v>
      </c>
      <c r="C42" s="254">
        <f t="shared" si="21"/>
        <v>0</v>
      </c>
      <c r="D42" s="254">
        <f t="shared" si="22"/>
        <v>0</v>
      </c>
      <c r="E42" s="254">
        <f t="array" ref="E42">_xll.BC(DB,_xll.ArrayDPT($AA42:$AE42),_xll.ArrayCOA($AG42:$AZ42),YR,PRD,RV,_xll.ArrayDIM($BB42:$BE42))</f>
        <v>0</v>
      </c>
      <c r="F42" s="254">
        <f t="shared" si="23"/>
        <v>0</v>
      </c>
      <c r="G42" s="254">
        <f t="array" ref="G42">_xll.AC(DB,_xll.ArrayDPT($AA42:$AE42),_xll.ArrayCOA($AG42:$AZ42),YR,PRD,_xll.ArrayDIM($BB42:$BE42))</f>
        <v>0</v>
      </c>
      <c r="H42" s="254">
        <f t="shared" si="24"/>
        <v>0</v>
      </c>
      <c r="I42" s="254"/>
      <c r="J42" s="328" t="s">
        <v>676</v>
      </c>
      <c r="K42" s="254"/>
      <c r="L42" s="254">
        <f t="array" ref="L42">_xll.ACC(DB,_xll.ArrayDPT($AA42:$AE42),_xll.ArrayCOA($AG42:$AZ42),YR,PRD,_xll.ArrayDIM($BB42:$BE42))</f>
        <v>0</v>
      </c>
      <c r="M42" s="237">
        <f t="shared" si="25"/>
        <v>0</v>
      </c>
      <c r="N42" s="254">
        <f t="array" ref="N42">_xll.BCC(DB,_xll.ArrayDPT($AA42:$AE42),_xll.ArrayCOA($AG42:$AZ42),YR,PRD,RV,_xll.ArrayDIM($BB42:$BE42))</f>
        <v>0</v>
      </c>
      <c r="O42" s="237">
        <f t="shared" si="26"/>
        <v>0</v>
      </c>
      <c r="P42" s="237">
        <f t="shared" si="27"/>
        <v>0</v>
      </c>
      <c r="Q42" s="237">
        <f t="shared" si="28"/>
        <v>0</v>
      </c>
      <c r="R42" s="254">
        <f t="array" ref="R42">_xll.ACC(DB,_xll.ArrayDPT($AA42:$AE42),_xll.ArrayCOA($AG42:$AZ42),YR-1,PRD,_xll.ArrayDIM($BB42:$BE42))</f>
        <v>0</v>
      </c>
      <c r="S42" s="237">
        <f t="shared" si="29"/>
        <v>0</v>
      </c>
      <c r="T42" s="328"/>
      <c r="U42" s="328"/>
      <c r="V42" s="328"/>
      <c r="W42" s="328"/>
      <c r="X42" s="328"/>
      <c r="Y42" s="328"/>
      <c r="Z42" s="328"/>
      <c r="AA42" s="95"/>
      <c r="AB42" s="96"/>
      <c r="AC42" s="96"/>
      <c r="AD42" s="96"/>
      <c r="AE42" s="96"/>
      <c r="AF42" s="97"/>
      <c r="AG42" s="95"/>
      <c r="AH42" s="96"/>
      <c r="AI42" s="95"/>
      <c r="AJ42" s="96"/>
      <c r="AK42" s="95"/>
      <c r="AL42" s="96"/>
      <c r="AM42" s="95"/>
      <c r="AN42" s="98"/>
      <c r="AO42" s="96"/>
      <c r="AP42" s="96"/>
      <c r="AQ42" s="95"/>
      <c r="AR42" s="98"/>
      <c r="AS42" s="96"/>
      <c r="AT42" s="96"/>
      <c r="AU42" s="95"/>
      <c r="AV42" s="98"/>
      <c r="AW42" s="96"/>
      <c r="AX42" s="96"/>
      <c r="AY42" s="95"/>
      <c r="AZ42" s="98"/>
      <c r="BA42" s="99"/>
      <c r="BB42" s="95"/>
      <c r="BC42" s="96"/>
      <c r="BD42" s="96"/>
      <c r="BE42" s="98"/>
      <c r="BF42" s="95"/>
      <c r="BG42" s="96"/>
      <c r="BH42" s="96"/>
      <c r="BI42" s="98"/>
    </row>
    <row r="43" spans="1:61" ht="12" customHeight="1">
      <c r="A43" s="254">
        <f t="array" ref="A43">_xll.AC(DB,_xll.ArrayDPT($AA43:$AE43),_xll.ArrayCOA($AG43:$AZ43),YR-1,PRD,_xll.ArrayDIM($BB43:$BE43))</f>
        <v>0</v>
      </c>
      <c r="B43" s="254">
        <f t="shared" si="20"/>
        <v>0</v>
      </c>
      <c r="C43" s="254">
        <f t="shared" si="21"/>
        <v>0</v>
      </c>
      <c r="D43" s="254">
        <f t="shared" si="22"/>
        <v>0</v>
      </c>
      <c r="E43" s="254">
        <f t="array" ref="E43">_xll.BC(DB,_xll.ArrayDPT($AA43:$AE43),_xll.ArrayCOA($AG43:$AZ43),YR,PRD,RV,_xll.ArrayDIM($BB43:$BE43))</f>
        <v>0</v>
      </c>
      <c r="F43" s="254">
        <f t="shared" si="23"/>
        <v>0</v>
      </c>
      <c r="G43" s="254">
        <f t="array" ref="G43">_xll.AC(DB,_xll.ArrayDPT($AA43:$AE43),_xll.ArrayCOA($AG43:$AZ43),YR,PRD,_xll.ArrayDIM($BB43:$BE43))</f>
        <v>0</v>
      </c>
      <c r="H43" s="254">
        <f t="shared" si="24"/>
        <v>0</v>
      </c>
      <c r="I43" s="254"/>
      <c r="J43" s="328" t="s">
        <v>677</v>
      </c>
      <c r="K43" s="254"/>
      <c r="L43" s="254">
        <f t="array" ref="L43">_xll.ACC(DB,_xll.ArrayDPT($AA43:$AE43),_xll.ArrayCOA($AG43:$AZ43),YR,PRD,_xll.ArrayDIM($BB43:$BE43))</f>
        <v>0</v>
      </c>
      <c r="M43" s="237">
        <f t="shared" si="25"/>
        <v>0</v>
      </c>
      <c r="N43" s="254">
        <f t="array" ref="N43">_xll.BCC(DB,_xll.ArrayDPT($AA43:$AE43),_xll.ArrayCOA($AG43:$AZ43),YR,PRD,RV,_xll.ArrayDIM($BB43:$BE43))</f>
        <v>0</v>
      </c>
      <c r="O43" s="237">
        <f t="shared" si="26"/>
        <v>0</v>
      </c>
      <c r="P43" s="237">
        <f t="shared" si="27"/>
        <v>0</v>
      </c>
      <c r="Q43" s="237">
        <f t="shared" si="28"/>
        <v>0</v>
      </c>
      <c r="R43" s="254">
        <f t="array" ref="R43">_xll.ACC(DB,_xll.ArrayDPT($AA43:$AE43),_xll.ArrayCOA($AG43:$AZ43),YR-1,PRD,_xll.ArrayDIM($BB43:$BE43))</f>
        <v>0</v>
      </c>
      <c r="S43" s="237">
        <f t="shared" si="29"/>
        <v>0</v>
      </c>
      <c r="T43" s="328"/>
      <c r="U43" s="328"/>
      <c r="V43" s="328"/>
      <c r="W43" s="328"/>
      <c r="X43" s="328"/>
      <c r="Y43" s="328"/>
      <c r="Z43" s="328"/>
      <c r="AA43" s="95"/>
      <c r="AB43" s="96"/>
      <c r="AC43" s="96"/>
      <c r="AD43" s="96"/>
      <c r="AE43" s="96"/>
      <c r="AF43" s="97"/>
      <c r="AG43" s="95"/>
      <c r="AH43" s="96"/>
      <c r="AI43" s="95"/>
      <c r="AJ43" s="96"/>
      <c r="AK43" s="95"/>
      <c r="AL43" s="96"/>
      <c r="AM43" s="95"/>
      <c r="AN43" s="98"/>
      <c r="AO43" s="96"/>
      <c r="AP43" s="96"/>
      <c r="AQ43" s="95"/>
      <c r="AR43" s="98"/>
      <c r="AS43" s="96"/>
      <c r="AT43" s="96"/>
      <c r="AU43" s="95"/>
      <c r="AV43" s="98"/>
      <c r="AW43" s="96"/>
      <c r="AX43" s="96"/>
      <c r="AY43" s="95"/>
      <c r="AZ43" s="98"/>
      <c r="BA43" s="99"/>
      <c r="BB43" s="95"/>
      <c r="BC43" s="96"/>
      <c r="BD43" s="96"/>
      <c r="BE43" s="98"/>
      <c r="BF43" s="95"/>
      <c r="BG43" s="96"/>
      <c r="BH43" s="96"/>
      <c r="BI43" s="98"/>
    </row>
    <row r="44" spans="1:61" ht="12" customHeight="1">
      <c r="A44" s="254">
        <f t="array" ref="A44">_xll.AC(DB,_xll.ArrayDPT($AA44:$AE44),_xll.ArrayCOA($AG44:$AZ44),YR-1,PRD,_xll.ArrayDIM($BB44:$BE44))</f>
        <v>0</v>
      </c>
      <c r="B44" s="254">
        <f t="shared" si="20"/>
        <v>0</v>
      </c>
      <c r="C44" s="254">
        <f t="shared" si="21"/>
        <v>-195</v>
      </c>
      <c r="D44" s="254">
        <f t="shared" si="22"/>
        <v>2.4615521335913373E-3</v>
      </c>
      <c r="E44" s="254">
        <f t="array" ref="E44">_xll.BC(DB,_xll.ArrayDPT($AA44:$AE44),_xll.ArrayCOA($AG44:$AZ44),YR,PRD,RV,_xll.ArrayDIM($BB44:$BE44))</f>
        <v>0</v>
      </c>
      <c r="F44" s="254">
        <f t="shared" si="23"/>
        <v>0</v>
      </c>
      <c r="G44" s="254">
        <f t="array" ref="G44">_xll.AC(DB,_xll.ArrayDPT($AA44:$AE44),_xll.ArrayCOA($AG44:$AZ44),YR,PRD,_xll.ArrayDIM($BB44:$BE44))</f>
        <v>195</v>
      </c>
      <c r="H44" s="254">
        <f t="shared" si="24"/>
        <v>2.4615521335913373E-3</v>
      </c>
      <c r="I44" s="254"/>
      <c r="J44" s="328" t="s">
        <v>678</v>
      </c>
      <c r="K44" s="254"/>
      <c r="L44" s="254">
        <f t="array" ref="L44">_xll.ACC(DB,_xll.ArrayDPT($AA44:$AE44),_xll.ArrayCOA($AG44:$AZ44),YR,PRD,_xll.ArrayDIM($BB44:$BE44))</f>
        <v>195</v>
      </c>
      <c r="M44" s="237">
        <f t="shared" si="25"/>
        <v>2.4615521335913373E-3</v>
      </c>
      <c r="N44" s="254">
        <f t="array" ref="N44">_xll.BCC(DB,_xll.ArrayDPT($AA44:$AE44),_xll.ArrayCOA($AG44:$AZ44),YR,PRD,RV,_xll.ArrayDIM($BB44:$BE44))</f>
        <v>0</v>
      </c>
      <c r="O44" s="237">
        <f t="shared" si="26"/>
        <v>0</v>
      </c>
      <c r="P44" s="237">
        <f t="shared" si="27"/>
        <v>-195</v>
      </c>
      <c r="Q44" s="237">
        <f t="shared" si="28"/>
        <v>2.4615521335913373E-3</v>
      </c>
      <c r="R44" s="254">
        <f t="array" ref="R44">_xll.ACC(DB,_xll.ArrayDPT($AA44:$AE44),_xll.ArrayCOA($AG44:$AZ44),YR-1,PRD,_xll.ArrayDIM($BB44:$BE44))</f>
        <v>0</v>
      </c>
      <c r="S44" s="237">
        <f t="shared" si="29"/>
        <v>0</v>
      </c>
      <c r="T44" s="328"/>
      <c r="U44" s="328"/>
      <c r="V44" s="328"/>
      <c r="W44" s="328"/>
      <c r="X44" s="328"/>
      <c r="Y44" s="328"/>
      <c r="Z44" s="328"/>
      <c r="AA44" s="95" t="s">
        <v>623</v>
      </c>
      <c r="AB44" s="96" t="s">
        <v>634</v>
      </c>
      <c r="AC44" s="96"/>
      <c r="AD44" s="96"/>
      <c r="AE44" s="96"/>
      <c r="AF44" s="97"/>
      <c r="AG44" s="95" t="s">
        <v>679</v>
      </c>
      <c r="AH44" s="96" t="s">
        <v>679</v>
      </c>
      <c r="AI44" s="95"/>
      <c r="AJ44" s="96"/>
      <c r="AK44" s="95"/>
      <c r="AL44" s="96"/>
      <c r="AM44" s="95"/>
      <c r="AN44" s="98"/>
      <c r="AO44" s="96"/>
      <c r="AP44" s="96"/>
      <c r="AQ44" s="95"/>
      <c r="AR44" s="98"/>
      <c r="AS44" s="96"/>
      <c r="AT44" s="96"/>
      <c r="AU44" s="95"/>
      <c r="AV44" s="98"/>
      <c r="AW44" s="96"/>
      <c r="AX44" s="96"/>
      <c r="AY44" s="95"/>
      <c r="AZ44" s="98"/>
      <c r="BA44" s="99"/>
      <c r="BB44" s="95"/>
      <c r="BC44" s="96"/>
      <c r="BD44" s="96"/>
      <c r="BE44" s="98"/>
      <c r="BF44" s="95"/>
      <c r="BG44" s="96"/>
      <c r="BH44" s="96"/>
      <c r="BI44" s="98"/>
    </row>
    <row r="45" spans="1:61" ht="12" customHeight="1">
      <c r="A45" s="254">
        <f t="array" ref="A45">_xll.AC(DB,_xll.ArrayDPT($AA45:$AE45),_xll.ArrayCOA($AG45:$AZ45),YR-1,PRD,_xll.ArrayDIM($BB45:$BE45))</f>
        <v>0</v>
      </c>
      <c r="B45" s="254">
        <f t="shared" si="20"/>
        <v>0</v>
      </c>
      <c r="C45" s="254">
        <f t="shared" si="21"/>
        <v>-4680</v>
      </c>
      <c r="D45" s="254">
        <f t="shared" si="22"/>
        <v>5.9077251206192095E-2</v>
      </c>
      <c r="E45" s="254">
        <f t="array" ref="E45">_xll.BC(DB,_xll.ArrayDPT($AA45:$AE45),_xll.ArrayCOA($AG45:$AZ45),YR,PRD,RV,_xll.ArrayDIM($BB45:$BE45))</f>
        <v>0</v>
      </c>
      <c r="F45" s="254">
        <f t="shared" si="23"/>
        <v>0</v>
      </c>
      <c r="G45" s="254">
        <f t="array" ref="G45">_xll.AC(DB,_xll.ArrayDPT($AA45:$AE45),_xll.ArrayCOA($AG45:$AZ45),YR,PRD,_xll.ArrayDIM($BB45:$BE45))</f>
        <v>4680</v>
      </c>
      <c r="H45" s="254">
        <f t="shared" si="24"/>
        <v>5.9077251206192095E-2</v>
      </c>
      <c r="I45" s="254"/>
      <c r="J45" s="328" t="s">
        <v>680</v>
      </c>
      <c r="K45" s="254"/>
      <c r="L45" s="254">
        <f t="array" ref="L45">_xll.ACC(DB,_xll.ArrayDPT($AA45:$AE45),_xll.ArrayCOA($AG45:$AZ45),YR,PRD,_xll.ArrayDIM($BB45:$BE45))</f>
        <v>4680</v>
      </c>
      <c r="M45" s="237">
        <f t="shared" si="25"/>
        <v>5.9077251206192095E-2</v>
      </c>
      <c r="N45" s="254">
        <f t="array" ref="N45">_xll.BCC(DB,_xll.ArrayDPT($AA45:$AE45),_xll.ArrayCOA($AG45:$AZ45),YR,PRD,RV,_xll.ArrayDIM($BB45:$BE45))</f>
        <v>0</v>
      </c>
      <c r="O45" s="237">
        <f t="shared" si="26"/>
        <v>0</v>
      </c>
      <c r="P45" s="237">
        <f t="shared" si="27"/>
        <v>-4680</v>
      </c>
      <c r="Q45" s="237">
        <f t="shared" si="28"/>
        <v>5.9077251206192095E-2</v>
      </c>
      <c r="R45" s="254">
        <f t="array" ref="R45">_xll.ACC(DB,_xll.ArrayDPT($AA45:$AE45),_xll.ArrayCOA($AG45:$AZ45),YR-1,PRD,_xll.ArrayDIM($BB45:$BE45))</f>
        <v>0</v>
      </c>
      <c r="S45" s="237">
        <f t="shared" si="29"/>
        <v>0</v>
      </c>
      <c r="T45" s="328"/>
      <c r="U45" s="328"/>
      <c r="V45" s="328"/>
      <c r="W45" s="328"/>
      <c r="X45" s="328"/>
      <c r="Y45" s="328"/>
      <c r="Z45" s="328"/>
      <c r="AA45" s="95" t="s">
        <v>623</v>
      </c>
      <c r="AB45" s="96" t="s">
        <v>634</v>
      </c>
      <c r="AC45" s="96"/>
      <c r="AD45" s="96"/>
      <c r="AE45" s="96"/>
      <c r="AF45" s="97"/>
      <c r="AG45" s="95" t="s">
        <v>681</v>
      </c>
      <c r="AH45" s="96" t="s">
        <v>681</v>
      </c>
      <c r="AI45" s="95"/>
      <c r="AJ45" s="96"/>
      <c r="AK45" s="95"/>
      <c r="AL45" s="96"/>
      <c r="AM45" s="95"/>
      <c r="AN45" s="98"/>
      <c r="AO45" s="96"/>
      <c r="AP45" s="96"/>
      <c r="AQ45" s="95"/>
      <c r="AR45" s="98"/>
      <c r="AS45" s="96"/>
      <c r="AT45" s="96"/>
      <c r="AU45" s="95"/>
      <c r="AV45" s="98"/>
      <c r="AW45" s="96"/>
      <c r="AX45" s="96"/>
      <c r="AY45" s="95"/>
      <c r="AZ45" s="98"/>
      <c r="BA45" s="99"/>
      <c r="BB45" s="95"/>
      <c r="BC45" s="96"/>
      <c r="BD45" s="96"/>
      <c r="BE45" s="98"/>
      <c r="BF45" s="95"/>
      <c r="BG45" s="96"/>
      <c r="BH45" s="96"/>
      <c r="BI45" s="98"/>
    </row>
    <row r="46" spans="1:61" ht="12" customHeight="1">
      <c r="A46" s="254">
        <f t="array" ref="A46">_xll.AC(DB,_xll.ArrayDPT($AA46:$AE46),_xll.ArrayCOA($AG46:$AZ46),YR-1,PRD,_xll.ArrayDIM($BB46:$BE46))</f>
        <v>0</v>
      </c>
      <c r="B46" s="254">
        <f t="shared" si="20"/>
        <v>0</v>
      </c>
      <c r="C46" s="254">
        <f t="shared" si="21"/>
        <v>0</v>
      </c>
      <c r="D46" s="254">
        <f t="shared" si="22"/>
        <v>0</v>
      </c>
      <c r="E46" s="254">
        <f t="array" ref="E46">_xll.BC(DB,_xll.ArrayDPT($AA46:$AE46),_xll.ArrayCOA($AG46:$AZ46),YR,PRD,RV,_xll.ArrayDIM($BB46:$BE46))</f>
        <v>0</v>
      </c>
      <c r="F46" s="254">
        <f t="shared" si="23"/>
        <v>0</v>
      </c>
      <c r="G46" s="254">
        <f t="array" ref="G46">_xll.AC(DB,_xll.ArrayDPT($AA46:$AE46),_xll.ArrayCOA($AG46:$AZ46),YR,PRD,_xll.ArrayDIM($BB46:$BE46))</f>
        <v>0</v>
      </c>
      <c r="H46" s="254">
        <f t="shared" si="24"/>
        <v>0</v>
      </c>
      <c r="I46" s="254"/>
      <c r="J46" s="328" t="s">
        <v>682</v>
      </c>
      <c r="K46" s="254"/>
      <c r="L46" s="254">
        <f t="array" ref="L46">_xll.ACC(DB,_xll.ArrayDPT($AA46:$AE46),_xll.ArrayCOA($AG46:$AZ46),YR,PRD,_xll.ArrayDIM($BB46:$BE46))</f>
        <v>0</v>
      </c>
      <c r="M46" s="237">
        <f t="shared" si="25"/>
        <v>0</v>
      </c>
      <c r="N46" s="254">
        <f t="array" ref="N46">_xll.BCC(DB,_xll.ArrayDPT($AA46:$AE46),_xll.ArrayCOA($AG46:$AZ46),YR,PRD,RV,_xll.ArrayDIM($BB46:$BE46))</f>
        <v>0</v>
      </c>
      <c r="O46" s="237">
        <f t="shared" si="26"/>
        <v>0</v>
      </c>
      <c r="P46" s="237">
        <f t="shared" si="27"/>
        <v>0</v>
      </c>
      <c r="Q46" s="237">
        <f t="shared" si="28"/>
        <v>0</v>
      </c>
      <c r="R46" s="254">
        <f t="array" ref="R46">_xll.ACC(DB,_xll.ArrayDPT($AA46:$AE46),_xll.ArrayCOA($AG46:$AZ46),YR-1,PRD,_xll.ArrayDIM($BB46:$BE46))</f>
        <v>0</v>
      </c>
      <c r="S46" s="237">
        <f t="shared" si="29"/>
        <v>0</v>
      </c>
      <c r="T46" s="328"/>
      <c r="U46" s="328"/>
      <c r="V46" s="328"/>
      <c r="W46" s="328"/>
      <c r="X46" s="328"/>
      <c r="Y46" s="328"/>
      <c r="Z46" s="328"/>
      <c r="AA46" s="95" t="s">
        <v>623</v>
      </c>
      <c r="AB46" s="96" t="s">
        <v>634</v>
      </c>
      <c r="AC46" s="96"/>
      <c r="AD46" s="96"/>
      <c r="AE46" s="96"/>
      <c r="AF46" s="97"/>
      <c r="AG46" s="95" t="s">
        <v>683</v>
      </c>
      <c r="AH46" s="96" t="s">
        <v>683</v>
      </c>
      <c r="AI46" s="95"/>
      <c r="AJ46" s="96"/>
      <c r="AK46" s="95"/>
      <c r="AL46" s="96"/>
      <c r="AM46" s="95"/>
      <c r="AN46" s="98"/>
      <c r="AO46" s="96"/>
      <c r="AP46" s="96"/>
      <c r="AQ46" s="95"/>
      <c r="AR46" s="98"/>
      <c r="AS46" s="96"/>
      <c r="AT46" s="96"/>
      <c r="AU46" s="95"/>
      <c r="AV46" s="98"/>
      <c r="AW46" s="96"/>
      <c r="AX46" s="96"/>
      <c r="AY46" s="95"/>
      <c r="AZ46" s="98"/>
      <c r="BA46" s="99"/>
      <c r="BB46" s="95"/>
      <c r="BC46" s="96"/>
      <c r="BD46" s="96"/>
      <c r="BE46" s="98"/>
      <c r="BF46" s="95"/>
      <c r="BG46" s="96"/>
      <c r="BH46" s="96"/>
      <c r="BI46" s="98"/>
    </row>
    <row r="47" spans="1:61" ht="12" customHeight="1">
      <c r="A47" s="254">
        <f t="array" ref="A47">_xll.AC(DB,_xll.ArrayDPT($AA47:$AE47),_xll.ArrayCOA($AG47:$AZ47),YR-1,PRD,_xll.ArrayDIM($BB47:$BE47))</f>
        <v>29392.99</v>
      </c>
      <c r="B47" s="254">
        <f t="shared" si="20"/>
        <v>0.40544743372785086</v>
      </c>
      <c r="C47" s="254">
        <f t="shared" si="21"/>
        <v>-10160.41</v>
      </c>
      <c r="D47" s="254">
        <f t="shared" si="22"/>
        <v>0.12825835340339878</v>
      </c>
      <c r="E47" s="254">
        <f t="array" ref="E47">_xll.BC(DB,_xll.ArrayDPT($AA47:$AE47),_xll.ArrayCOA($AG47:$AZ47),YR,PRD,RV,_xll.ArrayDIM($BB47:$BE47))</f>
        <v>0</v>
      </c>
      <c r="F47" s="254">
        <f t="shared" si="23"/>
        <v>0</v>
      </c>
      <c r="G47" s="254">
        <f t="array" ref="G47">_xll.AC(DB,_xll.ArrayDPT($AA47:$AE47),_xll.ArrayCOA($AG47:$AZ47),YR,PRD,_xll.ArrayDIM($BB47:$BE47))</f>
        <v>10160.41</v>
      </c>
      <c r="H47" s="254">
        <f t="shared" si="24"/>
        <v>0.12825835340339878</v>
      </c>
      <c r="I47" s="254"/>
      <c r="J47" s="328" t="s">
        <v>684</v>
      </c>
      <c r="K47" s="254"/>
      <c r="L47" s="254">
        <f t="array" ref="L47">_xll.ACC(DB,_xll.ArrayDPT($AA47:$AE47),_xll.ArrayCOA($AG47:$AZ47),YR,PRD,_xll.ArrayDIM($BB47:$BE47))</f>
        <v>10160.41</v>
      </c>
      <c r="M47" s="237">
        <f t="shared" si="25"/>
        <v>0.12825835340339878</v>
      </c>
      <c r="N47" s="254">
        <f t="array" ref="N47">_xll.BCC(DB,_xll.ArrayDPT($AA47:$AE47),_xll.ArrayCOA($AG47:$AZ47),YR,PRD,RV,_xll.ArrayDIM($BB47:$BE47))</f>
        <v>0</v>
      </c>
      <c r="O47" s="237">
        <f t="shared" si="26"/>
        <v>0</v>
      </c>
      <c r="P47" s="237">
        <f t="shared" si="27"/>
        <v>-10160.41</v>
      </c>
      <c r="Q47" s="237">
        <f t="shared" si="28"/>
        <v>0.12825835340339878</v>
      </c>
      <c r="R47" s="254">
        <f t="array" ref="R47">_xll.ACC(DB,_xll.ArrayDPT($AA47:$AE47),_xll.ArrayCOA($AG47:$AZ47),YR-1,PRD,_xll.ArrayDIM($BB47:$BE47))</f>
        <v>29392.99</v>
      </c>
      <c r="S47" s="237">
        <f t="shared" si="29"/>
        <v>0.40544743372785086</v>
      </c>
      <c r="T47" s="328"/>
      <c r="U47" s="328"/>
      <c r="V47" s="328"/>
      <c r="W47" s="328"/>
      <c r="X47" s="328"/>
      <c r="Y47" s="328"/>
      <c r="Z47" s="328"/>
      <c r="AA47" s="95" t="s">
        <v>623</v>
      </c>
      <c r="AB47" s="96" t="s">
        <v>634</v>
      </c>
      <c r="AC47" s="96"/>
      <c r="AD47" s="96"/>
      <c r="AE47" s="96"/>
      <c r="AF47" s="97"/>
      <c r="AG47" s="95" t="s">
        <v>685</v>
      </c>
      <c r="AH47" s="96" t="s">
        <v>685</v>
      </c>
      <c r="AI47" s="95"/>
      <c r="AJ47" s="96"/>
      <c r="AK47" s="95"/>
      <c r="AL47" s="96"/>
      <c r="AM47" s="95"/>
      <c r="AN47" s="98"/>
      <c r="AO47" s="96"/>
      <c r="AP47" s="96"/>
      <c r="AQ47" s="95"/>
      <c r="AR47" s="98"/>
      <c r="AS47" s="96"/>
      <c r="AT47" s="96"/>
      <c r="AU47" s="95"/>
      <c r="AV47" s="98"/>
      <c r="AW47" s="96"/>
      <c r="AX47" s="96"/>
      <c r="AY47" s="95"/>
      <c r="AZ47" s="98"/>
      <c r="BA47" s="99"/>
      <c r="BB47" s="95"/>
      <c r="BC47" s="96"/>
      <c r="BD47" s="96"/>
      <c r="BE47" s="98"/>
      <c r="BF47" s="95"/>
      <c r="BG47" s="96"/>
      <c r="BH47" s="96"/>
      <c r="BI47" s="98"/>
    </row>
    <row r="48" spans="1:61" ht="12" customHeight="1">
      <c r="A48" s="254">
        <f t="array" ref="A48">_xll.AC(DB,_xll.ArrayDPT($AA48:$AE48),_xll.ArrayCOA($AG48:$AZ48),YR-1,PRD,_xll.ArrayDIM($BB48:$BE48))</f>
        <v>0</v>
      </c>
      <c r="B48" s="254">
        <f t="shared" si="20"/>
        <v>0</v>
      </c>
      <c r="C48" s="254">
        <f t="shared" si="21"/>
        <v>0</v>
      </c>
      <c r="D48" s="254">
        <f t="shared" si="22"/>
        <v>0</v>
      </c>
      <c r="E48" s="254">
        <f t="array" ref="E48">_xll.BC(DB,_xll.ArrayDPT($AA48:$AE48),_xll.ArrayCOA($AG48:$AZ48),YR,PRD,RV,_xll.ArrayDIM($BB48:$BE48))</f>
        <v>0</v>
      </c>
      <c r="F48" s="254">
        <f t="shared" si="23"/>
        <v>0</v>
      </c>
      <c r="G48" s="254">
        <f t="array" ref="G48">_xll.AC(DB,_xll.ArrayDPT($AA48:$AE48),_xll.ArrayCOA($AG48:$AZ48),YR,PRD,_xll.ArrayDIM($BB48:$BE48))</f>
        <v>0</v>
      </c>
      <c r="H48" s="254">
        <f t="shared" si="24"/>
        <v>0</v>
      </c>
      <c r="I48" s="254"/>
      <c r="J48" s="328" t="s">
        <v>686</v>
      </c>
      <c r="K48" s="254"/>
      <c r="L48" s="254">
        <f t="array" ref="L48">_xll.ACC(DB,_xll.ArrayDPT($AA48:$AE48),_xll.ArrayCOA($AG48:$AZ48),YR,PRD,_xll.ArrayDIM($BB48:$BE48))</f>
        <v>0</v>
      </c>
      <c r="M48" s="237">
        <f t="shared" si="25"/>
        <v>0</v>
      </c>
      <c r="N48" s="254">
        <f t="array" ref="N48">_xll.BCC(DB,_xll.ArrayDPT($AA48:$AE48),_xll.ArrayCOA($AG48:$AZ48),YR,PRD,RV,_xll.ArrayDIM($BB48:$BE48))</f>
        <v>0</v>
      </c>
      <c r="O48" s="237">
        <f t="shared" si="26"/>
        <v>0</v>
      </c>
      <c r="P48" s="237">
        <f t="shared" si="27"/>
        <v>0</v>
      </c>
      <c r="Q48" s="237">
        <f t="shared" si="28"/>
        <v>0</v>
      </c>
      <c r="R48" s="254">
        <f t="array" ref="R48">_xll.ACC(DB,_xll.ArrayDPT($AA48:$AE48),_xll.ArrayCOA($AG48:$AZ48),YR-1,PRD,_xll.ArrayDIM($BB48:$BE48))</f>
        <v>0</v>
      </c>
      <c r="S48" s="237">
        <f t="shared" si="29"/>
        <v>0</v>
      </c>
      <c r="T48" s="328"/>
      <c r="U48" s="328"/>
      <c r="V48" s="328"/>
      <c r="W48" s="328"/>
      <c r="X48" s="328"/>
      <c r="Y48" s="328"/>
      <c r="Z48" s="328"/>
      <c r="AA48" s="95"/>
      <c r="AB48" s="96"/>
      <c r="AC48" s="96"/>
      <c r="AD48" s="96"/>
      <c r="AE48" s="96"/>
      <c r="AF48" s="97"/>
      <c r="AG48" s="95"/>
      <c r="AH48" s="96"/>
      <c r="AI48" s="95"/>
      <c r="AJ48" s="96"/>
      <c r="AK48" s="95"/>
      <c r="AL48" s="96"/>
      <c r="AM48" s="95"/>
      <c r="AN48" s="98"/>
      <c r="AO48" s="96"/>
      <c r="AP48" s="96"/>
      <c r="AQ48" s="95"/>
      <c r="AR48" s="98"/>
      <c r="AS48" s="96"/>
      <c r="AT48" s="96"/>
      <c r="AU48" s="95"/>
      <c r="AV48" s="98"/>
      <c r="AW48" s="96"/>
      <c r="AX48" s="96"/>
      <c r="AY48" s="95"/>
      <c r="AZ48" s="98"/>
      <c r="BA48" s="99"/>
      <c r="BB48" s="95"/>
      <c r="BC48" s="96"/>
      <c r="BD48" s="96"/>
      <c r="BE48" s="98"/>
      <c r="BF48" s="95"/>
      <c r="BG48" s="96"/>
      <c r="BH48" s="96"/>
      <c r="BI48" s="98"/>
    </row>
    <row r="49" spans="1:61" ht="12" customHeight="1">
      <c r="A49" s="254">
        <f t="array" ref="A49">_xll.AC(DB,_xll.ArrayDPT($AA49:$AE49),_xll.ArrayCOA($AG49:$AZ49),YR-1,PRD,_xll.ArrayDIM($BB49:$BE49))</f>
        <v>5337</v>
      </c>
      <c r="B49" s="254">
        <f t="shared" si="20"/>
        <v>7.3618674173860504E-2</v>
      </c>
      <c r="C49" s="254">
        <f t="shared" si="21"/>
        <v>0</v>
      </c>
      <c r="D49" s="254">
        <f t="shared" si="22"/>
        <v>0</v>
      </c>
      <c r="E49" s="254">
        <f t="array" ref="E49">_xll.BC(DB,_xll.ArrayDPT($AA49:$AE49),_xll.ArrayCOA($AG49:$AZ49),YR,PRD,RV,_xll.ArrayDIM($BB49:$BE49))</f>
        <v>0</v>
      </c>
      <c r="F49" s="254">
        <f t="shared" si="23"/>
        <v>0</v>
      </c>
      <c r="G49" s="254">
        <f t="array" ref="G49">_xll.AC(DB,_xll.ArrayDPT($AA49:$AE49),_xll.ArrayCOA($AG49:$AZ49),YR,PRD,_xll.ArrayDIM($BB49:$BE49))</f>
        <v>0</v>
      </c>
      <c r="H49" s="254">
        <f t="shared" si="24"/>
        <v>0</v>
      </c>
      <c r="I49" s="254"/>
      <c r="J49" s="328" t="s">
        <v>687</v>
      </c>
      <c r="K49" s="254"/>
      <c r="L49" s="254">
        <f t="array" ref="L49">_xll.ACC(DB,_xll.ArrayDPT($AA49:$AE49),_xll.ArrayCOA($AG49:$AZ49),YR,PRD,_xll.ArrayDIM($BB49:$BE49))</f>
        <v>0</v>
      </c>
      <c r="M49" s="237">
        <f t="shared" si="25"/>
        <v>0</v>
      </c>
      <c r="N49" s="254">
        <f t="array" ref="N49">_xll.BCC(DB,_xll.ArrayDPT($AA49:$AE49),_xll.ArrayCOA($AG49:$AZ49),YR,PRD,RV,_xll.ArrayDIM($BB49:$BE49))</f>
        <v>0</v>
      </c>
      <c r="O49" s="237">
        <f t="shared" si="26"/>
        <v>0</v>
      </c>
      <c r="P49" s="237">
        <f t="shared" si="27"/>
        <v>0</v>
      </c>
      <c r="Q49" s="237">
        <f t="shared" si="28"/>
        <v>0</v>
      </c>
      <c r="R49" s="254">
        <f t="array" ref="R49">_xll.ACC(DB,_xll.ArrayDPT($AA49:$AE49),_xll.ArrayCOA($AG49:$AZ49),YR-1,PRD,_xll.ArrayDIM($BB49:$BE49))</f>
        <v>5337</v>
      </c>
      <c r="S49" s="237">
        <f t="shared" si="29"/>
        <v>7.3618674173860504E-2</v>
      </c>
      <c r="T49" s="328"/>
      <c r="U49" s="328"/>
      <c r="V49" s="328"/>
      <c r="W49" s="328"/>
      <c r="X49" s="328"/>
      <c r="Y49" s="328"/>
      <c r="Z49" s="328"/>
      <c r="AA49" s="95" t="s">
        <v>623</v>
      </c>
      <c r="AB49" s="96" t="s">
        <v>634</v>
      </c>
      <c r="AC49" s="96"/>
      <c r="AD49" s="96"/>
      <c r="AE49" s="96"/>
      <c r="AF49" s="97"/>
      <c r="AG49" s="95" t="s">
        <v>688</v>
      </c>
      <c r="AH49" s="96" t="s">
        <v>688</v>
      </c>
      <c r="AI49" s="95"/>
      <c r="AJ49" s="96"/>
      <c r="AK49" s="95"/>
      <c r="AL49" s="96"/>
      <c r="AM49" s="95"/>
      <c r="AN49" s="98"/>
      <c r="AO49" s="96"/>
      <c r="AP49" s="96"/>
      <c r="AQ49" s="95"/>
      <c r="AR49" s="98"/>
      <c r="AS49" s="96"/>
      <c r="AT49" s="96"/>
      <c r="AU49" s="95"/>
      <c r="AV49" s="98"/>
      <c r="AW49" s="96"/>
      <c r="AX49" s="96"/>
      <c r="AY49" s="95"/>
      <c r="AZ49" s="98"/>
      <c r="BA49" s="99"/>
      <c r="BB49" s="95"/>
      <c r="BC49" s="96"/>
      <c r="BD49" s="96"/>
      <c r="BE49" s="98"/>
      <c r="BF49" s="95"/>
      <c r="BG49" s="96"/>
      <c r="BH49" s="96"/>
      <c r="BI49" s="98"/>
    </row>
    <row r="50" spans="1:61" ht="12" customHeight="1">
      <c r="A50" s="254">
        <f t="array" ref="A50">_xll.AC(DB,_xll.ArrayDPT($AA50:$AE50),_xll.ArrayCOA($AG50:$AZ50),YR-1,PRD,_xll.ArrayDIM($BB50:$BE50))</f>
        <v>11620.56</v>
      </c>
      <c r="B50" s="254">
        <f t="shared" si="20"/>
        <v>0.16029421404493094</v>
      </c>
      <c r="C50" s="254">
        <f t="shared" si="21"/>
        <v>0</v>
      </c>
      <c r="D50" s="254">
        <f t="shared" si="22"/>
        <v>0</v>
      </c>
      <c r="E50" s="254">
        <f t="array" ref="E50">_xll.BC(DB,_xll.ArrayDPT($AA50:$AE50),_xll.ArrayCOA($AG50:$AZ50),YR,PRD,RV,_xll.ArrayDIM($BB50:$BE50))</f>
        <v>0</v>
      </c>
      <c r="F50" s="254">
        <f t="shared" si="23"/>
        <v>0</v>
      </c>
      <c r="G50" s="254">
        <f t="array" ref="G50">_xll.AC(DB,_xll.ArrayDPT($AA50:$AE50),_xll.ArrayCOA($AG50:$AZ50),YR,PRD,_xll.ArrayDIM($BB50:$BE50))</f>
        <v>0</v>
      </c>
      <c r="H50" s="254">
        <f t="shared" si="24"/>
        <v>0</v>
      </c>
      <c r="I50" s="254"/>
      <c r="J50" s="328" t="s">
        <v>689</v>
      </c>
      <c r="K50" s="254"/>
      <c r="L50" s="254">
        <f t="array" ref="L50">_xll.ACC(DB,_xll.ArrayDPT($AA50:$AE50),_xll.ArrayCOA($AG50:$AZ50),YR,PRD,_xll.ArrayDIM($BB50:$BE50))</f>
        <v>0</v>
      </c>
      <c r="M50" s="237">
        <f t="shared" si="25"/>
        <v>0</v>
      </c>
      <c r="N50" s="254">
        <f t="array" ref="N50">_xll.BCC(DB,_xll.ArrayDPT($AA50:$AE50),_xll.ArrayCOA($AG50:$AZ50),YR,PRD,RV,_xll.ArrayDIM($BB50:$BE50))</f>
        <v>0</v>
      </c>
      <c r="O50" s="237">
        <f t="shared" si="26"/>
        <v>0</v>
      </c>
      <c r="P50" s="237">
        <f t="shared" si="27"/>
        <v>0</v>
      </c>
      <c r="Q50" s="237">
        <f t="shared" si="28"/>
        <v>0</v>
      </c>
      <c r="R50" s="254">
        <f t="array" ref="R50">_xll.ACC(DB,_xll.ArrayDPT($AA50:$AE50),_xll.ArrayCOA($AG50:$AZ50),YR-1,PRD,_xll.ArrayDIM($BB50:$BE50))</f>
        <v>11620.56</v>
      </c>
      <c r="S50" s="237">
        <f t="shared" si="29"/>
        <v>0.16029421404493094</v>
      </c>
      <c r="T50" s="328"/>
      <c r="U50" s="328"/>
      <c r="V50" s="328"/>
      <c r="W50" s="328"/>
      <c r="X50" s="328"/>
      <c r="Y50" s="328"/>
      <c r="Z50" s="328"/>
      <c r="AA50" s="95" t="s">
        <v>634</v>
      </c>
      <c r="AB50" s="96"/>
      <c r="AC50" s="96"/>
      <c r="AD50" s="96"/>
      <c r="AE50" s="96"/>
      <c r="AF50" s="97"/>
      <c r="AG50" s="95" t="s">
        <v>690</v>
      </c>
      <c r="AH50" s="96" t="s">
        <v>690</v>
      </c>
      <c r="AI50" s="95"/>
      <c r="AJ50" s="96"/>
      <c r="AK50" s="95"/>
      <c r="AL50" s="96"/>
      <c r="AM50" s="95"/>
      <c r="AN50" s="98"/>
      <c r="AO50" s="96"/>
      <c r="AP50" s="96"/>
      <c r="AQ50" s="95"/>
      <c r="AR50" s="98"/>
      <c r="AS50" s="96"/>
      <c r="AT50" s="96"/>
      <c r="AU50" s="95"/>
      <c r="AV50" s="98"/>
      <c r="AW50" s="96"/>
      <c r="AX50" s="96"/>
      <c r="AY50" s="95"/>
      <c r="AZ50" s="98"/>
      <c r="BA50" s="99"/>
      <c r="BB50" s="95"/>
      <c r="BC50" s="96"/>
      <c r="BD50" s="96"/>
      <c r="BE50" s="98"/>
      <c r="BF50" s="95"/>
      <c r="BG50" s="96"/>
      <c r="BH50" s="96"/>
      <c r="BI50" s="98"/>
    </row>
    <row r="51" spans="1:61" ht="12" customHeight="1">
      <c r="A51" s="254">
        <f t="array" ref="A51">_xll.AC(DB,_xll.ArrayDPT($AA51:$AE51),_xll.ArrayCOA($AG51:$AZ51),YR-1,PRD,_xll.ArrayDIM($BB51:$BE51))</f>
        <v>0</v>
      </c>
      <c r="B51" s="254">
        <f t="shared" si="20"/>
        <v>0</v>
      </c>
      <c r="C51" s="254">
        <f t="shared" si="21"/>
        <v>0</v>
      </c>
      <c r="D51" s="254">
        <f t="shared" si="22"/>
        <v>0</v>
      </c>
      <c r="E51" s="254">
        <f t="array" ref="E51">_xll.BC(DB,_xll.ArrayDPT($AA51:$AE51),_xll.ArrayCOA($AG51:$AZ51),YR,PRD,RV,_xll.ArrayDIM($BB51:$BE51))</f>
        <v>0</v>
      </c>
      <c r="F51" s="254">
        <f t="shared" si="23"/>
        <v>0</v>
      </c>
      <c r="G51" s="254">
        <f t="array" ref="G51">_xll.AC(DB,_xll.ArrayDPT($AA51:$AE51),_xll.ArrayCOA($AG51:$AZ51),YR,PRD,_xll.ArrayDIM($BB51:$BE51))</f>
        <v>0</v>
      </c>
      <c r="H51" s="254">
        <f t="shared" si="24"/>
        <v>0</v>
      </c>
      <c r="I51" s="254"/>
      <c r="J51" s="328" t="s">
        <v>691</v>
      </c>
      <c r="K51" s="254"/>
      <c r="L51" s="254">
        <f t="array" ref="L51">_xll.ACC(DB,_xll.ArrayDPT($AA51:$AE51),_xll.ArrayCOA($AG51:$AZ51),YR,PRD,_xll.ArrayDIM($BB51:$BE51))</f>
        <v>0</v>
      </c>
      <c r="M51" s="237">
        <f t="shared" si="25"/>
        <v>0</v>
      </c>
      <c r="N51" s="254">
        <f t="array" ref="N51">_xll.BCC(DB,_xll.ArrayDPT($AA51:$AE51),_xll.ArrayCOA($AG51:$AZ51),YR,PRD,RV,_xll.ArrayDIM($BB51:$BE51))</f>
        <v>0</v>
      </c>
      <c r="O51" s="237">
        <f t="shared" si="26"/>
        <v>0</v>
      </c>
      <c r="P51" s="237">
        <f t="shared" si="27"/>
        <v>0</v>
      </c>
      <c r="Q51" s="237">
        <f t="shared" si="28"/>
        <v>0</v>
      </c>
      <c r="R51" s="254">
        <f t="array" ref="R51">_xll.ACC(DB,_xll.ArrayDPT($AA51:$AE51),_xll.ArrayCOA($AG51:$AZ51),YR-1,PRD,_xll.ArrayDIM($BB51:$BE51))</f>
        <v>0</v>
      </c>
      <c r="S51" s="237">
        <f t="shared" si="29"/>
        <v>0</v>
      </c>
      <c r="T51" s="328"/>
      <c r="U51" s="328"/>
      <c r="V51" s="328"/>
      <c r="W51" s="328"/>
      <c r="X51" s="328"/>
      <c r="Y51" s="328"/>
      <c r="Z51" s="328"/>
      <c r="AA51" s="95" t="s">
        <v>623</v>
      </c>
      <c r="AB51" s="96" t="s">
        <v>634</v>
      </c>
      <c r="AC51" s="96"/>
      <c r="AD51" s="96"/>
      <c r="AE51" s="96"/>
      <c r="AF51" s="97"/>
      <c r="AG51" s="95" t="s">
        <v>692</v>
      </c>
      <c r="AH51" s="96" t="s">
        <v>692</v>
      </c>
      <c r="AI51" s="95"/>
      <c r="AJ51" s="96"/>
      <c r="AK51" s="95"/>
      <c r="AL51" s="96"/>
      <c r="AM51" s="95"/>
      <c r="AN51" s="98"/>
      <c r="AO51" s="96"/>
      <c r="AP51" s="96"/>
      <c r="AQ51" s="95"/>
      <c r="AR51" s="98"/>
      <c r="AS51" s="96"/>
      <c r="AT51" s="96"/>
      <c r="AU51" s="95"/>
      <c r="AV51" s="98"/>
      <c r="AW51" s="96"/>
      <c r="AX51" s="96"/>
      <c r="AY51" s="95"/>
      <c r="AZ51" s="98"/>
      <c r="BA51" s="99"/>
      <c r="BB51" s="95"/>
      <c r="BC51" s="96"/>
      <c r="BD51" s="96"/>
      <c r="BE51" s="98"/>
      <c r="BF51" s="95"/>
      <c r="BG51" s="96"/>
      <c r="BH51" s="96"/>
      <c r="BI51" s="98"/>
    </row>
    <row r="52" spans="1:61" ht="12" customHeight="1">
      <c r="A52" s="254">
        <f t="array" ref="A52">_xll.AC(DB,_xll.ArrayDPT($AA52:$AE52),_xll.ArrayCOA($AG52:$AZ52),YR-1,PRD,_xll.ArrayDIM($BB52:$BE52))</f>
        <v>0</v>
      </c>
      <c r="B52" s="254">
        <f t="shared" si="20"/>
        <v>0</v>
      </c>
      <c r="C52" s="254">
        <f t="shared" si="21"/>
        <v>0</v>
      </c>
      <c r="D52" s="254">
        <f t="shared" si="22"/>
        <v>0</v>
      </c>
      <c r="E52" s="254">
        <f t="array" ref="E52">_xll.BC(DB,_xll.ArrayDPT($AA52:$AE52),_xll.ArrayCOA($AG52:$AZ52),YR,PRD,RV,_xll.ArrayDIM($BB52:$BE52))</f>
        <v>0</v>
      </c>
      <c r="F52" s="254">
        <f t="shared" si="23"/>
        <v>0</v>
      </c>
      <c r="G52" s="254">
        <f t="array" ref="G52">_xll.AC(DB,_xll.ArrayDPT($AA52:$AE52),_xll.ArrayCOA($AG52:$AZ52),YR,PRD,_xll.ArrayDIM($BB52:$BE52))</f>
        <v>0</v>
      </c>
      <c r="H52" s="254">
        <f t="shared" si="24"/>
        <v>0</v>
      </c>
      <c r="I52" s="254"/>
      <c r="J52" s="328" t="s">
        <v>693</v>
      </c>
      <c r="K52" s="254"/>
      <c r="L52" s="254">
        <f t="array" ref="L52">_xll.ACC(DB,_xll.ArrayDPT($AA52:$AE52),_xll.ArrayCOA($AG52:$AZ52),YR,PRD,_xll.ArrayDIM($BB52:$BE52))</f>
        <v>0</v>
      </c>
      <c r="M52" s="237">
        <f t="shared" si="25"/>
        <v>0</v>
      </c>
      <c r="N52" s="254">
        <f t="array" ref="N52">_xll.BCC(DB,_xll.ArrayDPT($AA52:$AE52),_xll.ArrayCOA($AG52:$AZ52),YR,PRD,RV,_xll.ArrayDIM($BB52:$BE52))</f>
        <v>0</v>
      </c>
      <c r="O52" s="237">
        <f t="shared" si="26"/>
        <v>0</v>
      </c>
      <c r="P52" s="237">
        <f t="shared" si="27"/>
        <v>0</v>
      </c>
      <c r="Q52" s="237">
        <f t="shared" si="28"/>
        <v>0</v>
      </c>
      <c r="R52" s="254">
        <f t="array" ref="R52">_xll.ACC(DB,_xll.ArrayDPT($AA52:$AE52),_xll.ArrayCOA($AG52:$AZ52),YR-1,PRD,_xll.ArrayDIM($BB52:$BE52))</f>
        <v>0</v>
      </c>
      <c r="S52" s="237">
        <f t="shared" si="29"/>
        <v>0</v>
      </c>
      <c r="T52" s="328"/>
      <c r="U52" s="328"/>
      <c r="V52" s="328"/>
      <c r="W52" s="328"/>
      <c r="X52" s="328"/>
      <c r="Y52" s="328"/>
      <c r="Z52" s="328"/>
      <c r="AA52" s="95" t="s">
        <v>623</v>
      </c>
      <c r="AB52" s="96"/>
      <c r="AC52" s="96"/>
      <c r="AD52" s="96"/>
      <c r="AE52" s="96"/>
      <c r="AF52" s="97"/>
      <c r="AG52" s="95" t="s">
        <v>694</v>
      </c>
      <c r="AH52" s="96" t="s">
        <v>694</v>
      </c>
      <c r="AI52" s="95"/>
      <c r="AJ52" s="96"/>
      <c r="AK52" s="95"/>
      <c r="AL52" s="96"/>
      <c r="AM52" s="95"/>
      <c r="AN52" s="98"/>
      <c r="AO52" s="96"/>
      <c r="AP52" s="96"/>
      <c r="AQ52" s="95"/>
      <c r="AR52" s="98"/>
      <c r="AS52" s="96"/>
      <c r="AT52" s="96"/>
      <c r="AU52" s="95"/>
      <c r="AV52" s="98"/>
      <c r="AW52" s="96"/>
      <c r="AX52" s="96"/>
      <c r="AY52" s="95"/>
      <c r="AZ52" s="98"/>
      <c r="BA52" s="99"/>
      <c r="BB52" s="95"/>
      <c r="BC52" s="96"/>
      <c r="BD52" s="96"/>
      <c r="BE52" s="98"/>
      <c r="BF52" s="95"/>
      <c r="BG52" s="96"/>
      <c r="BH52" s="96"/>
      <c r="BI52" s="98"/>
    </row>
    <row r="53" spans="1:61" ht="12" customHeight="1">
      <c r="A53" s="254">
        <f t="array" ref="A53">_xll.AC(DB,_xll.ArrayDPT($AA53:$AE53),_xll.ArrayCOA($AG53:$AZ53),YR-1,PRD,_xll.ArrayDIM($BB53:$BE53))</f>
        <v>155000</v>
      </c>
      <c r="B53" s="254">
        <f t="shared" si="20"/>
        <v>2.1380727931325425</v>
      </c>
      <c r="C53" s="254">
        <f t="shared" si="21"/>
        <v>0</v>
      </c>
      <c r="D53" s="254">
        <f t="shared" si="22"/>
        <v>0</v>
      </c>
      <c r="E53" s="254">
        <f t="array" ref="E53">_xll.BC(DB,_xll.ArrayDPT($AA53:$AE53),_xll.ArrayCOA($AG53:$AZ53),YR,PRD,RV,_xll.ArrayDIM($BB53:$BE53))</f>
        <v>0</v>
      </c>
      <c r="F53" s="254">
        <f t="shared" si="23"/>
        <v>0</v>
      </c>
      <c r="G53" s="254">
        <f t="array" ref="G53">_xll.AC(DB,_xll.ArrayDPT($AA53:$AE53),_xll.ArrayCOA($AG53:$AZ53),YR,PRD,_xll.ArrayDIM($BB53:$BE53))</f>
        <v>0</v>
      </c>
      <c r="H53" s="254">
        <f t="shared" si="24"/>
        <v>0</v>
      </c>
      <c r="I53" s="254"/>
      <c r="J53" s="328" t="s">
        <v>695</v>
      </c>
      <c r="K53" s="254"/>
      <c r="L53" s="254">
        <f t="array" ref="L53">_xll.ACC(DB,_xll.ArrayDPT($AA53:$AE53),_xll.ArrayCOA($AG53:$AZ53),YR,PRD,_xll.ArrayDIM($BB53:$BE53))</f>
        <v>0</v>
      </c>
      <c r="M53" s="237">
        <f t="shared" si="25"/>
        <v>0</v>
      </c>
      <c r="N53" s="254">
        <f t="array" ref="N53">_xll.BCC(DB,_xll.ArrayDPT($AA53:$AE53),_xll.ArrayCOA($AG53:$AZ53),YR,PRD,RV,_xll.ArrayDIM($BB53:$BE53))</f>
        <v>0</v>
      </c>
      <c r="O53" s="237">
        <f t="shared" si="26"/>
        <v>0</v>
      </c>
      <c r="P53" s="237">
        <f t="shared" si="27"/>
        <v>0</v>
      </c>
      <c r="Q53" s="237">
        <f t="shared" si="28"/>
        <v>0</v>
      </c>
      <c r="R53" s="254">
        <f t="array" ref="R53">_xll.ACC(DB,_xll.ArrayDPT($AA53:$AE53),_xll.ArrayCOA($AG53:$AZ53),YR-1,PRD,_xll.ArrayDIM($BB53:$BE53))</f>
        <v>155000</v>
      </c>
      <c r="S53" s="237">
        <f t="shared" si="29"/>
        <v>2.1380727931325425</v>
      </c>
      <c r="T53" s="328"/>
      <c r="U53" s="328"/>
      <c r="V53" s="328"/>
      <c r="W53" s="328"/>
      <c r="X53" s="328"/>
      <c r="Y53" s="328"/>
      <c r="Z53" s="328"/>
      <c r="AA53" s="95" t="s">
        <v>634</v>
      </c>
      <c r="AB53" s="96"/>
      <c r="AC53" s="96"/>
      <c r="AD53" s="96"/>
      <c r="AE53" s="96"/>
      <c r="AF53" s="97"/>
      <c r="AG53" s="95" t="s">
        <v>696</v>
      </c>
      <c r="AH53" s="96" t="s">
        <v>696</v>
      </c>
      <c r="AI53" s="95"/>
      <c r="AJ53" s="96"/>
      <c r="AK53" s="95"/>
      <c r="AL53" s="96"/>
      <c r="AM53" s="95"/>
      <c r="AN53" s="98"/>
      <c r="AO53" s="96"/>
      <c r="AP53" s="96"/>
      <c r="AQ53" s="95"/>
      <c r="AR53" s="98"/>
      <c r="AS53" s="96"/>
      <c r="AT53" s="96"/>
      <c r="AU53" s="95"/>
      <c r="AV53" s="98"/>
      <c r="AW53" s="96"/>
      <c r="AX53" s="96"/>
      <c r="AY53" s="95"/>
      <c r="AZ53" s="98"/>
      <c r="BA53" s="99"/>
      <c r="BB53" s="95"/>
      <c r="BC53" s="96"/>
      <c r="BD53" s="96"/>
      <c r="BE53" s="98"/>
      <c r="BF53" s="95"/>
      <c r="BG53" s="96"/>
      <c r="BH53" s="96"/>
      <c r="BI53" s="98"/>
    </row>
    <row r="54" spans="1:61" ht="12" customHeight="1">
      <c r="A54" s="254">
        <f t="array" ref="A54">_xll.AC(DB,_xll.ArrayDPT($AA54:$AE54),_xll.ArrayCOA($AG54:$AZ54),YR-1,PRD,_xll.ArrayDIM($BB54:$BE54))</f>
        <v>0</v>
      </c>
      <c r="B54" s="254">
        <f t="shared" si="20"/>
        <v>0</v>
      </c>
      <c r="C54" s="254">
        <f t="shared" si="21"/>
        <v>0</v>
      </c>
      <c r="D54" s="254">
        <f t="shared" si="22"/>
        <v>0</v>
      </c>
      <c r="E54" s="254">
        <f t="array" ref="E54">_xll.BC(DB,_xll.ArrayDPT($AA54:$AE54),_xll.ArrayCOA($AG54:$AZ54),YR,PRD,RV,_xll.ArrayDIM($BB54:$BE54))</f>
        <v>0</v>
      </c>
      <c r="F54" s="254">
        <f t="shared" si="23"/>
        <v>0</v>
      </c>
      <c r="G54" s="254">
        <f t="array" ref="G54">_xll.AC(DB,_xll.ArrayDPT($AA54:$AE54),_xll.ArrayCOA($AG54:$AZ54),YR,PRD,_xll.ArrayDIM($BB54:$BE54))</f>
        <v>0</v>
      </c>
      <c r="H54" s="254">
        <f t="shared" si="24"/>
        <v>0</v>
      </c>
      <c r="I54" s="254"/>
      <c r="J54" s="328" t="s">
        <v>697</v>
      </c>
      <c r="K54" s="254"/>
      <c r="L54" s="254">
        <f t="array" ref="L54">_xll.ACC(DB,_xll.ArrayDPT($AA54:$AE54),_xll.ArrayCOA($AG54:$AZ54),YR,PRD,_xll.ArrayDIM($BB54:$BE54))</f>
        <v>0</v>
      </c>
      <c r="M54" s="237">
        <f t="shared" si="25"/>
        <v>0</v>
      </c>
      <c r="N54" s="254">
        <f t="array" ref="N54">_xll.BCC(DB,_xll.ArrayDPT($AA54:$AE54),_xll.ArrayCOA($AG54:$AZ54),YR,PRD,RV,_xll.ArrayDIM($BB54:$BE54))</f>
        <v>0</v>
      </c>
      <c r="O54" s="237">
        <f t="shared" si="26"/>
        <v>0</v>
      </c>
      <c r="P54" s="237">
        <f t="shared" si="27"/>
        <v>0</v>
      </c>
      <c r="Q54" s="237">
        <f t="shared" si="28"/>
        <v>0</v>
      </c>
      <c r="R54" s="254">
        <f t="array" ref="R54">_xll.ACC(DB,_xll.ArrayDPT($AA54:$AE54),_xll.ArrayCOA($AG54:$AZ54),YR-1,PRD,_xll.ArrayDIM($BB54:$BE54))</f>
        <v>0</v>
      </c>
      <c r="S54" s="237">
        <f t="shared" si="29"/>
        <v>0</v>
      </c>
      <c r="T54" s="328"/>
      <c r="U54" s="328"/>
      <c r="V54" s="328"/>
      <c r="W54" s="328"/>
      <c r="X54" s="328"/>
      <c r="Y54" s="328"/>
      <c r="Z54" s="328"/>
      <c r="AA54" s="95" t="s">
        <v>623</v>
      </c>
      <c r="AB54" s="96"/>
      <c r="AC54" s="96"/>
      <c r="AD54" s="96"/>
      <c r="AE54" s="96"/>
      <c r="AF54" s="97"/>
      <c r="AG54" s="95" t="s">
        <v>698</v>
      </c>
      <c r="AH54" s="96" t="s">
        <v>698</v>
      </c>
      <c r="AI54" s="95"/>
      <c r="AJ54" s="96"/>
      <c r="AK54" s="95"/>
      <c r="AL54" s="96"/>
      <c r="AM54" s="95"/>
      <c r="AN54" s="98"/>
      <c r="AO54" s="96"/>
      <c r="AP54" s="96"/>
      <c r="AQ54" s="95"/>
      <c r="AR54" s="98"/>
      <c r="AS54" s="96"/>
      <c r="AT54" s="96"/>
      <c r="AU54" s="95"/>
      <c r="AV54" s="98"/>
      <c r="AW54" s="96"/>
      <c r="AX54" s="96"/>
      <c r="AY54" s="95"/>
      <c r="AZ54" s="98"/>
      <c r="BA54" s="99"/>
      <c r="BB54" s="95"/>
      <c r="BC54" s="96"/>
      <c r="BD54" s="96"/>
      <c r="BE54" s="98"/>
      <c r="BF54" s="95"/>
      <c r="BG54" s="96"/>
      <c r="BH54" s="96"/>
      <c r="BI54" s="98"/>
    </row>
    <row r="55" spans="1:61" ht="12" customHeight="1">
      <c r="A55" s="254">
        <f t="array" ref="A55">_xll.AC(DB,_xll.ArrayDPT($AA55:$AE55),_xll.ArrayCOA($AG55:$AZ55),YR-1,PRD,_xll.ArrayDIM($BB55:$BE55))</f>
        <v>0</v>
      </c>
      <c r="B55" s="254">
        <f t="shared" si="20"/>
        <v>0</v>
      </c>
      <c r="C55" s="254">
        <f t="shared" si="21"/>
        <v>0</v>
      </c>
      <c r="D55" s="254">
        <f t="shared" si="22"/>
        <v>0</v>
      </c>
      <c r="E55" s="254">
        <f t="array" ref="E55">_xll.BC(DB,_xll.ArrayDPT($AA55:$AE55),_xll.ArrayCOA($AG55:$AZ55),YR,PRD,RV,_xll.ArrayDIM($BB55:$BE55))</f>
        <v>0</v>
      </c>
      <c r="F55" s="254">
        <f t="shared" si="23"/>
        <v>0</v>
      </c>
      <c r="G55" s="254">
        <f t="array" ref="G55">_xll.AC(DB,_xll.ArrayDPT($AA55:$AE55),_xll.ArrayCOA($AG55:$AZ55),YR,PRD,_xll.ArrayDIM($BB55:$BE55))</f>
        <v>0</v>
      </c>
      <c r="H55" s="254">
        <f t="shared" si="24"/>
        <v>0</v>
      </c>
      <c r="I55" s="254"/>
      <c r="J55" s="328" t="s">
        <v>699</v>
      </c>
      <c r="K55" s="254"/>
      <c r="L55" s="254">
        <f t="array" ref="L55">_xll.ACC(DB,_xll.ArrayDPT($AA55:$AE55),_xll.ArrayCOA($AG55:$AZ55),YR,PRD,_xll.ArrayDIM($BB55:$BE55))</f>
        <v>0</v>
      </c>
      <c r="M55" s="237">
        <f t="shared" si="25"/>
        <v>0</v>
      </c>
      <c r="N55" s="254">
        <f t="array" ref="N55">_xll.BCC(DB,_xll.ArrayDPT($AA55:$AE55),_xll.ArrayCOA($AG55:$AZ55),YR,PRD,RV,_xll.ArrayDIM($BB55:$BE55))</f>
        <v>0</v>
      </c>
      <c r="O55" s="237">
        <f t="shared" si="26"/>
        <v>0</v>
      </c>
      <c r="P55" s="237">
        <f t="shared" si="27"/>
        <v>0</v>
      </c>
      <c r="Q55" s="237">
        <f t="shared" si="28"/>
        <v>0</v>
      </c>
      <c r="R55" s="254">
        <f t="array" ref="R55">_xll.ACC(DB,_xll.ArrayDPT($AA55:$AE55),_xll.ArrayCOA($AG55:$AZ55),YR-1,PRD,_xll.ArrayDIM($BB55:$BE55))</f>
        <v>0</v>
      </c>
      <c r="S55" s="237">
        <f t="shared" si="29"/>
        <v>0</v>
      </c>
      <c r="T55" s="328"/>
      <c r="U55" s="328"/>
      <c r="V55" s="328"/>
      <c r="W55" s="328"/>
      <c r="X55" s="328"/>
      <c r="Y55" s="328"/>
      <c r="Z55" s="328"/>
      <c r="AA55" s="95"/>
      <c r="AB55" s="96"/>
      <c r="AC55" s="96"/>
      <c r="AD55" s="96"/>
      <c r="AE55" s="96"/>
      <c r="AF55" s="97"/>
      <c r="AG55" s="95"/>
      <c r="AH55" s="96"/>
      <c r="AI55" s="95"/>
      <c r="AJ55" s="96"/>
      <c r="AK55" s="95"/>
      <c r="AL55" s="96"/>
      <c r="AM55" s="95"/>
      <c r="AN55" s="98"/>
      <c r="AO55" s="96"/>
      <c r="AP55" s="96"/>
      <c r="AQ55" s="95"/>
      <c r="AR55" s="98"/>
      <c r="AS55" s="96"/>
      <c r="AT55" s="96"/>
      <c r="AU55" s="95"/>
      <c r="AV55" s="98"/>
      <c r="AW55" s="96"/>
      <c r="AX55" s="96"/>
      <c r="AY55" s="95"/>
      <c r="AZ55" s="98"/>
      <c r="BA55" s="99"/>
      <c r="BB55" s="95"/>
      <c r="BC55" s="96"/>
      <c r="BD55" s="96"/>
      <c r="BE55" s="98"/>
      <c r="BF55" s="95"/>
      <c r="BG55" s="96"/>
      <c r="BH55" s="96"/>
      <c r="BI55" s="98"/>
    </row>
    <row r="56" spans="1:61" ht="12" customHeight="1">
      <c r="A56" s="254">
        <f t="array" ref="A56">_xll.AC(DB,_xll.ArrayDPT($AA56:$AE56),_xll.ArrayCOA($AG56:$AZ56),YR-1,PRD,_xll.ArrayDIM($BB56:$BE56))</f>
        <v>0</v>
      </c>
      <c r="B56" s="254">
        <f t="shared" si="20"/>
        <v>0</v>
      </c>
      <c r="C56" s="254">
        <f t="shared" si="21"/>
        <v>0</v>
      </c>
      <c r="D56" s="254">
        <f t="shared" si="22"/>
        <v>0</v>
      </c>
      <c r="E56" s="254">
        <f t="array" ref="E56">_xll.BC(DB,_xll.ArrayDPT($AA56:$AE56),_xll.ArrayCOA($AG56:$AZ56),YR,PRD,RV,_xll.ArrayDIM($BB56:$BE56))</f>
        <v>0</v>
      </c>
      <c r="F56" s="254">
        <f t="shared" si="23"/>
        <v>0</v>
      </c>
      <c r="G56" s="254">
        <f t="array" ref="G56">_xll.AC(DB,_xll.ArrayDPT($AA56:$AE56),_xll.ArrayCOA($AG56:$AZ56),YR,PRD,_xll.ArrayDIM($BB56:$BE56))</f>
        <v>0</v>
      </c>
      <c r="H56" s="254">
        <f t="shared" si="24"/>
        <v>0</v>
      </c>
      <c r="I56" s="254"/>
      <c r="J56" s="328" t="s">
        <v>700</v>
      </c>
      <c r="K56" s="254"/>
      <c r="L56" s="254">
        <f t="array" ref="L56">_xll.ACC(DB,_xll.ArrayDPT($AA56:$AE56),_xll.ArrayCOA($AG56:$AZ56),YR,PRD,_xll.ArrayDIM($BB56:$BE56))</f>
        <v>0</v>
      </c>
      <c r="M56" s="237">
        <f t="shared" si="25"/>
        <v>0</v>
      </c>
      <c r="N56" s="254">
        <f t="array" ref="N56">_xll.BCC(DB,_xll.ArrayDPT($AA56:$AE56),_xll.ArrayCOA($AG56:$AZ56),YR,PRD,RV,_xll.ArrayDIM($BB56:$BE56))</f>
        <v>0</v>
      </c>
      <c r="O56" s="237">
        <f t="shared" si="26"/>
        <v>0</v>
      </c>
      <c r="P56" s="237">
        <f t="shared" si="27"/>
        <v>0</v>
      </c>
      <c r="Q56" s="237">
        <f t="shared" si="28"/>
        <v>0</v>
      </c>
      <c r="R56" s="254">
        <f t="array" ref="R56">_xll.ACC(DB,_xll.ArrayDPT($AA56:$AE56),_xll.ArrayCOA($AG56:$AZ56),YR-1,PRD,_xll.ArrayDIM($BB56:$BE56))</f>
        <v>0</v>
      </c>
      <c r="S56" s="237">
        <f t="shared" si="29"/>
        <v>0</v>
      </c>
      <c r="T56" s="328"/>
      <c r="U56" s="328"/>
      <c r="V56" s="328"/>
      <c r="W56" s="328"/>
      <c r="X56" s="328"/>
      <c r="Y56" s="328"/>
      <c r="Z56" s="328"/>
      <c r="AA56" s="95"/>
      <c r="AB56" s="96"/>
      <c r="AC56" s="96"/>
      <c r="AD56" s="96"/>
      <c r="AE56" s="96"/>
      <c r="AF56" s="97"/>
      <c r="AG56" s="95"/>
      <c r="AH56" s="96"/>
      <c r="AI56" s="95"/>
      <c r="AJ56" s="96"/>
      <c r="AK56" s="95"/>
      <c r="AL56" s="96"/>
      <c r="AM56" s="95"/>
      <c r="AN56" s="98"/>
      <c r="AO56" s="96"/>
      <c r="AP56" s="96"/>
      <c r="AQ56" s="95"/>
      <c r="AR56" s="98"/>
      <c r="AS56" s="96"/>
      <c r="AT56" s="96"/>
      <c r="AU56" s="95"/>
      <c r="AV56" s="98"/>
      <c r="AW56" s="96"/>
      <c r="AX56" s="96"/>
      <c r="AY56" s="95"/>
      <c r="AZ56" s="98"/>
      <c r="BA56" s="99"/>
      <c r="BB56" s="95"/>
      <c r="BC56" s="96"/>
      <c r="BD56" s="96"/>
      <c r="BE56" s="98"/>
      <c r="BF56" s="95"/>
      <c r="BG56" s="96"/>
      <c r="BH56" s="96"/>
      <c r="BI56" s="98"/>
    </row>
    <row r="57" spans="1:61" ht="12" customHeight="1">
      <c r="A57" s="254">
        <f t="array" ref="A57">_xll.AC(DB,_xll.ArrayDPT($AA57:$AE57),_xll.ArrayCOA($AG57:$AZ57),YR-1,PRD,_xll.ArrayDIM($BB57:$BE57))</f>
        <v>0</v>
      </c>
      <c r="B57" s="254">
        <f t="shared" si="20"/>
        <v>0</v>
      </c>
      <c r="C57" s="254">
        <f t="shared" si="21"/>
        <v>0</v>
      </c>
      <c r="D57" s="254">
        <f t="shared" si="22"/>
        <v>0</v>
      </c>
      <c r="E57" s="254">
        <f t="array" ref="E57">_xll.BC(DB,_xll.ArrayDPT($AA57:$AE57),_xll.ArrayCOA($AG57:$AZ57),YR,PRD,RV,_xll.ArrayDIM($BB57:$BE57))</f>
        <v>0</v>
      </c>
      <c r="F57" s="254">
        <f t="shared" si="23"/>
        <v>0</v>
      </c>
      <c r="G57" s="254">
        <f t="array" ref="G57">_xll.AC(DB,_xll.ArrayDPT($AA57:$AE57),_xll.ArrayCOA($AG57:$AZ57),YR,PRD,_xll.ArrayDIM($BB57:$BE57))</f>
        <v>0</v>
      </c>
      <c r="H57" s="254">
        <f t="shared" si="24"/>
        <v>0</v>
      </c>
      <c r="I57" s="254"/>
      <c r="J57" s="328" t="s">
        <v>701</v>
      </c>
      <c r="K57" s="254"/>
      <c r="L57" s="254">
        <f t="array" ref="L57">_xll.ACC(DB,_xll.ArrayDPT($AA57:$AE57),_xll.ArrayCOA($AG57:$AZ57),YR,PRD,_xll.ArrayDIM($BB57:$BE57))</f>
        <v>0</v>
      </c>
      <c r="M57" s="237">
        <f t="shared" si="25"/>
        <v>0</v>
      </c>
      <c r="N57" s="254">
        <f t="array" ref="N57">_xll.BCC(DB,_xll.ArrayDPT($AA57:$AE57),_xll.ArrayCOA($AG57:$AZ57),YR,PRD,RV,_xll.ArrayDIM($BB57:$BE57))</f>
        <v>0</v>
      </c>
      <c r="O57" s="237">
        <f t="shared" si="26"/>
        <v>0</v>
      </c>
      <c r="P57" s="237">
        <f t="shared" si="27"/>
        <v>0</v>
      </c>
      <c r="Q57" s="237">
        <f t="shared" si="28"/>
        <v>0</v>
      </c>
      <c r="R57" s="254">
        <f t="array" ref="R57">_xll.ACC(DB,_xll.ArrayDPT($AA57:$AE57),_xll.ArrayCOA($AG57:$AZ57),YR-1,PRD,_xll.ArrayDIM($BB57:$BE57))</f>
        <v>0</v>
      </c>
      <c r="S57" s="237">
        <f t="shared" si="29"/>
        <v>0</v>
      </c>
      <c r="T57" s="328"/>
      <c r="U57" s="328"/>
      <c r="V57" s="328"/>
      <c r="W57" s="328"/>
      <c r="X57" s="328"/>
      <c r="Y57" s="328"/>
      <c r="Z57" s="328"/>
      <c r="AA57" s="95" t="s">
        <v>623</v>
      </c>
      <c r="AB57" s="96" t="s">
        <v>634</v>
      </c>
      <c r="AC57" s="96"/>
      <c r="AD57" s="96"/>
      <c r="AE57" s="96"/>
      <c r="AF57" s="97"/>
      <c r="AG57" s="95" t="s">
        <v>702</v>
      </c>
      <c r="AH57" s="96" t="s">
        <v>702</v>
      </c>
      <c r="AI57" s="95"/>
      <c r="AJ57" s="96"/>
      <c r="AK57" s="95"/>
      <c r="AL57" s="96"/>
      <c r="AM57" s="95"/>
      <c r="AN57" s="98"/>
      <c r="AO57" s="96"/>
      <c r="AP57" s="96"/>
      <c r="AQ57" s="95"/>
      <c r="AR57" s="98"/>
      <c r="AS57" s="96"/>
      <c r="AT57" s="96"/>
      <c r="AU57" s="95"/>
      <c r="AV57" s="98"/>
      <c r="AW57" s="96"/>
      <c r="AX57" s="96"/>
      <c r="AY57" s="95"/>
      <c r="AZ57" s="98"/>
      <c r="BA57" s="99"/>
      <c r="BB57" s="95"/>
      <c r="BC57" s="96"/>
      <c r="BD57" s="96"/>
      <c r="BE57" s="98"/>
      <c r="BF57" s="95"/>
      <c r="BG57" s="96"/>
      <c r="BH57" s="96"/>
      <c r="BI57" s="98"/>
    </row>
    <row r="58" spans="1:61" ht="12" customHeight="1">
      <c r="A58" s="254">
        <f t="array" ref="A58">_xll.AC(DB,_xll.ArrayDPT($AA58:$AE58),_xll.ArrayCOA($AG58:$AZ58),YR-1,PRD,_xll.ArrayDIM($BB58:$BE58))</f>
        <v>0</v>
      </c>
      <c r="B58" s="254">
        <f t="shared" si="20"/>
        <v>0</v>
      </c>
      <c r="C58" s="254">
        <f t="shared" si="21"/>
        <v>0</v>
      </c>
      <c r="D58" s="254">
        <f t="shared" si="22"/>
        <v>0</v>
      </c>
      <c r="E58" s="254">
        <f t="array" ref="E58">_xll.BC(DB,_xll.ArrayDPT($AA58:$AE58),_xll.ArrayCOA($AG58:$AZ58),YR,PRD,RV,_xll.ArrayDIM($BB58:$BE58))</f>
        <v>0</v>
      </c>
      <c r="F58" s="254">
        <f t="shared" si="23"/>
        <v>0</v>
      </c>
      <c r="G58" s="254">
        <f t="array" ref="G58">_xll.AC(DB,_xll.ArrayDPT($AA58:$AE58),_xll.ArrayCOA($AG58:$AZ58),YR,PRD,_xll.ArrayDIM($BB58:$BE58))</f>
        <v>0</v>
      </c>
      <c r="H58" s="254">
        <f t="shared" si="24"/>
        <v>0</v>
      </c>
      <c r="I58" s="254"/>
      <c r="J58" s="328" t="s">
        <v>703</v>
      </c>
      <c r="K58" s="254"/>
      <c r="L58" s="254">
        <f t="array" ref="L58">_xll.ACC(DB,_xll.ArrayDPT($AA58:$AE58),_xll.ArrayCOA($AG58:$AZ58),YR,PRD,_xll.ArrayDIM($BB58:$BE58))</f>
        <v>0</v>
      </c>
      <c r="M58" s="237">
        <f t="shared" si="25"/>
        <v>0</v>
      </c>
      <c r="N58" s="254">
        <f t="array" ref="N58">_xll.BCC(DB,_xll.ArrayDPT($AA58:$AE58),_xll.ArrayCOA($AG58:$AZ58),YR,PRD,RV,_xll.ArrayDIM($BB58:$BE58))</f>
        <v>0</v>
      </c>
      <c r="O58" s="237">
        <f t="shared" si="26"/>
        <v>0</v>
      </c>
      <c r="P58" s="237">
        <f t="shared" si="27"/>
        <v>0</v>
      </c>
      <c r="Q58" s="237">
        <f t="shared" si="28"/>
        <v>0</v>
      </c>
      <c r="R58" s="254">
        <f t="array" ref="R58">_xll.ACC(DB,_xll.ArrayDPT($AA58:$AE58),_xll.ArrayCOA($AG58:$AZ58),YR-1,PRD,_xll.ArrayDIM($BB58:$BE58))</f>
        <v>0</v>
      </c>
      <c r="S58" s="237">
        <f t="shared" si="29"/>
        <v>0</v>
      </c>
      <c r="T58" s="328"/>
      <c r="U58" s="328"/>
      <c r="V58" s="328"/>
      <c r="W58" s="328"/>
      <c r="X58" s="328"/>
      <c r="Y58" s="328"/>
      <c r="Z58" s="328"/>
      <c r="AA58" s="95" t="s">
        <v>623</v>
      </c>
      <c r="AB58" s="96" t="s">
        <v>634</v>
      </c>
      <c r="AC58" s="96"/>
      <c r="AD58" s="96"/>
      <c r="AE58" s="96"/>
      <c r="AF58" s="97"/>
      <c r="AG58" s="95" t="s">
        <v>578</v>
      </c>
      <c r="AH58" s="96" t="s">
        <v>578</v>
      </c>
      <c r="AI58" s="95"/>
      <c r="AJ58" s="96"/>
      <c r="AK58" s="95"/>
      <c r="AL58" s="96"/>
      <c r="AM58" s="95"/>
      <c r="AN58" s="98"/>
      <c r="AO58" s="96"/>
      <c r="AP58" s="96"/>
      <c r="AQ58" s="95"/>
      <c r="AR58" s="98"/>
      <c r="AS58" s="96"/>
      <c r="AT58" s="96"/>
      <c r="AU58" s="95"/>
      <c r="AV58" s="98"/>
      <c r="AW58" s="96"/>
      <c r="AX58" s="96"/>
      <c r="AY58" s="95"/>
      <c r="AZ58" s="98"/>
      <c r="BA58" s="99"/>
      <c r="BB58" s="95"/>
      <c r="BC58" s="96"/>
      <c r="BD58" s="96"/>
      <c r="BE58" s="98"/>
      <c r="BF58" s="95"/>
      <c r="BG58" s="96"/>
      <c r="BH58" s="96"/>
      <c r="BI58" s="98"/>
    </row>
    <row r="59" spans="1:61" ht="12" customHeight="1">
      <c r="A59" s="254">
        <f t="array" ref="A59">_xll.AC(DB,_xll.ArrayDPT($AA59:$AE59),_xll.ArrayCOA($AG59:$AZ59),YR-1,PRD,_xll.ArrayDIM($BB59:$BE59))</f>
        <v>0</v>
      </c>
      <c r="B59" s="254">
        <f t="shared" si="20"/>
        <v>0</v>
      </c>
      <c r="C59" s="254">
        <f t="shared" si="21"/>
        <v>0</v>
      </c>
      <c r="D59" s="254">
        <f t="shared" si="22"/>
        <v>0</v>
      </c>
      <c r="E59" s="254">
        <f t="array" ref="E59">_xll.BC(DB,_xll.ArrayDPT($AA59:$AE59),_xll.ArrayCOA($AG59:$AZ59),YR,PRD,RV,_xll.ArrayDIM($BB59:$BE59))</f>
        <v>0</v>
      </c>
      <c r="F59" s="254">
        <f t="shared" si="23"/>
        <v>0</v>
      </c>
      <c r="G59" s="254">
        <f t="array" ref="G59">_xll.AC(DB,_xll.ArrayDPT($AA59:$AE59),_xll.ArrayCOA($AG59:$AZ59),YR,PRD,_xll.ArrayDIM($BB59:$BE59))</f>
        <v>0</v>
      </c>
      <c r="H59" s="254">
        <f t="shared" si="24"/>
        <v>0</v>
      </c>
      <c r="I59" s="254"/>
      <c r="J59" s="328" t="s">
        <v>704</v>
      </c>
      <c r="K59" s="254"/>
      <c r="L59" s="254">
        <f t="array" ref="L59">_xll.ACC(DB,_xll.ArrayDPT($AA59:$AE59),_xll.ArrayCOA($AG59:$AZ59),YR,PRD,_xll.ArrayDIM($BB59:$BE59))</f>
        <v>0</v>
      </c>
      <c r="M59" s="237">
        <f t="shared" si="25"/>
        <v>0</v>
      </c>
      <c r="N59" s="254">
        <f t="array" ref="N59">_xll.BCC(DB,_xll.ArrayDPT($AA59:$AE59),_xll.ArrayCOA($AG59:$AZ59),YR,PRD,RV,_xll.ArrayDIM($BB59:$BE59))</f>
        <v>0</v>
      </c>
      <c r="O59" s="237">
        <f t="shared" si="26"/>
        <v>0</v>
      </c>
      <c r="P59" s="237">
        <f t="shared" si="27"/>
        <v>0</v>
      </c>
      <c r="Q59" s="237">
        <f t="shared" si="28"/>
        <v>0</v>
      </c>
      <c r="R59" s="254">
        <f t="array" ref="R59">_xll.ACC(DB,_xll.ArrayDPT($AA59:$AE59),_xll.ArrayCOA($AG59:$AZ59),YR-1,PRD,_xll.ArrayDIM($BB59:$BE59))</f>
        <v>0</v>
      </c>
      <c r="S59" s="237">
        <f t="shared" si="29"/>
        <v>0</v>
      </c>
      <c r="T59" s="328"/>
      <c r="U59" s="328"/>
      <c r="V59" s="328"/>
      <c r="W59" s="328"/>
      <c r="X59" s="328"/>
      <c r="Y59" s="328"/>
      <c r="Z59" s="328"/>
      <c r="AA59" s="95"/>
      <c r="AB59" s="96"/>
      <c r="AC59" s="96"/>
      <c r="AD59" s="96"/>
      <c r="AE59" s="96"/>
      <c r="AF59" s="97"/>
      <c r="AG59" s="95"/>
      <c r="AH59" s="96"/>
      <c r="AI59" s="95"/>
      <c r="AJ59" s="96"/>
      <c r="AK59" s="95"/>
      <c r="AL59" s="96"/>
      <c r="AM59" s="95"/>
      <c r="AN59" s="98"/>
      <c r="AO59" s="96"/>
      <c r="AP59" s="96"/>
      <c r="AQ59" s="95"/>
      <c r="AR59" s="98"/>
      <c r="AS59" s="96"/>
      <c r="AT59" s="96"/>
      <c r="AU59" s="95"/>
      <c r="AV59" s="98"/>
      <c r="AW59" s="96"/>
      <c r="AX59" s="96"/>
      <c r="AY59" s="95"/>
      <c r="AZ59" s="98"/>
      <c r="BA59" s="99"/>
      <c r="BB59" s="95"/>
      <c r="BC59" s="96"/>
      <c r="BD59" s="96"/>
      <c r="BE59" s="98"/>
      <c r="BF59" s="95"/>
      <c r="BG59" s="96"/>
      <c r="BH59" s="96"/>
      <c r="BI59" s="98"/>
    </row>
    <row r="60" spans="1:61" ht="12" customHeight="1">
      <c r="A60" s="254">
        <f t="array" ref="A60">_xll.AC(DB,_xll.ArrayDPT($AA60:$AE60),_xll.ArrayCOA($AG60:$AZ60),YR-1,PRD,_xll.ArrayDIM($BB60:$BE60))</f>
        <v>0</v>
      </c>
      <c r="B60" s="254">
        <f t="shared" si="20"/>
        <v>0</v>
      </c>
      <c r="C60" s="254">
        <f t="shared" si="21"/>
        <v>0</v>
      </c>
      <c r="D60" s="254">
        <f t="shared" si="22"/>
        <v>0</v>
      </c>
      <c r="E60" s="254">
        <f t="array" ref="E60">_xll.BC(DB,_xll.ArrayDPT($AA60:$AE60),_xll.ArrayCOA($AG60:$AZ60),YR,PRD,RV,_xll.ArrayDIM($BB60:$BE60))</f>
        <v>0</v>
      </c>
      <c r="F60" s="254">
        <f t="shared" si="23"/>
        <v>0</v>
      </c>
      <c r="G60" s="254">
        <f t="array" ref="G60">_xll.AC(DB,_xll.ArrayDPT($AA60:$AE60),_xll.ArrayCOA($AG60:$AZ60),YR,PRD,_xll.ArrayDIM($BB60:$BE60))</f>
        <v>0</v>
      </c>
      <c r="H60" s="254">
        <f t="shared" si="24"/>
        <v>0</v>
      </c>
      <c r="I60" s="254"/>
      <c r="J60" s="328" t="s">
        <v>705</v>
      </c>
      <c r="K60" s="254"/>
      <c r="L60" s="254">
        <f t="array" ref="L60">_xll.ACC(DB,_xll.ArrayDPT($AA60:$AE60),_xll.ArrayCOA($AG60:$AZ60),YR,PRD,_xll.ArrayDIM($BB60:$BE60))</f>
        <v>0</v>
      </c>
      <c r="M60" s="237">
        <f t="shared" si="25"/>
        <v>0</v>
      </c>
      <c r="N60" s="254">
        <f t="array" ref="N60">_xll.BCC(DB,_xll.ArrayDPT($AA60:$AE60),_xll.ArrayCOA($AG60:$AZ60),YR,PRD,RV,_xll.ArrayDIM($BB60:$BE60))</f>
        <v>0</v>
      </c>
      <c r="O60" s="237">
        <f t="shared" si="26"/>
        <v>0</v>
      </c>
      <c r="P60" s="237">
        <f t="shared" si="27"/>
        <v>0</v>
      </c>
      <c r="Q60" s="237">
        <f t="shared" si="28"/>
        <v>0</v>
      </c>
      <c r="R60" s="254">
        <f t="array" ref="R60">_xll.ACC(DB,_xll.ArrayDPT($AA60:$AE60),_xll.ArrayCOA($AG60:$AZ60),YR-1,PRD,_xll.ArrayDIM($BB60:$BE60))</f>
        <v>0</v>
      </c>
      <c r="S60" s="237">
        <f t="shared" si="29"/>
        <v>0</v>
      </c>
      <c r="T60" s="328"/>
      <c r="U60" s="328"/>
      <c r="V60" s="328"/>
      <c r="W60" s="328"/>
      <c r="X60" s="328"/>
      <c r="Y60" s="328"/>
      <c r="Z60" s="328"/>
      <c r="AA60" s="95" t="s">
        <v>623</v>
      </c>
      <c r="AB60" s="96" t="s">
        <v>634</v>
      </c>
      <c r="AC60" s="96"/>
      <c r="AD60" s="96"/>
      <c r="AE60" s="96"/>
      <c r="AF60" s="97"/>
      <c r="AG60" s="95" t="s">
        <v>706</v>
      </c>
      <c r="AH60" s="96" t="s">
        <v>706</v>
      </c>
      <c r="AI60" s="95"/>
      <c r="AJ60" s="96"/>
      <c r="AK60" s="95"/>
      <c r="AL60" s="96"/>
      <c r="AM60" s="95"/>
      <c r="AN60" s="98"/>
      <c r="AO60" s="96"/>
      <c r="AP60" s="96"/>
      <c r="AQ60" s="95"/>
      <c r="AR60" s="98"/>
      <c r="AS60" s="96"/>
      <c r="AT60" s="96"/>
      <c r="AU60" s="95"/>
      <c r="AV60" s="98"/>
      <c r="AW60" s="96"/>
      <c r="AX60" s="96"/>
      <c r="AY60" s="95"/>
      <c r="AZ60" s="98"/>
      <c r="BA60" s="99"/>
      <c r="BB60" s="95"/>
      <c r="BC60" s="96"/>
      <c r="BD60" s="96"/>
      <c r="BE60" s="98"/>
      <c r="BF60" s="95"/>
      <c r="BG60" s="96"/>
      <c r="BH60" s="96"/>
      <c r="BI60" s="98"/>
    </row>
    <row r="61" spans="1:61" ht="12" customHeight="1">
      <c r="A61" s="254">
        <f t="array" ref="A61">_xll.AC(DB,_xll.ArrayDPT($AA61:$AE61),_xll.ArrayCOA($AG61:$AZ61),YR-1,PRD,_xll.ArrayDIM($BB61:$BE61))</f>
        <v>0</v>
      </c>
      <c r="B61" s="254">
        <f t="shared" si="20"/>
        <v>0</v>
      </c>
      <c r="C61" s="254">
        <f t="shared" si="21"/>
        <v>0</v>
      </c>
      <c r="D61" s="254">
        <f t="shared" si="22"/>
        <v>0</v>
      </c>
      <c r="E61" s="254">
        <f t="array" ref="E61">_xll.BC(DB,_xll.ArrayDPT($AA61:$AE61),_xll.ArrayCOA($AG61:$AZ61),YR,PRD,RV,_xll.ArrayDIM($BB61:$BE61))</f>
        <v>0</v>
      </c>
      <c r="F61" s="254">
        <f t="shared" si="23"/>
        <v>0</v>
      </c>
      <c r="G61" s="254">
        <f t="array" ref="G61">_xll.AC(DB,_xll.ArrayDPT($AA61:$AE61),_xll.ArrayCOA($AG61:$AZ61),YR,PRD,_xll.ArrayDIM($BB61:$BE61))</f>
        <v>0</v>
      </c>
      <c r="H61" s="254">
        <f t="shared" si="24"/>
        <v>0</v>
      </c>
      <c r="I61" s="254"/>
      <c r="J61" s="328" t="s">
        <v>707</v>
      </c>
      <c r="K61" s="254"/>
      <c r="L61" s="254">
        <f t="array" ref="L61">_xll.ACC(DB,_xll.ArrayDPT($AA61:$AE61),_xll.ArrayCOA($AG61:$AZ61),YR,PRD,_xll.ArrayDIM($BB61:$BE61))</f>
        <v>0</v>
      </c>
      <c r="M61" s="237">
        <f t="shared" si="25"/>
        <v>0</v>
      </c>
      <c r="N61" s="254">
        <f t="array" ref="N61">_xll.BCC(DB,_xll.ArrayDPT($AA61:$AE61),_xll.ArrayCOA($AG61:$AZ61),YR,PRD,RV,_xll.ArrayDIM($BB61:$BE61))</f>
        <v>0</v>
      </c>
      <c r="O61" s="237">
        <f t="shared" si="26"/>
        <v>0</v>
      </c>
      <c r="P61" s="237">
        <f t="shared" si="27"/>
        <v>0</v>
      </c>
      <c r="Q61" s="237">
        <f t="shared" si="28"/>
        <v>0</v>
      </c>
      <c r="R61" s="254">
        <f t="array" ref="R61">_xll.ACC(DB,_xll.ArrayDPT($AA61:$AE61),_xll.ArrayCOA($AG61:$AZ61),YR-1,PRD,_xll.ArrayDIM($BB61:$BE61))</f>
        <v>0</v>
      </c>
      <c r="S61" s="237">
        <f t="shared" si="29"/>
        <v>0</v>
      </c>
      <c r="T61" s="328"/>
      <c r="U61" s="328"/>
      <c r="V61" s="328"/>
      <c r="W61" s="328"/>
      <c r="X61" s="328"/>
      <c r="Y61" s="328"/>
      <c r="Z61" s="328"/>
      <c r="AA61" s="95" t="s">
        <v>623</v>
      </c>
      <c r="AB61" s="96" t="s">
        <v>634</v>
      </c>
      <c r="AC61" s="96"/>
      <c r="AD61" s="96"/>
      <c r="AE61" s="96"/>
      <c r="AF61" s="97"/>
      <c r="AG61" s="95" t="s">
        <v>708</v>
      </c>
      <c r="AH61" s="96" t="s">
        <v>708</v>
      </c>
      <c r="AI61" s="95"/>
      <c r="AJ61" s="96"/>
      <c r="AK61" s="95"/>
      <c r="AL61" s="96"/>
      <c r="AM61" s="95"/>
      <c r="AN61" s="98"/>
      <c r="AO61" s="96"/>
      <c r="AP61" s="96"/>
      <c r="AQ61" s="95"/>
      <c r="AR61" s="98"/>
      <c r="AS61" s="96"/>
      <c r="AT61" s="96"/>
      <c r="AU61" s="95"/>
      <c r="AV61" s="98"/>
      <c r="AW61" s="96"/>
      <c r="AX61" s="96"/>
      <c r="AY61" s="95"/>
      <c r="AZ61" s="98"/>
      <c r="BA61" s="99"/>
      <c r="BB61" s="95"/>
      <c r="BC61" s="96"/>
      <c r="BD61" s="96"/>
      <c r="BE61" s="98"/>
      <c r="BF61" s="95"/>
      <c r="BG61" s="96"/>
      <c r="BH61" s="96"/>
      <c r="BI61" s="98"/>
    </row>
    <row r="62" spans="1:61" ht="12" customHeight="1">
      <c r="A62" s="254">
        <f t="array" ref="A62">_xll.AC(DB,_xll.ArrayDPT($AA62:$AE62),_xll.ArrayCOA($AG62:$AZ62),YR-1,PRD,_xll.ArrayDIM($BB62:$BE62))</f>
        <v>720</v>
      </c>
      <c r="B62" s="254">
        <f t="shared" si="20"/>
        <v>9.9316929745511644E-3</v>
      </c>
      <c r="C62" s="254">
        <f t="shared" si="21"/>
        <v>0</v>
      </c>
      <c r="D62" s="254">
        <f t="shared" si="22"/>
        <v>0</v>
      </c>
      <c r="E62" s="254">
        <f t="array" ref="E62">_xll.BC(DB,_xll.ArrayDPT($AA62:$AE62),_xll.ArrayCOA($AG62:$AZ62),YR,PRD,RV,_xll.ArrayDIM($BB62:$BE62))</f>
        <v>0</v>
      </c>
      <c r="F62" s="254">
        <f t="shared" si="23"/>
        <v>0</v>
      </c>
      <c r="G62" s="254">
        <f t="array" ref="G62">_xll.AC(DB,_xll.ArrayDPT($AA62:$AE62),_xll.ArrayCOA($AG62:$AZ62),YR,PRD,_xll.ArrayDIM($BB62:$BE62))</f>
        <v>0</v>
      </c>
      <c r="H62" s="254">
        <f t="shared" si="24"/>
        <v>0</v>
      </c>
      <c r="I62" s="254"/>
      <c r="J62" s="328" t="s">
        <v>709</v>
      </c>
      <c r="K62" s="254"/>
      <c r="L62" s="254">
        <f t="array" ref="L62">_xll.ACC(DB,_xll.ArrayDPT($AA62:$AE62),_xll.ArrayCOA($AG62:$AZ62),YR,PRD,_xll.ArrayDIM($BB62:$BE62))</f>
        <v>0</v>
      </c>
      <c r="M62" s="237">
        <f t="shared" si="25"/>
        <v>0</v>
      </c>
      <c r="N62" s="254">
        <f t="array" ref="N62">_xll.BCC(DB,_xll.ArrayDPT($AA62:$AE62),_xll.ArrayCOA($AG62:$AZ62),YR,PRD,RV,_xll.ArrayDIM($BB62:$BE62))</f>
        <v>0</v>
      </c>
      <c r="O62" s="237">
        <f t="shared" si="26"/>
        <v>0</v>
      </c>
      <c r="P62" s="237">
        <f t="shared" si="27"/>
        <v>0</v>
      </c>
      <c r="Q62" s="237">
        <f t="shared" si="28"/>
        <v>0</v>
      </c>
      <c r="R62" s="254">
        <f t="array" ref="R62">_xll.ACC(DB,_xll.ArrayDPT($AA62:$AE62),_xll.ArrayCOA($AG62:$AZ62),YR-1,PRD,_xll.ArrayDIM($BB62:$BE62))</f>
        <v>720</v>
      </c>
      <c r="S62" s="237">
        <f t="shared" si="29"/>
        <v>9.9316929745511644E-3</v>
      </c>
      <c r="T62" s="328"/>
      <c r="U62" s="328"/>
      <c r="V62" s="328"/>
      <c r="W62" s="328"/>
      <c r="X62" s="328"/>
      <c r="Y62" s="328"/>
      <c r="Z62" s="328"/>
      <c r="AA62" s="95" t="s">
        <v>623</v>
      </c>
      <c r="AB62" s="96" t="s">
        <v>634</v>
      </c>
      <c r="AC62" s="96"/>
      <c r="AD62" s="96"/>
      <c r="AE62" s="96"/>
      <c r="AF62" s="97"/>
      <c r="AG62" s="95" t="s">
        <v>710</v>
      </c>
      <c r="AH62" s="96" t="s">
        <v>710</v>
      </c>
      <c r="AI62" s="95"/>
      <c r="AJ62" s="96"/>
      <c r="AK62" s="95"/>
      <c r="AL62" s="96"/>
      <c r="AM62" s="95"/>
      <c r="AN62" s="98"/>
      <c r="AO62" s="96"/>
      <c r="AP62" s="96"/>
      <c r="AQ62" s="95"/>
      <c r="AR62" s="98"/>
      <c r="AS62" s="96"/>
      <c r="AT62" s="96"/>
      <c r="AU62" s="95"/>
      <c r="AV62" s="98"/>
      <c r="AW62" s="96"/>
      <c r="AX62" s="96"/>
      <c r="AY62" s="95"/>
      <c r="AZ62" s="98"/>
      <c r="BA62" s="99"/>
      <c r="BB62" s="95"/>
      <c r="BC62" s="96"/>
      <c r="BD62" s="96"/>
      <c r="BE62" s="98"/>
      <c r="BF62" s="95"/>
      <c r="BG62" s="96"/>
      <c r="BH62" s="96"/>
      <c r="BI62" s="98"/>
    </row>
    <row r="63" spans="1:61" ht="12" customHeight="1">
      <c r="A63" s="254">
        <f t="array" ref="A63">_xll.AC(DB,_xll.ArrayDPT($AA63:$AE63),_xll.ArrayCOA($AG63:$AZ63),YR-1,PRD,_xll.ArrayDIM($BB63:$BE63))</f>
        <v>0</v>
      </c>
      <c r="B63" s="254">
        <f t="shared" si="20"/>
        <v>0</v>
      </c>
      <c r="C63" s="254">
        <f t="shared" si="21"/>
        <v>0</v>
      </c>
      <c r="D63" s="254">
        <f t="shared" si="22"/>
        <v>0</v>
      </c>
      <c r="E63" s="254">
        <f t="array" ref="E63">_xll.BC(DB,_xll.ArrayDPT($AA63:$AE63),_xll.ArrayCOA($AG63:$AZ63),YR,PRD,RV,_xll.ArrayDIM($BB63:$BE63))</f>
        <v>0</v>
      </c>
      <c r="F63" s="254">
        <f t="shared" si="23"/>
        <v>0</v>
      </c>
      <c r="G63" s="254">
        <f t="array" ref="G63">_xll.AC(DB,_xll.ArrayDPT($AA63:$AE63),_xll.ArrayCOA($AG63:$AZ63),YR,PRD,_xll.ArrayDIM($BB63:$BE63))</f>
        <v>0</v>
      </c>
      <c r="H63" s="254">
        <f t="shared" si="24"/>
        <v>0</v>
      </c>
      <c r="I63" s="254"/>
      <c r="J63" s="328" t="s">
        <v>711</v>
      </c>
      <c r="K63" s="254"/>
      <c r="L63" s="254">
        <f t="array" ref="L63">_xll.ACC(DB,_xll.ArrayDPT($AA63:$AE63),_xll.ArrayCOA($AG63:$AZ63),YR,PRD,_xll.ArrayDIM($BB63:$BE63))</f>
        <v>0</v>
      </c>
      <c r="M63" s="237">
        <f t="shared" si="25"/>
        <v>0</v>
      </c>
      <c r="N63" s="254">
        <f t="array" ref="N63">_xll.BCC(DB,_xll.ArrayDPT($AA63:$AE63),_xll.ArrayCOA($AG63:$AZ63),YR,PRD,RV,_xll.ArrayDIM($BB63:$BE63))</f>
        <v>0</v>
      </c>
      <c r="O63" s="237">
        <f t="shared" si="26"/>
        <v>0</v>
      </c>
      <c r="P63" s="237">
        <f t="shared" si="27"/>
        <v>0</v>
      </c>
      <c r="Q63" s="237">
        <f t="shared" si="28"/>
        <v>0</v>
      </c>
      <c r="R63" s="254">
        <f t="array" ref="R63">_xll.ACC(DB,_xll.ArrayDPT($AA63:$AE63),_xll.ArrayCOA($AG63:$AZ63),YR-1,PRD,_xll.ArrayDIM($BB63:$BE63))</f>
        <v>0</v>
      </c>
      <c r="S63" s="237">
        <f t="shared" si="29"/>
        <v>0</v>
      </c>
      <c r="T63" s="328"/>
      <c r="U63" s="328"/>
      <c r="V63" s="328"/>
      <c r="W63" s="328"/>
      <c r="X63" s="328"/>
      <c r="Y63" s="328"/>
      <c r="Z63" s="328"/>
      <c r="AA63" s="95" t="s">
        <v>634</v>
      </c>
      <c r="AB63" s="96" t="s">
        <v>634</v>
      </c>
      <c r="AC63" s="96"/>
      <c r="AD63" s="96"/>
      <c r="AE63" s="96"/>
      <c r="AF63" s="97"/>
      <c r="AG63" s="95" t="s">
        <v>712</v>
      </c>
      <c r="AH63" s="96" t="s">
        <v>712</v>
      </c>
      <c r="AI63" s="95"/>
      <c r="AJ63" s="96"/>
      <c r="AK63" s="95"/>
      <c r="AL63" s="96"/>
      <c r="AM63" s="95"/>
      <c r="AN63" s="98"/>
      <c r="AO63" s="96"/>
      <c r="AP63" s="96"/>
      <c r="AQ63" s="95"/>
      <c r="AR63" s="98"/>
      <c r="AS63" s="96"/>
      <c r="AT63" s="96"/>
      <c r="AU63" s="95"/>
      <c r="AV63" s="98"/>
      <c r="AW63" s="96"/>
      <c r="AX63" s="96"/>
      <c r="AY63" s="95"/>
      <c r="AZ63" s="98"/>
      <c r="BA63" s="99"/>
      <c r="BB63" s="95"/>
      <c r="BC63" s="96"/>
      <c r="BD63" s="96"/>
      <c r="BE63" s="98"/>
      <c r="BF63" s="95"/>
      <c r="BG63" s="96"/>
      <c r="BH63" s="96"/>
      <c r="BI63" s="98"/>
    </row>
    <row r="64" spans="1:61" ht="12" customHeight="1">
      <c r="A64" s="254">
        <f t="array" ref="A64">_xll.AC(DB,_xll.ArrayDPT($AA64:$AE64),_xll.ArrayCOA($AG64:$AZ64),YR-1,PRD,_xll.ArrayDIM($BB64:$BE64))</f>
        <v>0</v>
      </c>
      <c r="B64" s="254">
        <f t="shared" si="20"/>
        <v>0</v>
      </c>
      <c r="C64" s="254">
        <f t="shared" si="21"/>
        <v>0</v>
      </c>
      <c r="D64" s="254">
        <f t="shared" si="22"/>
        <v>0</v>
      </c>
      <c r="E64" s="254">
        <f t="array" ref="E64">_xll.BC(DB,_xll.ArrayDPT($AA64:$AE64),_xll.ArrayCOA($AG64:$AZ64),YR,PRD,RV,_xll.ArrayDIM($BB64:$BE64))</f>
        <v>0</v>
      </c>
      <c r="F64" s="254">
        <f t="shared" si="23"/>
        <v>0</v>
      </c>
      <c r="G64" s="254">
        <f t="array" ref="G64">_xll.AC(DB,_xll.ArrayDPT($AA64:$AE64),_xll.ArrayCOA($AG64:$AZ64),YR,PRD,_xll.ArrayDIM($BB64:$BE64))</f>
        <v>0</v>
      </c>
      <c r="H64" s="254">
        <f t="shared" si="24"/>
        <v>0</v>
      </c>
      <c r="I64" s="254"/>
      <c r="J64" s="328" t="s">
        <v>713</v>
      </c>
      <c r="K64" s="254"/>
      <c r="L64" s="254">
        <f t="array" ref="L64">_xll.ACC(DB,_xll.ArrayDPT($AA64:$AE64),_xll.ArrayCOA($AG64:$AZ64),YR,PRD,_xll.ArrayDIM($BB64:$BE64))</f>
        <v>0</v>
      </c>
      <c r="M64" s="237">
        <f t="shared" si="25"/>
        <v>0</v>
      </c>
      <c r="N64" s="254">
        <f t="array" ref="N64">_xll.BCC(DB,_xll.ArrayDPT($AA64:$AE64),_xll.ArrayCOA($AG64:$AZ64),YR,PRD,RV,_xll.ArrayDIM($BB64:$BE64))</f>
        <v>0</v>
      </c>
      <c r="O64" s="237">
        <f t="shared" si="26"/>
        <v>0</v>
      </c>
      <c r="P64" s="237">
        <f t="shared" si="27"/>
        <v>0</v>
      </c>
      <c r="Q64" s="237">
        <f t="shared" si="28"/>
        <v>0</v>
      </c>
      <c r="R64" s="254">
        <f t="array" ref="R64">_xll.ACC(DB,_xll.ArrayDPT($AA64:$AE64),_xll.ArrayCOA($AG64:$AZ64),YR-1,PRD,_xll.ArrayDIM($BB64:$BE64))</f>
        <v>0</v>
      </c>
      <c r="S64" s="237">
        <f t="shared" si="29"/>
        <v>0</v>
      </c>
      <c r="T64" s="328"/>
      <c r="U64" s="328"/>
      <c r="V64" s="328"/>
      <c r="W64" s="328"/>
      <c r="X64" s="328"/>
      <c r="Y64" s="328"/>
      <c r="Z64" s="328"/>
      <c r="AA64" s="95"/>
      <c r="AB64" s="96"/>
      <c r="AC64" s="96"/>
      <c r="AD64" s="96"/>
      <c r="AE64" s="96"/>
      <c r="AF64" s="97"/>
      <c r="AG64" s="95"/>
      <c r="AH64" s="96"/>
      <c r="AI64" s="95"/>
      <c r="AJ64" s="96"/>
      <c r="AK64" s="95"/>
      <c r="AL64" s="96"/>
      <c r="AM64" s="95"/>
      <c r="AN64" s="98"/>
      <c r="AO64" s="96"/>
      <c r="AP64" s="96"/>
      <c r="AQ64" s="95"/>
      <c r="AR64" s="98"/>
      <c r="AS64" s="96"/>
      <c r="AT64" s="96"/>
      <c r="AU64" s="95"/>
      <c r="AV64" s="98"/>
      <c r="AW64" s="96"/>
      <c r="AX64" s="96"/>
      <c r="AY64" s="95"/>
      <c r="AZ64" s="98"/>
      <c r="BA64" s="99"/>
      <c r="BB64" s="95"/>
      <c r="BC64" s="96"/>
      <c r="BD64" s="96"/>
      <c r="BE64" s="98"/>
      <c r="BF64" s="95"/>
      <c r="BG64" s="96"/>
      <c r="BH64" s="96"/>
      <c r="BI64" s="98"/>
    </row>
    <row r="65" spans="1:61" ht="12" customHeight="1">
      <c r="A65" s="254">
        <f t="array" ref="A65">_xll.AC(DB,_xll.ArrayDPT($AA65:$AE65),_xll.ArrayCOA($AG65:$AZ65),YR-1,PRD,_xll.ArrayDIM($BB65:$BE65))</f>
        <v>0</v>
      </c>
      <c r="B65" s="254">
        <f t="shared" si="20"/>
        <v>0</v>
      </c>
      <c r="C65" s="254">
        <f t="shared" si="21"/>
        <v>0</v>
      </c>
      <c r="D65" s="254">
        <f t="shared" si="22"/>
        <v>0</v>
      </c>
      <c r="E65" s="254">
        <f t="array" ref="E65">_xll.BC(DB,_xll.ArrayDPT($AA65:$AE65),_xll.ArrayCOA($AG65:$AZ65),YR,PRD,RV,_xll.ArrayDIM($BB65:$BE65))</f>
        <v>0</v>
      </c>
      <c r="F65" s="254">
        <f t="shared" si="23"/>
        <v>0</v>
      </c>
      <c r="G65" s="254">
        <f t="array" ref="G65">_xll.AC(DB,_xll.ArrayDPT($AA65:$AE65),_xll.ArrayCOA($AG65:$AZ65),YR,PRD,_xll.ArrayDIM($BB65:$BE65))</f>
        <v>0</v>
      </c>
      <c r="H65" s="254">
        <f t="shared" si="24"/>
        <v>0</v>
      </c>
      <c r="I65" s="254"/>
      <c r="J65" s="328" t="s">
        <v>714</v>
      </c>
      <c r="K65" s="254"/>
      <c r="L65" s="254">
        <f t="array" ref="L65">_xll.ACC(DB,_xll.ArrayDPT($AA65:$AE65),_xll.ArrayCOA($AG65:$AZ65),YR,PRD,_xll.ArrayDIM($BB65:$BE65))</f>
        <v>0</v>
      </c>
      <c r="M65" s="237">
        <f t="shared" si="25"/>
        <v>0</v>
      </c>
      <c r="N65" s="254">
        <f t="array" ref="N65">_xll.BCC(DB,_xll.ArrayDPT($AA65:$AE65),_xll.ArrayCOA($AG65:$AZ65),YR,PRD,RV,_xll.ArrayDIM($BB65:$BE65))</f>
        <v>0</v>
      </c>
      <c r="O65" s="237">
        <f t="shared" si="26"/>
        <v>0</v>
      </c>
      <c r="P65" s="237">
        <f t="shared" si="27"/>
        <v>0</v>
      </c>
      <c r="Q65" s="237">
        <f t="shared" si="28"/>
        <v>0</v>
      </c>
      <c r="R65" s="254">
        <f t="array" ref="R65">_xll.ACC(DB,_xll.ArrayDPT($AA65:$AE65),_xll.ArrayCOA($AG65:$AZ65),YR-1,PRD,_xll.ArrayDIM($BB65:$BE65))</f>
        <v>0</v>
      </c>
      <c r="S65" s="237">
        <f t="shared" si="29"/>
        <v>0</v>
      </c>
      <c r="T65" s="328"/>
      <c r="U65" s="328"/>
      <c r="V65" s="328"/>
      <c r="W65" s="328"/>
      <c r="X65" s="328"/>
      <c r="Y65" s="328"/>
      <c r="Z65" s="328"/>
      <c r="AA65" s="95" t="s">
        <v>623</v>
      </c>
      <c r="AB65" s="96" t="s">
        <v>634</v>
      </c>
      <c r="AC65" s="96"/>
      <c r="AD65" s="96"/>
      <c r="AE65" s="96"/>
      <c r="AF65" s="97"/>
      <c r="AG65" s="95" t="s">
        <v>715</v>
      </c>
      <c r="AH65" s="96" t="s">
        <v>715</v>
      </c>
      <c r="AI65" s="95" t="s">
        <v>716</v>
      </c>
      <c r="AJ65" s="96" t="s">
        <v>716</v>
      </c>
      <c r="AK65" s="95"/>
      <c r="AL65" s="96"/>
      <c r="AM65" s="95"/>
      <c r="AN65" s="98"/>
      <c r="AO65" s="96"/>
      <c r="AP65" s="96"/>
      <c r="AQ65" s="95"/>
      <c r="AR65" s="98"/>
      <c r="AS65" s="96"/>
      <c r="AT65" s="96"/>
      <c r="AU65" s="95"/>
      <c r="AV65" s="98"/>
      <c r="AW65" s="96"/>
      <c r="AX65" s="96"/>
      <c r="AY65" s="95"/>
      <c r="AZ65" s="98"/>
      <c r="BA65" s="99"/>
      <c r="BB65" s="95"/>
      <c r="BC65" s="96"/>
      <c r="BD65" s="96"/>
      <c r="BE65" s="98"/>
      <c r="BF65" s="95"/>
      <c r="BG65" s="96"/>
      <c r="BH65" s="96"/>
      <c r="BI65" s="98"/>
    </row>
    <row r="66" spans="1:61" ht="12" customHeight="1">
      <c r="A66" s="254">
        <f t="array" ref="A66">_xll.AC(DB,_xll.ArrayDPT($AA66:$AE66),_xll.ArrayCOA($AG66:$AZ66),YR-1,PRD,_xll.ArrayDIM($BB66:$BE66))</f>
        <v>0</v>
      </c>
      <c r="B66" s="254">
        <f t="shared" si="20"/>
        <v>0</v>
      </c>
      <c r="C66" s="254">
        <f t="shared" si="21"/>
        <v>-318</v>
      </c>
      <c r="D66" s="254">
        <f t="shared" si="22"/>
        <v>4.0142234793951043E-3</v>
      </c>
      <c r="E66" s="254">
        <f t="array" ref="E66">_xll.BC(DB,_xll.ArrayDPT($AA66:$AE66),_xll.ArrayCOA($AG66:$AZ66),YR,PRD,RV,_xll.ArrayDIM($BB66:$BE66))</f>
        <v>0</v>
      </c>
      <c r="F66" s="254">
        <f t="shared" si="23"/>
        <v>0</v>
      </c>
      <c r="G66" s="254">
        <f t="array" ref="G66">_xll.AC(DB,_xll.ArrayDPT($AA66:$AE66),_xll.ArrayCOA($AG66:$AZ66),YR,PRD,_xll.ArrayDIM($BB66:$BE66))</f>
        <v>318</v>
      </c>
      <c r="H66" s="254">
        <f t="shared" si="24"/>
        <v>4.0142234793951043E-3</v>
      </c>
      <c r="I66" s="254"/>
      <c r="J66" s="328" t="s">
        <v>717</v>
      </c>
      <c r="K66" s="254"/>
      <c r="L66" s="254">
        <f t="array" ref="L66">_xll.ACC(DB,_xll.ArrayDPT($AA66:$AE66),_xll.ArrayCOA($AG66:$AZ66),YR,PRD,_xll.ArrayDIM($BB66:$BE66))</f>
        <v>318</v>
      </c>
      <c r="M66" s="237">
        <f t="shared" si="25"/>
        <v>4.0142234793951043E-3</v>
      </c>
      <c r="N66" s="254">
        <f t="array" ref="N66">_xll.BCC(DB,_xll.ArrayDPT($AA66:$AE66),_xll.ArrayCOA($AG66:$AZ66),YR,PRD,RV,_xll.ArrayDIM($BB66:$BE66))</f>
        <v>0</v>
      </c>
      <c r="O66" s="237">
        <f t="shared" si="26"/>
        <v>0</v>
      </c>
      <c r="P66" s="237">
        <f t="shared" si="27"/>
        <v>-318</v>
      </c>
      <c r="Q66" s="237">
        <f t="shared" si="28"/>
        <v>4.0142234793951043E-3</v>
      </c>
      <c r="R66" s="254">
        <f t="array" ref="R66">_xll.ACC(DB,_xll.ArrayDPT($AA66:$AE66),_xll.ArrayCOA($AG66:$AZ66),YR-1,PRD,_xll.ArrayDIM($BB66:$BE66))</f>
        <v>0</v>
      </c>
      <c r="S66" s="237">
        <f t="shared" si="29"/>
        <v>0</v>
      </c>
      <c r="T66" s="328"/>
      <c r="U66" s="328"/>
      <c r="V66" s="328"/>
      <c r="W66" s="328"/>
      <c r="X66" s="328"/>
      <c r="Y66" s="328"/>
      <c r="Z66" s="328"/>
      <c r="AA66" s="95" t="s">
        <v>623</v>
      </c>
      <c r="AB66" s="96" t="s">
        <v>634</v>
      </c>
      <c r="AC66" s="96"/>
      <c r="AD66" s="96"/>
      <c r="AE66" s="96"/>
      <c r="AF66" s="97"/>
      <c r="AG66" s="95" t="s">
        <v>718</v>
      </c>
      <c r="AH66" s="96" t="s">
        <v>718</v>
      </c>
      <c r="AI66" s="95"/>
      <c r="AJ66" s="96"/>
      <c r="AK66" s="95"/>
      <c r="AL66" s="96"/>
      <c r="AM66" s="95"/>
      <c r="AN66" s="98"/>
      <c r="AO66" s="96"/>
      <c r="AP66" s="96"/>
      <c r="AQ66" s="95"/>
      <c r="AR66" s="98"/>
      <c r="AS66" s="96"/>
      <c r="AT66" s="96"/>
      <c r="AU66" s="95"/>
      <c r="AV66" s="98"/>
      <c r="AW66" s="96"/>
      <c r="AX66" s="96"/>
      <c r="AY66" s="95"/>
      <c r="AZ66" s="98"/>
      <c r="BA66" s="99"/>
      <c r="BB66" s="95"/>
      <c r="BC66" s="96"/>
      <c r="BD66" s="96"/>
      <c r="BE66" s="98"/>
      <c r="BF66" s="95"/>
      <c r="BG66" s="96"/>
      <c r="BH66" s="96"/>
      <c r="BI66" s="98"/>
    </row>
    <row r="67" spans="1:61" ht="12" customHeight="1">
      <c r="A67" s="254">
        <f t="array" ref="A67">_xll.AC(DB,_xll.ArrayDPT($AA67:$AE67),_xll.ArrayCOA($AG67:$AZ67),YR-1,PRD,_xll.ArrayDIM($BB67:$BE67))</f>
        <v>0</v>
      </c>
      <c r="B67" s="254">
        <f t="shared" si="20"/>
        <v>0</v>
      </c>
      <c r="C67" s="254">
        <f t="shared" si="21"/>
        <v>0</v>
      </c>
      <c r="D67" s="254">
        <f t="shared" si="22"/>
        <v>0</v>
      </c>
      <c r="E67" s="254">
        <f t="array" ref="E67">_xll.BC(DB,_xll.ArrayDPT($AA67:$AE67),_xll.ArrayCOA($AG67:$AZ67),YR,PRD,RV,_xll.ArrayDIM($BB67:$BE67))</f>
        <v>0</v>
      </c>
      <c r="F67" s="254">
        <f t="shared" si="23"/>
        <v>0</v>
      </c>
      <c r="G67" s="254">
        <f t="array" ref="G67">_xll.AC(DB,_xll.ArrayDPT($AA67:$AE67),_xll.ArrayCOA($AG67:$AZ67),YR,PRD,_xll.ArrayDIM($BB67:$BE67))</f>
        <v>0</v>
      </c>
      <c r="H67" s="254">
        <f t="shared" si="24"/>
        <v>0</v>
      </c>
      <c r="I67" s="254"/>
      <c r="J67" s="328" t="s">
        <v>719</v>
      </c>
      <c r="K67" s="254"/>
      <c r="L67" s="254">
        <f t="array" ref="L67">_xll.ACC(DB,_xll.ArrayDPT($AA67:$AE67),_xll.ArrayCOA($AG67:$AZ67),YR,PRD,_xll.ArrayDIM($BB67:$BE67))</f>
        <v>0</v>
      </c>
      <c r="M67" s="237">
        <f t="shared" si="25"/>
        <v>0</v>
      </c>
      <c r="N67" s="254">
        <f t="array" ref="N67">_xll.BCC(DB,_xll.ArrayDPT($AA67:$AE67),_xll.ArrayCOA($AG67:$AZ67),YR,PRD,RV,_xll.ArrayDIM($BB67:$BE67))</f>
        <v>0</v>
      </c>
      <c r="O67" s="237">
        <f t="shared" si="26"/>
        <v>0</v>
      </c>
      <c r="P67" s="237">
        <f t="shared" si="27"/>
        <v>0</v>
      </c>
      <c r="Q67" s="237">
        <f t="shared" si="28"/>
        <v>0</v>
      </c>
      <c r="R67" s="254">
        <f t="array" ref="R67">_xll.ACC(DB,_xll.ArrayDPT($AA67:$AE67),_xll.ArrayCOA($AG67:$AZ67),YR-1,PRD,_xll.ArrayDIM($BB67:$BE67))</f>
        <v>0</v>
      </c>
      <c r="S67" s="237">
        <f t="shared" si="29"/>
        <v>0</v>
      </c>
      <c r="T67" s="328"/>
      <c r="U67" s="328"/>
      <c r="V67" s="328"/>
      <c r="W67" s="328"/>
      <c r="X67" s="328"/>
      <c r="Y67" s="328"/>
      <c r="Z67" s="328"/>
      <c r="AA67" s="95" t="s">
        <v>634</v>
      </c>
      <c r="AB67" s="96"/>
      <c r="AC67" s="96"/>
      <c r="AD67" s="96"/>
      <c r="AE67" s="96"/>
      <c r="AF67" s="97"/>
      <c r="AG67" s="95" t="s">
        <v>720</v>
      </c>
      <c r="AH67" s="96" t="s">
        <v>720</v>
      </c>
      <c r="AI67" s="95"/>
      <c r="AJ67" s="96"/>
      <c r="AK67" s="95"/>
      <c r="AL67" s="96"/>
      <c r="AM67" s="95"/>
      <c r="AN67" s="98"/>
      <c r="AO67" s="96"/>
      <c r="AP67" s="96"/>
      <c r="AQ67" s="95"/>
      <c r="AR67" s="98"/>
      <c r="AS67" s="96"/>
      <c r="AT67" s="96"/>
      <c r="AU67" s="95"/>
      <c r="AV67" s="98"/>
      <c r="AW67" s="96"/>
      <c r="AX67" s="96"/>
      <c r="AY67" s="95"/>
      <c r="AZ67" s="98"/>
      <c r="BA67" s="99"/>
      <c r="BB67" s="95"/>
      <c r="BC67" s="96"/>
      <c r="BD67" s="96"/>
      <c r="BE67" s="98"/>
      <c r="BF67" s="95"/>
      <c r="BG67" s="96"/>
      <c r="BH67" s="96"/>
      <c r="BI67" s="98"/>
    </row>
    <row r="68" spans="1:61" ht="12" customHeight="1">
      <c r="A68" s="254">
        <f t="array" ref="A68">_xll.AC(DB,_xll.ArrayDPT($AA68:$AE68),_xll.ArrayCOA($AG68:$AZ68),YR-1,PRD,_xll.ArrayDIM($BB68:$BE68))</f>
        <v>226</v>
      </c>
      <c r="B68" s="254">
        <f t="shared" si="20"/>
        <v>3.1174480725674487E-3</v>
      </c>
      <c r="C68" s="254">
        <f t="shared" si="21"/>
        <v>-5816.1</v>
      </c>
      <c r="D68" s="254">
        <f t="shared" si="22"/>
        <v>7.3418632636823467E-2</v>
      </c>
      <c r="E68" s="254">
        <f t="array" ref="E68">_xll.BC(DB,_xll.ArrayDPT($AA68:$AE68),_xll.ArrayCOA($AG68:$AZ68),YR,PRD,RV,_xll.ArrayDIM($BB68:$BE68))</f>
        <v>0</v>
      </c>
      <c r="F68" s="254">
        <f t="shared" si="23"/>
        <v>0</v>
      </c>
      <c r="G68" s="254">
        <f t="array" ref="G68">_xll.AC(DB,_xll.ArrayDPT($AA68:$AE68),_xll.ArrayCOA($AG68:$AZ68),YR,PRD,_xll.ArrayDIM($BB68:$BE68))</f>
        <v>5816.1</v>
      </c>
      <c r="H68" s="254">
        <f t="shared" si="24"/>
        <v>7.3418632636823467E-2</v>
      </c>
      <c r="I68" s="254"/>
      <c r="J68" s="328" t="s">
        <v>721</v>
      </c>
      <c r="K68" s="254"/>
      <c r="L68" s="254">
        <f t="array" ref="L68">_xll.ACC(DB,_xll.ArrayDPT($AA68:$AE68),_xll.ArrayCOA($AG68:$AZ68),YR,PRD,_xll.ArrayDIM($BB68:$BE68))</f>
        <v>5816.1</v>
      </c>
      <c r="M68" s="237">
        <f t="shared" si="25"/>
        <v>7.3418632636823467E-2</v>
      </c>
      <c r="N68" s="254">
        <f t="array" ref="N68">_xll.BCC(DB,_xll.ArrayDPT($AA68:$AE68),_xll.ArrayCOA($AG68:$AZ68),YR,PRD,RV,_xll.ArrayDIM($BB68:$BE68))</f>
        <v>0</v>
      </c>
      <c r="O68" s="237">
        <f t="shared" si="26"/>
        <v>0</v>
      </c>
      <c r="P68" s="237">
        <f t="shared" si="27"/>
        <v>-5816.1</v>
      </c>
      <c r="Q68" s="237">
        <f t="shared" si="28"/>
        <v>7.3418632636823467E-2</v>
      </c>
      <c r="R68" s="254">
        <f t="array" ref="R68">_xll.ACC(DB,_xll.ArrayDPT($AA68:$AE68),_xll.ArrayCOA($AG68:$AZ68),YR-1,PRD,_xll.ArrayDIM($BB68:$BE68))</f>
        <v>226</v>
      </c>
      <c r="S68" s="237">
        <f t="shared" si="29"/>
        <v>3.1174480725674487E-3</v>
      </c>
      <c r="T68" s="328"/>
      <c r="U68" s="328"/>
      <c r="V68" s="328"/>
      <c r="W68" s="328"/>
      <c r="X68" s="328"/>
      <c r="Y68" s="328"/>
      <c r="Z68" s="328"/>
      <c r="AA68" s="95" t="s">
        <v>623</v>
      </c>
      <c r="AB68" s="96" t="s">
        <v>634</v>
      </c>
      <c r="AC68" s="96"/>
      <c r="AD68" s="96"/>
      <c r="AE68" s="96"/>
      <c r="AF68" s="97"/>
      <c r="AG68" s="95" t="s">
        <v>722</v>
      </c>
      <c r="AH68" s="96" t="s">
        <v>722</v>
      </c>
      <c r="AI68" s="95" t="s">
        <v>1362</v>
      </c>
      <c r="AJ68" s="96" t="s">
        <v>1362</v>
      </c>
      <c r="AK68" s="95"/>
      <c r="AL68" s="96"/>
      <c r="AM68" s="95"/>
      <c r="AN68" s="98"/>
      <c r="AO68" s="96"/>
      <c r="AP68" s="96"/>
      <c r="AQ68" s="95"/>
      <c r="AR68" s="98"/>
      <c r="AS68" s="96"/>
      <c r="AT68" s="96"/>
      <c r="AU68" s="95"/>
      <c r="AV68" s="98"/>
      <c r="AW68" s="96"/>
      <c r="AX68" s="96"/>
      <c r="AY68" s="95"/>
      <c r="AZ68" s="98"/>
      <c r="BA68" s="99"/>
      <c r="BB68" s="95"/>
      <c r="BC68" s="96"/>
      <c r="BD68" s="96"/>
      <c r="BE68" s="98"/>
      <c r="BF68" s="95"/>
      <c r="BG68" s="96"/>
      <c r="BH68" s="96"/>
      <c r="BI68" s="98"/>
    </row>
    <row r="69" spans="1:61" ht="12" customHeight="1">
      <c r="A69" s="254">
        <f t="array" ref="A69">_xll.AC(DB,_xll.ArrayDPT($AA69:$AE69),_xll.ArrayCOA($AG69:$AZ69),YR-1,PRD,_xll.ArrayDIM($BB69:$BE69))</f>
        <v>0</v>
      </c>
      <c r="B69" s="254">
        <f t="shared" si="20"/>
        <v>0</v>
      </c>
      <c r="C69" s="254">
        <f t="shared" si="21"/>
        <v>0</v>
      </c>
      <c r="D69" s="254">
        <f t="shared" si="22"/>
        <v>0</v>
      </c>
      <c r="E69" s="254">
        <f t="array" ref="E69">_xll.BC(DB,_xll.ArrayDPT($AA69:$AE69),_xll.ArrayCOA($AG69:$AZ69),YR,PRD,RV,_xll.ArrayDIM($BB69:$BE69))</f>
        <v>0</v>
      </c>
      <c r="F69" s="254">
        <f t="shared" si="23"/>
        <v>0</v>
      </c>
      <c r="G69" s="254">
        <f t="array" ref="G69">_xll.AC(DB,_xll.ArrayDPT($AA69:$AE69),_xll.ArrayCOA($AG69:$AZ69),YR,PRD,_xll.ArrayDIM($BB69:$BE69))</f>
        <v>0</v>
      </c>
      <c r="H69" s="254">
        <f t="shared" si="24"/>
        <v>0</v>
      </c>
      <c r="I69" s="254"/>
      <c r="J69" s="328" t="s">
        <v>723</v>
      </c>
      <c r="K69" s="254"/>
      <c r="L69" s="254">
        <f t="array" ref="L69">_xll.ACC(DB,_xll.ArrayDPT($AA69:$AE69),_xll.ArrayCOA($AG69:$AZ69),YR,PRD,_xll.ArrayDIM($BB69:$BE69))</f>
        <v>0</v>
      </c>
      <c r="M69" s="237">
        <f t="shared" si="25"/>
        <v>0</v>
      </c>
      <c r="N69" s="254">
        <f t="array" ref="N69">_xll.BCC(DB,_xll.ArrayDPT($AA69:$AE69),_xll.ArrayCOA($AG69:$AZ69),YR,PRD,RV,_xll.ArrayDIM($BB69:$BE69))</f>
        <v>0</v>
      </c>
      <c r="O69" s="237">
        <f t="shared" si="26"/>
        <v>0</v>
      </c>
      <c r="P69" s="237">
        <f t="shared" si="27"/>
        <v>0</v>
      </c>
      <c r="Q69" s="237">
        <f t="shared" si="28"/>
        <v>0</v>
      </c>
      <c r="R69" s="254">
        <f t="array" ref="R69">_xll.ACC(DB,_xll.ArrayDPT($AA69:$AE69),_xll.ArrayCOA($AG69:$AZ69),YR-1,PRD,_xll.ArrayDIM($BB69:$BE69))</f>
        <v>0</v>
      </c>
      <c r="S69" s="237"/>
      <c r="T69" s="328"/>
      <c r="U69" s="328"/>
      <c r="V69" s="328"/>
      <c r="W69" s="328"/>
      <c r="X69" s="328"/>
      <c r="Y69" s="328"/>
      <c r="Z69" s="328"/>
      <c r="AA69" s="95" t="s">
        <v>623</v>
      </c>
      <c r="AB69" s="96" t="s">
        <v>634</v>
      </c>
      <c r="AC69" s="96"/>
      <c r="AD69" s="96"/>
      <c r="AE69" s="96"/>
      <c r="AF69" s="97"/>
      <c r="AG69" s="95" t="s">
        <v>724</v>
      </c>
      <c r="AH69" s="96" t="s">
        <v>724</v>
      </c>
      <c r="AI69" s="95"/>
      <c r="AJ69" s="96"/>
      <c r="AK69" s="95"/>
      <c r="AL69" s="96"/>
      <c r="AM69" s="95"/>
      <c r="AN69" s="98"/>
      <c r="AO69" s="96"/>
      <c r="AP69" s="96"/>
      <c r="AQ69" s="95"/>
      <c r="AR69" s="98"/>
      <c r="AS69" s="96"/>
      <c r="AT69" s="96"/>
      <c r="AU69" s="95"/>
      <c r="AV69" s="98"/>
      <c r="AW69" s="96"/>
      <c r="AX69" s="96"/>
      <c r="AY69" s="95"/>
      <c r="AZ69" s="98"/>
      <c r="BA69" s="99"/>
      <c r="BB69" s="95"/>
      <c r="BC69" s="96"/>
      <c r="BD69" s="96"/>
      <c r="BE69" s="98"/>
      <c r="BF69" s="95"/>
      <c r="BG69" s="96"/>
      <c r="BH69" s="96"/>
      <c r="BI69" s="98"/>
    </row>
    <row r="70" spans="1:61" ht="12" customHeight="1">
      <c r="A70" s="254">
        <f t="array" ref="A70">_xll.AC(DB,_xll.ArrayDPT($AA70:$AE70),_xll.ArrayCOA($AG70:$AZ70),YR-1,PRD,_xll.ArrayDIM($BB70:$BE70))</f>
        <v>0</v>
      </c>
      <c r="B70" s="254">
        <f t="shared" si="20"/>
        <v>0</v>
      </c>
      <c r="C70" s="254">
        <f t="shared" si="21"/>
        <v>0</v>
      </c>
      <c r="D70" s="254">
        <f t="shared" si="22"/>
        <v>0</v>
      </c>
      <c r="E70" s="254">
        <f t="array" ref="E70">_xll.BC(DB,_xll.ArrayDPT($AA70:$AE70),_xll.ArrayCOA($AG70:$AZ70),YR,PRD,RV,_xll.ArrayDIM($BB70:$BE70))</f>
        <v>0</v>
      </c>
      <c r="F70" s="254">
        <f t="shared" si="23"/>
        <v>0</v>
      </c>
      <c r="G70" s="254">
        <f t="array" ref="G70">_xll.AC(DB,_xll.ArrayDPT($AA70:$AE70),_xll.ArrayCOA($AG70:$AZ70),YR,PRD,_xll.ArrayDIM($BB70:$BE70))</f>
        <v>0</v>
      </c>
      <c r="H70" s="254">
        <f t="shared" si="24"/>
        <v>0</v>
      </c>
      <c r="I70" s="254"/>
      <c r="J70" s="328" t="s">
        <v>725</v>
      </c>
      <c r="K70" s="254"/>
      <c r="L70" s="254">
        <f t="array" ref="L70">_xll.ACC(DB,_xll.ArrayDPT($AA70:$AE70),_xll.ArrayCOA($AG70:$AZ70),YR,PRD,_xll.ArrayDIM($BB70:$BE70))</f>
        <v>0</v>
      </c>
      <c r="M70" s="237">
        <f t="shared" si="25"/>
        <v>0</v>
      </c>
      <c r="N70" s="254">
        <f t="array" ref="N70">_xll.BCC(DB,_xll.ArrayDPT($AA70:$AE70),_xll.ArrayCOA($AG70:$AZ70),YR,PRD,RV,_xll.ArrayDIM($BB70:$BE70))</f>
        <v>0</v>
      </c>
      <c r="O70" s="237">
        <f t="shared" si="26"/>
        <v>0</v>
      </c>
      <c r="P70" s="237">
        <f t="shared" si="27"/>
        <v>0</v>
      </c>
      <c r="Q70" s="237">
        <f t="shared" si="28"/>
        <v>0</v>
      </c>
      <c r="R70" s="254">
        <f t="array" ref="R70">_xll.ACC(DB,_xll.ArrayDPT($AA70:$AE70),_xll.ArrayCOA($AG70:$AZ70),YR-1,PRD,_xll.ArrayDIM($BB70:$BE70))</f>
        <v>0</v>
      </c>
      <c r="S70" s="237">
        <f>IF(R70=0,0,(R70*100/R$14))</f>
        <v>0</v>
      </c>
      <c r="T70" s="328"/>
      <c r="U70" s="328"/>
      <c r="V70" s="328"/>
      <c r="W70" s="328"/>
      <c r="X70" s="328"/>
      <c r="Y70" s="328"/>
      <c r="Z70" s="328"/>
      <c r="AA70" s="95" t="s">
        <v>634</v>
      </c>
      <c r="AB70" s="96"/>
      <c r="AC70" s="96"/>
      <c r="AD70" s="96"/>
      <c r="AE70" s="96"/>
      <c r="AF70" s="97"/>
      <c r="AG70" s="95" t="s">
        <v>726</v>
      </c>
      <c r="AH70" s="96" t="s">
        <v>726</v>
      </c>
      <c r="AI70" s="95"/>
      <c r="AJ70" s="96"/>
      <c r="AK70" s="95"/>
      <c r="AL70" s="96"/>
      <c r="AM70" s="95"/>
      <c r="AN70" s="98"/>
      <c r="AO70" s="96"/>
      <c r="AP70" s="96"/>
      <c r="AQ70" s="95"/>
      <c r="AR70" s="98"/>
      <c r="AS70" s="96"/>
      <c r="AT70" s="96"/>
      <c r="AU70" s="95"/>
      <c r="AV70" s="98"/>
      <c r="AW70" s="96"/>
      <c r="AX70" s="96"/>
      <c r="AY70" s="95"/>
      <c r="AZ70" s="98"/>
      <c r="BA70" s="99"/>
      <c r="BB70" s="95"/>
      <c r="BC70" s="96"/>
      <c r="BD70" s="96"/>
      <c r="BE70" s="98"/>
      <c r="BF70" s="95"/>
      <c r="BG70" s="96"/>
      <c r="BH70" s="96"/>
      <c r="BI70" s="98"/>
    </row>
    <row r="71" spans="1:61" ht="6" customHeight="1">
      <c r="A71" s="341"/>
      <c r="B71" s="341"/>
      <c r="C71" s="341"/>
      <c r="D71" s="341"/>
      <c r="E71" s="341"/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28"/>
      <c r="U71" s="328"/>
      <c r="V71" s="328"/>
      <c r="W71" s="328"/>
      <c r="X71" s="328"/>
      <c r="Y71" s="328"/>
      <c r="Z71" s="328"/>
      <c r="AA71" s="95"/>
      <c r="AB71" s="96"/>
      <c r="AC71" s="96"/>
      <c r="AD71" s="96"/>
      <c r="AE71" s="96"/>
      <c r="AF71" s="97"/>
      <c r="AG71" s="95"/>
      <c r="AH71" s="96"/>
      <c r="AI71" s="95"/>
      <c r="AJ71" s="96"/>
      <c r="AK71" s="95"/>
      <c r="AL71" s="96"/>
      <c r="AM71" s="95"/>
      <c r="AN71" s="98"/>
      <c r="AO71" s="96"/>
      <c r="AP71" s="96"/>
      <c r="AQ71" s="95"/>
      <c r="AR71" s="98"/>
      <c r="AS71" s="96"/>
      <c r="AT71" s="96"/>
      <c r="AU71" s="95"/>
      <c r="AV71" s="98"/>
      <c r="AW71" s="96"/>
      <c r="AX71" s="96"/>
      <c r="AY71" s="95"/>
      <c r="AZ71" s="98"/>
      <c r="BA71" s="99"/>
      <c r="BB71" s="95"/>
      <c r="BC71" s="96"/>
      <c r="BD71" s="96"/>
      <c r="BE71" s="98"/>
      <c r="BF71" s="95"/>
      <c r="BG71" s="96"/>
      <c r="BH71" s="96"/>
      <c r="BI71" s="98"/>
    </row>
    <row r="72" spans="1:61" ht="12" customHeight="1">
      <c r="A72" s="334">
        <f>SUM(A28:A71)</f>
        <v>227068.56</v>
      </c>
      <c r="B72" s="334">
        <f t="shared" ref="B72:B74" si="30">IF(A72=0,0,(A72*100/A$14))</f>
        <v>3.1321878084631245</v>
      </c>
      <c r="C72" s="334">
        <f>SUM(C28:C71)</f>
        <v>-30605.309999999998</v>
      </c>
      <c r="D72" s="334">
        <f t="shared" ref="D72:D74" si="31">IF(C72=0,0,(C72*100/C$14))</f>
        <v>0.38634136476781689</v>
      </c>
      <c r="E72" s="334">
        <f>SUM(E28:E71)</f>
        <v>0</v>
      </c>
      <c r="F72" s="334">
        <f t="shared" ref="F72:F74" si="32">IF(E72=0,0,(E72*100/E$14))</f>
        <v>0</v>
      </c>
      <c r="G72" s="334">
        <f>SUM(G28:G71)</f>
        <v>30605.309999999998</v>
      </c>
      <c r="H72" s="334">
        <f t="shared" ref="H72:H74" si="33">IF(G72=0,0,(G72*100/G$14))</f>
        <v>0.38634136476781689</v>
      </c>
      <c r="I72" s="334"/>
      <c r="J72" s="342" t="s">
        <v>727</v>
      </c>
      <c r="K72" s="334"/>
      <c r="L72" s="338">
        <f>SUM(L28:L71)</f>
        <v>30605.309999999998</v>
      </c>
      <c r="M72" s="338">
        <f t="shared" ref="M72:M74" si="34">IF(L72=0,0,(L72*100/L$14))</f>
        <v>0.38634136476781689</v>
      </c>
      <c r="N72" s="338">
        <f>SUM(N28:N71)</f>
        <v>0</v>
      </c>
      <c r="O72" s="338">
        <f t="shared" ref="O72:O74" si="35">IF(N72=0,0,(N72*100/N$14))</f>
        <v>0</v>
      </c>
      <c r="P72" s="338">
        <f>SUM(P28:P71)</f>
        <v>-30605.309999999998</v>
      </c>
      <c r="Q72" s="338">
        <f t="shared" ref="Q72:Q74" si="36">IF(P72=0,0,(P72*100/P$14))</f>
        <v>0.38634136476781689</v>
      </c>
      <c r="R72" s="338">
        <f>SUM(R28:R71)</f>
        <v>227068.56</v>
      </c>
      <c r="S72" s="338">
        <f t="shared" ref="S72:S74" si="37">IF(R72=0,0,(R72*100/R$14))</f>
        <v>3.1321878084631245</v>
      </c>
      <c r="T72" s="339"/>
      <c r="U72" s="339"/>
      <c r="V72" s="339"/>
      <c r="W72" s="339"/>
      <c r="X72" s="339"/>
      <c r="Y72" s="339"/>
      <c r="Z72" s="339"/>
      <c r="AA72" s="95"/>
      <c r="AB72" s="96"/>
      <c r="AC72" s="96"/>
      <c r="AD72" s="96"/>
      <c r="AE72" s="96"/>
      <c r="AF72" s="97"/>
      <c r="AG72" s="95"/>
      <c r="AH72" s="96"/>
      <c r="AI72" s="95"/>
      <c r="AJ72" s="96"/>
      <c r="AK72" s="95"/>
      <c r="AL72" s="96"/>
      <c r="AM72" s="95"/>
      <c r="AN72" s="98"/>
      <c r="AO72" s="96"/>
      <c r="AP72" s="96"/>
      <c r="AQ72" s="95"/>
      <c r="AR72" s="98"/>
      <c r="AS72" s="96"/>
      <c r="AT72" s="96"/>
      <c r="AU72" s="95"/>
      <c r="AV72" s="98"/>
      <c r="AW72" s="96"/>
      <c r="AX72" s="96"/>
      <c r="AY72" s="95"/>
      <c r="AZ72" s="98"/>
      <c r="BA72" s="99"/>
      <c r="BB72" s="95"/>
      <c r="BC72" s="96"/>
      <c r="BD72" s="96"/>
      <c r="BE72" s="98"/>
      <c r="BF72" s="95"/>
      <c r="BG72" s="96"/>
      <c r="BH72" s="96"/>
      <c r="BI72" s="98"/>
    </row>
    <row r="73" spans="1:61" ht="12" customHeight="1">
      <c r="A73" s="343">
        <f>+A26+A72</f>
        <v>360201.9</v>
      </c>
      <c r="B73" s="344">
        <f t="shared" si="30"/>
        <v>4.9686314995138625</v>
      </c>
      <c r="C73" s="343">
        <f>+C26+C72</f>
        <v>-168070.91999999998</v>
      </c>
      <c r="D73" s="344">
        <f t="shared" si="31"/>
        <v>2.1216170857469692</v>
      </c>
      <c r="E73" s="343">
        <f>+E26+E72</f>
        <v>0</v>
      </c>
      <c r="F73" s="344">
        <f t="shared" si="32"/>
        <v>0</v>
      </c>
      <c r="G73" s="343">
        <f>+G26+G72</f>
        <v>168070.91999999998</v>
      </c>
      <c r="H73" s="344">
        <f t="shared" si="33"/>
        <v>2.1216170857469692</v>
      </c>
      <c r="I73" s="345"/>
      <c r="J73" s="346" t="s">
        <v>728</v>
      </c>
      <c r="K73" s="345"/>
      <c r="L73" s="343">
        <f>+L26+L72</f>
        <v>168070.91999999998</v>
      </c>
      <c r="M73" s="347">
        <f t="shared" si="34"/>
        <v>2.1216170857469692</v>
      </c>
      <c r="N73" s="343">
        <f>+N26+N72</f>
        <v>0</v>
      </c>
      <c r="O73" s="347">
        <f t="shared" si="35"/>
        <v>0</v>
      </c>
      <c r="P73" s="343">
        <f>+P26+P72</f>
        <v>-168070.91999999998</v>
      </c>
      <c r="Q73" s="347">
        <f t="shared" si="36"/>
        <v>2.1216170857469692</v>
      </c>
      <c r="R73" s="343">
        <f>+R26+R72</f>
        <v>360201.9</v>
      </c>
      <c r="S73" s="348">
        <f t="shared" si="37"/>
        <v>4.9686314995138625</v>
      </c>
      <c r="T73" s="349"/>
      <c r="U73" s="349"/>
      <c r="V73" s="349"/>
      <c r="W73" s="349"/>
      <c r="X73" s="349"/>
      <c r="Y73" s="349"/>
      <c r="Z73" s="349"/>
      <c r="AA73" s="95"/>
      <c r="AB73" s="96"/>
      <c r="AC73" s="96"/>
      <c r="AD73" s="96"/>
      <c r="AE73" s="96"/>
      <c r="AF73" s="97"/>
      <c r="AG73" s="95"/>
      <c r="AH73" s="96"/>
      <c r="AI73" s="95"/>
      <c r="AJ73" s="96"/>
      <c r="AK73" s="95"/>
      <c r="AL73" s="96"/>
      <c r="AM73" s="95"/>
      <c r="AN73" s="98"/>
      <c r="AO73" s="96"/>
      <c r="AP73" s="96"/>
      <c r="AQ73" s="95"/>
      <c r="AR73" s="98"/>
      <c r="AS73" s="96"/>
      <c r="AT73" s="96"/>
      <c r="AU73" s="95"/>
      <c r="AV73" s="98"/>
      <c r="AW73" s="96"/>
      <c r="AX73" s="96"/>
      <c r="AY73" s="95"/>
      <c r="AZ73" s="98"/>
      <c r="BA73" s="99"/>
      <c r="BB73" s="95"/>
      <c r="BC73" s="96"/>
      <c r="BD73" s="96"/>
      <c r="BE73" s="98"/>
      <c r="BF73" s="95"/>
      <c r="BG73" s="96"/>
      <c r="BH73" s="96"/>
      <c r="BI73" s="98"/>
    </row>
    <row r="74" spans="1:61" ht="12" customHeight="1">
      <c r="A74" s="350">
        <f>+A14-A73</f>
        <v>6889317.4099999992</v>
      </c>
      <c r="B74" s="350">
        <f t="shared" si="30"/>
        <v>95.031368500486124</v>
      </c>
      <c r="C74" s="350">
        <f>+C14-C73</f>
        <v>-7753760.080000001</v>
      </c>
      <c r="D74" s="350">
        <f t="shared" si="31"/>
        <v>97.878382914253038</v>
      </c>
      <c r="E74" s="350">
        <f>+E14-E73</f>
        <v>0</v>
      </c>
      <c r="F74" s="350">
        <f t="shared" si="32"/>
        <v>0</v>
      </c>
      <c r="G74" s="351">
        <f>+G14-G73</f>
        <v>7753760.080000001</v>
      </c>
      <c r="H74" s="350">
        <f t="shared" si="33"/>
        <v>97.878382914253038</v>
      </c>
      <c r="I74" s="352"/>
      <c r="J74" s="353" t="s">
        <v>729</v>
      </c>
      <c r="K74" s="352"/>
      <c r="L74" s="354">
        <f>+L14-L73</f>
        <v>7753760.080000001</v>
      </c>
      <c r="M74" s="354">
        <f t="shared" si="34"/>
        <v>97.878382914253038</v>
      </c>
      <c r="N74" s="354">
        <f>+N14-N73</f>
        <v>0</v>
      </c>
      <c r="O74" s="354">
        <f t="shared" si="35"/>
        <v>0</v>
      </c>
      <c r="P74" s="354">
        <f>+P14-P73</f>
        <v>-7753760.080000001</v>
      </c>
      <c r="Q74" s="354">
        <f t="shared" si="36"/>
        <v>97.878382914253038</v>
      </c>
      <c r="R74" s="354">
        <f>+R14-R73</f>
        <v>6889317.4099999992</v>
      </c>
      <c r="S74" s="355">
        <f t="shared" si="37"/>
        <v>95.031368500486124</v>
      </c>
      <c r="T74" s="349"/>
      <c r="U74" s="349"/>
      <c r="V74" s="349"/>
      <c r="W74" s="349"/>
      <c r="X74" s="349"/>
      <c r="Y74" s="349"/>
      <c r="Z74" s="349"/>
      <c r="AA74" s="95"/>
      <c r="AB74" s="96"/>
      <c r="AC74" s="96"/>
      <c r="AD74" s="96"/>
      <c r="AE74" s="96"/>
      <c r="AF74" s="97"/>
      <c r="AG74" s="95"/>
      <c r="AH74" s="96"/>
      <c r="AI74" s="95"/>
      <c r="AJ74" s="96"/>
      <c r="AK74" s="95"/>
      <c r="AL74" s="96"/>
      <c r="AM74" s="95"/>
      <c r="AN74" s="98"/>
      <c r="AO74" s="96"/>
      <c r="AP74" s="96"/>
      <c r="AQ74" s="95"/>
      <c r="AR74" s="98"/>
      <c r="AS74" s="96"/>
      <c r="AT74" s="96"/>
      <c r="AU74" s="95"/>
      <c r="AV74" s="98"/>
      <c r="AW74" s="96"/>
      <c r="AX74" s="96"/>
      <c r="AY74" s="95"/>
      <c r="AZ74" s="98"/>
      <c r="BA74" s="99"/>
      <c r="BB74" s="95"/>
      <c r="BC74" s="96"/>
      <c r="BD74" s="96"/>
      <c r="BE74" s="98"/>
      <c r="BF74" s="95"/>
      <c r="BG74" s="96"/>
      <c r="BH74" s="96"/>
      <c r="BI74" s="98"/>
    </row>
    <row r="75" spans="1:61" ht="12" customHeight="1">
      <c r="A75" s="279"/>
      <c r="B75" s="279"/>
      <c r="C75" s="279"/>
      <c r="D75" s="279"/>
      <c r="E75" s="279"/>
      <c r="F75" s="279"/>
      <c r="G75" s="356"/>
      <c r="H75" s="279"/>
      <c r="I75" s="279"/>
      <c r="J75" s="339"/>
      <c r="K75" s="279"/>
      <c r="L75" s="262"/>
      <c r="M75" s="262"/>
      <c r="N75" s="262"/>
      <c r="O75" s="262"/>
      <c r="P75" s="262"/>
      <c r="Q75" s="262"/>
      <c r="R75" s="262"/>
      <c r="S75" s="262"/>
      <c r="T75" s="339"/>
      <c r="U75" s="339"/>
      <c r="V75" s="339"/>
      <c r="W75" s="339"/>
      <c r="X75" s="339"/>
      <c r="Y75" s="339"/>
      <c r="Z75" s="339"/>
      <c r="AA75" s="95"/>
      <c r="AB75" s="96"/>
      <c r="AC75" s="96"/>
      <c r="AD75" s="96"/>
      <c r="AE75" s="96"/>
      <c r="AF75" s="97"/>
      <c r="AG75" s="95"/>
      <c r="AH75" s="96"/>
      <c r="AI75" s="95"/>
      <c r="AJ75" s="96"/>
      <c r="AK75" s="95"/>
      <c r="AL75" s="96"/>
      <c r="AM75" s="95"/>
      <c r="AN75" s="98"/>
      <c r="AO75" s="96"/>
      <c r="AP75" s="96"/>
      <c r="AQ75" s="95"/>
      <c r="AR75" s="98"/>
      <c r="AS75" s="96"/>
      <c r="AT75" s="96"/>
      <c r="AU75" s="95"/>
      <c r="AV75" s="98"/>
      <c r="AW75" s="96"/>
      <c r="AX75" s="96"/>
      <c r="AY75" s="95"/>
      <c r="AZ75" s="98"/>
      <c r="BA75" s="99"/>
      <c r="BB75" s="95"/>
      <c r="BC75" s="96"/>
      <c r="BD75" s="96"/>
      <c r="BE75" s="98"/>
      <c r="BF75" s="95"/>
      <c r="BG75" s="96"/>
      <c r="BH75" s="96"/>
      <c r="BI75" s="98"/>
    </row>
    <row r="76" spans="1:61" ht="12" customHeight="1">
      <c r="A76" s="279"/>
      <c r="B76" s="279"/>
      <c r="C76" s="279"/>
      <c r="D76" s="279"/>
      <c r="E76" s="279"/>
      <c r="F76" s="279"/>
      <c r="G76" s="279"/>
      <c r="H76" s="279"/>
      <c r="I76" s="279"/>
      <c r="J76" s="339"/>
      <c r="K76" s="279"/>
      <c r="L76" s="262"/>
      <c r="M76" s="262"/>
      <c r="N76" s="262"/>
      <c r="O76" s="262"/>
      <c r="P76" s="262"/>
      <c r="Q76" s="262"/>
      <c r="R76" s="262"/>
      <c r="S76" s="262"/>
      <c r="T76" s="339"/>
      <c r="U76" s="339"/>
      <c r="V76" s="339"/>
      <c r="W76" s="339"/>
      <c r="X76" s="339"/>
      <c r="Y76" s="339"/>
      <c r="Z76" s="339"/>
      <c r="AA76" s="95"/>
      <c r="AB76" s="96"/>
      <c r="AC76" s="96"/>
      <c r="AD76" s="96"/>
      <c r="AE76" s="96"/>
      <c r="AF76" s="97"/>
      <c r="AG76" s="95"/>
      <c r="AH76" s="96"/>
      <c r="AI76" s="95"/>
      <c r="AJ76" s="96"/>
      <c r="AK76" s="95"/>
      <c r="AL76" s="96"/>
      <c r="AM76" s="95"/>
      <c r="AN76" s="98"/>
      <c r="AO76" s="96"/>
      <c r="AP76" s="96"/>
      <c r="AQ76" s="95"/>
      <c r="AR76" s="98"/>
      <c r="AS76" s="96"/>
      <c r="AT76" s="96"/>
      <c r="AU76" s="95"/>
      <c r="AV76" s="98"/>
      <c r="AW76" s="96"/>
      <c r="AX76" s="96"/>
      <c r="AY76" s="95"/>
      <c r="AZ76" s="98"/>
      <c r="BA76" s="99"/>
      <c r="BB76" s="95"/>
      <c r="BC76" s="96"/>
      <c r="BD76" s="96"/>
      <c r="BE76" s="98"/>
      <c r="BF76" s="95"/>
      <c r="BG76" s="96"/>
      <c r="BH76" s="96"/>
      <c r="BI76" s="98"/>
    </row>
    <row r="77" spans="1:61" ht="12" customHeight="1">
      <c r="A77" s="357"/>
      <c r="B77" s="254"/>
      <c r="C77" s="357"/>
      <c r="D77" s="254"/>
      <c r="E77" s="357"/>
      <c r="F77" s="254"/>
      <c r="G77" s="357"/>
      <c r="H77" s="254"/>
      <c r="I77" s="254"/>
      <c r="J77" s="358" t="s">
        <v>730</v>
      </c>
      <c r="K77" s="254"/>
      <c r="L77" s="251"/>
      <c r="M77" s="237"/>
      <c r="N77" s="251"/>
      <c r="O77" s="237"/>
      <c r="P77" s="251"/>
      <c r="Q77" s="237"/>
      <c r="R77" s="251"/>
      <c r="S77" s="237"/>
      <c r="T77" s="359"/>
      <c r="U77" s="359"/>
      <c r="V77" s="359"/>
      <c r="W77" s="359"/>
      <c r="X77" s="359"/>
      <c r="Y77" s="359"/>
      <c r="Z77" s="359"/>
      <c r="AA77" s="95"/>
      <c r="AB77" s="96"/>
      <c r="AC77" s="96"/>
      <c r="AD77" s="96"/>
      <c r="AE77" s="96"/>
      <c r="AF77" s="97"/>
      <c r="AG77" s="95"/>
      <c r="AH77" s="96"/>
      <c r="AI77" s="95"/>
      <c r="AJ77" s="96"/>
      <c r="AK77" s="95"/>
      <c r="AL77" s="96"/>
      <c r="AM77" s="95"/>
      <c r="AN77" s="98"/>
      <c r="AO77" s="96"/>
      <c r="AP77" s="96"/>
      <c r="AQ77" s="95"/>
      <c r="AR77" s="98"/>
      <c r="AS77" s="96"/>
      <c r="AT77" s="96"/>
      <c r="AU77" s="95"/>
      <c r="AV77" s="98"/>
      <c r="AW77" s="96"/>
      <c r="AX77" s="96"/>
      <c r="AY77" s="95"/>
      <c r="AZ77" s="98"/>
      <c r="BA77" s="99"/>
      <c r="BB77" s="95"/>
      <c r="BC77" s="96"/>
      <c r="BD77" s="96"/>
      <c r="BE77" s="98"/>
      <c r="BF77" s="95"/>
      <c r="BG77" s="96"/>
      <c r="BH77" s="96"/>
      <c r="BI77" s="98"/>
    </row>
    <row r="78" spans="1:61" ht="12" customHeight="1">
      <c r="A78" s="360">
        <f>-_xll.AC(DB,_xll.ArrayDPT($AA78:$AE78),_xll.ArrayCOA($AG78:$AZ78),YR-1,PRD,_xll.ArrayDIM($BB78:$BE78))</f>
        <v>4588</v>
      </c>
      <c r="B78" s="361"/>
      <c r="C78" s="361">
        <f>+G78-E78</f>
        <v>4588</v>
      </c>
      <c r="D78" s="361"/>
      <c r="E78" s="361">
        <f t="array" ref="E78">_xll.BC(DB,_xll.ArrayDPT($AA78:$AE78),_xll.ArrayCOA($AG78:$AZ78),YR,PRD,RV,_xll.ArrayDIM($BB78:$BE78))</f>
        <v>0</v>
      </c>
      <c r="F78" s="361"/>
      <c r="G78" s="361">
        <f>-_xll.AC(DB,_xll.ArrayDPT($AA78:$AE78),_xll.ArrayCOA($AG78:$AZ78),YR,PRD,_xll.ArrayDIM($BB78:$BE78))</f>
        <v>4588</v>
      </c>
      <c r="H78" s="361"/>
      <c r="I78" s="361"/>
      <c r="J78" s="362" t="s">
        <v>731</v>
      </c>
      <c r="K78" s="361"/>
      <c r="L78" s="363">
        <f t="array" ref="L78">-_xll.ACC(DB,_xll.ArrayDPT($AA78:$AE78),_xll.ArrayCOA($AG78:$AZ78),YR,PRD,_xll.ArrayDIM($BB78:$BE78))</f>
        <v>4588</v>
      </c>
      <c r="M78" s="363"/>
      <c r="N78" s="363">
        <f t="array" ref="N78">_xll.BCC(DB,_xll.ArrayDPT($AA78:$AE78),_xll.ArrayCOA($AG78:$AZ78),YR,PRD,RV,_xll.ArrayDIM($BB78:$BE78))</f>
        <v>0</v>
      </c>
      <c r="O78" s="363"/>
      <c r="P78" s="363">
        <f>+N78-L78</f>
        <v>-4588</v>
      </c>
      <c r="Q78" s="363"/>
      <c r="R78" s="363">
        <f t="array" ref="R78">-_xll.ACC(DB,_xll.ArrayDPT($AA78:$AE78),_xll.ArrayCOA($AG78:$AZ78),YR-1,PRD,_xll.ArrayDIM($BB78:$BE78))</f>
        <v>4588</v>
      </c>
      <c r="S78" s="363"/>
      <c r="T78" s="364"/>
      <c r="U78" s="364"/>
      <c r="V78" s="359"/>
      <c r="W78" s="359"/>
      <c r="X78" s="359"/>
      <c r="Y78" s="359"/>
      <c r="Z78" s="359"/>
      <c r="AA78" s="95" t="s">
        <v>634</v>
      </c>
      <c r="AB78" s="96"/>
      <c r="AC78" s="96"/>
      <c r="AD78" s="96"/>
      <c r="AE78" s="96"/>
      <c r="AF78" s="97"/>
      <c r="AG78" s="95" t="s">
        <v>1357</v>
      </c>
      <c r="AH78" s="96"/>
      <c r="AI78" s="95"/>
      <c r="AJ78" s="96"/>
      <c r="AK78" s="95"/>
      <c r="AL78" s="96"/>
      <c r="AM78" s="95"/>
      <c r="AN78" s="98"/>
      <c r="AO78" s="96"/>
      <c r="AP78" s="96"/>
      <c r="AQ78" s="95"/>
      <c r="AR78" s="98"/>
      <c r="AS78" s="96"/>
      <c r="AT78" s="96"/>
      <c r="AU78" s="95"/>
      <c r="AV78" s="98"/>
      <c r="AW78" s="96"/>
      <c r="AX78" s="96"/>
      <c r="AY78" s="95"/>
      <c r="AZ78" s="98"/>
      <c r="BA78" s="99"/>
      <c r="BB78" s="95"/>
      <c r="BC78" s="96"/>
      <c r="BD78" s="96"/>
      <c r="BE78" s="98"/>
      <c r="BF78" s="95"/>
      <c r="BG78" s="96"/>
      <c r="BH78" s="96"/>
      <c r="BI78" s="98"/>
    </row>
    <row r="79" spans="1:61" ht="12" customHeight="1">
      <c r="A79" s="628">
        <f>A80/A78</f>
        <v>0.699433304272014</v>
      </c>
      <c r="B79" s="361"/>
      <c r="C79" s="628">
        <f>C80/C78</f>
        <v>0.75021795989537921</v>
      </c>
      <c r="D79" s="361"/>
      <c r="E79" s="628" t="e">
        <f>E80/E78</f>
        <v>#DIV/0!</v>
      </c>
      <c r="F79" s="361"/>
      <c r="G79" s="628">
        <f>G80/G78</f>
        <v>0.75021795989537921</v>
      </c>
      <c r="H79" s="361"/>
      <c r="I79" s="361"/>
      <c r="J79" s="362" t="s">
        <v>732</v>
      </c>
      <c r="K79" s="361"/>
      <c r="L79" s="628">
        <f>L80/L78</f>
        <v>0.75021795989537921</v>
      </c>
      <c r="M79" s="363"/>
      <c r="N79" s="628" t="e">
        <f>N80/N78</f>
        <v>#DIV/0!</v>
      </c>
      <c r="O79" s="363"/>
      <c r="P79" s="628">
        <f>P80/P78</f>
        <v>0.75021795989537921</v>
      </c>
      <c r="Q79" s="363"/>
      <c r="R79" s="628">
        <f>R80/R78</f>
        <v>0.699433304272014</v>
      </c>
      <c r="S79" s="363"/>
      <c r="T79" s="359"/>
      <c r="U79" s="359"/>
      <c r="V79" s="359"/>
      <c r="W79" s="359"/>
      <c r="X79" s="359"/>
      <c r="Y79" s="359"/>
      <c r="Z79" s="359"/>
      <c r="AA79" s="95"/>
      <c r="AB79" s="96"/>
      <c r="AC79" s="96"/>
      <c r="AD79" s="96"/>
      <c r="AE79" s="96"/>
      <c r="AF79" s="97"/>
      <c r="AG79" s="95"/>
      <c r="AH79" s="96"/>
      <c r="AI79" s="95"/>
      <c r="AJ79" s="96"/>
      <c r="AK79" s="95"/>
      <c r="AL79" s="96"/>
      <c r="AM79" s="95"/>
      <c r="AN79" s="98"/>
      <c r="AO79" s="96"/>
      <c r="AP79" s="96"/>
      <c r="AQ79" s="95"/>
      <c r="AR79" s="98"/>
      <c r="AS79" s="96"/>
      <c r="AT79" s="96"/>
      <c r="AU79" s="95"/>
      <c r="AV79" s="98"/>
      <c r="AW79" s="96"/>
      <c r="AX79" s="96"/>
      <c r="AY79" s="95"/>
      <c r="AZ79" s="98"/>
      <c r="BA79" s="99"/>
      <c r="BB79" s="95"/>
      <c r="BC79" s="96"/>
      <c r="BD79" s="96"/>
      <c r="BE79" s="98"/>
      <c r="BF79" s="95"/>
      <c r="BG79" s="96"/>
      <c r="BH79" s="96"/>
      <c r="BI79" s="98"/>
    </row>
    <row r="80" spans="1:61" ht="12" customHeight="1">
      <c r="A80" s="360">
        <f t="array" ref="A80">-_xll.AC(DB,_xll.ArrayDPT($AA80:$AE80),_xll.ArrayCOA($AG80:$AZ80),YR-1,PRD,_xll.ArrayDIM($BB80:$BE80))</f>
        <v>3209</v>
      </c>
      <c r="B80" s="361"/>
      <c r="C80" s="361">
        <f t="shared" ref="C80" si="38">+G80-E80</f>
        <v>3442</v>
      </c>
      <c r="D80" s="361"/>
      <c r="E80" s="361">
        <f t="array" ref="E80">_xll.BC(DB,_xll.ArrayDPT($AA80:$AE80),_xll.ArrayCOA($AG80:$AZ80),YR,PRD,RV,_xll.ArrayDIM($BB80:$BE80))</f>
        <v>0</v>
      </c>
      <c r="F80" s="361"/>
      <c r="G80" s="361">
        <f t="array" ref="G80">-_xll.AC(DB,_xll.ArrayDPT($AA80:$AE80),_xll.ArrayCOA($AG80:$AZ80),YR,PRD,_xll.ArrayDIM($BB80:$BE80))</f>
        <v>3442</v>
      </c>
      <c r="H80" s="361"/>
      <c r="I80" s="361"/>
      <c r="J80" s="362" t="s">
        <v>733</v>
      </c>
      <c r="K80" s="361"/>
      <c r="L80" s="363">
        <f t="array" ref="L80">-_xll.ACC(DB,_xll.ArrayDPT($AA80:$AE80),_xll.ArrayCOA($AG80:$AZ80),YR,PRD,_xll.ArrayDIM($BB80:$BE80))</f>
        <v>3442</v>
      </c>
      <c r="M80" s="363"/>
      <c r="N80" s="363">
        <f t="array" ref="N80">_xll.BCC(DB,_xll.ArrayDPT($AA80:$AE80),_xll.ArrayCOA($AG80:$AZ80),YR,PRD,RV,_xll.ArrayDIM($BB80:$BE80))</f>
        <v>0</v>
      </c>
      <c r="O80" s="363"/>
      <c r="P80" s="363">
        <f t="shared" ref="P80" si="39">+N80-L80</f>
        <v>-3442</v>
      </c>
      <c r="Q80" s="363"/>
      <c r="R80" s="363">
        <f t="array" ref="R80">-_xll.ACC(DB,_xll.ArrayDPT($AA80:$AE80),_xll.ArrayCOA($AG80:$AZ80),YR-1,PRD,_xll.ArrayDIM($BB80:$BE80))</f>
        <v>3209</v>
      </c>
      <c r="S80" s="363"/>
      <c r="T80" s="364"/>
      <c r="U80" s="364"/>
      <c r="V80" s="364"/>
      <c r="W80" s="359"/>
      <c r="X80" s="359"/>
      <c r="Y80" s="359"/>
      <c r="Z80" s="359"/>
      <c r="AA80" s="95" t="s">
        <v>634</v>
      </c>
      <c r="AB80" s="96"/>
      <c r="AC80" s="96"/>
      <c r="AD80" s="96"/>
      <c r="AE80" s="96"/>
      <c r="AF80" s="97"/>
      <c r="AG80" s="95" t="s">
        <v>1358</v>
      </c>
      <c r="AH80" s="96"/>
      <c r="AI80" s="95"/>
      <c r="AJ80" s="96"/>
      <c r="AK80" s="95"/>
      <c r="AL80" s="96"/>
      <c r="AM80" s="95"/>
      <c r="AN80" s="98"/>
      <c r="AO80" s="96"/>
      <c r="AP80" s="96"/>
      <c r="AQ80" s="95"/>
      <c r="AR80" s="98"/>
      <c r="AS80" s="96"/>
      <c r="AT80" s="96"/>
      <c r="AU80" s="95"/>
      <c r="AV80" s="98"/>
      <c r="AW80" s="96"/>
      <c r="AX80" s="96"/>
      <c r="AY80" s="95"/>
      <c r="AZ80" s="98"/>
      <c r="BA80" s="99"/>
      <c r="BB80" s="95"/>
      <c r="BC80" s="96"/>
      <c r="BD80" s="96"/>
      <c r="BE80" s="98"/>
      <c r="BF80" s="95"/>
      <c r="BG80" s="96"/>
      <c r="BH80" s="96"/>
      <c r="BI80" s="98"/>
    </row>
    <row r="81" spans="1:61" ht="12" customHeight="1">
      <c r="A81" s="361">
        <f>A8/A80</f>
        <v>2254.4789435961357</v>
      </c>
      <c r="B81" s="361"/>
      <c r="C81" s="361">
        <f>C8/C80</f>
        <v>-2294.026722835561</v>
      </c>
      <c r="D81" s="361"/>
      <c r="E81" s="361" t="e">
        <f>E8/E80</f>
        <v>#DIV/0!</v>
      </c>
      <c r="F81" s="361"/>
      <c r="G81" s="361">
        <f>G8/G80</f>
        <v>2294.026722835561</v>
      </c>
      <c r="H81" s="361"/>
      <c r="I81" s="361"/>
      <c r="J81" s="362" t="s">
        <v>734</v>
      </c>
      <c r="K81" s="361"/>
      <c r="L81" s="361">
        <f>L8/L80</f>
        <v>2294.026722835561</v>
      </c>
      <c r="M81" s="363"/>
      <c r="N81" s="361" t="e">
        <f>N8/N80</f>
        <v>#DIV/0!</v>
      </c>
      <c r="O81" s="363"/>
      <c r="P81" s="361">
        <f>P8/P80</f>
        <v>2294.026722835561</v>
      </c>
      <c r="Q81" s="363"/>
      <c r="R81" s="361">
        <f>R8/R80</f>
        <v>2254.4789435961357</v>
      </c>
      <c r="S81" s="363"/>
      <c r="T81" s="365"/>
      <c r="U81" s="359"/>
      <c r="V81" s="359"/>
      <c r="W81" s="359"/>
      <c r="X81" s="359"/>
      <c r="Y81" s="359"/>
      <c r="Z81" s="359"/>
      <c r="AA81" s="95"/>
      <c r="AB81" s="96"/>
      <c r="AC81" s="96"/>
      <c r="AD81" s="96"/>
      <c r="AE81" s="96"/>
      <c r="AF81" s="97"/>
      <c r="AG81" s="95"/>
      <c r="AH81" s="96"/>
      <c r="AI81" s="95"/>
      <c r="AJ81" s="96"/>
      <c r="AK81" s="95"/>
      <c r="AL81" s="96"/>
      <c r="AM81" s="95"/>
      <c r="AN81" s="98"/>
      <c r="AO81" s="96"/>
      <c r="AP81" s="96"/>
      <c r="AQ81" s="95"/>
      <c r="AR81" s="98"/>
      <c r="AS81" s="96"/>
      <c r="AT81" s="96"/>
      <c r="AU81" s="95"/>
      <c r="AV81" s="98"/>
      <c r="AW81" s="96"/>
      <c r="AX81" s="96"/>
      <c r="AY81" s="95"/>
      <c r="AZ81" s="98"/>
      <c r="BA81" s="99"/>
      <c r="BB81" s="95"/>
      <c r="BC81" s="96"/>
      <c r="BD81" s="96"/>
      <c r="BE81" s="98"/>
      <c r="BF81" s="95"/>
      <c r="BG81" s="96"/>
      <c r="BH81" s="96"/>
      <c r="BI81" s="98"/>
    </row>
    <row r="82" spans="1:61" ht="12" customHeight="1">
      <c r="A82" s="360">
        <f t="array" ref="A82">-_xll.AC(DB,_xll.ArrayDPT($AA82:$AE82),_xll.ArrayCOA($AG82:$AZ82),YR-1,PRD,_xll.ArrayDIM($BB82:$BE82))</f>
        <v>6310</v>
      </c>
      <c r="B82" s="361"/>
      <c r="C82" s="361">
        <f t="shared" ref="C82" si="40">+G82-E82</f>
        <v>6408</v>
      </c>
      <c r="D82" s="361"/>
      <c r="E82" s="361">
        <f t="array" ref="E82">_xll.BC(DB,_xll.ArrayDPT($AA82:$AE82),_xll.ArrayCOA($AG82:$AZ82),YR,PRD,RV,_xll.ArrayDIM($BB82:$BE82))</f>
        <v>0</v>
      </c>
      <c r="F82" s="361"/>
      <c r="G82" s="361">
        <f t="array" ref="G82">-_xll.AC(DB,_xll.ArrayDPT($AA82:$AE82),_xll.ArrayCOA($AG82:$AZ82),YR,PRD,_xll.ArrayDIM($BB82:$BE82))</f>
        <v>6408</v>
      </c>
      <c r="H82" s="361"/>
      <c r="I82" s="361"/>
      <c r="J82" s="362" t="s">
        <v>735</v>
      </c>
      <c r="K82" s="361"/>
      <c r="L82" s="363">
        <f t="array" ref="L82">-_xll.ACC(DB,_xll.ArrayDPT($AA82:$AE82),_xll.ArrayCOA($AG82:$AZ82),YR,PRD,_xll.ArrayDIM($BB82:$BE82))</f>
        <v>6408</v>
      </c>
      <c r="M82" s="363"/>
      <c r="N82" s="363">
        <f t="array" ref="N82">_xll.BCC(DB,_xll.ArrayDPT($AA82:$AE82),_xll.ArrayCOA($AG82:$AZ82),YR,PRD,RV,_xll.ArrayDIM($BB82:$BE82))</f>
        <v>0</v>
      </c>
      <c r="O82" s="363"/>
      <c r="P82" s="363">
        <f t="shared" ref="P82" si="41">+N82-L82</f>
        <v>-6408</v>
      </c>
      <c r="Q82" s="363"/>
      <c r="R82" s="363">
        <f t="array" ref="R82">-_xll.ACC(DB,_xll.ArrayDPT($AA82:$AE82),_xll.ArrayCOA($AG82:$AZ82),YR-1,PRD,_xll.ArrayDIM($BB82:$BE82))</f>
        <v>6310</v>
      </c>
      <c r="S82" s="363"/>
      <c r="T82" s="364"/>
      <c r="U82" s="364"/>
      <c r="V82" s="364"/>
      <c r="W82" s="364"/>
      <c r="X82" s="364"/>
      <c r="Y82" s="364"/>
      <c r="Z82" s="364"/>
      <c r="AA82" s="95" t="s">
        <v>634</v>
      </c>
      <c r="AB82" s="96"/>
      <c r="AC82" s="96"/>
      <c r="AD82" s="96"/>
      <c r="AE82" s="96"/>
      <c r="AF82" s="97"/>
      <c r="AG82" s="95" t="s">
        <v>1359</v>
      </c>
      <c r="AH82" s="96"/>
      <c r="AI82" s="95"/>
      <c r="AJ82" s="96"/>
      <c r="AK82" s="95"/>
      <c r="AL82" s="96"/>
      <c r="AM82" s="95"/>
      <c r="AN82" s="98"/>
      <c r="AO82" s="96"/>
      <c r="AP82" s="96"/>
      <c r="AQ82" s="95"/>
      <c r="AR82" s="98"/>
      <c r="AS82" s="96"/>
      <c r="AT82" s="96"/>
      <c r="AU82" s="95"/>
      <c r="AV82" s="98"/>
      <c r="AW82" s="96"/>
      <c r="AX82" s="96"/>
      <c r="AY82" s="95"/>
      <c r="AZ82" s="98"/>
      <c r="BA82" s="99"/>
      <c r="BB82" s="95"/>
      <c r="BC82" s="96"/>
      <c r="BD82" s="96"/>
      <c r="BE82" s="98"/>
      <c r="BF82" s="95"/>
      <c r="BG82" s="96"/>
      <c r="BH82" s="96"/>
      <c r="BI82" s="98"/>
    </row>
    <row r="83" spans="1:61" ht="12" customHeight="1">
      <c r="A83" s="366"/>
      <c r="B83" s="366"/>
      <c r="C83" s="366"/>
      <c r="D83" s="366"/>
      <c r="E83" s="366"/>
      <c r="F83" s="366"/>
      <c r="G83" s="366"/>
      <c r="H83" s="366"/>
      <c r="I83" s="366"/>
      <c r="J83" s="364"/>
      <c r="K83" s="366"/>
      <c r="L83" s="239"/>
      <c r="M83" s="239"/>
      <c r="N83" s="239"/>
      <c r="O83" s="239"/>
      <c r="P83" s="239"/>
      <c r="Q83" s="239"/>
      <c r="R83" s="239"/>
      <c r="S83" s="239"/>
      <c r="T83" s="364"/>
      <c r="U83" s="364"/>
      <c r="V83" s="364"/>
      <c r="W83" s="364"/>
      <c r="X83" s="364"/>
      <c r="Y83" s="364"/>
      <c r="Z83" s="364"/>
    </row>
    <row r="84" spans="1:61" ht="12" customHeight="1">
      <c r="A84" s="366"/>
      <c r="B84" s="366"/>
      <c r="C84" s="366"/>
      <c r="D84" s="366"/>
      <c r="E84" s="366"/>
      <c r="F84" s="366"/>
      <c r="G84" s="366"/>
      <c r="H84" s="366"/>
      <c r="I84" s="366"/>
      <c r="J84" s="364"/>
      <c r="K84" s="366"/>
      <c r="L84" s="239"/>
      <c r="M84" s="239"/>
      <c r="N84" s="239"/>
      <c r="O84" s="239"/>
      <c r="P84" s="239"/>
      <c r="Q84" s="239"/>
      <c r="R84" s="239"/>
      <c r="S84" s="239"/>
      <c r="T84" s="364"/>
      <c r="U84" s="364"/>
      <c r="V84" s="364"/>
      <c r="W84" s="364"/>
      <c r="X84" s="364"/>
      <c r="Y84" s="364"/>
      <c r="Z84" s="364"/>
    </row>
    <row r="85" spans="1:61" ht="12" customHeight="1">
      <c r="A85" s="366"/>
      <c r="B85" s="366"/>
      <c r="C85" s="366"/>
      <c r="D85" s="366"/>
      <c r="E85" s="366"/>
      <c r="F85" s="366"/>
      <c r="G85" s="366"/>
      <c r="H85" s="366"/>
      <c r="I85" s="366"/>
      <c r="J85" s="364"/>
      <c r="K85" s="366"/>
      <c r="L85" s="239"/>
      <c r="M85" s="239"/>
      <c r="N85" s="239"/>
      <c r="O85" s="239"/>
      <c r="P85" s="239"/>
      <c r="Q85" s="239"/>
      <c r="R85" s="239"/>
      <c r="S85" s="239"/>
      <c r="T85" s="364"/>
      <c r="U85" s="364"/>
      <c r="V85" s="364"/>
      <c r="W85" s="364"/>
      <c r="X85" s="364"/>
      <c r="Y85" s="364"/>
      <c r="Z85" s="364"/>
    </row>
    <row r="86" spans="1:61" ht="12" customHeight="1">
      <c r="A86" s="367"/>
      <c r="B86" s="367"/>
      <c r="C86" s="367"/>
      <c r="D86" s="367"/>
      <c r="E86" s="367"/>
      <c r="F86" s="367"/>
      <c r="G86" s="367"/>
      <c r="H86" s="367"/>
      <c r="I86" s="367"/>
      <c r="J86" s="365"/>
      <c r="K86" s="367"/>
      <c r="L86" s="244"/>
      <c r="M86" s="244"/>
      <c r="N86" s="244"/>
      <c r="O86" s="244"/>
      <c r="P86" s="244"/>
      <c r="Q86" s="244"/>
      <c r="R86" s="244"/>
      <c r="S86" s="244"/>
      <c r="T86" s="365"/>
      <c r="U86" s="365"/>
      <c r="V86" s="365"/>
      <c r="W86" s="365"/>
      <c r="X86" s="365"/>
      <c r="Y86" s="365"/>
      <c r="Z86" s="365"/>
    </row>
    <row r="87" spans="1:61" ht="12" customHeight="1">
      <c r="A87" s="366"/>
      <c r="B87" s="366"/>
      <c r="C87" s="366"/>
      <c r="D87" s="366"/>
      <c r="E87" s="366"/>
      <c r="F87" s="366"/>
      <c r="G87" s="366"/>
      <c r="H87" s="366"/>
      <c r="I87" s="366"/>
      <c r="J87" s="364"/>
      <c r="K87" s="366"/>
      <c r="L87" s="239"/>
      <c r="M87" s="239"/>
      <c r="N87" s="239"/>
      <c r="O87" s="239"/>
      <c r="P87" s="239"/>
      <c r="Q87" s="239"/>
      <c r="R87" s="239"/>
      <c r="S87" s="239"/>
      <c r="T87" s="364"/>
      <c r="U87" s="364"/>
      <c r="V87" s="359"/>
      <c r="W87" s="359"/>
      <c r="X87" s="359"/>
      <c r="Y87" s="359"/>
      <c r="Z87" s="359"/>
    </row>
    <row r="88" spans="1:61" ht="18" customHeight="1">
      <c r="A88" s="368"/>
      <c r="B88" s="102"/>
      <c r="C88" s="368"/>
      <c r="D88" s="102"/>
      <c r="E88" s="368"/>
      <c r="F88" s="102"/>
      <c r="G88" s="368"/>
      <c r="H88" s="102"/>
      <c r="I88" s="102"/>
      <c r="J88" s="369"/>
      <c r="K88" s="102"/>
      <c r="L88" s="369"/>
      <c r="M88" s="104"/>
      <c r="N88" s="369"/>
      <c r="O88" s="104"/>
      <c r="P88" s="369"/>
      <c r="Q88" s="104"/>
      <c r="R88" s="369"/>
      <c r="S88" s="104"/>
      <c r="T88" s="370"/>
      <c r="U88" s="370"/>
      <c r="V88" s="371"/>
      <c r="W88" s="371"/>
      <c r="X88" s="371"/>
      <c r="Y88" s="371"/>
      <c r="Z88" s="371"/>
    </row>
    <row r="89" spans="1:61" ht="18" customHeight="1">
      <c r="A89" s="368"/>
      <c r="B89" s="102"/>
      <c r="C89" s="368"/>
      <c r="D89" s="102"/>
      <c r="E89" s="368"/>
      <c r="F89" s="102"/>
      <c r="G89" s="368"/>
      <c r="H89" s="102"/>
      <c r="I89" s="102"/>
      <c r="J89" s="369"/>
      <c r="K89" s="102"/>
      <c r="L89" s="369"/>
      <c r="M89" s="104"/>
      <c r="N89" s="369"/>
      <c r="O89" s="104"/>
      <c r="P89" s="369"/>
      <c r="Q89" s="104"/>
      <c r="R89" s="369"/>
      <c r="S89" s="104"/>
      <c r="T89" s="370"/>
      <c r="U89" s="370"/>
      <c r="V89" s="371"/>
      <c r="W89" s="371"/>
      <c r="X89" s="371"/>
      <c r="Y89" s="371"/>
      <c r="Z89" s="371"/>
    </row>
    <row r="90" spans="1:61" ht="18" customHeight="1">
      <c r="A90" s="368"/>
      <c r="B90" s="102"/>
      <c r="C90" s="368"/>
      <c r="D90" s="102"/>
      <c r="E90" s="368"/>
      <c r="F90" s="368"/>
      <c r="G90" s="368"/>
      <c r="H90" s="102"/>
      <c r="I90" s="102"/>
      <c r="J90" s="369"/>
      <c r="K90" s="102"/>
      <c r="L90" s="369"/>
      <c r="M90" s="104"/>
      <c r="N90" s="369"/>
      <c r="O90" s="104"/>
      <c r="P90" s="369"/>
      <c r="Q90" s="104"/>
      <c r="R90" s="369"/>
      <c r="S90" s="104"/>
      <c r="T90" s="370"/>
      <c r="U90" s="370"/>
      <c r="V90" s="371"/>
      <c r="W90" s="371"/>
      <c r="X90" s="371"/>
      <c r="Y90" s="371"/>
      <c r="Z90" s="371"/>
    </row>
    <row r="91" spans="1:61" ht="18" customHeight="1">
      <c r="A91" s="368"/>
      <c r="B91" s="368"/>
      <c r="C91" s="372"/>
      <c r="D91" s="102"/>
      <c r="E91" s="368"/>
      <c r="F91" s="368"/>
      <c r="G91" s="368"/>
      <c r="H91" s="102"/>
      <c r="I91" s="102"/>
      <c r="J91" s="369"/>
      <c r="K91" s="102"/>
      <c r="L91" s="369"/>
      <c r="M91" s="104"/>
      <c r="N91" s="369"/>
      <c r="O91" s="104"/>
      <c r="P91" s="369"/>
      <c r="Q91" s="104"/>
      <c r="R91" s="369"/>
      <c r="S91" s="104"/>
      <c r="T91" s="370"/>
      <c r="U91" s="370"/>
      <c r="V91" s="371"/>
      <c r="W91" s="371"/>
      <c r="X91" s="371"/>
      <c r="Y91" s="371"/>
      <c r="Z91" s="371"/>
    </row>
    <row r="92" spans="1:61" ht="18" customHeight="1">
      <c r="A92" s="372"/>
      <c r="B92" s="373"/>
      <c r="C92" s="372"/>
      <c r="D92" s="102"/>
      <c r="E92" s="372"/>
      <c r="F92" s="373"/>
      <c r="G92" s="372"/>
      <c r="H92" s="102"/>
      <c r="I92" s="102"/>
      <c r="J92" s="125"/>
      <c r="K92" s="102"/>
      <c r="L92" s="125"/>
      <c r="M92" s="104"/>
      <c r="N92" s="125"/>
      <c r="O92" s="104"/>
      <c r="P92" s="125"/>
      <c r="Q92" s="104"/>
      <c r="R92" s="125"/>
      <c r="S92" s="104"/>
      <c r="T92" s="60"/>
      <c r="U92" s="60"/>
      <c r="V92" s="137"/>
      <c r="W92" s="137"/>
      <c r="X92" s="137"/>
      <c r="Y92" s="137"/>
      <c r="Z92" s="137"/>
    </row>
    <row r="93" spans="1:61" ht="18" customHeight="1">
      <c r="A93" s="373"/>
      <c r="B93" s="372"/>
      <c r="C93" s="153"/>
      <c r="D93" s="372"/>
      <c r="E93" s="373"/>
      <c r="F93" s="372"/>
      <c r="G93" s="102"/>
      <c r="H93" s="153"/>
      <c r="I93" s="125"/>
      <c r="J93" s="153"/>
      <c r="K93" s="374"/>
      <c r="L93" s="125"/>
      <c r="M93" s="104"/>
      <c r="N93" s="125"/>
      <c r="O93" s="104"/>
      <c r="P93" s="125"/>
      <c r="Q93" s="104"/>
      <c r="R93" s="125"/>
      <c r="S93" s="104"/>
      <c r="T93" s="60"/>
      <c r="U93" s="60"/>
      <c r="V93" s="137"/>
      <c r="W93" s="137"/>
      <c r="X93" s="137"/>
      <c r="Y93" s="137"/>
      <c r="Z93" s="137"/>
    </row>
    <row r="94" spans="1:61" ht="18" customHeight="1">
      <c r="A94" s="373"/>
      <c r="B94" s="372"/>
      <c r="C94" s="153"/>
      <c r="D94" s="372"/>
      <c r="E94" s="373"/>
      <c r="F94" s="372"/>
      <c r="G94" s="102"/>
      <c r="H94" s="153"/>
      <c r="I94" s="125"/>
      <c r="J94" s="153"/>
      <c r="K94" s="374"/>
      <c r="L94" s="125"/>
      <c r="M94" s="104"/>
      <c r="N94" s="125"/>
      <c r="O94" s="104"/>
      <c r="P94" s="125"/>
      <c r="Q94" s="104"/>
      <c r="R94" s="125"/>
      <c r="S94" s="104"/>
      <c r="T94" s="60"/>
      <c r="U94" s="60"/>
      <c r="V94" s="137"/>
      <c r="W94" s="137"/>
      <c r="X94" s="137"/>
      <c r="Y94" s="137"/>
      <c r="Z94" s="137"/>
    </row>
    <row r="95" spans="1:61" ht="18" customHeight="1">
      <c r="A95" s="373"/>
      <c r="B95" s="372"/>
      <c r="C95" s="153"/>
      <c r="D95" s="372"/>
      <c r="E95" s="373"/>
      <c r="F95" s="372"/>
      <c r="G95" s="102"/>
      <c r="H95" s="153"/>
      <c r="I95" s="125"/>
      <c r="J95" s="153"/>
      <c r="K95" s="374"/>
      <c r="L95" s="125"/>
      <c r="M95" s="104"/>
      <c r="N95" s="125"/>
      <c r="O95" s="104"/>
      <c r="P95" s="125"/>
      <c r="Q95" s="104"/>
      <c r="R95" s="125"/>
      <c r="S95" s="104"/>
      <c r="T95" s="60"/>
      <c r="U95" s="60"/>
      <c r="V95" s="137"/>
      <c r="W95" s="137"/>
      <c r="X95" s="137"/>
      <c r="Y95" s="137"/>
      <c r="Z95" s="137"/>
    </row>
    <row r="96" spans="1:61" ht="18" customHeight="1">
      <c r="A96" s="373"/>
      <c r="B96" s="372"/>
      <c r="C96" s="153"/>
      <c r="D96" s="372"/>
      <c r="E96" s="373"/>
      <c r="F96" s="372"/>
      <c r="G96" s="102"/>
      <c r="H96" s="153"/>
      <c r="I96" s="125"/>
      <c r="J96" s="153"/>
      <c r="K96" s="374"/>
      <c r="L96" s="125"/>
      <c r="M96" s="104"/>
      <c r="N96" s="125"/>
      <c r="O96" s="104"/>
      <c r="P96" s="125"/>
      <c r="Q96" s="104"/>
      <c r="R96" s="125"/>
      <c r="S96" s="104"/>
      <c r="T96" s="60"/>
      <c r="U96" s="60"/>
      <c r="V96" s="137"/>
      <c r="W96" s="137"/>
      <c r="X96" s="137"/>
      <c r="Y96" s="137"/>
      <c r="Z96" s="137"/>
    </row>
    <row r="97" spans="1:26" ht="18" customHeight="1">
      <c r="A97" s="373"/>
      <c r="B97" s="372"/>
      <c r="C97" s="153"/>
      <c r="D97" s="372"/>
      <c r="E97" s="373"/>
      <c r="F97" s="372"/>
      <c r="G97" s="102"/>
      <c r="H97" s="153"/>
      <c r="I97" s="125"/>
      <c r="J97" s="153"/>
      <c r="K97" s="374"/>
      <c r="L97" s="125"/>
      <c r="M97" s="104"/>
      <c r="N97" s="125"/>
      <c r="O97" s="104"/>
      <c r="P97" s="125"/>
      <c r="Q97" s="104"/>
      <c r="R97" s="125"/>
      <c r="S97" s="104"/>
      <c r="T97" s="60"/>
      <c r="U97" s="60"/>
      <c r="V97" s="137"/>
      <c r="W97" s="137"/>
      <c r="X97" s="137"/>
      <c r="Y97" s="137"/>
      <c r="Z97" s="137"/>
    </row>
    <row r="98" spans="1:26" ht="12" customHeight="1">
      <c r="A98" s="373"/>
      <c r="B98" s="372"/>
      <c r="C98" s="102"/>
      <c r="D98" s="372"/>
      <c r="E98" s="373"/>
      <c r="F98" s="372"/>
      <c r="G98" s="102"/>
      <c r="H98" s="102"/>
      <c r="I98" s="125"/>
      <c r="J98" s="102"/>
      <c r="K98" s="374"/>
      <c r="L98" s="125"/>
      <c r="M98" s="104"/>
      <c r="N98" s="125"/>
      <c r="O98" s="104"/>
      <c r="P98" s="125"/>
      <c r="Q98" s="104"/>
      <c r="R98" s="125"/>
      <c r="S98" s="104"/>
      <c r="T98" s="60"/>
      <c r="U98" s="60"/>
      <c r="V98" s="137"/>
      <c r="W98" s="137"/>
      <c r="X98" s="137"/>
      <c r="Y98" s="137"/>
      <c r="Z98" s="137"/>
    </row>
    <row r="99" spans="1:26" ht="12" customHeight="1">
      <c r="A99" s="373"/>
      <c r="B99" s="372"/>
      <c r="C99" s="153"/>
      <c r="D99" s="372"/>
      <c r="E99" s="373"/>
      <c r="F99" s="372"/>
      <c r="G99" s="102"/>
      <c r="H99" s="153"/>
      <c r="I99" s="125"/>
      <c r="J99" s="153"/>
      <c r="K99" s="374"/>
      <c r="L99" s="125"/>
      <c r="M99" s="104"/>
      <c r="N99" s="125"/>
      <c r="O99" s="104"/>
      <c r="P99" s="125"/>
      <c r="Q99" s="104"/>
      <c r="R99" s="125"/>
      <c r="S99" s="104"/>
      <c r="T99" s="60"/>
      <c r="U99" s="60"/>
      <c r="V99" s="137"/>
      <c r="W99" s="137"/>
      <c r="X99" s="137"/>
      <c r="Y99" s="137"/>
      <c r="Z99" s="137"/>
    </row>
    <row r="100" spans="1:26" ht="12" customHeight="1">
      <c r="A100" s="373"/>
      <c r="B100" s="372"/>
      <c r="C100" s="153"/>
      <c r="D100" s="372"/>
      <c r="E100" s="373"/>
      <c r="F100" s="372"/>
      <c r="G100" s="102"/>
      <c r="H100" s="153"/>
      <c r="I100" s="125"/>
      <c r="J100" s="153"/>
      <c r="K100" s="374"/>
      <c r="L100" s="125"/>
      <c r="M100" s="104"/>
      <c r="N100" s="125"/>
      <c r="O100" s="104"/>
      <c r="P100" s="125"/>
      <c r="Q100" s="104"/>
      <c r="R100" s="125"/>
      <c r="S100" s="104"/>
      <c r="T100" s="60"/>
      <c r="U100" s="60"/>
      <c r="V100" s="137"/>
      <c r="W100" s="137"/>
      <c r="X100" s="137"/>
      <c r="Y100" s="137"/>
      <c r="Z100" s="137"/>
    </row>
    <row r="101" spans="1:26" ht="12" customHeight="1">
      <c r="A101" s="373"/>
      <c r="B101" s="372"/>
      <c r="C101" s="102"/>
      <c r="D101" s="372"/>
      <c r="E101" s="373"/>
      <c r="F101" s="372"/>
      <c r="G101" s="102"/>
      <c r="H101" s="102"/>
      <c r="I101" s="125"/>
      <c r="J101" s="102"/>
      <c r="K101" s="374"/>
      <c r="L101" s="125"/>
      <c r="M101" s="104"/>
      <c r="N101" s="125"/>
      <c r="O101" s="104"/>
      <c r="P101" s="125"/>
      <c r="Q101" s="104"/>
      <c r="R101" s="125"/>
      <c r="S101" s="104"/>
      <c r="T101" s="60"/>
      <c r="U101" s="60"/>
      <c r="V101" s="137"/>
      <c r="W101" s="137"/>
      <c r="X101" s="137"/>
      <c r="Y101" s="137"/>
      <c r="Z101" s="137"/>
    </row>
    <row r="102" spans="1:26" ht="12" customHeight="1">
      <c r="A102" s="373"/>
      <c r="B102" s="372"/>
      <c r="C102" s="102"/>
      <c r="D102" s="372"/>
      <c r="E102" s="373"/>
      <c r="F102" s="372"/>
      <c r="G102" s="102"/>
      <c r="H102" s="102"/>
      <c r="I102" s="125"/>
      <c r="J102" s="102"/>
      <c r="K102" s="374"/>
      <c r="L102" s="125"/>
      <c r="M102" s="104"/>
      <c r="N102" s="125"/>
      <c r="O102" s="375"/>
      <c r="P102" s="125"/>
      <c r="Q102" s="104"/>
      <c r="R102" s="125"/>
      <c r="S102" s="104"/>
      <c r="T102" s="60"/>
      <c r="U102" s="60"/>
      <c r="V102" s="137"/>
      <c r="W102" s="137"/>
      <c r="X102" s="137"/>
      <c r="Y102" s="137"/>
      <c r="Z102" s="137"/>
    </row>
    <row r="103" spans="1:26" ht="12" customHeight="1">
      <c r="A103" s="373"/>
      <c r="B103" s="372"/>
      <c r="C103" s="153"/>
      <c r="D103" s="372"/>
      <c r="E103" s="373"/>
      <c r="F103" s="372"/>
      <c r="G103" s="102"/>
      <c r="H103" s="153"/>
      <c r="I103" s="125"/>
      <c r="J103" s="153"/>
      <c r="K103" s="374"/>
      <c r="L103" s="125"/>
      <c r="M103" s="375"/>
      <c r="N103" s="125"/>
      <c r="O103" s="375"/>
      <c r="P103" s="125"/>
      <c r="Q103" s="209"/>
      <c r="R103" s="125"/>
      <c r="S103" s="209"/>
      <c r="T103" s="60"/>
      <c r="U103" s="60"/>
      <c r="V103" s="137"/>
      <c r="W103" s="137"/>
      <c r="X103" s="137"/>
      <c r="Y103" s="137"/>
      <c r="Z103" s="137"/>
    </row>
    <row r="104" spans="1:26" ht="12" customHeight="1">
      <c r="A104" s="373"/>
      <c r="B104" s="372"/>
      <c r="C104" s="153"/>
      <c r="D104" s="372"/>
      <c r="E104" s="373"/>
      <c r="F104" s="372"/>
      <c r="G104" s="102"/>
      <c r="H104" s="153"/>
      <c r="I104" s="125"/>
      <c r="J104" s="153"/>
      <c r="K104" s="374"/>
      <c r="L104" s="125"/>
      <c r="M104" s="375"/>
      <c r="N104" s="125"/>
      <c r="O104" s="375"/>
      <c r="P104" s="125"/>
      <c r="Q104" s="209"/>
      <c r="R104" s="125"/>
      <c r="S104" s="209"/>
      <c r="T104" s="60"/>
      <c r="U104" s="60"/>
      <c r="V104" s="137"/>
      <c r="W104" s="137"/>
      <c r="X104" s="137"/>
      <c r="Y104" s="137"/>
      <c r="Z104" s="137"/>
    </row>
    <row r="105" spans="1:26" ht="12" customHeight="1">
      <c r="A105" s="373"/>
      <c r="B105" s="372"/>
      <c r="C105" s="153"/>
      <c r="D105" s="372"/>
      <c r="E105" s="373"/>
      <c r="F105" s="372"/>
      <c r="G105" s="102"/>
      <c r="H105" s="153"/>
      <c r="I105" s="125"/>
      <c r="J105" s="153"/>
      <c r="K105" s="374"/>
      <c r="L105" s="125"/>
      <c r="M105" s="375"/>
      <c r="N105" s="125"/>
      <c r="O105" s="375"/>
      <c r="P105" s="125"/>
      <c r="Q105" s="209"/>
      <c r="R105" s="125"/>
      <c r="S105" s="209"/>
      <c r="T105" s="60"/>
      <c r="U105" s="60"/>
      <c r="V105" s="137"/>
      <c r="W105" s="137"/>
      <c r="X105" s="137"/>
      <c r="Y105" s="137"/>
      <c r="Z105" s="137"/>
    </row>
    <row r="106" spans="1:26" ht="12" customHeight="1">
      <c r="A106" s="373"/>
      <c r="B106" s="372"/>
      <c r="C106" s="153"/>
      <c r="D106" s="372"/>
      <c r="E106" s="373"/>
      <c r="F106" s="372"/>
      <c r="G106" s="102"/>
      <c r="H106" s="153"/>
      <c r="I106" s="125"/>
      <c r="J106" s="153"/>
      <c r="K106" s="374"/>
      <c r="L106" s="125"/>
      <c r="M106" s="375"/>
      <c r="N106" s="125"/>
      <c r="O106" s="375"/>
      <c r="P106" s="125"/>
      <c r="Q106" s="209"/>
      <c r="R106" s="125"/>
      <c r="S106" s="209"/>
      <c r="T106" s="60"/>
      <c r="U106" s="60"/>
      <c r="V106" s="137"/>
      <c r="W106" s="137"/>
      <c r="X106" s="137"/>
      <c r="Y106" s="137"/>
      <c r="Z106" s="137"/>
    </row>
    <row r="107" spans="1:26" ht="12" customHeight="1">
      <c r="A107" s="373"/>
      <c r="B107" s="372"/>
      <c r="C107" s="153"/>
      <c r="D107" s="372"/>
      <c r="E107" s="373"/>
      <c r="F107" s="372"/>
      <c r="G107" s="102"/>
      <c r="H107" s="153"/>
      <c r="I107" s="125"/>
      <c r="J107" s="153"/>
      <c r="K107" s="374"/>
      <c r="L107" s="125"/>
      <c r="M107" s="375"/>
      <c r="N107" s="125"/>
      <c r="O107" s="375"/>
      <c r="P107" s="125"/>
      <c r="Q107" s="209"/>
      <c r="R107" s="125"/>
      <c r="S107" s="209"/>
      <c r="T107" s="60"/>
      <c r="U107" s="60"/>
      <c r="V107" s="137"/>
      <c r="W107" s="137"/>
      <c r="X107" s="137"/>
      <c r="Y107" s="137"/>
      <c r="Z107" s="137"/>
    </row>
    <row r="108" spans="1:26" ht="12" customHeight="1">
      <c r="A108" s="373"/>
      <c r="B108" s="372"/>
      <c r="C108" s="102"/>
      <c r="D108" s="372"/>
      <c r="E108" s="373"/>
      <c r="F108" s="372"/>
      <c r="G108" s="102"/>
      <c r="H108" s="102"/>
      <c r="I108" s="125"/>
      <c r="J108" s="102"/>
      <c r="K108" s="374"/>
      <c r="L108" s="125"/>
      <c r="M108" s="375"/>
      <c r="N108" s="125"/>
      <c r="O108" s="375"/>
      <c r="P108" s="125"/>
      <c r="Q108" s="209"/>
      <c r="R108" s="125"/>
      <c r="S108" s="209"/>
      <c r="T108" s="60"/>
      <c r="U108" s="60"/>
      <c r="V108" s="137"/>
      <c r="W108" s="137"/>
      <c r="X108" s="137"/>
      <c r="Y108" s="137"/>
      <c r="Z108" s="137"/>
    </row>
    <row r="109" spans="1:26" ht="12" customHeight="1">
      <c r="A109" s="373"/>
      <c r="B109" s="372"/>
      <c r="C109" s="102"/>
      <c r="D109" s="372"/>
      <c r="E109" s="373"/>
      <c r="F109" s="372"/>
      <c r="G109" s="102"/>
      <c r="H109" s="102"/>
      <c r="I109" s="125"/>
      <c r="J109" s="102"/>
      <c r="K109" s="374"/>
      <c r="L109" s="125"/>
      <c r="M109" s="375"/>
      <c r="N109" s="125"/>
      <c r="O109" s="375"/>
      <c r="P109" s="125"/>
      <c r="Q109" s="209"/>
      <c r="R109" s="125"/>
      <c r="S109" s="209"/>
      <c r="T109" s="60"/>
      <c r="U109" s="60"/>
      <c r="V109" s="137"/>
      <c r="W109" s="137"/>
      <c r="X109" s="137"/>
      <c r="Y109" s="137"/>
      <c r="Z109" s="137"/>
    </row>
    <row r="110" spans="1:26" ht="12" customHeight="1">
      <c r="A110" s="373"/>
      <c r="B110" s="372"/>
      <c r="C110" s="102"/>
      <c r="D110" s="372"/>
      <c r="E110" s="373"/>
      <c r="F110" s="372"/>
      <c r="G110" s="102"/>
      <c r="H110" s="102"/>
      <c r="I110" s="125"/>
      <c r="J110" s="102"/>
      <c r="K110" s="374"/>
      <c r="L110" s="125"/>
      <c r="M110" s="375"/>
      <c r="N110" s="125"/>
      <c r="O110" s="375"/>
      <c r="P110" s="125"/>
      <c r="Q110" s="209"/>
      <c r="R110" s="125"/>
      <c r="S110" s="209"/>
      <c r="T110" s="60"/>
      <c r="U110" s="60"/>
      <c r="V110" s="137"/>
      <c r="W110" s="137"/>
      <c r="X110" s="137"/>
      <c r="Y110" s="137"/>
      <c r="Z110" s="137"/>
    </row>
    <row r="111" spans="1:26" ht="12" customHeight="1">
      <c r="A111" s="373"/>
      <c r="B111" s="372"/>
      <c r="C111" s="102"/>
      <c r="D111" s="372"/>
      <c r="E111" s="373"/>
      <c r="F111" s="372"/>
      <c r="G111" s="102"/>
      <c r="H111" s="102"/>
      <c r="I111" s="125"/>
      <c r="J111" s="102"/>
      <c r="K111" s="374"/>
      <c r="L111" s="125"/>
      <c r="M111" s="375"/>
      <c r="N111" s="125"/>
      <c r="O111" s="375"/>
      <c r="P111" s="125"/>
      <c r="Q111" s="209"/>
      <c r="R111" s="125"/>
      <c r="S111" s="209"/>
      <c r="T111" s="60"/>
      <c r="U111" s="60"/>
      <c r="V111" s="137"/>
      <c r="W111" s="137"/>
      <c r="X111" s="137"/>
      <c r="Y111" s="137"/>
      <c r="Z111" s="137"/>
    </row>
    <row r="112" spans="1:26" ht="12" customHeight="1">
      <c r="A112" s="373"/>
      <c r="B112" s="372"/>
      <c r="C112" s="102"/>
      <c r="D112" s="372"/>
      <c r="E112" s="373"/>
      <c r="F112" s="372"/>
      <c r="G112" s="102"/>
      <c r="H112" s="102"/>
      <c r="I112" s="125"/>
      <c r="J112" s="102"/>
      <c r="K112" s="374"/>
      <c r="L112" s="125"/>
      <c r="M112" s="375"/>
      <c r="N112" s="125"/>
      <c r="O112" s="375"/>
      <c r="P112" s="125"/>
      <c r="Q112" s="209"/>
      <c r="R112" s="125"/>
      <c r="S112" s="209"/>
      <c r="T112" s="60"/>
      <c r="U112" s="60"/>
      <c r="V112" s="137"/>
      <c r="W112" s="137"/>
      <c r="X112" s="137"/>
      <c r="Y112" s="137"/>
      <c r="Z112" s="137"/>
    </row>
    <row r="113" spans="1:26" ht="12" customHeight="1">
      <c r="A113" s="373"/>
      <c r="B113" s="372"/>
      <c r="C113" s="153"/>
      <c r="D113" s="372"/>
      <c r="E113" s="373"/>
      <c r="F113" s="372"/>
      <c r="G113" s="102"/>
      <c r="H113" s="153"/>
      <c r="I113" s="125"/>
      <c r="J113" s="153"/>
      <c r="K113" s="374"/>
      <c r="L113" s="125"/>
      <c r="M113" s="375"/>
      <c r="N113" s="125"/>
      <c r="O113" s="375"/>
      <c r="P113" s="125"/>
      <c r="Q113" s="209"/>
      <c r="R113" s="125"/>
      <c r="S113" s="209"/>
      <c r="T113" s="60"/>
      <c r="U113" s="60"/>
      <c r="V113" s="137"/>
      <c r="W113" s="137"/>
      <c r="X113" s="137"/>
      <c r="Y113" s="137"/>
      <c r="Z113" s="137"/>
    </row>
    <row r="114" spans="1:26" ht="12" customHeight="1">
      <c r="A114" s="373"/>
      <c r="B114" s="372"/>
      <c r="C114" s="153"/>
      <c r="D114" s="372"/>
      <c r="E114" s="373"/>
      <c r="F114" s="372"/>
      <c r="G114" s="102"/>
      <c r="H114" s="153"/>
      <c r="I114" s="125"/>
      <c r="J114" s="153"/>
      <c r="K114" s="374"/>
      <c r="L114" s="125"/>
      <c r="M114" s="375"/>
      <c r="N114" s="125"/>
      <c r="O114" s="375"/>
      <c r="P114" s="125"/>
      <c r="Q114" s="209"/>
      <c r="R114" s="125"/>
      <c r="S114" s="209"/>
      <c r="T114" s="60"/>
      <c r="U114" s="60"/>
      <c r="V114" s="137"/>
      <c r="W114" s="137"/>
      <c r="X114" s="137"/>
      <c r="Y114" s="137"/>
      <c r="Z114" s="137"/>
    </row>
    <row r="115" spans="1:26" ht="12" customHeight="1">
      <c r="A115" s="373"/>
      <c r="B115" s="372"/>
      <c r="C115" s="153"/>
      <c r="D115" s="372"/>
      <c r="E115" s="373"/>
      <c r="F115" s="372"/>
      <c r="G115" s="102"/>
      <c r="H115" s="153"/>
      <c r="I115" s="125"/>
      <c r="J115" s="153"/>
      <c r="K115" s="374"/>
      <c r="L115" s="125"/>
      <c r="M115" s="375"/>
      <c r="N115" s="125"/>
      <c r="O115" s="375"/>
      <c r="P115" s="125"/>
      <c r="Q115" s="209"/>
      <c r="R115" s="125"/>
      <c r="S115" s="209"/>
      <c r="T115" s="60"/>
      <c r="U115" s="60"/>
      <c r="V115" s="137"/>
      <c r="W115" s="137"/>
      <c r="X115" s="137"/>
      <c r="Y115" s="137"/>
      <c r="Z115" s="137"/>
    </row>
    <row r="116" spans="1:26" ht="12" customHeight="1">
      <c r="A116" s="373"/>
      <c r="B116" s="372"/>
      <c r="C116" s="153"/>
      <c r="D116" s="372"/>
      <c r="E116" s="373"/>
      <c r="F116" s="372"/>
      <c r="G116" s="102"/>
      <c r="H116" s="153"/>
      <c r="I116" s="125"/>
      <c r="J116" s="153"/>
      <c r="K116" s="374"/>
      <c r="L116" s="125"/>
      <c r="M116" s="375"/>
      <c r="N116" s="125"/>
      <c r="O116" s="375"/>
      <c r="P116" s="125"/>
      <c r="Q116" s="209"/>
      <c r="R116" s="125"/>
      <c r="S116" s="209"/>
      <c r="T116" s="60"/>
      <c r="U116" s="60"/>
      <c r="V116" s="137"/>
      <c r="W116" s="137"/>
      <c r="X116" s="137"/>
      <c r="Y116" s="137"/>
      <c r="Z116" s="137"/>
    </row>
    <row r="117" spans="1:26" ht="12" customHeight="1">
      <c r="A117" s="373"/>
      <c r="B117" s="368"/>
      <c r="C117" s="102"/>
      <c r="D117" s="372"/>
      <c r="E117" s="373"/>
      <c r="F117" s="372"/>
      <c r="G117" s="102"/>
      <c r="H117" s="102"/>
      <c r="I117" s="125"/>
      <c r="J117" s="102"/>
      <c r="K117" s="374"/>
      <c r="L117" s="125"/>
      <c r="M117" s="375"/>
      <c r="N117" s="125"/>
      <c r="O117" s="375"/>
      <c r="P117" s="125"/>
      <c r="Q117" s="209"/>
      <c r="R117" s="125"/>
      <c r="S117" s="209"/>
      <c r="T117" s="60"/>
      <c r="U117" s="60"/>
      <c r="V117" s="137"/>
      <c r="W117" s="137"/>
      <c r="X117" s="137"/>
      <c r="Y117" s="137"/>
      <c r="Z117" s="137"/>
    </row>
    <row r="118" spans="1:26" ht="12" customHeight="1">
      <c r="A118" s="373"/>
      <c r="B118" s="372"/>
      <c r="C118" s="102"/>
      <c r="D118" s="372"/>
      <c r="E118" s="373"/>
      <c r="F118" s="372"/>
      <c r="G118" s="102"/>
      <c r="H118" s="102"/>
      <c r="I118" s="125"/>
      <c r="J118" s="102"/>
      <c r="K118" s="374"/>
      <c r="L118" s="125"/>
      <c r="M118" s="375"/>
      <c r="N118" s="125"/>
      <c r="O118" s="375"/>
      <c r="P118" s="125"/>
      <c r="Q118" s="209"/>
      <c r="R118" s="125"/>
      <c r="S118" s="209"/>
      <c r="T118" s="60"/>
      <c r="U118" s="60"/>
      <c r="V118" s="137"/>
      <c r="W118" s="137"/>
      <c r="X118" s="137"/>
      <c r="Y118" s="137"/>
      <c r="Z118" s="137"/>
    </row>
    <row r="119" spans="1:26" ht="12" customHeight="1">
      <c r="A119" s="373"/>
      <c r="B119" s="372"/>
      <c r="C119" s="153"/>
      <c r="D119" s="372"/>
      <c r="E119" s="373"/>
      <c r="F119" s="372"/>
      <c r="G119" s="102"/>
      <c r="H119" s="153"/>
      <c r="I119" s="125"/>
      <c r="J119" s="153"/>
      <c r="K119" s="374"/>
      <c r="L119" s="125"/>
      <c r="M119" s="375"/>
      <c r="N119" s="125"/>
      <c r="O119" s="375"/>
      <c r="P119" s="125"/>
      <c r="Q119" s="209"/>
      <c r="R119" s="125"/>
      <c r="S119" s="209"/>
      <c r="T119" s="60"/>
      <c r="U119" s="60"/>
      <c r="V119" s="137"/>
      <c r="W119" s="137"/>
      <c r="X119" s="137"/>
      <c r="Y119" s="137"/>
      <c r="Z119" s="137"/>
    </row>
    <row r="120" spans="1:26" ht="12" customHeight="1">
      <c r="A120" s="372"/>
      <c r="B120" s="373"/>
      <c r="C120" s="372"/>
      <c r="D120" s="153"/>
      <c r="E120" s="372"/>
      <c r="F120" s="373"/>
      <c r="G120" s="372"/>
      <c r="H120" s="102"/>
      <c r="I120" s="153"/>
      <c r="J120" s="125"/>
      <c r="K120" s="153"/>
      <c r="L120" s="125"/>
      <c r="M120" s="375"/>
      <c r="N120" s="125"/>
      <c r="O120" s="375"/>
      <c r="P120" s="125"/>
      <c r="Q120" s="209"/>
      <c r="R120" s="125"/>
      <c r="S120" s="209"/>
      <c r="T120" s="60"/>
      <c r="U120" s="60"/>
      <c r="V120" s="137"/>
      <c r="W120" s="137"/>
      <c r="X120" s="137"/>
      <c r="Y120" s="137"/>
      <c r="Z120" s="137"/>
    </row>
    <row r="121" spans="1:26" ht="12" customHeight="1">
      <c r="A121" s="372"/>
      <c r="B121" s="373"/>
      <c r="C121" s="372"/>
      <c r="D121" s="153"/>
      <c r="E121" s="372"/>
      <c r="F121" s="373"/>
      <c r="G121" s="372"/>
      <c r="H121" s="102"/>
      <c r="I121" s="153"/>
      <c r="J121" s="125"/>
      <c r="K121" s="153"/>
      <c r="L121" s="125"/>
      <c r="M121" s="375"/>
      <c r="N121" s="125"/>
      <c r="O121" s="375"/>
      <c r="P121" s="125"/>
      <c r="Q121" s="209"/>
      <c r="R121" s="125"/>
      <c r="S121" s="209"/>
      <c r="T121" s="60"/>
      <c r="U121" s="60"/>
      <c r="V121" s="137"/>
      <c r="W121" s="137"/>
      <c r="X121" s="137"/>
      <c r="Y121" s="137"/>
      <c r="Z121" s="137"/>
    </row>
    <row r="122" spans="1:26" ht="12" customHeight="1">
      <c r="A122" s="372"/>
      <c r="B122" s="373"/>
      <c r="C122" s="372"/>
      <c r="D122" s="153"/>
      <c r="E122" s="372"/>
      <c r="F122" s="373"/>
      <c r="G122" s="372"/>
      <c r="H122" s="102"/>
      <c r="I122" s="153"/>
      <c r="J122" s="125"/>
      <c r="K122" s="153"/>
      <c r="L122" s="125"/>
      <c r="M122" s="375"/>
      <c r="N122" s="125"/>
      <c r="O122" s="375"/>
      <c r="P122" s="125"/>
      <c r="Q122" s="209"/>
      <c r="R122" s="125"/>
      <c r="S122" s="209"/>
      <c r="T122" s="60"/>
      <c r="U122" s="60"/>
      <c r="V122" s="137"/>
      <c r="W122" s="137"/>
      <c r="X122" s="137"/>
      <c r="Y122" s="137"/>
      <c r="Z122" s="137"/>
    </row>
    <row r="123" spans="1:26" ht="12" customHeight="1">
      <c r="A123" s="372"/>
      <c r="B123" s="373"/>
      <c r="C123" s="372"/>
      <c r="D123" s="153"/>
      <c r="E123" s="372"/>
      <c r="F123" s="373"/>
      <c r="G123" s="372"/>
      <c r="H123" s="102"/>
      <c r="I123" s="153"/>
      <c r="J123" s="125"/>
      <c r="K123" s="153"/>
      <c r="L123" s="125"/>
      <c r="M123" s="375"/>
      <c r="N123" s="125"/>
      <c r="O123" s="375"/>
      <c r="P123" s="125"/>
      <c r="Q123" s="209"/>
      <c r="R123" s="125"/>
      <c r="S123" s="209"/>
      <c r="T123" s="60"/>
      <c r="U123" s="60"/>
      <c r="V123" s="137"/>
      <c r="W123" s="137"/>
      <c r="X123" s="137"/>
      <c r="Y123" s="137"/>
      <c r="Z123" s="137"/>
    </row>
    <row r="124" spans="1:26" ht="12" customHeight="1">
      <c r="A124" s="372"/>
      <c r="B124" s="373"/>
      <c r="C124" s="372"/>
      <c r="D124" s="153"/>
      <c r="E124" s="372"/>
      <c r="F124" s="373"/>
      <c r="G124" s="372"/>
      <c r="H124" s="102"/>
      <c r="I124" s="153"/>
      <c r="J124" s="125"/>
      <c r="K124" s="153"/>
      <c r="L124" s="125"/>
      <c r="M124" s="375"/>
      <c r="N124" s="125"/>
      <c r="O124" s="375"/>
      <c r="P124" s="125"/>
      <c r="Q124" s="209"/>
      <c r="R124" s="125"/>
      <c r="S124" s="209"/>
      <c r="T124" s="60"/>
      <c r="U124" s="60"/>
      <c r="V124" s="137"/>
      <c r="W124" s="137"/>
      <c r="X124" s="137"/>
      <c r="Y124" s="137"/>
      <c r="Z124" s="137"/>
    </row>
    <row r="125" spans="1:26" ht="12" customHeight="1">
      <c r="A125" s="372"/>
      <c r="B125" s="373"/>
      <c r="C125" s="372"/>
      <c r="D125" s="153"/>
      <c r="E125" s="372"/>
      <c r="F125" s="373"/>
      <c r="G125" s="372"/>
      <c r="H125" s="102"/>
      <c r="I125" s="153"/>
      <c r="J125" s="125"/>
      <c r="K125" s="153"/>
      <c r="L125" s="125"/>
      <c r="M125" s="375"/>
      <c r="N125" s="125"/>
      <c r="O125" s="375"/>
      <c r="P125" s="125"/>
      <c r="Q125" s="209"/>
      <c r="R125" s="125"/>
      <c r="S125" s="209"/>
      <c r="T125" s="60"/>
      <c r="U125" s="60"/>
      <c r="V125" s="137"/>
      <c r="W125" s="137"/>
      <c r="X125" s="137"/>
      <c r="Y125" s="137"/>
      <c r="Z125" s="137"/>
    </row>
    <row r="126" spans="1:26" ht="12" customHeight="1">
      <c r="A126" s="372"/>
      <c r="B126" s="373"/>
      <c r="C126" s="372"/>
      <c r="D126" s="153"/>
      <c r="E126" s="372"/>
      <c r="F126" s="373"/>
      <c r="G126" s="372"/>
      <c r="H126" s="102"/>
      <c r="I126" s="153"/>
      <c r="J126" s="125"/>
      <c r="K126" s="153"/>
      <c r="L126" s="125"/>
      <c r="M126" s="375"/>
      <c r="N126" s="125"/>
      <c r="O126" s="375"/>
      <c r="P126" s="125"/>
      <c r="Q126" s="209"/>
      <c r="R126" s="125"/>
      <c r="S126" s="209"/>
      <c r="T126" s="60"/>
      <c r="U126" s="60"/>
      <c r="V126" s="137"/>
      <c r="W126" s="137"/>
      <c r="X126" s="137"/>
      <c r="Y126" s="137"/>
      <c r="Z126" s="137"/>
    </row>
    <row r="127" spans="1:26" ht="12" customHeight="1">
      <c r="A127" s="372"/>
      <c r="B127" s="373"/>
      <c r="C127" s="372"/>
      <c r="D127" s="153"/>
      <c r="E127" s="372"/>
      <c r="F127" s="373"/>
      <c r="G127" s="372"/>
      <c r="H127" s="102"/>
      <c r="I127" s="153"/>
      <c r="J127" s="125"/>
      <c r="K127" s="153"/>
      <c r="L127" s="125"/>
      <c r="M127" s="375"/>
      <c r="N127" s="125"/>
      <c r="O127" s="375"/>
      <c r="P127" s="125"/>
      <c r="Q127" s="209"/>
      <c r="R127" s="125"/>
      <c r="S127" s="209"/>
      <c r="T127" s="60"/>
      <c r="U127" s="60"/>
      <c r="V127" s="137"/>
      <c r="W127" s="137"/>
      <c r="X127" s="137"/>
      <c r="Y127" s="137"/>
      <c r="Z127" s="137"/>
    </row>
    <row r="128" spans="1:26" ht="12" customHeight="1">
      <c r="A128" s="372"/>
      <c r="B128" s="373"/>
      <c r="C128" s="372"/>
      <c r="D128" s="153"/>
      <c r="E128" s="372"/>
      <c r="F128" s="373"/>
      <c r="G128" s="372"/>
      <c r="H128" s="102"/>
      <c r="I128" s="153"/>
      <c r="J128" s="125"/>
      <c r="K128" s="153"/>
      <c r="L128" s="125"/>
      <c r="M128" s="375"/>
      <c r="N128" s="125"/>
      <c r="O128" s="375"/>
      <c r="P128" s="125"/>
      <c r="Q128" s="209"/>
      <c r="R128" s="125"/>
      <c r="S128" s="209"/>
      <c r="T128" s="60"/>
      <c r="U128" s="60"/>
      <c r="V128" s="137"/>
      <c r="W128" s="137"/>
      <c r="X128" s="137"/>
      <c r="Y128" s="137"/>
      <c r="Z128" s="137"/>
    </row>
    <row r="129" spans="1:26" ht="12" customHeight="1">
      <c r="A129" s="372"/>
      <c r="B129" s="373"/>
      <c r="C129" s="372"/>
      <c r="D129" s="153"/>
      <c r="E129" s="372"/>
      <c r="F129" s="373"/>
      <c r="G129" s="372"/>
      <c r="H129" s="102"/>
      <c r="I129" s="153"/>
      <c r="J129" s="125"/>
      <c r="K129" s="153"/>
      <c r="L129" s="125"/>
      <c r="M129" s="375"/>
      <c r="N129" s="125"/>
      <c r="O129" s="375"/>
      <c r="P129" s="125"/>
      <c r="Q129" s="209"/>
      <c r="R129" s="125"/>
      <c r="S129" s="209"/>
      <c r="T129" s="60"/>
      <c r="U129" s="60"/>
      <c r="V129" s="137"/>
      <c r="W129" s="137"/>
      <c r="X129" s="137"/>
      <c r="Y129" s="137"/>
      <c r="Z129" s="137"/>
    </row>
    <row r="130" spans="1:26" ht="12" customHeight="1">
      <c r="A130" s="372"/>
      <c r="B130" s="373"/>
      <c r="C130" s="372"/>
      <c r="D130" s="153"/>
      <c r="E130" s="372"/>
      <c r="F130" s="373"/>
      <c r="G130" s="372"/>
      <c r="H130" s="102"/>
      <c r="I130" s="153"/>
      <c r="J130" s="125"/>
      <c r="K130" s="153"/>
      <c r="L130" s="125"/>
      <c r="M130" s="375"/>
      <c r="N130" s="125"/>
      <c r="O130" s="375"/>
      <c r="P130" s="125"/>
      <c r="Q130" s="209"/>
      <c r="R130" s="125"/>
      <c r="S130" s="209"/>
      <c r="T130" s="60"/>
      <c r="U130" s="60"/>
      <c r="V130" s="137"/>
      <c r="W130" s="137"/>
      <c r="X130" s="137"/>
      <c r="Y130" s="137"/>
      <c r="Z130" s="137"/>
    </row>
    <row r="131" spans="1:26" ht="12" customHeight="1">
      <c r="A131" s="372"/>
      <c r="B131" s="373"/>
      <c r="C131" s="372"/>
      <c r="D131" s="153"/>
      <c r="E131" s="372"/>
      <c r="F131" s="373"/>
      <c r="G131" s="372"/>
      <c r="H131" s="102"/>
      <c r="I131" s="153"/>
      <c r="J131" s="125"/>
      <c r="K131" s="153"/>
      <c r="L131" s="125"/>
      <c r="M131" s="375"/>
      <c r="N131" s="125"/>
      <c r="O131" s="375"/>
      <c r="P131" s="125"/>
      <c r="Q131" s="209"/>
      <c r="R131" s="125"/>
      <c r="S131" s="209"/>
      <c r="T131" s="60"/>
      <c r="U131" s="60"/>
      <c r="V131" s="137"/>
      <c r="W131" s="137"/>
      <c r="X131" s="137"/>
      <c r="Y131" s="137"/>
      <c r="Z131" s="137"/>
    </row>
    <row r="132" spans="1:26" ht="12" customHeight="1">
      <c r="A132" s="372"/>
      <c r="B132" s="373"/>
      <c r="C132" s="372"/>
      <c r="D132" s="153"/>
      <c r="E132" s="372"/>
      <c r="F132" s="373"/>
      <c r="G132" s="372"/>
      <c r="H132" s="102"/>
      <c r="I132" s="153"/>
      <c r="J132" s="125"/>
      <c r="K132" s="153"/>
      <c r="L132" s="125"/>
      <c r="M132" s="375"/>
      <c r="N132" s="125"/>
      <c r="O132" s="375"/>
      <c r="P132" s="125"/>
      <c r="Q132" s="209"/>
      <c r="R132" s="125"/>
      <c r="S132" s="209"/>
      <c r="T132" s="60"/>
      <c r="U132" s="60"/>
      <c r="V132" s="137"/>
      <c r="W132" s="137"/>
      <c r="X132" s="137"/>
      <c r="Y132" s="137"/>
      <c r="Z132" s="137"/>
    </row>
    <row r="133" spans="1:26" ht="12" customHeight="1">
      <c r="A133" s="372"/>
      <c r="B133" s="373"/>
      <c r="C133" s="372"/>
      <c r="D133" s="153"/>
      <c r="E133" s="372"/>
      <c r="F133" s="373"/>
      <c r="G133" s="372"/>
      <c r="H133" s="102"/>
      <c r="I133" s="153"/>
      <c r="J133" s="125"/>
      <c r="K133" s="153"/>
      <c r="L133" s="125"/>
      <c r="M133" s="375"/>
      <c r="N133" s="125"/>
      <c r="O133" s="375"/>
      <c r="P133" s="125"/>
      <c r="Q133" s="209"/>
      <c r="R133" s="125"/>
      <c r="S133" s="209"/>
      <c r="T133" s="60"/>
      <c r="U133" s="60"/>
      <c r="V133" s="137"/>
      <c r="W133" s="137"/>
      <c r="X133" s="137"/>
      <c r="Y133" s="137"/>
      <c r="Z133" s="137"/>
    </row>
    <row r="134" spans="1:26" ht="12" customHeight="1">
      <c r="A134" s="372"/>
      <c r="B134" s="373"/>
      <c r="C134" s="372"/>
      <c r="D134" s="153"/>
      <c r="E134" s="372"/>
      <c r="F134" s="373"/>
      <c r="G134" s="372"/>
      <c r="H134" s="102"/>
      <c r="I134" s="153"/>
      <c r="J134" s="125"/>
      <c r="K134" s="153"/>
      <c r="L134" s="125"/>
      <c r="M134" s="375"/>
      <c r="N134" s="125"/>
      <c r="O134" s="375"/>
      <c r="P134" s="125"/>
      <c r="Q134" s="209"/>
      <c r="R134" s="125"/>
      <c r="S134" s="209"/>
      <c r="T134" s="60"/>
      <c r="U134" s="60"/>
      <c r="V134" s="137"/>
      <c r="W134" s="137"/>
      <c r="X134" s="137"/>
      <c r="Y134" s="137"/>
      <c r="Z134" s="137"/>
    </row>
    <row r="135" spans="1:26" ht="12" customHeight="1">
      <c r="A135" s="372"/>
      <c r="B135" s="373"/>
      <c r="C135" s="372"/>
      <c r="D135" s="153"/>
      <c r="E135" s="372"/>
      <c r="F135" s="373"/>
      <c r="G135" s="372"/>
      <c r="H135" s="102"/>
      <c r="I135" s="153"/>
      <c r="J135" s="125"/>
      <c r="K135" s="153"/>
      <c r="L135" s="125"/>
      <c r="M135" s="375"/>
      <c r="N135" s="125"/>
      <c r="O135" s="375"/>
      <c r="P135" s="125"/>
      <c r="Q135" s="209"/>
      <c r="R135" s="125"/>
      <c r="S135" s="209"/>
      <c r="T135" s="60"/>
      <c r="U135" s="60"/>
      <c r="V135" s="137"/>
      <c r="W135" s="137"/>
      <c r="X135" s="137"/>
      <c r="Y135" s="137"/>
      <c r="Z135" s="137"/>
    </row>
    <row r="136" spans="1:26" ht="12" customHeight="1">
      <c r="A136" s="372"/>
      <c r="B136" s="373"/>
      <c r="C136" s="372"/>
      <c r="D136" s="153"/>
      <c r="E136" s="372"/>
      <c r="F136" s="373"/>
      <c r="G136" s="372"/>
      <c r="H136" s="102"/>
      <c r="I136" s="153"/>
      <c r="J136" s="125"/>
      <c r="K136" s="153"/>
      <c r="L136" s="125"/>
      <c r="M136" s="375"/>
      <c r="N136" s="125"/>
      <c r="O136" s="375"/>
      <c r="P136" s="125"/>
      <c r="Q136" s="209"/>
      <c r="R136" s="125"/>
      <c r="S136" s="209"/>
      <c r="T136" s="60"/>
      <c r="U136" s="60"/>
      <c r="V136" s="137"/>
      <c r="W136" s="137"/>
      <c r="X136" s="137"/>
      <c r="Y136" s="137"/>
      <c r="Z136" s="137"/>
    </row>
    <row r="137" spans="1:26" ht="12" customHeight="1">
      <c r="A137" s="372"/>
      <c r="B137" s="373"/>
      <c r="C137" s="372"/>
      <c r="D137" s="153"/>
      <c r="E137" s="372"/>
      <c r="F137" s="373"/>
      <c r="G137" s="372"/>
      <c r="H137" s="102"/>
      <c r="I137" s="153"/>
      <c r="J137" s="125"/>
      <c r="K137" s="153"/>
      <c r="L137" s="125"/>
      <c r="M137" s="375"/>
      <c r="N137" s="125"/>
      <c r="O137" s="375"/>
      <c r="P137" s="125"/>
      <c r="Q137" s="209"/>
      <c r="R137" s="125"/>
      <c r="S137" s="209"/>
      <c r="T137" s="60"/>
      <c r="U137" s="60"/>
      <c r="V137" s="137"/>
      <c r="W137" s="137"/>
      <c r="X137" s="137"/>
      <c r="Y137" s="137"/>
      <c r="Z137" s="137"/>
    </row>
    <row r="138" spans="1:26" ht="12" customHeight="1">
      <c r="A138" s="372"/>
      <c r="B138" s="373"/>
      <c r="C138" s="372"/>
      <c r="D138" s="153"/>
      <c r="E138" s="372"/>
      <c r="F138" s="373"/>
      <c r="G138" s="372"/>
      <c r="H138" s="102"/>
      <c r="I138" s="153"/>
      <c r="J138" s="125"/>
      <c r="K138" s="153"/>
      <c r="L138" s="125"/>
      <c r="M138" s="375"/>
      <c r="N138" s="125"/>
      <c r="O138" s="375"/>
      <c r="P138" s="125"/>
      <c r="Q138" s="209"/>
      <c r="R138" s="125"/>
      <c r="S138" s="209"/>
      <c r="T138" s="60"/>
      <c r="U138" s="60"/>
      <c r="V138" s="137"/>
      <c r="W138" s="137"/>
      <c r="X138" s="137"/>
      <c r="Y138" s="137"/>
      <c r="Z138" s="137"/>
    </row>
    <row r="139" spans="1:26" ht="12" customHeight="1">
      <c r="A139" s="372"/>
      <c r="B139" s="373"/>
      <c r="C139" s="372"/>
      <c r="D139" s="153"/>
      <c r="E139" s="372"/>
      <c r="F139" s="373"/>
      <c r="G139" s="372"/>
      <c r="H139" s="102"/>
      <c r="I139" s="153"/>
      <c r="J139" s="125"/>
      <c r="K139" s="153"/>
      <c r="L139" s="125"/>
      <c r="M139" s="375"/>
      <c r="N139" s="125"/>
      <c r="O139" s="375"/>
      <c r="P139" s="125"/>
      <c r="Q139" s="209"/>
      <c r="R139" s="125"/>
      <c r="S139" s="209"/>
      <c r="T139" s="60"/>
      <c r="U139" s="60"/>
      <c r="V139" s="137"/>
      <c r="W139" s="137"/>
      <c r="X139" s="137"/>
      <c r="Y139" s="137"/>
      <c r="Z139" s="137"/>
    </row>
    <row r="140" spans="1:26" ht="12" customHeight="1">
      <c r="A140" s="372"/>
      <c r="B140" s="373"/>
      <c r="C140" s="372"/>
      <c r="D140" s="153"/>
      <c r="E140" s="372"/>
      <c r="F140" s="373"/>
      <c r="G140" s="372"/>
      <c r="H140" s="102"/>
      <c r="I140" s="153"/>
      <c r="J140" s="125"/>
      <c r="K140" s="153"/>
      <c r="L140" s="125"/>
      <c r="M140" s="375"/>
      <c r="N140" s="125"/>
      <c r="O140" s="375"/>
      <c r="P140" s="125"/>
      <c r="Q140" s="209"/>
      <c r="R140" s="125"/>
      <c r="S140" s="209"/>
      <c r="T140" s="60"/>
      <c r="U140" s="60"/>
      <c r="V140" s="137"/>
      <c r="W140" s="137"/>
      <c r="X140" s="137"/>
      <c r="Y140" s="137"/>
      <c r="Z140" s="137"/>
    </row>
    <row r="141" spans="1:26" ht="12" customHeight="1">
      <c r="A141" s="372"/>
      <c r="B141" s="373"/>
      <c r="C141" s="372"/>
      <c r="D141" s="153"/>
      <c r="E141" s="372"/>
      <c r="F141" s="373"/>
      <c r="G141" s="372"/>
      <c r="H141" s="102"/>
      <c r="I141" s="153"/>
      <c r="J141" s="125"/>
      <c r="K141" s="153"/>
      <c r="L141" s="125"/>
      <c r="M141" s="375"/>
      <c r="N141" s="125"/>
      <c r="O141" s="375"/>
      <c r="P141" s="125"/>
      <c r="Q141" s="209"/>
      <c r="R141" s="125"/>
      <c r="S141" s="209"/>
      <c r="T141" s="60"/>
      <c r="U141" s="60"/>
      <c r="V141" s="137"/>
      <c r="W141" s="137"/>
      <c r="X141" s="137"/>
      <c r="Y141" s="137"/>
      <c r="Z141" s="137"/>
    </row>
    <row r="142" spans="1:26" ht="12" customHeight="1">
      <c r="A142" s="372"/>
      <c r="B142" s="373"/>
      <c r="C142" s="372"/>
      <c r="D142" s="153"/>
      <c r="E142" s="372"/>
      <c r="F142" s="373"/>
      <c r="G142" s="372"/>
      <c r="H142" s="102"/>
      <c r="I142" s="153"/>
      <c r="J142" s="125"/>
      <c r="K142" s="153"/>
      <c r="L142" s="125"/>
      <c r="M142" s="375"/>
      <c r="N142" s="125"/>
      <c r="O142" s="375"/>
      <c r="P142" s="125"/>
      <c r="Q142" s="209"/>
      <c r="R142" s="125"/>
      <c r="S142" s="375"/>
      <c r="T142" s="60"/>
      <c r="U142" s="60"/>
      <c r="V142" s="137"/>
      <c r="W142" s="137"/>
      <c r="X142" s="137"/>
      <c r="Y142" s="137"/>
      <c r="Z142" s="137"/>
    </row>
    <row r="143" spans="1:26" ht="12" customHeight="1">
      <c r="A143" s="372"/>
      <c r="B143" s="373"/>
      <c r="C143" s="372"/>
      <c r="D143" s="153"/>
      <c r="E143" s="372"/>
      <c r="F143" s="373"/>
      <c r="G143" s="372"/>
      <c r="H143" s="102"/>
      <c r="I143" s="153"/>
      <c r="J143" s="125"/>
      <c r="K143" s="153"/>
      <c r="L143" s="125"/>
      <c r="M143" s="375"/>
      <c r="N143" s="125"/>
      <c r="O143" s="375"/>
      <c r="P143" s="125"/>
      <c r="Q143" s="209"/>
      <c r="R143" s="125"/>
      <c r="S143" s="375"/>
      <c r="T143" s="60"/>
      <c r="U143" s="60"/>
      <c r="V143" s="137"/>
      <c r="W143" s="137"/>
      <c r="X143" s="137"/>
      <c r="Y143" s="137"/>
      <c r="Z143" s="137"/>
    </row>
    <row r="144" spans="1:26" ht="12" customHeight="1">
      <c r="A144" s="372"/>
      <c r="B144" s="373"/>
      <c r="C144" s="372"/>
      <c r="D144" s="153"/>
      <c r="E144" s="372"/>
      <c r="F144" s="373"/>
      <c r="G144" s="372"/>
      <c r="H144" s="102"/>
      <c r="I144" s="153"/>
      <c r="J144" s="125"/>
      <c r="K144" s="153"/>
      <c r="L144" s="125"/>
      <c r="M144" s="375"/>
      <c r="N144" s="125"/>
      <c r="O144" s="375"/>
      <c r="P144" s="125"/>
      <c r="Q144" s="209"/>
      <c r="R144" s="125"/>
      <c r="S144" s="375"/>
      <c r="T144" s="60"/>
      <c r="U144" s="60"/>
      <c r="V144" s="137"/>
      <c r="W144" s="137"/>
      <c r="X144" s="137"/>
      <c r="Y144" s="137"/>
      <c r="Z144" s="137"/>
    </row>
    <row r="145" spans="1:26" ht="12" customHeight="1">
      <c r="A145" s="372"/>
      <c r="B145" s="373"/>
      <c r="C145" s="372"/>
      <c r="D145" s="153"/>
      <c r="E145" s="372"/>
      <c r="F145" s="373"/>
      <c r="G145" s="372"/>
      <c r="H145" s="102"/>
      <c r="I145" s="153"/>
      <c r="J145" s="125"/>
      <c r="K145" s="153"/>
      <c r="L145" s="125"/>
      <c r="M145" s="375"/>
      <c r="N145" s="125"/>
      <c r="O145" s="375"/>
      <c r="P145" s="125"/>
      <c r="Q145" s="209"/>
      <c r="R145" s="125"/>
      <c r="S145" s="375"/>
      <c r="T145" s="60"/>
      <c r="U145" s="60"/>
      <c r="V145" s="137"/>
      <c r="W145" s="137"/>
      <c r="X145" s="137"/>
      <c r="Y145" s="137"/>
      <c r="Z145" s="137"/>
    </row>
    <row r="146" spans="1:26" ht="12" customHeight="1">
      <c r="A146" s="372"/>
      <c r="B146" s="373"/>
      <c r="C146" s="372"/>
      <c r="D146" s="153"/>
      <c r="E146" s="372"/>
      <c r="F146" s="373"/>
      <c r="G146" s="372"/>
      <c r="H146" s="102"/>
      <c r="I146" s="153"/>
      <c r="J146" s="125"/>
      <c r="K146" s="153"/>
      <c r="L146" s="125"/>
      <c r="M146" s="375"/>
      <c r="N146" s="125"/>
      <c r="O146" s="375"/>
      <c r="P146" s="125"/>
      <c r="Q146" s="209"/>
      <c r="R146" s="125"/>
      <c r="S146" s="375"/>
      <c r="T146" s="60"/>
      <c r="U146" s="60"/>
      <c r="V146" s="137"/>
      <c r="W146" s="137"/>
      <c r="X146" s="137"/>
      <c r="Y146" s="137"/>
      <c r="Z146" s="137"/>
    </row>
    <row r="147" spans="1:26" ht="12" customHeight="1">
      <c r="A147" s="372"/>
      <c r="B147" s="373"/>
      <c r="C147" s="372"/>
      <c r="D147" s="153"/>
      <c r="E147" s="372"/>
      <c r="F147" s="373"/>
      <c r="G147" s="372"/>
      <c r="H147" s="102"/>
      <c r="I147" s="153"/>
      <c r="J147" s="125"/>
      <c r="K147" s="153"/>
      <c r="L147" s="125"/>
      <c r="M147" s="375"/>
      <c r="N147" s="125"/>
      <c r="O147" s="375"/>
      <c r="P147" s="125"/>
      <c r="Q147" s="209"/>
      <c r="R147" s="125"/>
      <c r="S147" s="375"/>
      <c r="T147" s="60"/>
      <c r="U147" s="60"/>
      <c r="V147" s="137"/>
      <c r="W147" s="137"/>
      <c r="X147" s="137"/>
      <c r="Y147" s="137"/>
      <c r="Z147" s="137"/>
    </row>
    <row r="148" spans="1:26" ht="12" customHeight="1">
      <c r="A148" s="372"/>
      <c r="B148" s="373"/>
      <c r="C148" s="372"/>
      <c r="D148" s="153"/>
      <c r="E148" s="372"/>
      <c r="F148" s="373"/>
      <c r="G148" s="372"/>
      <c r="H148" s="102"/>
      <c r="I148" s="153"/>
      <c r="J148" s="125"/>
      <c r="K148" s="153"/>
      <c r="L148" s="125"/>
      <c r="M148" s="375"/>
      <c r="N148" s="125"/>
      <c r="O148" s="375"/>
      <c r="P148" s="125"/>
      <c r="Q148" s="209"/>
      <c r="R148" s="125"/>
      <c r="S148" s="375"/>
      <c r="T148" s="60"/>
      <c r="U148" s="60"/>
      <c r="V148" s="137"/>
      <c r="W148" s="137"/>
      <c r="X148" s="137"/>
      <c r="Y148" s="137"/>
      <c r="Z148" s="137"/>
    </row>
    <row r="149" spans="1:26" ht="12" customHeight="1">
      <c r="A149" s="372"/>
      <c r="B149" s="373"/>
      <c r="C149" s="372"/>
      <c r="D149" s="153"/>
      <c r="E149" s="372"/>
      <c r="F149" s="373"/>
      <c r="G149" s="372"/>
      <c r="H149" s="102"/>
      <c r="I149" s="153"/>
      <c r="J149" s="125"/>
      <c r="K149" s="153"/>
      <c r="L149" s="125"/>
      <c r="M149" s="375"/>
      <c r="N149" s="125"/>
      <c r="O149" s="375"/>
      <c r="P149" s="125"/>
      <c r="Q149" s="209"/>
      <c r="R149" s="125"/>
      <c r="S149" s="375"/>
      <c r="T149" s="60"/>
      <c r="U149" s="60"/>
      <c r="V149" s="137"/>
      <c r="W149" s="137"/>
      <c r="X149" s="137"/>
      <c r="Y149" s="137"/>
      <c r="Z149" s="137"/>
    </row>
    <row r="150" spans="1:26" ht="12" customHeight="1">
      <c r="A150" s="372"/>
      <c r="B150" s="373"/>
      <c r="C150" s="372"/>
      <c r="D150" s="153"/>
      <c r="E150" s="372"/>
      <c r="F150" s="373"/>
      <c r="G150" s="372"/>
      <c r="H150" s="102"/>
      <c r="I150" s="153"/>
      <c r="J150" s="125"/>
      <c r="K150" s="153"/>
      <c r="L150" s="125"/>
      <c r="M150" s="375"/>
      <c r="N150" s="125"/>
      <c r="O150" s="375"/>
      <c r="P150" s="125"/>
      <c r="Q150" s="209"/>
      <c r="R150" s="125"/>
      <c r="S150" s="375"/>
      <c r="T150" s="60"/>
      <c r="U150" s="60"/>
      <c r="V150" s="137"/>
      <c r="W150" s="137"/>
      <c r="X150" s="137"/>
      <c r="Y150" s="137"/>
      <c r="Z150" s="137"/>
    </row>
    <row r="151" spans="1:26" ht="12" customHeight="1">
      <c r="A151" s="372"/>
      <c r="B151" s="373"/>
      <c r="C151" s="372"/>
      <c r="D151" s="153"/>
      <c r="E151" s="372"/>
      <c r="F151" s="373"/>
      <c r="G151" s="372"/>
      <c r="H151" s="102"/>
      <c r="I151" s="153"/>
      <c r="J151" s="125"/>
      <c r="K151" s="153"/>
      <c r="L151" s="125"/>
      <c r="M151" s="375"/>
      <c r="N151" s="125"/>
      <c r="O151" s="375"/>
      <c r="P151" s="125"/>
      <c r="Q151" s="209"/>
      <c r="R151" s="125"/>
      <c r="S151" s="375"/>
      <c r="T151" s="60"/>
      <c r="U151" s="60"/>
      <c r="V151" s="137"/>
      <c r="W151" s="137"/>
      <c r="X151" s="137"/>
      <c r="Y151" s="137"/>
      <c r="Z151" s="137"/>
    </row>
    <row r="152" spans="1:26" ht="12" customHeight="1">
      <c r="A152" s="372"/>
      <c r="B152" s="373"/>
      <c r="C152" s="372"/>
      <c r="D152" s="153"/>
      <c r="E152" s="372"/>
      <c r="F152" s="373"/>
      <c r="G152" s="372"/>
      <c r="H152" s="102"/>
      <c r="I152" s="153"/>
      <c r="J152" s="125"/>
      <c r="K152" s="153"/>
      <c r="L152" s="125"/>
      <c r="M152" s="375"/>
      <c r="N152" s="125"/>
      <c r="O152" s="375"/>
      <c r="P152" s="125"/>
      <c r="Q152" s="209"/>
      <c r="R152" s="125"/>
      <c r="S152" s="375"/>
      <c r="T152" s="60"/>
      <c r="U152" s="60"/>
      <c r="V152" s="137"/>
      <c r="W152" s="137"/>
      <c r="X152" s="137"/>
      <c r="Y152" s="137"/>
      <c r="Z152" s="137"/>
    </row>
    <row r="153" spans="1:26" ht="12" customHeight="1">
      <c r="A153" s="372"/>
      <c r="B153" s="373"/>
      <c r="C153" s="372"/>
      <c r="D153" s="153"/>
      <c r="E153" s="372"/>
      <c r="F153" s="373"/>
      <c r="G153" s="372"/>
      <c r="H153" s="102"/>
      <c r="I153" s="153"/>
      <c r="J153" s="125"/>
      <c r="K153" s="153"/>
      <c r="L153" s="125"/>
      <c r="M153" s="375"/>
      <c r="N153" s="125"/>
      <c r="O153" s="375"/>
      <c r="P153" s="125"/>
      <c r="Q153" s="209"/>
      <c r="R153" s="125"/>
      <c r="S153" s="375"/>
      <c r="T153" s="60"/>
      <c r="U153" s="60"/>
      <c r="V153" s="137"/>
      <c r="W153" s="137"/>
      <c r="X153" s="137"/>
      <c r="Y153" s="137"/>
      <c r="Z153" s="137"/>
    </row>
    <row r="154" spans="1:26" ht="12" customHeight="1">
      <c r="A154" s="372"/>
      <c r="B154" s="373"/>
      <c r="C154" s="372"/>
      <c r="D154" s="153"/>
      <c r="E154" s="372"/>
      <c r="F154" s="373"/>
      <c r="G154" s="372"/>
      <c r="H154" s="102"/>
      <c r="I154" s="153"/>
      <c r="J154" s="125"/>
      <c r="K154" s="153"/>
      <c r="L154" s="125"/>
      <c r="M154" s="375"/>
      <c r="N154" s="125"/>
      <c r="O154" s="375"/>
      <c r="P154" s="125"/>
      <c r="Q154" s="209"/>
      <c r="R154" s="125"/>
      <c r="S154" s="375"/>
      <c r="T154" s="60"/>
      <c r="U154" s="60"/>
      <c r="V154" s="137"/>
      <c r="W154" s="137"/>
      <c r="X154" s="137"/>
      <c r="Y154" s="137"/>
      <c r="Z154" s="137"/>
    </row>
    <row r="155" spans="1:26" ht="12" customHeight="1">
      <c r="A155" s="372"/>
      <c r="B155" s="373"/>
      <c r="C155" s="372"/>
      <c r="D155" s="153"/>
      <c r="E155" s="372"/>
      <c r="F155" s="373"/>
      <c r="G155" s="372"/>
      <c r="H155" s="102"/>
      <c r="I155" s="153"/>
      <c r="J155" s="125"/>
      <c r="K155" s="153"/>
      <c r="L155" s="125"/>
      <c r="M155" s="375"/>
      <c r="N155" s="125"/>
      <c r="O155" s="375"/>
      <c r="P155" s="125"/>
      <c r="Q155" s="209"/>
      <c r="R155" s="125"/>
      <c r="S155" s="375"/>
      <c r="T155" s="60"/>
      <c r="U155" s="60"/>
      <c r="V155" s="137"/>
      <c r="W155" s="137"/>
      <c r="X155" s="137"/>
      <c r="Y155" s="137"/>
      <c r="Z155" s="137"/>
    </row>
    <row r="156" spans="1:26" ht="12" customHeight="1">
      <c r="A156" s="372"/>
      <c r="B156" s="373"/>
      <c r="C156" s="372"/>
      <c r="D156" s="153"/>
      <c r="E156" s="372"/>
      <c r="F156" s="373"/>
      <c r="G156" s="372"/>
      <c r="H156" s="102"/>
      <c r="I156" s="153"/>
      <c r="J156" s="125"/>
      <c r="K156" s="153"/>
      <c r="L156" s="125"/>
      <c r="M156" s="375"/>
      <c r="N156" s="125"/>
      <c r="O156" s="375"/>
      <c r="P156" s="125"/>
      <c r="Q156" s="209"/>
      <c r="R156" s="125"/>
      <c r="S156" s="375"/>
      <c r="T156" s="60"/>
      <c r="U156" s="60"/>
      <c r="V156" s="137"/>
      <c r="W156" s="137"/>
      <c r="X156" s="137"/>
      <c r="Y156" s="137"/>
      <c r="Z156" s="137"/>
    </row>
    <row r="157" spans="1:26" ht="12" customHeight="1">
      <c r="A157" s="372"/>
      <c r="B157" s="373"/>
      <c r="C157" s="372"/>
      <c r="D157" s="153"/>
      <c r="E157" s="372"/>
      <c r="F157" s="373"/>
      <c r="G157" s="372"/>
      <c r="H157" s="102"/>
      <c r="I157" s="153"/>
      <c r="J157" s="125"/>
      <c r="K157" s="153"/>
      <c r="L157" s="125"/>
      <c r="M157" s="375"/>
      <c r="N157" s="125"/>
      <c r="O157" s="375"/>
      <c r="P157" s="125"/>
      <c r="Q157" s="209"/>
      <c r="R157" s="125"/>
      <c r="S157" s="375"/>
      <c r="T157" s="60"/>
      <c r="U157" s="60"/>
      <c r="V157" s="137"/>
      <c r="W157" s="137"/>
      <c r="X157" s="137"/>
      <c r="Y157" s="137"/>
      <c r="Z157" s="137"/>
    </row>
    <row r="158" spans="1:26" ht="12" customHeight="1">
      <c r="A158" s="376"/>
      <c r="B158" s="374"/>
      <c r="C158" s="376"/>
      <c r="D158" s="377"/>
      <c r="E158" s="376"/>
      <c r="F158" s="374"/>
      <c r="G158" s="376"/>
      <c r="H158" s="378"/>
      <c r="I158" s="377"/>
      <c r="J158" s="137"/>
      <c r="K158" s="377"/>
      <c r="L158" s="137"/>
      <c r="M158" s="379"/>
      <c r="N158" s="137"/>
      <c r="O158" s="379"/>
      <c r="P158" s="137"/>
      <c r="Q158" s="380"/>
      <c r="R158" s="137"/>
      <c r="S158" s="379"/>
      <c r="T158" s="137"/>
      <c r="U158" s="137"/>
      <c r="V158" s="137"/>
      <c r="W158" s="137"/>
      <c r="X158" s="137"/>
      <c r="Y158" s="137"/>
      <c r="Z158" s="137"/>
    </row>
    <row r="159" spans="1:26" ht="12" customHeight="1">
      <c r="A159" s="376"/>
      <c r="B159" s="374"/>
      <c r="C159" s="376"/>
      <c r="D159" s="377"/>
      <c r="E159" s="376"/>
      <c r="F159" s="374"/>
      <c r="G159" s="376"/>
      <c r="H159" s="378"/>
      <c r="I159" s="377"/>
      <c r="J159" s="137"/>
      <c r="K159" s="377"/>
      <c r="L159" s="137"/>
      <c r="M159" s="379"/>
      <c r="N159" s="137"/>
      <c r="O159" s="379"/>
      <c r="P159" s="137"/>
      <c r="Q159" s="380"/>
      <c r="R159" s="137"/>
      <c r="S159" s="379"/>
      <c r="T159" s="137"/>
      <c r="U159" s="137"/>
      <c r="V159" s="137"/>
      <c r="W159" s="137"/>
      <c r="X159" s="137"/>
      <c r="Y159" s="137"/>
      <c r="Z159" s="137"/>
    </row>
    <row r="160" spans="1:26" ht="12" customHeight="1">
      <c r="A160" s="376"/>
      <c r="B160" s="374"/>
      <c r="C160" s="376"/>
      <c r="D160" s="377"/>
      <c r="E160" s="376"/>
      <c r="F160" s="374"/>
      <c r="G160" s="376"/>
      <c r="H160" s="378"/>
      <c r="I160" s="377"/>
      <c r="J160" s="137"/>
      <c r="K160" s="377"/>
      <c r="L160" s="137"/>
      <c r="M160" s="379"/>
      <c r="N160" s="137"/>
      <c r="O160" s="379"/>
      <c r="P160" s="137"/>
      <c r="Q160" s="380"/>
      <c r="R160" s="137"/>
      <c r="S160" s="379"/>
      <c r="T160" s="137"/>
      <c r="U160" s="137"/>
      <c r="V160" s="137"/>
      <c r="W160" s="137"/>
      <c r="X160" s="137"/>
      <c r="Y160" s="137"/>
      <c r="Z160" s="137"/>
    </row>
    <row r="161" spans="1:26" ht="12" customHeight="1">
      <c r="A161" s="376"/>
      <c r="B161" s="374"/>
      <c r="C161" s="376"/>
      <c r="D161" s="377"/>
      <c r="E161" s="376"/>
      <c r="F161" s="374"/>
      <c r="G161" s="376"/>
      <c r="H161" s="378"/>
      <c r="I161" s="377"/>
      <c r="J161" s="137"/>
      <c r="K161" s="377"/>
      <c r="L161" s="137"/>
      <c r="M161" s="379"/>
      <c r="N161" s="137"/>
      <c r="O161" s="379"/>
      <c r="P161" s="137"/>
      <c r="Q161" s="380"/>
      <c r="R161" s="137"/>
      <c r="S161" s="379"/>
      <c r="T161" s="137"/>
      <c r="U161" s="137"/>
      <c r="V161" s="137"/>
      <c r="W161" s="137"/>
      <c r="X161" s="137"/>
      <c r="Y161" s="137"/>
      <c r="Z161" s="137"/>
    </row>
    <row r="162" spans="1:26" ht="12" customHeight="1">
      <c r="A162" s="376"/>
      <c r="B162" s="374"/>
      <c r="C162" s="376"/>
      <c r="D162" s="377"/>
      <c r="E162" s="376"/>
      <c r="F162" s="374"/>
      <c r="G162" s="376"/>
      <c r="H162" s="378"/>
      <c r="I162" s="377"/>
      <c r="J162" s="137"/>
      <c r="K162" s="377"/>
      <c r="L162" s="137"/>
      <c r="M162" s="379"/>
      <c r="N162" s="137"/>
      <c r="O162" s="379"/>
      <c r="P162" s="137"/>
      <c r="Q162" s="380"/>
      <c r="R162" s="137"/>
      <c r="S162" s="379"/>
      <c r="T162" s="137"/>
      <c r="U162" s="137"/>
      <c r="V162" s="137"/>
      <c r="W162" s="137"/>
      <c r="X162" s="137"/>
      <c r="Y162" s="137"/>
      <c r="Z162" s="137"/>
    </row>
    <row r="163" spans="1:26" ht="12" customHeight="1">
      <c r="A163" s="376"/>
      <c r="B163" s="374"/>
      <c r="C163" s="376"/>
      <c r="D163" s="377"/>
      <c r="E163" s="376"/>
      <c r="F163" s="374"/>
      <c r="G163" s="376"/>
      <c r="H163" s="378"/>
      <c r="I163" s="377"/>
      <c r="J163" s="137"/>
      <c r="K163" s="377"/>
      <c r="L163" s="137"/>
      <c r="M163" s="379"/>
      <c r="N163" s="137"/>
      <c r="O163" s="379"/>
      <c r="P163" s="137"/>
      <c r="Q163" s="380"/>
      <c r="R163" s="137"/>
      <c r="S163" s="379"/>
      <c r="T163" s="137"/>
      <c r="U163" s="137"/>
      <c r="V163" s="137"/>
      <c r="W163" s="137"/>
      <c r="X163" s="137"/>
      <c r="Y163" s="137"/>
      <c r="Z163" s="137"/>
    </row>
    <row r="164" spans="1:26" ht="12" customHeight="1">
      <c r="A164" s="376"/>
      <c r="B164" s="374"/>
      <c r="C164" s="376"/>
      <c r="D164" s="377"/>
      <c r="E164" s="376"/>
      <c r="F164" s="374"/>
      <c r="G164" s="376"/>
      <c r="H164" s="378"/>
      <c r="I164" s="377"/>
      <c r="J164" s="137"/>
      <c r="K164" s="377"/>
      <c r="L164" s="137"/>
      <c r="M164" s="379"/>
      <c r="N164" s="137"/>
      <c r="O164" s="379"/>
      <c r="P164" s="137"/>
      <c r="Q164" s="380"/>
      <c r="R164" s="137"/>
      <c r="S164" s="379"/>
      <c r="T164" s="137"/>
      <c r="U164" s="137"/>
      <c r="V164" s="137"/>
      <c r="W164" s="137"/>
      <c r="X164" s="137"/>
      <c r="Y164" s="137"/>
      <c r="Z164" s="137"/>
    </row>
    <row r="165" spans="1:26" ht="12" customHeight="1">
      <c r="A165" s="376"/>
      <c r="B165" s="374"/>
      <c r="C165" s="376"/>
      <c r="D165" s="377"/>
      <c r="E165" s="376"/>
      <c r="F165" s="374"/>
      <c r="G165" s="376"/>
      <c r="H165" s="378"/>
      <c r="I165" s="377"/>
      <c r="J165" s="137"/>
      <c r="K165" s="377"/>
      <c r="L165" s="137"/>
      <c r="M165" s="379"/>
      <c r="N165" s="137"/>
      <c r="O165" s="379"/>
      <c r="P165" s="137"/>
      <c r="Q165" s="380"/>
      <c r="R165" s="137"/>
      <c r="S165" s="379"/>
      <c r="T165" s="137"/>
      <c r="U165" s="137"/>
      <c r="V165" s="137"/>
      <c r="W165" s="137"/>
      <c r="X165" s="137"/>
      <c r="Y165" s="137"/>
      <c r="Z165" s="137"/>
    </row>
    <row r="166" spans="1:26" ht="12" customHeight="1">
      <c r="A166" s="376"/>
      <c r="B166" s="374"/>
      <c r="C166" s="376"/>
      <c r="D166" s="377"/>
      <c r="E166" s="376"/>
      <c r="F166" s="374"/>
      <c r="G166" s="376"/>
      <c r="H166" s="378"/>
      <c r="I166" s="377"/>
      <c r="J166" s="137"/>
      <c r="K166" s="377"/>
      <c r="L166" s="137"/>
      <c r="M166" s="379"/>
      <c r="N166" s="137"/>
      <c r="O166" s="379"/>
      <c r="P166" s="137"/>
      <c r="Q166" s="380"/>
      <c r="R166" s="137"/>
      <c r="S166" s="379"/>
      <c r="T166" s="137"/>
      <c r="U166" s="137"/>
      <c r="V166" s="137"/>
      <c r="W166" s="137"/>
      <c r="X166" s="137"/>
      <c r="Y166" s="137"/>
      <c r="Z166" s="137"/>
    </row>
    <row r="167" spans="1:26" ht="12" customHeight="1">
      <c r="A167" s="376"/>
      <c r="B167" s="374"/>
      <c r="C167" s="376"/>
      <c r="D167" s="377"/>
      <c r="E167" s="376"/>
      <c r="F167" s="374"/>
      <c r="G167" s="376"/>
      <c r="H167" s="378"/>
      <c r="I167" s="377"/>
      <c r="J167" s="137"/>
      <c r="K167" s="377"/>
      <c r="L167" s="137"/>
      <c r="M167" s="379"/>
      <c r="N167" s="137"/>
      <c r="O167" s="379"/>
      <c r="P167" s="137"/>
      <c r="Q167" s="380"/>
      <c r="R167" s="137"/>
      <c r="S167" s="379"/>
      <c r="T167" s="137"/>
      <c r="U167" s="137"/>
      <c r="V167" s="137"/>
      <c r="W167" s="137"/>
      <c r="X167" s="137"/>
      <c r="Y167" s="137"/>
      <c r="Z167" s="137"/>
    </row>
    <row r="168" spans="1:26" ht="12" customHeight="1">
      <c r="A168" s="376"/>
      <c r="B168" s="374"/>
      <c r="C168" s="376"/>
      <c r="D168" s="377"/>
      <c r="E168" s="376"/>
      <c r="F168" s="374"/>
      <c r="G168" s="376"/>
      <c r="H168" s="378"/>
      <c r="I168" s="377"/>
      <c r="J168" s="137"/>
      <c r="K168" s="377"/>
      <c r="L168" s="137"/>
      <c r="M168" s="379"/>
      <c r="N168" s="137"/>
      <c r="O168" s="379"/>
      <c r="P168" s="137"/>
      <c r="Q168" s="380"/>
      <c r="R168" s="137"/>
      <c r="S168" s="379"/>
      <c r="T168" s="137"/>
      <c r="U168" s="137"/>
      <c r="V168" s="137"/>
      <c r="W168" s="137"/>
      <c r="X168" s="137"/>
      <c r="Y168" s="137"/>
      <c r="Z168" s="137"/>
    </row>
    <row r="169" spans="1:26" ht="12" customHeight="1">
      <c r="A169" s="376"/>
      <c r="B169" s="374"/>
      <c r="C169" s="376"/>
      <c r="D169" s="377"/>
      <c r="E169" s="376"/>
      <c r="F169" s="374"/>
      <c r="G169" s="376"/>
      <c r="H169" s="378"/>
      <c r="I169" s="377"/>
      <c r="J169" s="137"/>
      <c r="K169" s="377"/>
      <c r="L169" s="137"/>
      <c r="M169" s="379"/>
      <c r="N169" s="137"/>
      <c r="O169" s="379"/>
      <c r="P169" s="137"/>
      <c r="Q169" s="380"/>
      <c r="R169" s="137"/>
      <c r="S169" s="379"/>
      <c r="T169" s="137"/>
      <c r="U169" s="137"/>
      <c r="V169" s="137"/>
      <c r="W169" s="137"/>
      <c r="X169" s="137"/>
      <c r="Y169" s="137"/>
      <c r="Z169" s="137"/>
    </row>
    <row r="170" spans="1:26" ht="12" customHeight="1">
      <c r="A170" s="376"/>
      <c r="B170" s="374"/>
      <c r="C170" s="376"/>
      <c r="D170" s="377"/>
      <c r="E170" s="376"/>
      <c r="F170" s="374"/>
      <c r="G170" s="376"/>
      <c r="H170" s="378"/>
      <c r="I170" s="377"/>
      <c r="J170" s="137"/>
      <c r="K170" s="377"/>
      <c r="L170" s="137"/>
      <c r="M170" s="379"/>
      <c r="N170" s="137"/>
      <c r="O170" s="379"/>
      <c r="P170" s="137"/>
      <c r="Q170" s="380"/>
      <c r="R170" s="137"/>
      <c r="S170" s="379"/>
      <c r="T170" s="137"/>
      <c r="U170" s="137"/>
      <c r="V170" s="137"/>
      <c r="W170" s="137"/>
      <c r="X170" s="137"/>
      <c r="Y170" s="137"/>
      <c r="Z170" s="137"/>
    </row>
    <row r="171" spans="1:26" ht="12" customHeight="1">
      <c r="A171" s="376"/>
      <c r="B171" s="374"/>
      <c r="C171" s="376"/>
      <c r="D171" s="377"/>
      <c r="E171" s="376"/>
      <c r="F171" s="374"/>
      <c r="G171" s="376"/>
      <c r="H171" s="378"/>
      <c r="I171" s="377"/>
      <c r="J171" s="137"/>
      <c r="K171" s="377"/>
      <c r="L171" s="137"/>
      <c r="M171" s="379"/>
      <c r="N171" s="137"/>
      <c r="O171" s="379"/>
      <c r="P171" s="137"/>
      <c r="Q171" s="380"/>
      <c r="R171" s="137"/>
      <c r="S171" s="379"/>
      <c r="T171" s="137"/>
      <c r="U171" s="137"/>
      <c r="V171" s="137"/>
      <c r="W171" s="137"/>
      <c r="X171" s="137"/>
      <c r="Y171" s="137"/>
      <c r="Z171" s="137"/>
    </row>
    <row r="172" spans="1:26" ht="12" customHeight="1">
      <c r="A172" s="376"/>
      <c r="B172" s="374"/>
      <c r="C172" s="376"/>
      <c r="D172" s="377"/>
      <c r="E172" s="376"/>
      <c r="F172" s="374"/>
      <c r="G172" s="376"/>
      <c r="H172" s="378"/>
      <c r="I172" s="377"/>
      <c r="J172" s="137"/>
      <c r="K172" s="377"/>
      <c r="L172" s="137"/>
      <c r="M172" s="379"/>
      <c r="N172" s="137"/>
      <c r="O172" s="379"/>
      <c r="P172" s="137"/>
      <c r="Q172" s="380"/>
      <c r="R172" s="137"/>
      <c r="S172" s="379"/>
      <c r="T172" s="137"/>
      <c r="U172" s="137"/>
      <c r="V172" s="137"/>
      <c r="W172" s="137"/>
      <c r="X172" s="137"/>
      <c r="Y172" s="137"/>
      <c r="Z172" s="137"/>
    </row>
    <row r="173" spans="1:26" ht="12" customHeight="1">
      <c r="A173" s="376"/>
      <c r="B173" s="374"/>
      <c r="C173" s="376"/>
      <c r="D173" s="377"/>
      <c r="E173" s="376"/>
      <c r="F173" s="374"/>
      <c r="G173" s="376"/>
      <c r="H173" s="378"/>
      <c r="I173" s="377"/>
      <c r="J173" s="137"/>
      <c r="K173" s="377"/>
      <c r="L173" s="137"/>
      <c r="M173" s="379"/>
      <c r="N173" s="137"/>
      <c r="O173" s="379"/>
      <c r="P173" s="137"/>
      <c r="Q173" s="380"/>
      <c r="R173" s="137"/>
      <c r="S173" s="379"/>
      <c r="T173" s="137"/>
      <c r="U173" s="137"/>
      <c r="V173" s="137"/>
      <c r="W173" s="137"/>
      <c r="X173" s="137"/>
      <c r="Y173" s="137"/>
      <c r="Z173" s="137"/>
    </row>
    <row r="174" spans="1:26" ht="12" customHeight="1">
      <c r="A174" s="376"/>
      <c r="B174" s="374"/>
      <c r="C174" s="376"/>
      <c r="D174" s="377"/>
      <c r="E174" s="376"/>
      <c r="F174" s="374"/>
      <c r="G174" s="376"/>
      <c r="H174" s="378"/>
      <c r="I174" s="377"/>
      <c r="J174" s="137"/>
      <c r="K174" s="377"/>
      <c r="L174" s="137"/>
      <c r="M174" s="379"/>
      <c r="N174" s="137"/>
      <c r="O174" s="379"/>
      <c r="P174" s="137"/>
      <c r="Q174" s="380"/>
      <c r="R174" s="137"/>
      <c r="S174" s="379"/>
      <c r="T174" s="137"/>
      <c r="U174" s="137"/>
      <c r="V174" s="137"/>
      <c r="W174" s="137"/>
      <c r="X174" s="137"/>
      <c r="Y174" s="137"/>
      <c r="Z174" s="137"/>
    </row>
    <row r="175" spans="1:26" ht="12" customHeight="1">
      <c r="A175" s="376"/>
      <c r="B175" s="374"/>
      <c r="C175" s="376"/>
      <c r="D175" s="377"/>
      <c r="E175" s="376"/>
      <c r="F175" s="374"/>
      <c r="G175" s="376"/>
      <c r="H175" s="378"/>
      <c r="I175" s="377"/>
      <c r="J175" s="137"/>
      <c r="K175" s="377"/>
      <c r="L175" s="137"/>
      <c r="M175" s="379"/>
      <c r="N175" s="137"/>
      <c r="O175" s="379"/>
      <c r="P175" s="137"/>
      <c r="Q175" s="380"/>
      <c r="R175" s="137"/>
      <c r="S175" s="379"/>
      <c r="T175" s="137"/>
      <c r="U175" s="137"/>
      <c r="V175" s="137"/>
      <c r="W175" s="137"/>
      <c r="X175" s="137"/>
      <c r="Y175" s="137"/>
      <c r="Z175" s="137"/>
    </row>
    <row r="176" spans="1:26" ht="12" customHeight="1">
      <c r="A176" s="376"/>
      <c r="B176" s="374"/>
      <c r="C176" s="376"/>
      <c r="D176" s="377"/>
      <c r="E176" s="376"/>
      <c r="F176" s="374"/>
      <c r="G176" s="376"/>
      <c r="H176" s="378"/>
      <c r="I176" s="377"/>
      <c r="J176" s="137"/>
      <c r="K176" s="377"/>
      <c r="L176" s="137"/>
      <c r="M176" s="379"/>
      <c r="N176" s="137"/>
      <c r="O176" s="379"/>
      <c r="P176" s="137"/>
      <c r="Q176" s="380"/>
      <c r="R176" s="137"/>
      <c r="S176" s="379"/>
      <c r="T176" s="137"/>
      <c r="U176" s="137"/>
      <c r="V176" s="137"/>
      <c r="W176" s="137"/>
      <c r="X176" s="137"/>
      <c r="Y176" s="137"/>
      <c r="Z176" s="137"/>
    </row>
    <row r="177" spans="1:26" ht="12" customHeight="1">
      <c r="A177" s="376"/>
      <c r="B177" s="374"/>
      <c r="C177" s="376"/>
      <c r="D177" s="377"/>
      <c r="E177" s="376"/>
      <c r="F177" s="374"/>
      <c r="G177" s="376"/>
      <c r="H177" s="378"/>
      <c r="I177" s="377"/>
      <c r="J177" s="137"/>
      <c r="K177" s="377"/>
      <c r="L177" s="137"/>
      <c r="M177" s="379"/>
      <c r="N177" s="137"/>
      <c r="O177" s="379"/>
      <c r="P177" s="137"/>
      <c r="Q177" s="380"/>
      <c r="R177" s="137"/>
      <c r="S177" s="379"/>
      <c r="T177" s="137"/>
      <c r="U177" s="137"/>
      <c r="V177" s="137"/>
      <c r="W177" s="137"/>
      <c r="X177" s="137"/>
      <c r="Y177" s="137"/>
      <c r="Z177" s="137"/>
    </row>
    <row r="178" spans="1:26" ht="12" customHeight="1">
      <c r="A178" s="376"/>
      <c r="B178" s="374"/>
      <c r="C178" s="376"/>
      <c r="D178" s="377"/>
      <c r="E178" s="376"/>
      <c r="F178" s="374"/>
      <c r="G178" s="376"/>
      <c r="H178" s="378"/>
      <c r="I178" s="377"/>
      <c r="J178" s="137"/>
      <c r="K178" s="377"/>
      <c r="L178" s="137"/>
      <c r="M178" s="379"/>
      <c r="N178" s="137"/>
      <c r="O178" s="379"/>
      <c r="P178" s="137"/>
      <c r="Q178" s="380"/>
      <c r="R178" s="137"/>
      <c r="S178" s="379"/>
      <c r="T178" s="137"/>
      <c r="U178" s="137"/>
      <c r="V178" s="137"/>
      <c r="W178" s="137"/>
      <c r="X178" s="137"/>
      <c r="Y178" s="137"/>
      <c r="Z178" s="137"/>
    </row>
    <row r="179" spans="1:26" ht="12" customHeight="1">
      <c r="A179" s="376"/>
      <c r="B179" s="374"/>
      <c r="C179" s="376"/>
      <c r="D179" s="377"/>
      <c r="E179" s="376"/>
      <c r="F179" s="374"/>
      <c r="G179" s="376"/>
      <c r="H179" s="378"/>
      <c r="I179" s="377"/>
      <c r="J179" s="137"/>
      <c r="K179" s="377"/>
      <c r="L179" s="137"/>
      <c r="M179" s="379"/>
      <c r="N179" s="137"/>
      <c r="O179" s="379"/>
      <c r="P179" s="137"/>
      <c r="Q179" s="380"/>
      <c r="R179" s="137"/>
      <c r="S179" s="379"/>
      <c r="T179" s="137"/>
      <c r="U179" s="137"/>
      <c r="V179" s="137"/>
      <c r="W179" s="137"/>
      <c r="X179" s="137"/>
      <c r="Y179" s="137"/>
      <c r="Z179" s="137"/>
    </row>
    <row r="180" spans="1:26" ht="12" customHeight="1">
      <c r="A180" s="376"/>
      <c r="B180" s="374"/>
      <c r="C180" s="376"/>
      <c r="D180" s="377"/>
      <c r="E180" s="376"/>
      <c r="F180" s="374"/>
      <c r="G180" s="376"/>
      <c r="H180" s="378"/>
      <c r="I180" s="377"/>
      <c r="J180" s="137"/>
      <c r="K180" s="377"/>
      <c r="L180" s="137"/>
      <c r="M180" s="379"/>
      <c r="N180" s="137"/>
      <c r="O180" s="379"/>
      <c r="P180" s="137"/>
      <c r="Q180" s="380"/>
      <c r="R180" s="137"/>
      <c r="S180" s="379"/>
      <c r="T180" s="137"/>
      <c r="U180" s="137"/>
      <c r="V180" s="137"/>
      <c r="W180" s="137"/>
      <c r="X180" s="137"/>
      <c r="Y180" s="137"/>
      <c r="Z180" s="137"/>
    </row>
    <row r="181" spans="1:26" ht="12" customHeight="1">
      <c r="A181" s="376"/>
      <c r="B181" s="374"/>
      <c r="C181" s="376"/>
      <c r="D181" s="377"/>
      <c r="E181" s="376"/>
      <c r="F181" s="374"/>
      <c r="G181" s="376"/>
      <c r="H181" s="378"/>
      <c r="I181" s="377"/>
      <c r="J181" s="137"/>
      <c r="K181" s="377"/>
      <c r="L181" s="137"/>
      <c r="M181" s="379"/>
      <c r="N181" s="137"/>
      <c r="O181" s="379"/>
      <c r="P181" s="137"/>
      <c r="Q181" s="380"/>
      <c r="R181" s="137"/>
      <c r="S181" s="379"/>
      <c r="T181" s="137"/>
      <c r="U181" s="137"/>
      <c r="V181" s="137"/>
      <c r="W181" s="137"/>
      <c r="X181" s="137"/>
      <c r="Y181" s="137"/>
      <c r="Z181" s="137"/>
    </row>
    <row r="182" spans="1:26" ht="12" customHeight="1">
      <c r="A182" s="376"/>
      <c r="B182" s="374"/>
      <c r="C182" s="376"/>
      <c r="D182" s="377"/>
      <c r="E182" s="376"/>
      <c r="F182" s="374"/>
      <c r="G182" s="376"/>
      <c r="H182" s="378"/>
      <c r="I182" s="377"/>
      <c r="J182" s="137"/>
      <c r="K182" s="377"/>
      <c r="L182" s="137"/>
      <c r="M182" s="379"/>
      <c r="N182" s="137"/>
      <c r="O182" s="379"/>
      <c r="P182" s="137"/>
      <c r="Q182" s="380"/>
      <c r="R182" s="137"/>
      <c r="S182" s="379"/>
      <c r="T182" s="137"/>
      <c r="U182" s="137"/>
      <c r="V182" s="137"/>
      <c r="W182" s="137"/>
      <c r="X182" s="137"/>
      <c r="Y182" s="137"/>
      <c r="Z182" s="137"/>
    </row>
    <row r="183" spans="1:26" ht="12" customHeight="1">
      <c r="A183" s="376"/>
      <c r="B183" s="374"/>
      <c r="C183" s="376"/>
      <c r="D183" s="377"/>
      <c r="E183" s="376"/>
      <c r="F183" s="374"/>
      <c r="G183" s="376"/>
      <c r="H183" s="378"/>
      <c r="I183" s="377"/>
      <c r="J183" s="137"/>
      <c r="K183" s="377"/>
      <c r="L183" s="137"/>
      <c r="M183" s="379"/>
      <c r="N183" s="137"/>
      <c r="O183" s="379"/>
      <c r="P183" s="137"/>
      <c r="Q183" s="380"/>
      <c r="R183" s="137"/>
      <c r="S183" s="379"/>
      <c r="T183" s="137"/>
      <c r="U183" s="137"/>
      <c r="V183" s="137"/>
      <c r="W183" s="137"/>
      <c r="X183" s="137"/>
      <c r="Y183" s="137"/>
      <c r="Z183" s="137"/>
    </row>
    <row r="184" spans="1:26" ht="12" customHeight="1">
      <c r="A184" s="376"/>
      <c r="B184" s="374"/>
      <c r="C184" s="376"/>
      <c r="D184" s="377"/>
      <c r="E184" s="376"/>
      <c r="F184" s="374"/>
      <c r="G184" s="376"/>
      <c r="H184" s="378"/>
      <c r="I184" s="377"/>
      <c r="J184" s="137"/>
      <c r="K184" s="377"/>
      <c r="L184" s="137"/>
      <c r="M184" s="379"/>
      <c r="N184" s="137"/>
      <c r="O184" s="379"/>
      <c r="P184" s="137"/>
      <c r="Q184" s="380"/>
      <c r="R184" s="137"/>
      <c r="S184" s="379"/>
      <c r="T184" s="137"/>
      <c r="U184" s="137"/>
      <c r="V184" s="137"/>
      <c r="W184" s="137"/>
      <c r="X184" s="137"/>
      <c r="Y184" s="137"/>
      <c r="Z184" s="137"/>
    </row>
    <row r="185" spans="1:26" ht="12" customHeight="1">
      <c r="A185" s="376"/>
      <c r="B185" s="374"/>
      <c r="C185" s="376"/>
      <c r="D185" s="377"/>
      <c r="E185" s="376"/>
      <c r="F185" s="374"/>
      <c r="G185" s="376"/>
      <c r="H185" s="378"/>
      <c r="I185" s="377"/>
      <c r="J185" s="137"/>
      <c r="K185" s="377"/>
      <c r="L185" s="137"/>
      <c r="M185" s="379"/>
      <c r="N185" s="137"/>
      <c r="O185" s="379"/>
      <c r="P185" s="137"/>
      <c r="Q185" s="380"/>
      <c r="R185" s="137"/>
      <c r="S185" s="379"/>
      <c r="T185" s="137"/>
      <c r="U185" s="137"/>
      <c r="V185" s="137"/>
      <c r="W185" s="137"/>
      <c r="X185" s="137"/>
      <c r="Y185" s="137"/>
      <c r="Z185" s="137"/>
    </row>
    <row r="186" spans="1:26" ht="12" customHeight="1">
      <c r="A186" s="376"/>
      <c r="B186" s="374"/>
      <c r="C186" s="376"/>
      <c r="D186" s="377"/>
      <c r="E186" s="376"/>
      <c r="F186" s="374"/>
      <c r="G186" s="376"/>
      <c r="H186" s="378"/>
      <c r="I186" s="377"/>
      <c r="J186" s="137"/>
      <c r="K186" s="377"/>
      <c r="L186" s="137"/>
      <c r="M186" s="379"/>
      <c r="N186" s="137"/>
      <c r="O186" s="379"/>
      <c r="P186" s="137"/>
      <c r="Q186" s="380"/>
      <c r="R186" s="137"/>
      <c r="S186" s="379"/>
      <c r="T186" s="137"/>
      <c r="U186" s="137"/>
      <c r="V186" s="137"/>
      <c r="W186" s="137"/>
      <c r="X186" s="137"/>
      <c r="Y186" s="137"/>
      <c r="Z186" s="137"/>
    </row>
    <row r="187" spans="1:26" ht="12" customHeight="1">
      <c r="A187" s="376"/>
      <c r="B187" s="374"/>
      <c r="C187" s="376"/>
      <c r="D187" s="377"/>
      <c r="E187" s="376"/>
      <c r="F187" s="374"/>
      <c r="G187" s="376"/>
      <c r="H187" s="378"/>
      <c r="I187" s="377"/>
      <c r="J187" s="137"/>
      <c r="K187" s="377"/>
      <c r="L187" s="137"/>
      <c r="M187" s="379"/>
      <c r="N187" s="137"/>
      <c r="O187" s="379"/>
      <c r="P187" s="137"/>
      <c r="Q187" s="380"/>
      <c r="R187" s="137"/>
      <c r="S187" s="379"/>
      <c r="T187" s="137"/>
      <c r="U187" s="137"/>
      <c r="V187" s="137"/>
      <c r="W187" s="137"/>
      <c r="X187" s="137"/>
      <c r="Y187" s="137"/>
      <c r="Z187" s="137"/>
    </row>
    <row r="188" spans="1:26" ht="12" customHeight="1">
      <c r="A188" s="376"/>
      <c r="B188" s="374"/>
      <c r="C188" s="376"/>
      <c r="D188" s="377"/>
      <c r="E188" s="376"/>
      <c r="F188" s="374"/>
      <c r="G188" s="376"/>
      <c r="H188" s="378"/>
      <c r="I188" s="377"/>
      <c r="J188" s="137"/>
      <c r="K188" s="377"/>
      <c r="L188" s="137"/>
      <c r="M188" s="379"/>
      <c r="N188" s="137"/>
      <c r="O188" s="379"/>
      <c r="P188" s="137"/>
      <c r="Q188" s="380"/>
      <c r="R188" s="137"/>
      <c r="S188" s="379"/>
      <c r="T188" s="137"/>
      <c r="U188" s="137"/>
      <c r="V188" s="137"/>
      <c r="W188" s="137"/>
      <c r="X188" s="137"/>
      <c r="Y188" s="137"/>
      <c r="Z188" s="137"/>
    </row>
    <row r="189" spans="1:26" ht="12" customHeight="1">
      <c r="A189" s="376"/>
      <c r="B189" s="374"/>
      <c r="C189" s="376"/>
      <c r="D189" s="377"/>
      <c r="E189" s="376"/>
      <c r="F189" s="374"/>
      <c r="G189" s="376"/>
      <c r="H189" s="378"/>
      <c r="I189" s="377"/>
      <c r="J189" s="137"/>
      <c r="K189" s="377"/>
      <c r="L189" s="137"/>
      <c r="M189" s="379"/>
      <c r="N189" s="137"/>
      <c r="O189" s="379"/>
      <c r="P189" s="137"/>
      <c r="Q189" s="380"/>
      <c r="R189" s="137"/>
      <c r="S189" s="379"/>
      <c r="T189" s="137"/>
      <c r="U189" s="137"/>
      <c r="V189" s="137"/>
      <c r="W189" s="137"/>
      <c r="X189" s="137"/>
      <c r="Y189" s="137"/>
      <c r="Z189" s="137"/>
    </row>
    <row r="190" spans="1:26" ht="12" customHeight="1">
      <c r="A190" s="376"/>
      <c r="B190" s="374"/>
      <c r="C190" s="376"/>
      <c r="D190" s="377"/>
      <c r="E190" s="376"/>
      <c r="F190" s="374"/>
      <c r="G190" s="376"/>
      <c r="H190" s="378"/>
      <c r="I190" s="377"/>
      <c r="J190" s="137"/>
      <c r="K190" s="377"/>
      <c r="L190" s="137"/>
      <c r="M190" s="379"/>
      <c r="N190" s="137"/>
      <c r="O190" s="379"/>
      <c r="P190" s="137"/>
      <c r="Q190" s="380"/>
      <c r="R190" s="137"/>
      <c r="S190" s="379"/>
      <c r="T190" s="137"/>
      <c r="U190" s="137"/>
      <c r="V190" s="137"/>
      <c r="W190" s="137"/>
      <c r="X190" s="137"/>
      <c r="Y190" s="137"/>
      <c r="Z190" s="137"/>
    </row>
    <row r="191" spans="1:26" ht="12" customHeight="1">
      <c r="A191" s="376"/>
      <c r="B191" s="374"/>
      <c r="C191" s="376"/>
      <c r="D191" s="377"/>
      <c r="E191" s="376"/>
      <c r="F191" s="374"/>
      <c r="G191" s="376"/>
      <c r="H191" s="378"/>
      <c r="I191" s="377"/>
      <c r="J191" s="137"/>
      <c r="K191" s="377"/>
      <c r="L191" s="137"/>
      <c r="M191" s="379"/>
      <c r="N191" s="137"/>
      <c r="O191" s="379"/>
      <c r="P191" s="137"/>
      <c r="Q191" s="380"/>
      <c r="R191" s="137"/>
      <c r="S191" s="379"/>
      <c r="T191" s="137"/>
      <c r="U191" s="137"/>
      <c r="V191" s="137"/>
      <c r="W191" s="137"/>
      <c r="X191" s="137"/>
      <c r="Y191" s="137"/>
      <c r="Z191" s="137"/>
    </row>
    <row r="192" spans="1:26" ht="12" customHeight="1">
      <c r="A192" s="376"/>
      <c r="B192" s="374"/>
      <c r="C192" s="376"/>
      <c r="D192" s="377"/>
      <c r="E192" s="376"/>
      <c r="F192" s="374"/>
      <c r="G192" s="376"/>
      <c r="H192" s="378"/>
      <c r="I192" s="377"/>
      <c r="J192" s="137"/>
      <c r="K192" s="377"/>
      <c r="L192" s="137"/>
      <c r="M192" s="379"/>
      <c r="N192" s="137"/>
      <c r="O192" s="379"/>
      <c r="P192" s="137"/>
      <c r="Q192" s="380"/>
      <c r="R192" s="137"/>
      <c r="S192" s="379"/>
      <c r="T192" s="137"/>
      <c r="U192" s="137"/>
      <c r="V192" s="137"/>
      <c r="W192" s="137"/>
      <c r="X192" s="137"/>
      <c r="Y192" s="137"/>
      <c r="Z192" s="137"/>
    </row>
    <row r="193" spans="1:26" ht="12" customHeight="1">
      <c r="A193" s="376"/>
      <c r="B193" s="374"/>
      <c r="C193" s="376"/>
      <c r="D193" s="377"/>
      <c r="E193" s="376"/>
      <c r="F193" s="374"/>
      <c r="G193" s="376"/>
      <c r="H193" s="378"/>
      <c r="I193" s="377"/>
      <c r="J193" s="137"/>
      <c r="K193" s="377"/>
      <c r="L193" s="137"/>
      <c r="M193" s="379"/>
      <c r="N193" s="137"/>
      <c r="O193" s="379"/>
      <c r="P193" s="137"/>
      <c r="Q193" s="380"/>
      <c r="R193" s="137"/>
      <c r="S193" s="379"/>
      <c r="T193" s="137"/>
      <c r="U193" s="137"/>
      <c r="V193" s="137"/>
      <c r="W193" s="137"/>
      <c r="X193" s="137"/>
      <c r="Y193" s="137"/>
      <c r="Z193" s="137"/>
    </row>
    <row r="194" spans="1:26" ht="12" customHeight="1">
      <c r="A194" s="376"/>
      <c r="B194" s="374"/>
      <c r="C194" s="376"/>
      <c r="D194" s="377"/>
      <c r="E194" s="376"/>
      <c r="F194" s="374"/>
      <c r="G194" s="376"/>
      <c r="H194" s="378"/>
      <c r="I194" s="377"/>
      <c r="J194" s="137"/>
      <c r="K194" s="377"/>
      <c r="L194" s="137"/>
      <c r="M194" s="379"/>
      <c r="N194" s="137"/>
      <c r="O194" s="379"/>
      <c r="P194" s="137"/>
      <c r="Q194" s="380"/>
      <c r="R194" s="137"/>
      <c r="S194" s="379"/>
      <c r="T194" s="137"/>
      <c r="U194" s="137"/>
      <c r="V194" s="137"/>
      <c r="W194" s="137"/>
      <c r="X194" s="137"/>
      <c r="Y194" s="137"/>
      <c r="Z194" s="137"/>
    </row>
    <row r="195" spans="1:26" ht="12" customHeight="1">
      <c r="A195" s="376"/>
      <c r="B195" s="374"/>
      <c r="C195" s="376"/>
      <c r="D195" s="377"/>
      <c r="E195" s="376"/>
      <c r="F195" s="374"/>
      <c r="G195" s="376"/>
      <c r="H195" s="378"/>
      <c r="I195" s="377"/>
      <c r="J195" s="137"/>
      <c r="K195" s="377"/>
      <c r="L195" s="137"/>
      <c r="M195" s="379"/>
      <c r="N195" s="137"/>
      <c r="O195" s="379"/>
      <c r="P195" s="137"/>
      <c r="Q195" s="380"/>
      <c r="R195" s="137"/>
      <c r="S195" s="379"/>
      <c r="T195" s="137"/>
      <c r="U195" s="137"/>
      <c r="V195" s="137"/>
      <c r="W195" s="137"/>
      <c r="X195" s="137"/>
      <c r="Y195" s="137"/>
      <c r="Z195" s="137"/>
    </row>
    <row r="196" spans="1:26" ht="12" customHeight="1">
      <c r="A196" s="376"/>
      <c r="B196" s="374"/>
      <c r="C196" s="376"/>
      <c r="D196" s="377"/>
      <c r="E196" s="376"/>
      <c r="F196" s="374"/>
      <c r="G196" s="376"/>
      <c r="H196" s="378"/>
      <c r="I196" s="377"/>
      <c r="J196" s="137"/>
      <c r="K196" s="377"/>
      <c r="L196" s="137"/>
      <c r="M196" s="379"/>
      <c r="N196" s="137"/>
      <c r="O196" s="379"/>
      <c r="P196" s="137"/>
      <c r="Q196" s="380"/>
      <c r="R196" s="137"/>
      <c r="S196" s="379"/>
      <c r="T196" s="137"/>
      <c r="U196" s="137"/>
      <c r="V196" s="137"/>
      <c r="W196" s="137"/>
      <c r="X196" s="137"/>
      <c r="Y196" s="137"/>
      <c r="Z196" s="137"/>
    </row>
    <row r="197" spans="1:26" ht="12" customHeight="1">
      <c r="A197" s="376"/>
      <c r="B197" s="374"/>
      <c r="C197" s="376"/>
      <c r="D197" s="377"/>
      <c r="E197" s="376"/>
      <c r="F197" s="374"/>
      <c r="G197" s="376"/>
      <c r="H197" s="378"/>
      <c r="I197" s="377"/>
      <c r="J197" s="137"/>
      <c r="K197" s="377"/>
      <c r="L197" s="137"/>
      <c r="M197" s="379"/>
      <c r="N197" s="137"/>
      <c r="O197" s="379"/>
      <c r="P197" s="137"/>
      <c r="Q197" s="380"/>
      <c r="R197" s="137"/>
      <c r="S197" s="379"/>
      <c r="T197" s="137"/>
      <c r="U197" s="137"/>
      <c r="V197" s="137"/>
      <c r="W197" s="137"/>
      <c r="X197" s="137"/>
      <c r="Y197" s="137"/>
      <c r="Z197" s="137"/>
    </row>
    <row r="198" spans="1:26" ht="12" customHeight="1">
      <c r="A198" s="376"/>
      <c r="B198" s="374"/>
      <c r="C198" s="376"/>
      <c r="D198" s="377"/>
      <c r="E198" s="376"/>
      <c r="F198" s="374"/>
      <c r="G198" s="376"/>
      <c r="H198" s="378"/>
      <c r="I198" s="377"/>
      <c r="J198" s="137"/>
      <c r="K198" s="377"/>
      <c r="L198" s="137"/>
      <c r="M198" s="379"/>
      <c r="N198" s="137"/>
      <c r="O198" s="379"/>
      <c r="P198" s="137"/>
      <c r="Q198" s="380"/>
      <c r="R198" s="137"/>
      <c r="S198" s="379"/>
      <c r="T198" s="137"/>
      <c r="U198" s="137"/>
      <c r="V198" s="137"/>
      <c r="W198" s="137"/>
      <c r="X198" s="137"/>
      <c r="Y198" s="137"/>
      <c r="Z198" s="137"/>
    </row>
    <row r="199" spans="1:26" ht="12" customHeight="1">
      <c r="A199" s="376"/>
      <c r="B199" s="374"/>
      <c r="C199" s="376"/>
      <c r="D199" s="377"/>
      <c r="E199" s="376"/>
      <c r="F199" s="374"/>
      <c r="G199" s="376"/>
      <c r="H199" s="378"/>
      <c r="I199" s="377"/>
      <c r="J199" s="137"/>
      <c r="K199" s="377"/>
      <c r="L199" s="137"/>
      <c r="M199" s="379"/>
      <c r="N199" s="137"/>
      <c r="O199" s="379"/>
      <c r="P199" s="137"/>
      <c r="Q199" s="380"/>
      <c r="R199" s="137"/>
      <c r="S199" s="379"/>
      <c r="T199" s="137"/>
      <c r="U199" s="137"/>
      <c r="V199" s="137"/>
      <c r="W199" s="137"/>
      <c r="X199" s="137"/>
      <c r="Y199" s="137"/>
      <c r="Z199" s="137"/>
    </row>
    <row r="200" spans="1:26" ht="12" customHeight="1">
      <c r="A200" s="376"/>
      <c r="B200" s="374"/>
      <c r="C200" s="376"/>
      <c r="D200" s="377"/>
      <c r="E200" s="376"/>
      <c r="F200" s="374"/>
      <c r="G200" s="376"/>
      <c r="H200" s="378"/>
      <c r="I200" s="377"/>
      <c r="J200" s="137"/>
      <c r="K200" s="377"/>
      <c r="L200" s="137"/>
      <c r="M200" s="379"/>
      <c r="N200" s="137"/>
      <c r="O200" s="379"/>
      <c r="P200" s="137"/>
      <c r="Q200" s="380"/>
      <c r="R200" s="137"/>
      <c r="S200" s="379"/>
      <c r="T200" s="137"/>
      <c r="U200" s="137"/>
      <c r="V200" s="137"/>
      <c r="W200" s="137"/>
      <c r="X200" s="137"/>
      <c r="Y200" s="137"/>
      <c r="Z200" s="137"/>
    </row>
    <row r="201" spans="1:26" ht="12" customHeight="1">
      <c r="A201" s="376"/>
      <c r="B201" s="374"/>
      <c r="C201" s="376"/>
      <c r="D201" s="377"/>
      <c r="E201" s="376"/>
      <c r="F201" s="374"/>
      <c r="G201" s="376"/>
      <c r="H201" s="378"/>
      <c r="I201" s="377"/>
      <c r="J201" s="137"/>
      <c r="K201" s="377"/>
      <c r="L201" s="137"/>
      <c r="M201" s="379"/>
      <c r="N201" s="137"/>
      <c r="O201" s="379"/>
      <c r="P201" s="137"/>
      <c r="Q201" s="380"/>
      <c r="R201" s="137"/>
      <c r="S201" s="379"/>
      <c r="T201" s="137"/>
      <c r="U201" s="137"/>
      <c r="V201" s="137"/>
      <c r="W201" s="137"/>
      <c r="X201" s="137"/>
      <c r="Y201" s="137"/>
      <c r="Z201" s="137"/>
    </row>
    <row r="202" spans="1:26" ht="12" customHeight="1">
      <c r="A202" s="376"/>
      <c r="B202" s="374"/>
      <c r="C202" s="376"/>
      <c r="D202" s="377"/>
      <c r="E202" s="376"/>
      <c r="F202" s="374"/>
      <c r="G202" s="376"/>
      <c r="H202" s="378"/>
      <c r="I202" s="377"/>
      <c r="J202" s="137"/>
      <c r="K202" s="377"/>
      <c r="L202" s="137"/>
      <c r="M202" s="379"/>
      <c r="N202" s="137"/>
      <c r="O202" s="379"/>
      <c r="P202" s="137"/>
      <c r="Q202" s="380"/>
      <c r="R202" s="137"/>
      <c r="S202" s="379"/>
      <c r="T202" s="137"/>
      <c r="U202" s="137"/>
      <c r="V202" s="137"/>
      <c r="W202" s="137"/>
      <c r="X202" s="137"/>
      <c r="Y202" s="137"/>
      <c r="Z202" s="137"/>
    </row>
    <row r="203" spans="1:26" ht="12" customHeight="1">
      <c r="A203" s="376"/>
      <c r="B203" s="374"/>
      <c r="C203" s="376"/>
      <c r="D203" s="377"/>
      <c r="E203" s="376"/>
      <c r="F203" s="374"/>
      <c r="G203" s="376"/>
      <c r="H203" s="378"/>
      <c r="I203" s="377"/>
      <c r="J203" s="137"/>
      <c r="K203" s="377"/>
      <c r="L203" s="137"/>
      <c r="M203" s="379"/>
      <c r="N203" s="137"/>
      <c r="O203" s="379"/>
      <c r="P203" s="137"/>
      <c r="Q203" s="380"/>
      <c r="R203" s="137"/>
      <c r="S203" s="379"/>
      <c r="T203" s="137"/>
      <c r="U203" s="137"/>
      <c r="V203" s="137"/>
      <c r="W203" s="137"/>
      <c r="X203" s="137"/>
      <c r="Y203" s="137"/>
      <c r="Z203" s="137"/>
    </row>
    <row r="204" spans="1:26" ht="12" customHeight="1">
      <c r="A204" s="376"/>
      <c r="B204" s="374"/>
      <c r="C204" s="376"/>
      <c r="D204" s="377"/>
      <c r="E204" s="376"/>
      <c r="F204" s="374"/>
      <c r="G204" s="376"/>
      <c r="H204" s="378"/>
      <c r="I204" s="377"/>
      <c r="J204" s="137"/>
      <c r="K204" s="377"/>
      <c r="L204" s="137"/>
      <c r="M204" s="379"/>
      <c r="N204" s="137"/>
      <c r="O204" s="379"/>
      <c r="P204" s="137"/>
      <c r="Q204" s="380"/>
      <c r="R204" s="137"/>
      <c r="S204" s="379"/>
      <c r="T204" s="137"/>
      <c r="U204" s="137"/>
      <c r="V204" s="137"/>
      <c r="W204" s="137"/>
      <c r="X204" s="137"/>
      <c r="Y204" s="137"/>
      <c r="Z204" s="137"/>
    </row>
    <row r="205" spans="1:26" ht="12" customHeight="1">
      <c r="A205" s="376"/>
      <c r="B205" s="374"/>
      <c r="C205" s="376"/>
      <c r="D205" s="377"/>
      <c r="E205" s="376"/>
      <c r="F205" s="374"/>
      <c r="G205" s="376"/>
      <c r="H205" s="378"/>
      <c r="I205" s="377"/>
      <c r="J205" s="137"/>
      <c r="K205" s="377"/>
      <c r="L205" s="137"/>
      <c r="M205" s="379"/>
      <c r="N205" s="137"/>
      <c r="O205" s="379"/>
      <c r="P205" s="137"/>
      <c r="Q205" s="380"/>
      <c r="R205" s="137"/>
      <c r="S205" s="379"/>
      <c r="T205" s="137"/>
      <c r="U205" s="137"/>
      <c r="V205" s="137"/>
      <c r="W205" s="137"/>
      <c r="X205" s="137"/>
      <c r="Y205" s="137"/>
      <c r="Z205" s="137"/>
    </row>
    <row r="206" spans="1:26" ht="12" customHeight="1">
      <c r="A206" s="376"/>
      <c r="B206" s="374"/>
      <c r="C206" s="376"/>
      <c r="D206" s="377"/>
      <c r="E206" s="376"/>
      <c r="F206" s="374"/>
      <c r="G206" s="376"/>
      <c r="H206" s="378"/>
      <c r="I206" s="377"/>
      <c r="J206" s="137"/>
      <c r="K206" s="377"/>
      <c r="L206" s="137"/>
      <c r="M206" s="379"/>
      <c r="N206" s="137"/>
      <c r="O206" s="379"/>
      <c r="P206" s="137"/>
      <c r="Q206" s="380"/>
      <c r="R206" s="137"/>
      <c r="S206" s="379"/>
      <c r="T206" s="137"/>
      <c r="U206" s="137"/>
      <c r="V206" s="137"/>
      <c r="W206" s="137"/>
      <c r="X206" s="137"/>
      <c r="Y206" s="137"/>
      <c r="Z206" s="137"/>
    </row>
    <row r="207" spans="1:26" ht="12" customHeight="1">
      <c r="A207" s="376"/>
      <c r="B207" s="374"/>
      <c r="C207" s="376"/>
      <c r="D207" s="377"/>
      <c r="E207" s="376"/>
      <c r="F207" s="374"/>
      <c r="G207" s="376"/>
      <c r="H207" s="378"/>
      <c r="I207" s="377"/>
      <c r="J207" s="137"/>
      <c r="K207" s="377"/>
      <c r="L207" s="137"/>
      <c r="M207" s="379"/>
      <c r="N207" s="137"/>
      <c r="O207" s="379"/>
      <c r="P207" s="137"/>
      <c r="Q207" s="380"/>
      <c r="R207" s="137"/>
      <c r="S207" s="379"/>
      <c r="T207" s="137"/>
      <c r="U207" s="137"/>
      <c r="V207" s="137"/>
      <c r="W207" s="137"/>
      <c r="X207" s="137"/>
      <c r="Y207" s="137"/>
      <c r="Z207" s="137"/>
    </row>
    <row r="208" spans="1:26" ht="12" customHeight="1">
      <c r="A208" s="376"/>
      <c r="B208" s="374"/>
      <c r="C208" s="376"/>
      <c r="D208" s="377"/>
      <c r="E208" s="376"/>
      <c r="F208" s="374"/>
      <c r="G208" s="376"/>
      <c r="H208" s="378"/>
      <c r="I208" s="377"/>
      <c r="J208" s="137"/>
      <c r="K208" s="377"/>
      <c r="L208" s="137"/>
      <c r="M208" s="379"/>
      <c r="N208" s="137"/>
      <c r="O208" s="379"/>
      <c r="P208" s="137"/>
      <c r="Q208" s="380"/>
      <c r="R208" s="137"/>
      <c r="S208" s="379"/>
      <c r="T208" s="137"/>
      <c r="U208" s="137"/>
      <c r="V208" s="137"/>
      <c r="W208" s="137"/>
      <c r="X208" s="137"/>
      <c r="Y208" s="137"/>
      <c r="Z208" s="137"/>
    </row>
    <row r="209" spans="1:26" ht="12" customHeight="1">
      <c r="A209" s="376"/>
      <c r="B209" s="374"/>
      <c r="C209" s="376"/>
      <c r="D209" s="377"/>
      <c r="E209" s="376"/>
      <c r="F209" s="374"/>
      <c r="G209" s="376"/>
      <c r="H209" s="378"/>
      <c r="I209" s="377"/>
      <c r="J209" s="137"/>
      <c r="K209" s="377"/>
      <c r="L209" s="137"/>
      <c r="M209" s="379"/>
      <c r="N209" s="137"/>
      <c r="O209" s="379"/>
      <c r="P209" s="137"/>
      <c r="Q209" s="380"/>
      <c r="R209" s="137"/>
      <c r="S209" s="379"/>
      <c r="T209" s="137"/>
      <c r="U209" s="137"/>
      <c r="V209" s="137"/>
      <c r="W209" s="137"/>
      <c r="X209" s="137"/>
      <c r="Y209" s="137"/>
      <c r="Z209" s="137"/>
    </row>
    <row r="210" spans="1:26" ht="12" customHeight="1">
      <c r="A210" s="376"/>
      <c r="B210" s="374"/>
      <c r="C210" s="376"/>
      <c r="D210" s="377"/>
      <c r="E210" s="376"/>
      <c r="F210" s="374"/>
      <c r="G210" s="376"/>
      <c r="H210" s="378"/>
      <c r="I210" s="377"/>
      <c r="J210" s="137"/>
      <c r="K210" s="377"/>
      <c r="L210" s="137"/>
      <c r="M210" s="379"/>
      <c r="N210" s="137"/>
      <c r="O210" s="379"/>
      <c r="P210" s="137"/>
      <c r="Q210" s="380"/>
      <c r="R210" s="137"/>
      <c r="S210" s="379"/>
      <c r="T210" s="137"/>
      <c r="U210" s="137"/>
      <c r="V210" s="137"/>
      <c r="W210" s="137"/>
      <c r="X210" s="137"/>
      <c r="Y210" s="137"/>
      <c r="Z210" s="137"/>
    </row>
    <row r="211" spans="1:26" ht="12" customHeight="1">
      <c r="A211" s="376"/>
      <c r="B211" s="374"/>
      <c r="C211" s="376"/>
      <c r="D211" s="377"/>
      <c r="E211" s="376"/>
      <c r="F211" s="374"/>
      <c r="G211" s="376"/>
      <c r="H211" s="378"/>
      <c r="I211" s="377"/>
      <c r="J211" s="137"/>
      <c r="K211" s="377"/>
      <c r="L211" s="137"/>
      <c r="M211" s="379"/>
      <c r="N211" s="137"/>
      <c r="O211" s="379"/>
      <c r="P211" s="137"/>
      <c r="Q211" s="380"/>
      <c r="R211" s="137"/>
      <c r="S211" s="379"/>
      <c r="T211" s="137"/>
      <c r="U211" s="137"/>
      <c r="V211" s="137"/>
      <c r="W211" s="137"/>
      <c r="X211" s="137"/>
      <c r="Y211" s="137"/>
      <c r="Z211" s="137"/>
    </row>
    <row r="212" spans="1:26" ht="12" customHeight="1">
      <c r="A212" s="376"/>
      <c r="B212" s="374"/>
      <c r="C212" s="376"/>
      <c r="D212" s="377"/>
      <c r="E212" s="376"/>
      <c r="F212" s="374"/>
      <c r="G212" s="376"/>
      <c r="H212" s="378"/>
      <c r="I212" s="377"/>
      <c r="J212" s="137"/>
      <c r="K212" s="377"/>
      <c r="L212" s="137"/>
      <c r="M212" s="379"/>
      <c r="N212" s="137"/>
      <c r="O212" s="379"/>
      <c r="P212" s="137"/>
      <c r="Q212" s="380"/>
      <c r="R212" s="137"/>
      <c r="S212" s="379"/>
      <c r="T212" s="137"/>
      <c r="U212" s="137"/>
      <c r="V212" s="137"/>
      <c r="W212" s="137"/>
      <c r="X212" s="137"/>
      <c r="Y212" s="137"/>
      <c r="Z212" s="137"/>
    </row>
    <row r="213" spans="1:26" ht="12" customHeight="1">
      <c r="A213" s="376"/>
      <c r="B213" s="374"/>
      <c r="C213" s="376"/>
      <c r="D213" s="377"/>
      <c r="E213" s="376"/>
      <c r="F213" s="374"/>
      <c r="G213" s="376"/>
      <c r="H213" s="378"/>
      <c r="I213" s="377"/>
      <c r="J213" s="137"/>
      <c r="K213" s="377"/>
      <c r="L213" s="137"/>
      <c r="M213" s="379"/>
      <c r="N213" s="137"/>
      <c r="O213" s="379"/>
      <c r="P213" s="137"/>
      <c r="Q213" s="380"/>
      <c r="R213" s="137"/>
      <c r="S213" s="379"/>
      <c r="T213" s="137"/>
      <c r="U213" s="137"/>
      <c r="V213" s="137"/>
      <c r="W213" s="137"/>
      <c r="X213" s="137"/>
      <c r="Y213" s="137"/>
      <c r="Z213" s="137"/>
    </row>
    <row r="214" spans="1:26" ht="12" customHeight="1">
      <c r="A214" s="376"/>
      <c r="B214" s="374"/>
      <c r="C214" s="376"/>
      <c r="D214" s="377"/>
      <c r="E214" s="376"/>
      <c r="F214" s="374"/>
      <c r="G214" s="376"/>
      <c r="H214" s="378"/>
      <c r="I214" s="377"/>
      <c r="J214" s="137"/>
      <c r="K214" s="377"/>
      <c r="L214" s="137"/>
      <c r="M214" s="379"/>
      <c r="N214" s="137"/>
      <c r="O214" s="379"/>
      <c r="P214" s="137"/>
      <c r="Q214" s="380"/>
      <c r="R214" s="137"/>
      <c r="S214" s="379"/>
      <c r="T214" s="137"/>
      <c r="U214" s="137"/>
      <c r="V214" s="137"/>
      <c r="W214" s="137"/>
      <c r="X214" s="137"/>
      <c r="Y214" s="137"/>
      <c r="Z214" s="137"/>
    </row>
    <row r="215" spans="1:26" ht="12" customHeight="1">
      <c r="A215" s="376"/>
      <c r="B215" s="374"/>
      <c r="C215" s="376"/>
      <c r="D215" s="377"/>
      <c r="E215" s="376"/>
      <c r="F215" s="374"/>
      <c r="G215" s="376"/>
      <c r="H215" s="378"/>
      <c r="I215" s="377"/>
      <c r="J215" s="137"/>
      <c r="K215" s="377"/>
      <c r="L215" s="137"/>
      <c r="M215" s="379"/>
      <c r="N215" s="137"/>
      <c r="O215" s="379"/>
      <c r="P215" s="137"/>
      <c r="Q215" s="380"/>
      <c r="R215" s="137"/>
      <c r="S215" s="379"/>
      <c r="T215" s="137"/>
      <c r="U215" s="137"/>
      <c r="V215" s="137"/>
      <c r="W215" s="137"/>
      <c r="X215" s="137"/>
      <c r="Y215" s="137"/>
      <c r="Z215" s="137"/>
    </row>
    <row r="216" spans="1:26" ht="12" customHeight="1">
      <c r="A216" s="376"/>
      <c r="B216" s="374"/>
      <c r="C216" s="376"/>
      <c r="D216" s="377"/>
      <c r="E216" s="376"/>
      <c r="F216" s="374"/>
      <c r="G216" s="376"/>
      <c r="H216" s="378"/>
      <c r="I216" s="377"/>
      <c r="J216" s="137"/>
      <c r="K216" s="377"/>
      <c r="L216" s="137"/>
      <c r="M216" s="379"/>
      <c r="N216" s="137"/>
      <c r="O216" s="379"/>
      <c r="P216" s="137"/>
      <c r="Q216" s="380"/>
      <c r="R216" s="137"/>
      <c r="S216" s="379"/>
      <c r="T216" s="137"/>
      <c r="U216" s="137"/>
      <c r="V216" s="137"/>
      <c r="W216" s="137"/>
      <c r="X216" s="137"/>
      <c r="Y216" s="137"/>
      <c r="Z216" s="137"/>
    </row>
    <row r="217" spans="1:26" ht="12" customHeight="1">
      <c r="A217" s="376"/>
      <c r="B217" s="374"/>
      <c r="C217" s="376"/>
      <c r="D217" s="377"/>
      <c r="E217" s="376"/>
      <c r="F217" s="374"/>
      <c r="G217" s="376"/>
      <c r="H217" s="378"/>
      <c r="I217" s="377"/>
      <c r="J217" s="137"/>
      <c r="K217" s="377"/>
      <c r="L217" s="137"/>
      <c r="M217" s="379"/>
      <c r="N217" s="137"/>
      <c r="O217" s="379"/>
      <c r="P217" s="137"/>
      <c r="Q217" s="380"/>
      <c r="R217" s="137"/>
      <c r="S217" s="379"/>
      <c r="T217" s="137"/>
      <c r="U217" s="137"/>
      <c r="V217" s="137"/>
      <c r="W217" s="137"/>
      <c r="X217" s="137"/>
      <c r="Y217" s="137"/>
      <c r="Z217" s="137"/>
    </row>
    <row r="218" spans="1:26" ht="12" customHeight="1">
      <c r="A218" s="376"/>
      <c r="B218" s="374"/>
      <c r="C218" s="376"/>
      <c r="D218" s="377"/>
      <c r="E218" s="376"/>
      <c r="F218" s="374"/>
      <c r="G218" s="376"/>
      <c r="H218" s="378"/>
      <c r="I218" s="377"/>
      <c r="J218" s="137"/>
      <c r="K218" s="377"/>
      <c r="L218" s="137"/>
      <c r="M218" s="379"/>
      <c r="N218" s="137"/>
      <c r="O218" s="379"/>
      <c r="P218" s="137"/>
      <c r="Q218" s="380"/>
      <c r="R218" s="137"/>
      <c r="S218" s="379"/>
      <c r="T218" s="137"/>
      <c r="U218" s="137"/>
      <c r="V218" s="137"/>
      <c r="W218" s="137"/>
      <c r="X218" s="137"/>
      <c r="Y218" s="137"/>
      <c r="Z218" s="137"/>
    </row>
    <row r="219" spans="1:26" ht="12" customHeight="1">
      <c r="A219" s="376"/>
      <c r="B219" s="374"/>
      <c r="C219" s="376"/>
      <c r="D219" s="377"/>
      <c r="E219" s="376"/>
      <c r="F219" s="374"/>
      <c r="G219" s="376"/>
      <c r="H219" s="378"/>
      <c r="I219" s="377"/>
      <c r="J219" s="137"/>
      <c r="K219" s="377"/>
      <c r="L219" s="137"/>
      <c r="M219" s="379"/>
      <c r="N219" s="137"/>
      <c r="O219" s="379"/>
      <c r="P219" s="137"/>
      <c r="Q219" s="380"/>
      <c r="R219" s="137"/>
      <c r="S219" s="379"/>
      <c r="T219" s="137"/>
      <c r="U219" s="137"/>
      <c r="V219" s="137"/>
      <c r="W219" s="137"/>
      <c r="X219" s="137"/>
      <c r="Y219" s="137"/>
      <c r="Z219" s="137"/>
    </row>
    <row r="220" spans="1:26" ht="12" customHeight="1">
      <c r="A220" s="376"/>
      <c r="B220" s="374"/>
      <c r="C220" s="376"/>
      <c r="D220" s="377"/>
      <c r="E220" s="376"/>
      <c r="F220" s="374"/>
      <c r="G220" s="376"/>
      <c r="H220" s="378"/>
      <c r="I220" s="377"/>
      <c r="J220" s="137"/>
      <c r="K220" s="377"/>
      <c r="L220" s="137"/>
      <c r="M220" s="379"/>
      <c r="N220" s="137"/>
      <c r="O220" s="379"/>
      <c r="P220" s="137"/>
      <c r="Q220" s="380"/>
      <c r="R220" s="137"/>
      <c r="S220" s="379"/>
      <c r="T220" s="137"/>
      <c r="U220" s="137"/>
      <c r="V220" s="137"/>
      <c r="W220" s="137"/>
      <c r="X220" s="137"/>
      <c r="Y220" s="137"/>
      <c r="Z220" s="137"/>
    </row>
    <row r="221" spans="1:26" ht="12" customHeight="1">
      <c r="A221" s="376"/>
      <c r="B221" s="374"/>
      <c r="C221" s="376"/>
      <c r="D221" s="377"/>
      <c r="E221" s="376"/>
      <c r="F221" s="374"/>
      <c r="G221" s="376"/>
      <c r="H221" s="378"/>
      <c r="I221" s="377"/>
      <c r="J221" s="137"/>
      <c r="K221" s="377"/>
      <c r="L221" s="137"/>
      <c r="M221" s="379"/>
      <c r="N221" s="137"/>
      <c r="O221" s="379"/>
      <c r="P221" s="137"/>
      <c r="Q221" s="380"/>
      <c r="R221" s="137"/>
      <c r="S221" s="379"/>
      <c r="T221" s="137"/>
      <c r="U221" s="137"/>
      <c r="V221" s="137"/>
      <c r="W221" s="137"/>
      <c r="X221" s="137"/>
      <c r="Y221" s="137"/>
      <c r="Z221" s="137"/>
    </row>
    <row r="222" spans="1:26" ht="12" customHeight="1">
      <c r="A222" s="376"/>
      <c r="B222" s="374"/>
      <c r="C222" s="376"/>
      <c r="D222" s="377"/>
      <c r="E222" s="376"/>
      <c r="F222" s="374"/>
      <c r="G222" s="376"/>
      <c r="H222" s="378"/>
      <c r="I222" s="377"/>
      <c r="J222" s="137"/>
      <c r="K222" s="377"/>
      <c r="L222" s="137"/>
      <c r="M222" s="379"/>
      <c r="N222" s="137"/>
      <c r="O222" s="379"/>
      <c r="P222" s="137"/>
      <c r="Q222" s="380"/>
      <c r="R222" s="137"/>
      <c r="S222" s="379"/>
      <c r="T222" s="137"/>
      <c r="U222" s="137"/>
      <c r="V222" s="137"/>
      <c r="W222" s="137"/>
      <c r="X222" s="137"/>
      <c r="Y222" s="137"/>
      <c r="Z222" s="137"/>
    </row>
    <row r="223" spans="1:26" ht="12" customHeight="1">
      <c r="A223" s="376"/>
      <c r="B223" s="374"/>
      <c r="C223" s="376"/>
      <c r="D223" s="377"/>
      <c r="E223" s="376"/>
      <c r="F223" s="374"/>
      <c r="G223" s="376"/>
      <c r="H223" s="378"/>
      <c r="I223" s="377"/>
      <c r="J223" s="137"/>
      <c r="K223" s="377"/>
      <c r="L223" s="137"/>
      <c r="M223" s="379"/>
      <c r="N223" s="137"/>
      <c r="O223" s="379"/>
      <c r="P223" s="137"/>
      <c r="Q223" s="380"/>
      <c r="R223" s="137"/>
      <c r="S223" s="379"/>
      <c r="T223" s="137"/>
      <c r="U223" s="137"/>
      <c r="V223" s="137"/>
      <c r="W223" s="137"/>
      <c r="X223" s="137"/>
      <c r="Y223" s="137"/>
      <c r="Z223" s="137"/>
    </row>
    <row r="224" spans="1:26" ht="12" customHeight="1">
      <c r="A224" s="376"/>
      <c r="B224" s="374"/>
      <c r="C224" s="376"/>
      <c r="D224" s="377"/>
      <c r="E224" s="376"/>
      <c r="F224" s="374"/>
      <c r="G224" s="376"/>
      <c r="H224" s="378"/>
      <c r="I224" s="377"/>
      <c r="J224" s="137"/>
      <c r="K224" s="377"/>
      <c r="L224" s="137"/>
      <c r="M224" s="379"/>
      <c r="N224" s="137"/>
      <c r="O224" s="379"/>
      <c r="P224" s="137"/>
      <c r="Q224" s="380"/>
      <c r="R224" s="137"/>
      <c r="S224" s="379"/>
      <c r="T224" s="137"/>
      <c r="U224" s="137"/>
      <c r="V224" s="137"/>
      <c r="W224" s="137"/>
      <c r="X224" s="137"/>
      <c r="Y224" s="137"/>
      <c r="Z224" s="137"/>
    </row>
    <row r="225" spans="1:26" ht="12" customHeight="1">
      <c r="A225" s="376"/>
      <c r="B225" s="374"/>
      <c r="C225" s="376"/>
      <c r="D225" s="377"/>
      <c r="E225" s="376"/>
      <c r="F225" s="374"/>
      <c r="G225" s="376"/>
      <c r="H225" s="378"/>
      <c r="I225" s="377"/>
      <c r="J225" s="137"/>
      <c r="K225" s="377"/>
      <c r="L225" s="137"/>
      <c r="M225" s="379"/>
      <c r="N225" s="137"/>
      <c r="O225" s="379"/>
      <c r="P225" s="137"/>
      <c r="Q225" s="380"/>
      <c r="R225" s="137"/>
      <c r="S225" s="379"/>
      <c r="T225" s="137"/>
      <c r="U225" s="137"/>
      <c r="V225" s="137"/>
      <c r="W225" s="137"/>
      <c r="X225" s="137"/>
      <c r="Y225" s="137"/>
      <c r="Z225" s="137"/>
    </row>
    <row r="226" spans="1:26" ht="12" customHeight="1">
      <c r="A226" s="376"/>
      <c r="B226" s="374"/>
      <c r="C226" s="376"/>
      <c r="D226" s="377"/>
      <c r="E226" s="376"/>
      <c r="F226" s="374"/>
      <c r="G226" s="376"/>
      <c r="H226" s="378"/>
      <c r="I226" s="377"/>
      <c r="J226" s="137"/>
      <c r="K226" s="377"/>
      <c r="L226" s="137"/>
      <c r="M226" s="379"/>
      <c r="N226" s="137"/>
      <c r="O226" s="379"/>
      <c r="P226" s="137"/>
      <c r="Q226" s="380"/>
      <c r="R226" s="137"/>
      <c r="S226" s="379"/>
      <c r="T226" s="137"/>
      <c r="U226" s="137"/>
      <c r="V226" s="137"/>
      <c r="W226" s="137"/>
      <c r="X226" s="137"/>
      <c r="Y226" s="137"/>
      <c r="Z226" s="137"/>
    </row>
    <row r="227" spans="1:26" ht="12" customHeight="1">
      <c r="A227" s="376"/>
      <c r="B227" s="374"/>
      <c r="C227" s="376"/>
      <c r="D227" s="377"/>
      <c r="E227" s="376"/>
      <c r="F227" s="374"/>
      <c r="G227" s="376"/>
      <c r="H227" s="378"/>
      <c r="I227" s="377"/>
      <c r="J227" s="137"/>
      <c r="K227" s="377"/>
      <c r="L227" s="137"/>
      <c r="M227" s="379"/>
      <c r="N227" s="137"/>
      <c r="O227" s="379"/>
      <c r="P227" s="137"/>
      <c r="Q227" s="380"/>
      <c r="R227" s="137"/>
      <c r="S227" s="379"/>
      <c r="T227" s="137"/>
      <c r="U227" s="137"/>
      <c r="V227" s="137"/>
      <c r="W227" s="137"/>
      <c r="X227" s="137"/>
      <c r="Y227" s="137"/>
      <c r="Z227" s="137"/>
    </row>
    <row r="228" spans="1:26" ht="12" customHeight="1">
      <c r="A228" s="376"/>
      <c r="B228" s="374"/>
      <c r="C228" s="376"/>
      <c r="D228" s="377"/>
      <c r="E228" s="376"/>
      <c r="F228" s="374"/>
      <c r="G228" s="376"/>
      <c r="H228" s="378"/>
      <c r="I228" s="377"/>
      <c r="J228" s="137"/>
      <c r="K228" s="377"/>
      <c r="L228" s="137"/>
      <c r="M228" s="379"/>
      <c r="N228" s="137"/>
      <c r="O228" s="379"/>
      <c r="P228" s="137"/>
      <c r="Q228" s="380"/>
      <c r="R228" s="137"/>
      <c r="S228" s="379"/>
      <c r="T228" s="137"/>
      <c r="U228" s="137"/>
      <c r="V228" s="137"/>
      <c r="W228" s="137"/>
      <c r="X228" s="137"/>
      <c r="Y228" s="137"/>
      <c r="Z228" s="137"/>
    </row>
    <row r="229" spans="1:26" ht="12" customHeight="1">
      <c r="A229" s="376"/>
      <c r="B229" s="374"/>
      <c r="C229" s="376"/>
      <c r="D229" s="377"/>
      <c r="E229" s="376"/>
      <c r="F229" s="374"/>
      <c r="G229" s="376"/>
      <c r="H229" s="378"/>
      <c r="I229" s="377"/>
      <c r="J229" s="137"/>
      <c r="K229" s="377"/>
      <c r="L229" s="137"/>
      <c r="M229" s="379"/>
      <c r="N229" s="137"/>
      <c r="O229" s="379"/>
      <c r="P229" s="137"/>
      <c r="Q229" s="380"/>
      <c r="R229" s="137"/>
      <c r="S229" s="379"/>
      <c r="T229" s="137"/>
      <c r="U229" s="137"/>
      <c r="V229" s="137"/>
      <c r="W229" s="137"/>
      <c r="X229" s="137"/>
      <c r="Y229" s="137"/>
      <c r="Z229" s="137"/>
    </row>
    <row r="230" spans="1:26" ht="12" customHeight="1">
      <c r="A230" s="376"/>
      <c r="B230" s="374"/>
      <c r="C230" s="376"/>
      <c r="D230" s="377"/>
      <c r="E230" s="376"/>
      <c r="F230" s="374"/>
      <c r="G230" s="376"/>
      <c r="H230" s="378"/>
      <c r="I230" s="377"/>
      <c r="J230" s="137"/>
      <c r="K230" s="377"/>
      <c r="L230" s="137"/>
      <c r="M230" s="379"/>
      <c r="N230" s="137"/>
      <c r="O230" s="379"/>
      <c r="P230" s="137"/>
      <c r="Q230" s="380"/>
      <c r="R230" s="137"/>
      <c r="S230" s="379"/>
      <c r="T230" s="137"/>
      <c r="U230" s="137"/>
      <c r="V230" s="137"/>
      <c r="W230" s="137"/>
      <c r="X230" s="137"/>
      <c r="Y230" s="137"/>
      <c r="Z230" s="137"/>
    </row>
    <row r="231" spans="1:26" ht="12" customHeight="1">
      <c r="A231" s="376"/>
      <c r="B231" s="374"/>
      <c r="C231" s="376"/>
      <c r="D231" s="377"/>
      <c r="E231" s="376"/>
      <c r="F231" s="374"/>
      <c r="G231" s="376"/>
      <c r="H231" s="378"/>
      <c r="I231" s="377"/>
      <c r="J231" s="137"/>
      <c r="K231" s="377"/>
      <c r="L231" s="137"/>
      <c r="M231" s="379"/>
      <c r="N231" s="137"/>
      <c r="O231" s="379"/>
      <c r="P231" s="137"/>
      <c r="Q231" s="380"/>
      <c r="R231" s="137"/>
      <c r="S231" s="379"/>
      <c r="T231" s="137"/>
      <c r="U231" s="137"/>
      <c r="V231" s="137"/>
      <c r="W231" s="137"/>
      <c r="X231" s="137"/>
      <c r="Y231" s="137"/>
      <c r="Z231" s="137"/>
    </row>
    <row r="232" spans="1:26" ht="12" customHeight="1">
      <c r="A232" s="376"/>
      <c r="B232" s="374"/>
      <c r="C232" s="376"/>
      <c r="D232" s="377"/>
      <c r="E232" s="376"/>
      <c r="F232" s="374"/>
      <c r="G232" s="376"/>
      <c r="H232" s="378"/>
      <c r="I232" s="377"/>
      <c r="J232" s="137"/>
      <c r="K232" s="377"/>
      <c r="L232" s="137"/>
      <c r="M232" s="379"/>
      <c r="N232" s="137"/>
      <c r="O232" s="379"/>
      <c r="P232" s="137"/>
      <c r="Q232" s="380"/>
      <c r="R232" s="137"/>
      <c r="S232" s="379"/>
      <c r="T232" s="137"/>
      <c r="U232" s="137"/>
      <c r="V232" s="137"/>
      <c r="W232" s="137"/>
      <c r="X232" s="137"/>
      <c r="Y232" s="137"/>
      <c r="Z232" s="137"/>
    </row>
    <row r="233" spans="1:26" ht="12" customHeight="1">
      <c r="A233" s="376"/>
      <c r="B233" s="374"/>
      <c r="C233" s="376"/>
      <c r="D233" s="377"/>
      <c r="E233" s="376"/>
      <c r="F233" s="374"/>
      <c r="G233" s="376"/>
      <c r="H233" s="378"/>
      <c r="I233" s="377"/>
      <c r="J233" s="137"/>
      <c r="K233" s="377"/>
      <c r="L233" s="137"/>
      <c r="M233" s="379"/>
      <c r="N233" s="137"/>
      <c r="O233" s="379"/>
      <c r="P233" s="137"/>
      <c r="Q233" s="380"/>
      <c r="R233" s="137"/>
      <c r="S233" s="379"/>
      <c r="T233" s="137"/>
      <c r="U233" s="137"/>
      <c r="V233" s="137"/>
      <c r="W233" s="137"/>
      <c r="X233" s="137"/>
      <c r="Y233" s="137"/>
      <c r="Z233" s="137"/>
    </row>
    <row r="234" spans="1:26" ht="12" customHeight="1">
      <c r="A234" s="376"/>
      <c r="B234" s="374"/>
      <c r="C234" s="376"/>
      <c r="D234" s="377"/>
      <c r="E234" s="376"/>
      <c r="F234" s="374"/>
      <c r="G234" s="376"/>
      <c r="H234" s="378"/>
      <c r="I234" s="377"/>
      <c r="J234" s="137"/>
      <c r="K234" s="377"/>
      <c r="L234" s="137"/>
      <c r="M234" s="379"/>
      <c r="N234" s="137"/>
      <c r="O234" s="379"/>
      <c r="P234" s="137"/>
      <c r="Q234" s="380"/>
      <c r="R234" s="137"/>
      <c r="S234" s="379"/>
      <c r="T234" s="137"/>
      <c r="U234" s="137"/>
      <c r="V234" s="137"/>
      <c r="W234" s="137"/>
      <c r="X234" s="137"/>
      <c r="Y234" s="137"/>
      <c r="Z234" s="137"/>
    </row>
    <row r="235" spans="1:26" ht="12" customHeight="1">
      <c r="A235" s="376"/>
      <c r="B235" s="374"/>
      <c r="C235" s="376"/>
      <c r="D235" s="377"/>
      <c r="E235" s="376"/>
      <c r="F235" s="374"/>
      <c r="G235" s="376"/>
      <c r="H235" s="378"/>
      <c r="I235" s="377"/>
      <c r="J235" s="137"/>
      <c r="K235" s="377"/>
      <c r="L235" s="137"/>
      <c r="M235" s="379"/>
      <c r="N235" s="137"/>
      <c r="O235" s="379"/>
      <c r="P235" s="137"/>
      <c r="Q235" s="380"/>
      <c r="R235" s="137"/>
      <c r="S235" s="379"/>
      <c r="T235" s="137"/>
      <c r="U235" s="137"/>
      <c r="V235" s="137"/>
      <c r="W235" s="137"/>
      <c r="X235" s="137"/>
      <c r="Y235" s="137"/>
      <c r="Z235" s="137"/>
    </row>
    <row r="236" spans="1:26" ht="12" customHeight="1">
      <c r="A236" s="376"/>
      <c r="B236" s="374"/>
      <c r="C236" s="376"/>
      <c r="D236" s="377"/>
      <c r="E236" s="376"/>
      <c r="F236" s="374"/>
      <c r="G236" s="376"/>
      <c r="H236" s="378"/>
      <c r="I236" s="377"/>
      <c r="J236" s="137"/>
      <c r="K236" s="377"/>
      <c r="L236" s="137"/>
      <c r="M236" s="379"/>
      <c r="N236" s="137"/>
      <c r="O236" s="379"/>
      <c r="P236" s="137"/>
      <c r="Q236" s="380"/>
      <c r="R236" s="137"/>
      <c r="S236" s="379"/>
      <c r="T236" s="137"/>
      <c r="U236" s="137"/>
      <c r="V236" s="137"/>
      <c r="W236" s="137"/>
      <c r="X236" s="137"/>
      <c r="Y236" s="137"/>
      <c r="Z236" s="137"/>
    </row>
    <row r="237" spans="1:26" ht="12" customHeight="1">
      <c r="A237" s="376"/>
      <c r="B237" s="374"/>
      <c r="C237" s="376"/>
      <c r="D237" s="377"/>
      <c r="E237" s="376"/>
      <c r="F237" s="374"/>
      <c r="G237" s="376"/>
      <c r="H237" s="378"/>
      <c r="I237" s="377"/>
      <c r="J237" s="137"/>
      <c r="K237" s="377"/>
      <c r="L237" s="137"/>
      <c r="M237" s="379"/>
      <c r="N237" s="137"/>
      <c r="O237" s="379"/>
      <c r="P237" s="137"/>
      <c r="Q237" s="380"/>
      <c r="R237" s="137"/>
      <c r="S237" s="379"/>
      <c r="T237" s="137"/>
      <c r="U237" s="137"/>
      <c r="V237" s="137"/>
      <c r="W237" s="137"/>
      <c r="X237" s="137"/>
      <c r="Y237" s="137"/>
      <c r="Z237" s="137"/>
    </row>
    <row r="238" spans="1:26" ht="12" customHeight="1">
      <c r="A238" s="376"/>
      <c r="B238" s="374"/>
      <c r="C238" s="376"/>
      <c r="D238" s="377"/>
      <c r="E238" s="376"/>
      <c r="F238" s="374"/>
      <c r="G238" s="376"/>
      <c r="H238" s="378"/>
      <c r="I238" s="377"/>
      <c r="J238" s="137"/>
      <c r="K238" s="377"/>
      <c r="L238" s="137"/>
      <c r="M238" s="379"/>
      <c r="N238" s="137"/>
      <c r="O238" s="379"/>
      <c r="P238" s="137"/>
      <c r="Q238" s="380"/>
      <c r="R238" s="137"/>
      <c r="S238" s="379"/>
      <c r="T238" s="137"/>
      <c r="U238" s="137"/>
      <c r="V238" s="137"/>
      <c r="W238" s="137"/>
      <c r="X238" s="137"/>
      <c r="Y238" s="137"/>
      <c r="Z238" s="137"/>
    </row>
    <row r="239" spans="1:26" ht="12" customHeight="1">
      <c r="A239" s="376"/>
      <c r="B239" s="374"/>
      <c r="C239" s="376"/>
      <c r="D239" s="377"/>
      <c r="E239" s="376"/>
      <c r="F239" s="374"/>
      <c r="G239" s="376"/>
      <c r="H239" s="378"/>
      <c r="I239" s="377"/>
      <c r="J239" s="137"/>
      <c r="K239" s="377"/>
      <c r="L239" s="137"/>
      <c r="M239" s="379"/>
      <c r="N239" s="137"/>
      <c r="O239" s="379"/>
      <c r="P239" s="137"/>
      <c r="Q239" s="380"/>
      <c r="R239" s="137"/>
      <c r="S239" s="379"/>
      <c r="T239" s="137"/>
      <c r="U239" s="137"/>
      <c r="V239" s="137"/>
      <c r="W239" s="137"/>
      <c r="X239" s="137"/>
      <c r="Y239" s="137"/>
      <c r="Z239" s="137"/>
    </row>
    <row r="240" spans="1:26" ht="12" customHeight="1">
      <c r="A240" s="376"/>
      <c r="B240" s="374"/>
      <c r="C240" s="376"/>
      <c r="D240" s="377"/>
      <c r="E240" s="376"/>
      <c r="F240" s="374"/>
      <c r="G240" s="376"/>
      <c r="H240" s="378"/>
      <c r="I240" s="377"/>
      <c r="J240" s="137"/>
      <c r="K240" s="377"/>
      <c r="L240" s="137"/>
      <c r="M240" s="379"/>
      <c r="N240" s="137"/>
      <c r="O240" s="379"/>
      <c r="P240" s="137"/>
      <c r="Q240" s="380"/>
      <c r="R240" s="137"/>
      <c r="S240" s="379"/>
      <c r="T240" s="137"/>
      <c r="U240" s="137"/>
      <c r="V240" s="137"/>
      <c r="W240" s="137"/>
      <c r="X240" s="137"/>
      <c r="Y240" s="137"/>
      <c r="Z240" s="137"/>
    </row>
    <row r="241" spans="1:26" ht="12" customHeight="1">
      <c r="A241" s="376"/>
      <c r="B241" s="374"/>
      <c r="C241" s="376"/>
      <c r="D241" s="377"/>
      <c r="E241" s="376"/>
      <c r="F241" s="374"/>
      <c r="G241" s="376"/>
      <c r="H241" s="378"/>
      <c r="I241" s="377"/>
      <c r="J241" s="137"/>
      <c r="K241" s="377"/>
      <c r="L241" s="137"/>
      <c r="M241" s="379"/>
      <c r="N241" s="137"/>
      <c r="O241" s="379"/>
      <c r="P241" s="137"/>
      <c r="Q241" s="380"/>
      <c r="R241" s="137"/>
      <c r="S241" s="379"/>
      <c r="T241" s="137"/>
      <c r="U241" s="137"/>
      <c r="V241" s="137"/>
      <c r="W241" s="137"/>
      <c r="X241" s="137"/>
      <c r="Y241" s="137"/>
      <c r="Z241" s="137"/>
    </row>
    <row r="242" spans="1:26" ht="12" customHeight="1">
      <c r="A242" s="376"/>
      <c r="B242" s="374"/>
      <c r="C242" s="376"/>
      <c r="D242" s="377"/>
      <c r="E242" s="376"/>
      <c r="F242" s="374"/>
      <c r="G242" s="376"/>
      <c r="H242" s="378"/>
      <c r="I242" s="377"/>
      <c r="J242" s="137"/>
      <c r="K242" s="377"/>
      <c r="L242" s="137"/>
      <c r="M242" s="379"/>
      <c r="N242" s="137"/>
      <c r="O242" s="379"/>
      <c r="P242" s="137"/>
      <c r="Q242" s="380"/>
      <c r="R242" s="137"/>
      <c r="S242" s="379"/>
      <c r="T242" s="137"/>
      <c r="U242" s="137"/>
      <c r="V242" s="137"/>
      <c r="W242" s="137"/>
      <c r="X242" s="137"/>
      <c r="Y242" s="137"/>
      <c r="Z242" s="137"/>
    </row>
    <row r="243" spans="1:26" ht="12" customHeight="1">
      <c r="A243" s="376"/>
      <c r="B243" s="374"/>
      <c r="C243" s="376"/>
      <c r="D243" s="377"/>
      <c r="E243" s="376"/>
      <c r="F243" s="374"/>
      <c r="G243" s="376"/>
      <c r="H243" s="378"/>
      <c r="I243" s="377"/>
      <c r="J243" s="137"/>
      <c r="K243" s="377"/>
      <c r="L243" s="137"/>
      <c r="M243" s="379"/>
      <c r="N243" s="137"/>
      <c r="O243" s="379"/>
      <c r="P243" s="137"/>
      <c r="Q243" s="380"/>
      <c r="R243" s="137"/>
      <c r="S243" s="379"/>
      <c r="T243" s="137"/>
      <c r="U243" s="137"/>
      <c r="V243" s="137"/>
      <c r="W243" s="137"/>
      <c r="X243" s="137"/>
      <c r="Y243" s="137"/>
      <c r="Z243" s="137"/>
    </row>
    <row r="244" spans="1:26" ht="12" customHeight="1">
      <c r="A244" s="376"/>
      <c r="B244" s="374"/>
      <c r="C244" s="376"/>
      <c r="D244" s="377"/>
      <c r="E244" s="376"/>
      <c r="F244" s="374"/>
      <c r="G244" s="376"/>
      <c r="H244" s="378"/>
      <c r="I244" s="377"/>
      <c r="J244" s="137"/>
      <c r="K244" s="377"/>
      <c r="L244" s="137"/>
      <c r="M244" s="379"/>
      <c r="N244" s="137"/>
      <c r="O244" s="379"/>
      <c r="P244" s="137"/>
      <c r="Q244" s="380"/>
      <c r="R244" s="137"/>
      <c r="S244" s="379"/>
      <c r="T244" s="137"/>
      <c r="U244" s="137"/>
      <c r="V244" s="137"/>
      <c r="W244" s="137"/>
      <c r="X244" s="137"/>
      <c r="Y244" s="137"/>
      <c r="Z244" s="137"/>
    </row>
    <row r="245" spans="1:26" ht="12" customHeight="1">
      <c r="A245" s="376"/>
      <c r="B245" s="374"/>
      <c r="C245" s="376"/>
      <c r="D245" s="377"/>
      <c r="E245" s="376"/>
      <c r="F245" s="374"/>
      <c r="G245" s="376"/>
      <c r="H245" s="378"/>
      <c r="I245" s="377"/>
      <c r="J245" s="137"/>
      <c r="K245" s="377"/>
      <c r="L245" s="137"/>
      <c r="M245" s="379"/>
      <c r="N245" s="137"/>
      <c r="O245" s="379"/>
      <c r="P245" s="137"/>
      <c r="Q245" s="380"/>
      <c r="R245" s="137"/>
      <c r="S245" s="379"/>
      <c r="T245" s="137"/>
      <c r="U245" s="137"/>
      <c r="V245" s="137"/>
      <c r="W245" s="137"/>
      <c r="X245" s="137"/>
      <c r="Y245" s="137"/>
      <c r="Z245" s="137"/>
    </row>
    <row r="246" spans="1:26" ht="12" customHeight="1">
      <c r="A246" s="376"/>
      <c r="B246" s="374"/>
      <c r="C246" s="376"/>
      <c r="D246" s="377"/>
      <c r="E246" s="376"/>
      <c r="F246" s="374"/>
      <c r="G246" s="376"/>
      <c r="H246" s="378"/>
      <c r="I246" s="377"/>
      <c r="J246" s="137"/>
      <c r="K246" s="377"/>
      <c r="L246" s="137"/>
      <c r="M246" s="379"/>
      <c r="N246" s="137"/>
      <c r="O246" s="379"/>
      <c r="P246" s="137"/>
      <c r="Q246" s="380"/>
      <c r="R246" s="137"/>
      <c r="S246" s="379"/>
      <c r="T246" s="137"/>
      <c r="U246" s="137"/>
      <c r="V246" s="137"/>
      <c r="W246" s="137"/>
      <c r="X246" s="137"/>
      <c r="Y246" s="137"/>
      <c r="Z246" s="137"/>
    </row>
    <row r="247" spans="1:26" ht="12" customHeight="1">
      <c r="A247" s="376"/>
      <c r="B247" s="374"/>
      <c r="C247" s="376"/>
      <c r="D247" s="377"/>
      <c r="E247" s="376"/>
      <c r="F247" s="374"/>
      <c r="G247" s="376"/>
      <c r="H247" s="378"/>
      <c r="I247" s="377"/>
      <c r="J247" s="137"/>
      <c r="K247" s="377"/>
      <c r="L247" s="137"/>
      <c r="M247" s="379"/>
      <c r="N247" s="137"/>
      <c r="O247" s="379"/>
      <c r="P247" s="137"/>
      <c r="Q247" s="380"/>
      <c r="R247" s="137"/>
      <c r="S247" s="379"/>
      <c r="T247" s="137"/>
      <c r="U247" s="137"/>
      <c r="V247" s="137"/>
      <c r="W247" s="137"/>
      <c r="X247" s="137"/>
      <c r="Y247" s="137"/>
      <c r="Z247" s="137"/>
    </row>
    <row r="248" spans="1:26" ht="12" customHeight="1">
      <c r="A248" s="376"/>
      <c r="B248" s="374"/>
      <c r="C248" s="376"/>
      <c r="D248" s="377"/>
      <c r="E248" s="376"/>
      <c r="F248" s="374"/>
      <c r="G248" s="376"/>
      <c r="H248" s="378"/>
      <c r="I248" s="377"/>
      <c r="J248" s="137"/>
      <c r="K248" s="377"/>
      <c r="L248" s="137"/>
      <c r="M248" s="379"/>
      <c r="N248" s="137"/>
      <c r="O248" s="379"/>
      <c r="P248" s="137"/>
      <c r="Q248" s="380"/>
      <c r="R248" s="137"/>
      <c r="S248" s="379"/>
      <c r="T248" s="137"/>
      <c r="U248" s="137"/>
      <c r="V248" s="137"/>
      <c r="W248" s="137"/>
      <c r="X248" s="137"/>
      <c r="Y248" s="137"/>
      <c r="Z248" s="137"/>
    </row>
    <row r="249" spans="1:26" ht="12" customHeight="1">
      <c r="A249" s="376"/>
      <c r="B249" s="374"/>
      <c r="C249" s="376"/>
      <c r="D249" s="377"/>
      <c r="E249" s="376"/>
      <c r="F249" s="374"/>
      <c r="G249" s="376"/>
      <c r="H249" s="378"/>
      <c r="I249" s="377"/>
      <c r="J249" s="137"/>
      <c r="K249" s="377"/>
      <c r="L249" s="137"/>
      <c r="M249" s="379"/>
      <c r="N249" s="137"/>
      <c r="O249" s="379"/>
      <c r="P249" s="137"/>
      <c r="Q249" s="380"/>
      <c r="R249" s="137"/>
      <c r="S249" s="379"/>
      <c r="T249" s="137"/>
      <c r="U249" s="137"/>
      <c r="V249" s="137"/>
      <c r="W249" s="137"/>
      <c r="X249" s="137"/>
      <c r="Y249" s="137"/>
      <c r="Z249" s="137"/>
    </row>
    <row r="250" spans="1:26" ht="12" customHeight="1">
      <c r="A250" s="376"/>
      <c r="B250" s="374"/>
      <c r="C250" s="376"/>
      <c r="D250" s="377"/>
      <c r="E250" s="376"/>
      <c r="F250" s="374"/>
      <c r="G250" s="376"/>
      <c r="H250" s="378"/>
      <c r="I250" s="377"/>
      <c r="J250" s="137"/>
      <c r="K250" s="377"/>
      <c r="L250" s="137"/>
      <c r="M250" s="379"/>
      <c r="N250" s="137"/>
      <c r="O250" s="379"/>
      <c r="P250" s="137"/>
      <c r="Q250" s="380"/>
      <c r="R250" s="137"/>
      <c r="S250" s="379"/>
      <c r="T250" s="137"/>
      <c r="U250" s="137"/>
      <c r="V250" s="137"/>
      <c r="W250" s="137"/>
      <c r="X250" s="137"/>
      <c r="Y250" s="137"/>
      <c r="Z250" s="137"/>
    </row>
    <row r="251" spans="1:26" ht="12" customHeight="1">
      <c r="A251" s="376"/>
      <c r="B251" s="374"/>
      <c r="C251" s="376"/>
      <c r="D251" s="377"/>
      <c r="E251" s="376"/>
      <c r="F251" s="374"/>
      <c r="G251" s="376"/>
      <c r="H251" s="378"/>
      <c r="I251" s="377"/>
      <c r="J251" s="137"/>
      <c r="K251" s="377"/>
      <c r="L251" s="137"/>
      <c r="M251" s="379"/>
      <c r="N251" s="137"/>
      <c r="O251" s="379"/>
      <c r="P251" s="137"/>
      <c r="Q251" s="380"/>
      <c r="R251" s="137"/>
      <c r="S251" s="379"/>
      <c r="T251" s="137"/>
      <c r="U251" s="137"/>
      <c r="V251" s="137"/>
      <c r="W251" s="137"/>
      <c r="X251" s="137"/>
      <c r="Y251" s="137"/>
      <c r="Z251" s="137"/>
    </row>
    <row r="252" spans="1:26" ht="12" customHeight="1">
      <c r="A252" s="376"/>
      <c r="B252" s="374"/>
      <c r="C252" s="376"/>
      <c r="D252" s="377"/>
      <c r="E252" s="376"/>
      <c r="F252" s="374"/>
      <c r="G252" s="376"/>
      <c r="H252" s="378"/>
      <c r="I252" s="377"/>
      <c r="J252" s="137"/>
      <c r="K252" s="377"/>
      <c r="L252" s="137"/>
      <c r="M252" s="379"/>
      <c r="N252" s="137"/>
      <c r="O252" s="379"/>
      <c r="P252" s="137"/>
      <c r="Q252" s="380"/>
      <c r="R252" s="137"/>
      <c r="S252" s="379"/>
      <c r="T252" s="137"/>
      <c r="U252" s="137"/>
      <c r="V252" s="137"/>
      <c r="W252" s="137"/>
      <c r="X252" s="137"/>
      <c r="Y252" s="137"/>
      <c r="Z252" s="137"/>
    </row>
    <row r="253" spans="1:26" ht="12" customHeight="1">
      <c r="A253" s="376"/>
      <c r="B253" s="374"/>
      <c r="C253" s="376"/>
      <c r="D253" s="377"/>
      <c r="E253" s="376"/>
      <c r="F253" s="374"/>
      <c r="G253" s="376"/>
      <c r="H253" s="378"/>
      <c r="I253" s="377"/>
      <c r="J253" s="137"/>
      <c r="K253" s="377"/>
      <c r="L253" s="137"/>
      <c r="M253" s="379"/>
      <c r="N253" s="137"/>
      <c r="O253" s="379"/>
      <c r="P253" s="137"/>
      <c r="Q253" s="380"/>
      <c r="R253" s="137"/>
      <c r="S253" s="379"/>
      <c r="T253" s="137"/>
      <c r="U253" s="137"/>
      <c r="V253" s="137"/>
      <c r="W253" s="137"/>
      <c r="X253" s="137"/>
      <c r="Y253" s="137"/>
      <c r="Z253" s="137"/>
    </row>
    <row r="254" spans="1:26" ht="12" customHeight="1">
      <c r="A254" s="376"/>
      <c r="B254" s="374"/>
      <c r="C254" s="376"/>
      <c r="D254" s="377"/>
      <c r="E254" s="376"/>
      <c r="F254" s="374"/>
      <c r="G254" s="376"/>
      <c r="H254" s="378"/>
      <c r="I254" s="377"/>
      <c r="J254" s="137"/>
      <c r="K254" s="377"/>
      <c r="L254" s="137"/>
      <c r="M254" s="379"/>
      <c r="N254" s="137"/>
      <c r="O254" s="379"/>
      <c r="P254" s="137"/>
      <c r="Q254" s="380"/>
      <c r="R254" s="137"/>
      <c r="S254" s="379"/>
      <c r="T254" s="137"/>
      <c r="U254" s="137"/>
      <c r="V254" s="137"/>
      <c r="W254" s="137"/>
      <c r="X254" s="137"/>
      <c r="Y254" s="137"/>
      <c r="Z254" s="137"/>
    </row>
    <row r="255" spans="1:26" ht="12" customHeight="1">
      <c r="A255" s="376"/>
      <c r="B255" s="374"/>
      <c r="C255" s="376"/>
      <c r="D255" s="377"/>
      <c r="E255" s="376"/>
      <c r="F255" s="374"/>
      <c r="G255" s="376"/>
      <c r="H255" s="378"/>
      <c r="I255" s="377"/>
      <c r="J255" s="137"/>
      <c r="K255" s="377"/>
      <c r="L255" s="137"/>
      <c r="M255" s="379"/>
      <c r="N255" s="137"/>
      <c r="O255" s="379"/>
      <c r="P255" s="137"/>
      <c r="Q255" s="380"/>
      <c r="R255" s="137"/>
      <c r="S255" s="379"/>
      <c r="T255" s="137"/>
      <c r="U255" s="137"/>
      <c r="V255" s="137"/>
      <c r="W255" s="137"/>
      <c r="X255" s="137"/>
      <c r="Y255" s="137"/>
      <c r="Z255" s="137"/>
    </row>
    <row r="256" spans="1:26" ht="12" customHeight="1">
      <c r="A256" s="376"/>
      <c r="B256" s="374"/>
      <c r="C256" s="376"/>
      <c r="D256" s="377"/>
      <c r="E256" s="376"/>
      <c r="F256" s="374"/>
      <c r="G256" s="376"/>
      <c r="H256" s="378"/>
      <c r="I256" s="377"/>
      <c r="J256" s="137"/>
      <c r="K256" s="377"/>
      <c r="L256" s="137"/>
      <c r="M256" s="379"/>
      <c r="N256" s="137"/>
      <c r="O256" s="379"/>
      <c r="P256" s="137"/>
      <c r="Q256" s="380"/>
      <c r="R256" s="137"/>
      <c r="S256" s="379"/>
      <c r="T256" s="137"/>
      <c r="U256" s="137"/>
      <c r="V256" s="137"/>
      <c r="W256" s="137"/>
      <c r="X256" s="137"/>
      <c r="Y256" s="137"/>
      <c r="Z256" s="137"/>
    </row>
    <row r="257" spans="1:26" ht="12" customHeight="1">
      <c r="A257" s="376"/>
      <c r="B257" s="374"/>
      <c r="C257" s="376"/>
      <c r="D257" s="377"/>
      <c r="E257" s="376"/>
      <c r="F257" s="374"/>
      <c r="G257" s="376"/>
      <c r="H257" s="378"/>
      <c r="I257" s="377"/>
      <c r="J257" s="137"/>
      <c r="K257" s="377"/>
      <c r="L257" s="137"/>
      <c r="M257" s="379"/>
      <c r="N257" s="137"/>
      <c r="O257" s="379"/>
      <c r="P257" s="137"/>
      <c r="Q257" s="380"/>
      <c r="R257" s="137"/>
      <c r="S257" s="379"/>
      <c r="T257" s="137"/>
      <c r="U257" s="137"/>
      <c r="V257" s="137"/>
      <c r="W257" s="137"/>
      <c r="X257" s="137"/>
      <c r="Y257" s="137"/>
      <c r="Z257" s="137"/>
    </row>
    <row r="258" spans="1:26" ht="12" customHeight="1">
      <c r="A258" s="376"/>
      <c r="B258" s="374"/>
      <c r="C258" s="376"/>
      <c r="D258" s="377"/>
      <c r="E258" s="376"/>
      <c r="F258" s="374"/>
      <c r="G258" s="376"/>
      <c r="H258" s="378"/>
      <c r="I258" s="377"/>
      <c r="J258" s="137"/>
      <c r="K258" s="377"/>
      <c r="L258" s="137"/>
      <c r="M258" s="379"/>
      <c r="N258" s="137"/>
      <c r="O258" s="379"/>
      <c r="P258" s="137"/>
      <c r="Q258" s="380"/>
      <c r="R258" s="137"/>
      <c r="S258" s="379"/>
      <c r="T258" s="137"/>
      <c r="U258" s="137"/>
      <c r="V258" s="137"/>
      <c r="W258" s="137"/>
      <c r="X258" s="137"/>
      <c r="Y258" s="137"/>
      <c r="Z258" s="137"/>
    </row>
    <row r="259" spans="1:26" ht="12" customHeight="1">
      <c r="A259" s="376"/>
      <c r="B259" s="374"/>
      <c r="C259" s="376"/>
      <c r="D259" s="377"/>
      <c r="E259" s="376"/>
      <c r="F259" s="374"/>
      <c r="G259" s="376"/>
      <c r="H259" s="378"/>
      <c r="I259" s="377"/>
      <c r="J259" s="137"/>
      <c r="K259" s="377"/>
      <c r="L259" s="137"/>
      <c r="M259" s="379"/>
      <c r="N259" s="137"/>
      <c r="O259" s="379"/>
      <c r="P259" s="137"/>
      <c r="Q259" s="380"/>
      <c r="R259" s="137"/>
      <c r="S259" s="379"/>
      <c r="T259" s="137"/>
      <c r="U259" s="137"/>
      <c r="V259" s="137"/>
      <c r="W259" s="137"/>
      <c r="X259" s="137"/>
      <c r="Y259" s="137"/>
      <c r="Z259" s="137"/>
    </row>
    <row r="260" spans="1:26" ht="12" customHeight="1">
      <c r="A260" s="376"/>
      <c r="B260" s="374"/>
      <c r="C260" s="376"/>
      <c r="D260" s="377"/>
      <c r="E260" s="376"/>
      <c r="F260" s="374"/>
      <c r="G260" s="376"/>
      <c r="H260" s="378"/>
      <c r="I260" s="377"/>
      <c r="J260" s="137"/>
      <c r="K260" s="377"/>
      <c r="L260" s="137"/>
      <c r="M260" s="379"/>
      <c r="N260" s="137"/>
      <c r="O260" s="379"/>
      <c r="P260" s="137"/>
      <c r="Q260" s="380"/>
      <c r="R260" s="137"/>
      <c r="S260" s="379"/>
      <c r="T260" s="137"/>
      <c r="U260" s="137"/>
      <c r="V260" s="137"/>
      <c r="W260" s="137"/>
      <c r="X260" s="137"/>
      <c r="Y260" s="137"/>
      <c r="Z260" s="137"/>
    </row>
    <row r="261" spans="1:26" ht="12" customHeight="1">
      <c r="A261" s="376"/>
      <c r="B261" s="374"/>
      <c r="C261" s="376"/>
      <c r="D261" s="377"/>
      <c r="E261" s="376"/>
      <c r="F261" s="374"/>
      <c r="G261" s="376"/>
      <c r="H261" s="378"/>
      <c r="I261" s="377"/>
      <c r="J261" s="137"/>
      <c r="K261" s="377"/>
      <c r="L261" s="137"/>
      <c r="M261" s="379"/>
      <c r="N261" s="137"/>
      <c r="O261" s="379"/>
      <c r="P261" s="137"/>
      <c r="Q261" s="380"/>
      <c r="R261" s="137"/>
      <c r="S261" s="379"/>
      <c r="T261" s="137"/>
      <c r="U261" s="137"/>
      <c r="V261" s="137"/>
      <c r="W261" s="137"/>
      <c r="X261" s="137"/>
      <c r="Y261" s="137"/>
      <c r="Z261" s="137"/>
    </row>
    <row r="262" spans="1:26" ht="12" customHeight="1">
      <c r="A262" s="376"/>
      <c r="B262" s="374"/>
      <c r="C262" s="376"/>
      <c r="D262" s="377"/>
      <c r="E262" s="376"/>
      <c r="F262" s="374"/>
      <c r="G262" s="376"/>
      <c r="H262" s="378"/>
      <c r="I262" s="377"/>
      <c r="J262" s="137"/>
      <c r="K262" s="377"/>
      <c r="L262" s="137"/>
      <c r="M262" s="379"/>
      <c r="N262" s="137"/>
      <c r="O262" s="379"/>
      <c r="P262" s="137"/>
      <c r="Q262" s="380"/>
      <c r="R262" s="137"/>
      <c r="S262" s="379"/>
      <c r="T262" s="137"/>
      <c r="U262" s="137"/>
      <c r="V262" s="137"/>
      <c r="W262" s="137"/>
      <c r="X262" s="137"/>
      <c r="Y262" s="137"/>
      <c r="Z262" s="137"/>
    </row>
    <row r="263" spans="1:26" ht="12" customHeight="1">
      <c r="A263" s="376"/>
      <c r="B263" s="374"/>
      <c r="C263" s="376"/>
      <c r="D263" s="377"/>
      <c r="E263" s="376"/>
      <c r="F263" s="374"/>
      <c r="G263" s="376"/>
      <c r="H263" s="378"/>
      <c r="I263" s="377"/>
      <c r="J263" s="137"/>
      <c r="K263" s="377"/>
      <c r="L263" s="137"/>
      <c r="M263" s="379"/>
      <c r="N263" s="137"/>
      <c r="O263" s="379"/>
      <c r="P263" s="137"/>
      <c r="Q263" s="380"/>
      <c r="R263" s="137"/>
      <c r="S263" s="379"/>
      <c r="T263" s="137"/>
      <c r="U263" s="137"/>
      <c r="V263" s="137"/>
      <c r="W263" s="137"/>
      <c r="X263" s="137"/>
      <c r="Y263" s="137"/>
      <c r="Z263" s="137"/>
    </row>
    <row r="264" spans="1:26" ht="12" customHeight="1">
      <c r="A264" s="376"/>
      <c r="B264" s="374"/>
      <c r="C264" s="376"/>
      <c r="D264" s="377"/>
      <c r="E264" s="376"/>
      <c r="F264" s="374"/>
      <c r="G264" s="376"/>
      <c r="H264" s="378"/>
      <c r="I264" s="377"/>
      <c r="J264" s="137"/>
      <c r="K264" s="377"/>
      <c r="L264" s="137"/>
      <c r="M264" s="379"/>
      <c r="N264" s="137"/>
      <c r="O264" s="379"/>
      <c r="P264" s="137"/>
      <c r="Q264" s="380"/>
      <c r="R264" s="137"/>
      <c r="S264" s="379"/>
      <c r="T264" s="137"/>
      <c r="U264" s="137"/>
      <c r="V264" s="137"/>
      <c r="W264" s="137"/>
      <c r="X264" s="137"/>
      <c r="Y264" s="137"/>
      <c r="Z264" s="137"/>
    </row>
    <row r="265" spans="1:26" ht="12" customHeight="1">
      <c r="A265" s="376"/>
      <c r="B265" s="374"/>
      <c r="C265" s="376"/>
      <c r="D265" s="377"/>
      <c r="E265" s="376"/>
      <c r="F265" s="374"/>
      <c r="G265" s="376"/>
      <c r="H265" s="378"/>
      <c r="I265" s="377"/>
      <c r="J265" s="137"/>
      <c r="K265" s="377"/>
      <c r="L265" s="137"/>
      <c r="M265" s="379"/>
      <c r="N265" s="137"/>
      <c r="O265" s="379"/>
      <c r="P265" s="137"/>
      <c r="Q265" s="380"/>
      <c r="R265" s="137"/>
      <c r="S265" s="379"/>
      <c r="T265" s="137"/>
      <c r="U265" s="137"/>
      <c r="V265" s="137"/>
      <c r="W265" s="137"/>
      <c r="X265" s="137"/>
      <c r="Y265" s="137"/>
      <c r="Z265" s="137"/>
    </row>
    <row r="266" spans="1:26" ht="12" customHeight="1">
      <c r="A266" s="376"/>
      <c r="B266" s="374"/>
      <c r="C266" s="376"/>
      <c r="D266" s="377"/>
      <c r="E266" s="376"/>
      <c r="F266" s="374"/>
      <c r="G266" s="376"/>
      <c r="H266" s="378"/>
      <c r="I266" s="377"/>
      <c r="J266" s="137"/>
      <c r="K266" s="377"/>
      <c r="L266" s="137"/>
      <c r="M266" s="379"/>
      <c r="N266" s="137"/>
      <c r="O266" s="379"/>
      <c r="P266" s="137"/>
      <c r="Q266" s="380"/>
      <c r="R266" s="137"/>
      <c r="S266" s="379"/>
      <c r="T266" s="137"/>
      <c r="U266" s="137"/>
      <c r="V266" s="137"/>
      <c r="W266" s="137"/>
      <c r="X266" s="137"/>
      <c r="Y266" s="137"/>
      <c r="Z266" s="137"/>
    </row>
    <row r="267" spans="1:26" ht="12" customHeight="1">
      <c r="A267" s="376"/>
      <c r="B267" s="374"/>
      <c r="C267" s="376"/>
      <c r="D267" s="377"/>
      <c r="E267" s="376"/>
      <c r="F267" s="374"/>
      <c r="G267" s="376"/>
      <c r="H267" s="378"/>
      <c r="I267" s="377"/>
      <c r="J267" s="137"/>
      <c r="K267" s="377"/>
      <c r="L267" s="137"/>
      <c r="M267" s="379"/>
      <c r="N267" s="137"/>
      <c r="O267" s="379"/>
      <c r="P267" s="137"/>
      <c r="Q267" s="380"/>
      <c r="R267" s="137"/>
      <c r="S267" s="379"/>
      <c r="T267" s="137"/>
      <c r="U267" s="137"/>
      <c r="V267" s="137"/>
      <c r="W267" s="137"/>
      <c r="X267" s="137"/>
      <c r="Y267" s="137"/>
      <c r="Z267" s="137"/>
    </row>
    <row r="268" spans="1:26" ht="12" customHeight="1">
      <c r="A268" s="376"/>
      <c r="B268" s="374"/>
      <c r="C268" s="376"/>
      <c r="D268" s="377"/>
      <c r="E268" s="376"/>
      <c r="F268" s="374"/>
      <c r="G268" s="376"/>
      <c r="H268" s="378"/>
      <c r="I268" s="377"/>
      <c r="J268" s="137"/>
      <c r="K268" s="377"/>
      <c r="L268" s="137"/>
      <c r="M268" s="379"/>
      <c r="N268" s="137"/>
      <c r="O268" s="379"/>
      <c r="P268" s="137"/>
      <c r="Q268" s="379"/>
      <c r="R268" s="137"/>
      <c r="S268" s="379"/>
      <c r="T268" s="137"/>
      <c r="U268" s="137"/>
      <c r="V268" s="137"/>
      <c r="W268" s="137"/>
      <c r="X268" s="137"/>
      <c r="Y268" s="137"/>
      <c r="Z268" s="137"/>
    </row>
    <row r="269" spans="1:26" ht="12" customHeight="1">
      <c r="A269" s="376"/>
      <c r="B269" s="374"/>
      <c r="C269" s="376"/>
      <c r="D269" s="377"/>
      <c r="E269" s="376"/>
      <c r="F269" s="374"/>
      <c r="G269" s="376"/>
      <c r="H269" s="378"/>
      <c r="I269" s="377"/>
      <c r="J269" s="137"/>
      <c r="K269" s="377"/>
      <c r="L269" s="137"/>
      <c r="M269" s="379"/>
      <c r="N269" s="137"/>
      <c r="O269" s="379"/>
      <c r="P269" s="137"/>
      <c r="Q269" s="379"/>
      <c r="R269" s="137"/>
      <c r="S269" s="379"/>
      <c r="T269" s="137"/>
      <c r="U269" s="137"/>
      <c r="V269" s="137"/>
      <c r="W269" s="137"/>
      <c r="X269" s="137"/>
      <c r="Y269" s="137"/>
      <c r="Z269" s="137"/>
    </row>
    <row r="270" spans="1:26" ht="12" customHeight="1">
      <c r="A270" s="376"/>
      <c r="B270" s="374"/>
      <c r="C270" s="376"/>
      <c r="D270" s="377"/>
      <c r="E270" s="376"/>
      <c r="F270" s="374"/>
      <c r="G270" s="376"/>
      <c r="H270" s="378"/>
      <c r="I270" s="377"/>
      <c r="J270" s="137"/>
      <c r="K270" s="377"/>
      <c r="L270" s="137"/>
      <c r="M270" s="379"/>
      <c r="N270" s="137"/>
      <c r="O270" s="379"/>
      <c r="P270" s="137"/>
      <c r="Q270" s="379"/>
      <c r="R270" s="137"/>
      <c r="S270" s="379"/>
      <c r="T270" s="137"/>
      <c r="U270" s="137"/>
      <c r="V270" s="137"/>
      <c r="W270" s="137"/>
      <c r="X270" s="137"/>
      <c r="Y270" s="137"/>
      <c r="Z270" s="137"/>
    </row>
    <row r="271" spans="1:26" ht="12" customHeight="1">
      <c r="A271" s="376"/>
      <c r="B271" s="374"/>
      <c r="C271" s="376"/>
      <c r="D271" s="377"/>
      <c r="E271" s="376"/>
      <c r="F271" s="374"/>
      <c r="G271" s="376"/>
      <c r="H271" s="378"/>
      <c r="I271" s="377"/>
      <c r="J271" s="137"/>
      <c r="K271" s="377"/>
      <c r="L271" s="137"/>
      <c r="M271" s="379"/>
      <c r="N271" s="137"/>
      <c r="O271" s="379"/>
      <c r="P271" s="137"/>
      <c r="Q271" s="379"/>
      <c r="R271" s="137"/>
      <c r="S271" s="379"/>
      <c r="T271" s="137"/>
      <c r="U271" s="137"/>
      <c r="V271" s="137"/>
      <c r="W271" s="137"/>
      <c r="X271" s="137"/>
      <c r="Y271" s="137"/>
      <c r="Z271" s="137"/>
    </row>
    <row r="272" spans="1:26" ht="12" customHeight="1">
      <c r="A272" s="376"/>
      <c r="B272" s="374"/>
      <c r="C272" s="376"/>
      <c r="D272" s="377"/>
      <c r="E272" s="376"/>
      <c r="F272" s="374"/>
      <c r="G272" s="376"/>
      <c r="H272" s="378"/>
      <c r="I272" s="377"/>
      <c r="J272" s="137"/>
      <c r="K272" s="377"/>
      <c r="L272" s="137"/>
      <c r="M272" s="379"/>
      <c r="N272" s="137"/>
      <c r="O272" s="379"/>
      <c r="P272" s="137"/>
      <c r="Q272" s="379"/>
      <c r="R272" s="137"/>
      <c r="S272" s="379"/>
      <c r="T272" s="137"/>
      <c r="U272" s="137"/>
      <c r="V272" s="137"/>
      <c r="W272" s="137"/>
      <c r="X272" s="137"/>
      <c r="Y272" s="137"/>
      <c r="Z272" s="137"/>
    </row>
    <row r="273" spans="1:26" ht="12" customHeight="1">
      <c r="A273" s="376"/>
      <c r="B273" s="374"/>
      <c r="C273" s="376"/>
      <c r="D273" s="377"/>
      <c r="E273" s="376"/>
      <c r="F273" s="374"/>
      <c r="G273" s="376"/>
      <c r="H273" s="378"/>
      <c r="I273" s="377"/>
      <c r="J273" s="137"/>
      <c r="K273" s="377"/>
      <c r="L273" s="137"/>
      <c r="M273" s="379"/>
      <c r="N273" s="137"/>
      <c r="O273" s="379"/>
      <c r="P273" s="137"/>
      <c r="Q273" s="379"/>
      <c r="R273" s="137"/>
      <c r="S273" s="379"/>
      <c r="T273" s="137"/>
      <c r="U273" s="137"/>
      <c r="V273" s="137"/>
      <c r="W273" s="137"/>
      <c r="X273" s="137"/>
      <c r="Y273" s="137"/>
      <c r="Z273" s="137"/>
    </row>
    <row r="274" spans="1:26" ht="12" customHeight="1">
      <c r="A274" s="376"/>
      <c r="B274" s="374"/>
      <c r="C274" s="376"/>
      <c r="D274" s="377"/>
      <c r="E274" s="376"/>
      <c r="F274" s="374"/>
      <c r="G274" s="376"/>
      <c r="H274" s="378"/>
      <c r="I274" s="377"/>
      <c r="J274" s="137"/>
      <c r="K274" s="377"/>
      <c r="L274" s="137"/>
      <c r="M274" s="379"/>
      <c r="N274" s="137"/>
      <c r="O274" s="379"/>
      <c r="P274" s="137"/>
      <c r="Q274" s="379"/>
      <c r="R274" s="137"/>
      <c r="S274" s="379"/>
      <c r="T274" s="137"/>
      <c r="U274" s="137"/>
      <c r="V274" s="137"/>
      <c r="W274" s="137"/>
      <c r="X274" s="137"/>
      <c r="Y274" s="137"/>
      <c r="Z274" s="137"/>
    </row>
    <row r="275" spans="1:26" ht="12" customHeight="1">
      <c r="A275" s="376"/>
      <c r="B275" s="374"/>
      <c r="C275" s="376"/>
      <c r="D275" s="377"/>
      <c r="E275" s="376"/>
      <c r="F275" s="374"/>
      <c r="G275" s="376"/>
      <c r="H275" s="378"/>
      <c r="I275" s="377"/>
      <c r="J275" s="137"/>
      <c r="K275" s="377"/>
      <c r="L275" s="137"/>
      <c r="M275" s="379"/>
      <c r="N275" s="137"/>
      <c r="O275" s="379"/>
      <c r="P275" s="137"/>
      <c r="Q275" s="379"/>
      <c r="R275" s="137"/>
      <c r="S275" s="379"/>
      <c r="T275" s="137"/>
      <c r="U275" s="137"/>
      <c r="V275" s="137"/>
      <c r="W275" s="137"/>
      <c r="X275" s="137"/>
      <c r="Y275" s="137"/>
      <c r="Z275" s="137"/>
    </row>
    <row r="276" spans="1:26" ht="12" customHeight="1">
      <c r="A276" s="376"/>
      <c r="B276" s="374"/>
      <c r="C276" s="376"/>
      <c r="D276" s="377"/>
      <c r="E276" s="376"/>
      <c r="F276" s="374"/>
      <c r="G276" s="376"/>
      <c r="H276" s="378"/>
      <c r="I276" s="377"/>
      <c r="J276" s="137"/>
      <c r="K276" s="377"/>
      <c r="L276" s="137"/>
      <c r="M276" s="379"/>
      <c r="N276" s="137"/>
      <c r="O276" s="379"/>
      <c r="P276" s="137"/>
      <c r="Q276" s="379"/>
      <c r="R276" s="137"/>
      <c r="S276" s="379"/>
      <c r="T276" s="137"/>
      <c r="U276" s="137"/>
      <c r="V276" s="137"/>
      <c r="W276" s="137"/>
      <c r="X276" s="137"/>
      <c r="Y276" s="137"/>
      <c r="Z276" s="137"/>
    </row>
    <row r="277" spans="1:26" ht="12" customHeight="1">
      <c r="A277" s="376"/>
      <c r="B277" s="374"/>
      <c r="C277" s="376"/>
      <c r="D277" s="377"/>
      <c r="E277" s="376"/>
      <c r="F277" s="374"/>
      <c r="G277" s="376"/>
      <c r="H277" s="378"/>
      <c r="I277" s="377"/>
      <c r="J277" s="137"/>
      <c r="K277" s="377"/>
      <c r="L277" s="137"/>
      <c r="M277" s="379"/>
      <c r="N277" s="137"/>
      <c r="O277" s="379"/>
      <c r="P277" s="137"/>
      <c r="Q277" s="379"/>
      <c r="R277" s="137"/>
      <c r="S277" s="379"/>
      <c r="T277" s="137"/>
      <c r="U277" s="137"/>
      <c r="V277" s="137"/>
      <c r="W277" s="137"/>
      <c r="X277" s="137"/>
      <c r="Y277" s="137"/>
      <c r="Z277" s="137"/>
    </row>
    <row r="278" spans="1:26" ht="12" customHeight="1">
      <c r="A278" s="376"/>
      <c r="B278" s="374"/>
      <c r="C278" s="376"/>
      <c r="D278" s="377"/>
      <c r="E278" s="376"/>
      <c r="F278" s="374"/>
      <c r="G278" s="376"/>
      <c r="H278" s="378"/>
      <c r="I278" s="377"/>
      <c r="J278" s="137"/>
      <c r="K278" s="377"/>
      <c r="L278" s="137"/>
      <c r="M278" s="379"/>
      <c r="N278" s="137"/>
      <c r="O278" s="379"/>
      <c r="P278" s="137"/>
      <c r="Q278" s="379"/>
      <c r="R278" s="137"/>
      <c r="S278" s="379"/>
      <c r="T278" s="137"/>
      <c r="U278" s="137"/>
      <c r="V278" s="137"/>
      <c r="W278" s="137"/>
      <c r="X278" s="137"/>
      <c r="Y278" s="137"/>
      <c r="Z278" s="137"/>
    </row>
    <row r="279" spans="1:26" ht="12" customHeight="1">
      <c r="A279" s="376"/>
      <c r="B279" s="374"/>
      <c r="C279" s="376"/>
      <c r="D279" s="377"/>
      <c r="E279" s="376"/>
      <c r="F279" s="374"/>
      <c r="G279" s="376"/>
      <c r="H279" s="378"/>
      <c r="I279" s="377"/>
      <c r="J279" s="137"/>
      <c r="K279" s="377"/>
      <c r="L279" s="137"/>
      <c r="M279" s="379"/>
      <c r="N279" s="137"/>
      <c r="O279" s="379"/>
      <c r="P279" s="137"/>
      <c r="Q279" s="379"/>
      <c r="R279" s="137"/>
      <c r="S279" s="379"/>
      <c r="T279" s="137"/>
      <c r="U279" s="137"/>
      <c r="V279" s="137"/>
      <c r="W279" s="137"/>
      <c r="X279" s="137"/>
      <c r="Y279" s="137"/>
      <c r="Z279" s="137"/>
    </row>
    <row r="280" spans="1:26" ht="12" customHeight="1">
      <c r="A280" s="376"/>
      <c r="B280" s="374"/>
      <c r="C280" s="376"/>
      <c r="D280" s="377"/>
      <c r="E280" s="376"/>
      <c r="F280" s="374"/>
      <c r="G280" s="376"/>
      <c r="H280" s="378"/>
      <c r="I280" s="377"/>
      <c r="J280" s="137"/>
      <c r="K280" s="377"/>
      <c r="L280" s="137"/>
      <c r="M280" s="379"/>
      <c r="N280" s="137"/>
      <c r="O280" s="379"/>
      <c r="P280" s="137"/>
      <c r="Q280" s="379"/>
      <c r="R280" s="137"/>
      <c r="S280" s="379"/>
      <c r="T280" s="137"/>
      <c r="U280" s="137"/>
      <c r="V280" s="137"/>
      <c r="W280" s="137"/>
      <c r="X280" s="137"/>
      <c r="Y280" s="137"/>
      <c r="Z280" s="137"/>
    </row>
    <row r="281" spans="1:26" ht="12" customHeight="1">
      <c r="A281" s="376"/>
      <c r="B281" s="374"/>
      <c r="C281" s="376"/>
      <c r="D281" s="377"/>
      <c r="E281" s="376"/>
      <c r="F281" s="374"/>
      <c r="G281" s="376"/>
      <c r="H281" s="378"/>
      <c r="I281" s="377"/>
      <c r="J281" s="137"/>
      <c r="K281" s="377"/>
      <c r="L281" s="137"/>
      <c r="M281" s="379"/>
      <c r="N281" s="137"/>
      <c r="O281" s="379"/>
      <c r="P281" s="137"/>
      <c r="Q281" s="379"/>
      <c r="R281" s="137"/>
      <c r="S281" s="379"/>
      <c r="T281" s="137"/>
      <c r="U281" s="137"/>
      <c r="V281" s="137"/>
      <c r="W281" s="137"/>
      <c r="X281" s="137"/>
      <c r="Y281" s="137"/>
      <c r="Z281" s="137"/>
    </row>
    <row r="282" spans="1:26" ht="12" customHeight="1">
      <c r="A282" s="376"/>
      <c r="B282" s="374"/>
      <c r="C282" s="376"/>
      <c r="D282" s="377"/>
      <c r="E282" s="376"/>
      <c r="F282" s="374"/>
      <c r="G282" s="376"/>
      <c r="H282" s="378"/>
      <c r="I282" s="377"/>
      <c r="J282" s="137"/>
      <c r="K282" s="377"/>
      <c r="L282" s="137"/>
      <c r="M282" s="379"/>
      <c r="N282" s="137"/>
      <c r="O282" s="379"/>
      <c r="P282" s="137"/>
      <c r="Q282" s="379"/>
      <c r="R282" s="137"/>
      <c r="S282" s="379"/>
      <c r="T282" s="137"/>
      <c r="U282" s="137"/>
      <c r="V282" s="137"/>
      <c r="W282" s="137"/>
      <c r="X282" s="137"/>
      <c r="Y282" s="137"/>
      <c r="Z282" s="137"/>
    </row>
    <row r="283" spans="1:26" ht="15.75" customHeight="1"/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4:H4"/>
    <mergeCell ref="A5:B5"/>
    <mergeCell ref="C5:D5"/>
    <mergeCell ref="E5:F5"/>
    <mergeCell ref="G5:H5"/>
    <mergeCell ref="A2:S2"/>
    <mergeCell ref="AA3:BI3"/>
    <mergeCell ref="L4:S4"/>
    <mergeCell ref="AA4:AE4"/>
    <mergeCell ref="AG4:AZ4"/>
    <mergeCell ref="BB4:BE5"/>
    <mergeCell ref="BF4:BI5"/>
    <mergeCell ref="L5:M5"/>
    <mergeCell ref="N5:O5"/>
    <mergeCell ref="P5:Q5"/>
    <mergeCell ref="R5:S5"/>
    <mergeCell ref="AA5:AA6"/>
    <mergeCell ref="AB5:AB6"/>
    <mergeCell ref="AC5:AC6"/>
    <mergeCell ref="AD5:AD6"/>
    <mergeCell ref="AE5:AE6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</mergeCells>
  <dataValidations count="1">
    <dataValidation type="list" allowBlank="1" showErrorMessage="1" sqref="BB7:BB82 BF7:BF82" xr:uid="{00000000-0002-0000-0600-000000000000}">
      <formula1>"A,O"</formula1>
    </dataValidation>
  </dataValidations>
  <printOptions horizontalCentered="1"/>
  <pageMargins left="0.2" right="7.0000000000000007E-2" top="0.24" bottom="0.28999999999999998" header="0" footer="0"/>
  <pageSetup paperSize="9" scale="85" orientation="landscape"/>
  <headerFooter>
    <oddFooter>&amp;L&amp;F; &amp;A&amp;CPage &amp;P of &amp;RPrint on &amp;D,&amp;T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99"/>
  </sheetPr>
  <dimension ref="A1:BI1000"/>
  <sheetViews>
    <sheetView workbookViewId="0">
      <pane xSplit="11" ySplit="6" topLeftCell="Y40" activePane="bottomRight" state="frozen"/>
      <selection pane="topRight" activeCell="L1" sqref="L1"/>
      <selection pane="bottomLeft" activeCell="A7" sqref="A7"/>
      <selection pane="bottomRight" activeCell="J51" sqref="J51"/>
    </sheetView>
  </sheetViews>
  <sheetFormatPr defaultColWidth="14.42578125" defaultRowHeight="15" customHeight="1"/>
  <cols>
    <col min="1" max="1" width="12.28515625" customWidth="1"/>
    <col min="2" max="2" width="6.5703125" customWidth="1"/>
    <col min="3" max="3" width="12.28515625" customWidth="1"/>
    <col min="4" max="4" width="6.5703125" customWidth="1"/>
    <col min="5" max="5" width="12.28515625" customWidth="1"/>
    <col min="6" max="6" width="6.5703125" customWidth="1"/>
    <col min="7" max="7" width="12.28515625" customWidth="1"/>
    <col min="8" max="8" width="6.5703125" customWidth="1"/>
    <col min="9" max="9" width="2" customWidth="1"/>
    <col min="10" max="10" width="35.140625" customWidth="1"/>
    <col min="11" max="11" width="2" customWidth="1"/>
    <col min="12" max="12" width="12.28515625" customWidth="1"/>
    <col min="13" max="13" width="7.7109375" customWidth="1"/>
    <col min="14" max="14" width="12.28515625" customWidth="1"/>
    <col min="15" max="15" width="6.5703125" customWidth="1"/>
    <col min="16" max="16" width="12.28515625" customWidth="1"/>
    <col min="17" max="17" width="6.5703125" customWidth="1"/>
    <col min="18" max="18" width="12.28515625" customWidth="1"/>
    <col min="19" max="19" width="6.5703125" customWidth="1"/>
    <col min="20" max="20" width="10.42578125" customWidth="1"/>
    <col min="21" max="21" width="4.7109375" customWidth="1"/>
    <col min="22" max="26" width="2.5703125" customWidth="1"/>
  </cols>
  <sheetData>
    <row r="1" spans="1:61" ht="15" customHeight="1">
      <c r="A1" s="67"/>
      <c r="B1" s="67"/>
      <c r="C1" s="67"/>
      <c r="D1" s="67"/>
      <c r="E1" s="67"/>
      <c r="F1" s="67"/>
      <c r="G1" s="308"/>
      <c r="H1" s="67"/>
      <c r="I1" s="67"/>
      <c r="J1" s="67"/>
      <c r="K1" s="67"/>
      <c r="L1" s="67"/>
      <c r="M1" s="309"/>
      <c r="N1" s="310"/>
      <c r="O1" s="309"/>
      <c r="P1" s="310"/>
      <c r="Q1" s="309"/>
      <c r="R1" s="310"/>
      <c r="S1" s="309"/>
      <c r="T1" s="62"/>
      <c r="U1" s="62"/>
      <c r="V1" s="62"/>
      <c r="W1" s="62"/>
      <c r="X1" s="62"/>
      <c r="Y1" s="62"/>
      <c r="Z1" s="62"/>
    </row>
    <row r="2" spans="1:61" ht="15" customHeight="1">
      <c r="A2" s="664" t="s">
        <v>26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665"/>
      <c r="O2" s="665"/>
      <c r="P2" s="665"/>
      <c r="Q2" s="665"/>
      <c r="R2" s="665"/>
      <c r="S2" s="665"/>
      <c r="T2" s="64" t="s">
        <v>506</v>
      </c>
      <c r="U2" s="64">
        <f>PRD</f>
        <v>1</v>
      </c>
      <c r="V2" s="62"/>
      <c r="W2" s="62"/>
      <c r="X2" s="62"/>
      <c r="Y2" s="62"/>
      <c r="Z2" s="62"/>
    </row>
    <row r="3" spans="1:61" ht="15" customHeight="1">
      <c r="A3" s="311"/>
      <c r="B3" s="312"/>
      <c r="C3" s="311"/>
      <c r="D3" s="313"/>
      <c r="E3" s="311"/>
      <c r="F3" s="313"/>
      <c r="G3" s="218"/>
      <c r="H3" s="102"/>
      <c r="I3" s="313"/>
      <c r="J3" s="314" t="s">
        <v>737</v>
      </c>
      <c r="K3" s="313"/>
      <c r="L3" s="315"/>
      <c r="M3" s="316"/>
      <c r="N3" s="315"/>
      <c r="O3" s="316"/>
      <c r="P3" s="67"/>
      <c r="Q3" s="222" t="s">
        <v>614</v>
      </c>
      <c r="R3" s="67"/>
      <c r="S3" s="67"/>
      <c r="T3" s="62"/>
      <c r="U3" s="62"/>
      <c r="V3" s="62"/>
      <c r="W3" s="62"/>
      <c r="X3" s="62"/>
      <c r="Y3" s="62"/>
      <c r="Z3" s="62"/>
      <c r="AA3" s="656" t="s">
        <v>29</v>
      </c>
      <c r="AB3" s="660"/>
      <c r="AC3" s="660"/>
      <c r="AD3" s="660"/>
      <c r="AE3" s="660"/>
      <c r="AF3" s="660"/>
      <c r="AG3" s="660"/>
      <c r="AH3" s="660"/>
      <c r="AI3" s="660"/>
      <c r="AJ3" s="660"/>
      <c r="AK3" s="660"/>
      <c r="AL3" s="660"/>
      <c r="AM3" s="660"/>
      <c r="AN3" s="660"/>
      <c r="AO3" s="660"/>
      <c r="AP3" s="660"/>
      <c r="AQ3" s="660"/>
      <c r="AR3" s="660"/>
      <c r="AS3" s="660"/>
      <c r="AT3" s="660"/>
      <c r="AU3" s="660"/>
      <c r="AV3" s="660"/>
      <c r="AW3" s="660"/>
      <c r="AX3" s="660"/>
      <c r="AY3" s="660"/>
      <c r="AZ3" s="660"/>
      <c r="BA3" s="660"/>
      <c r="BB3" s="660"/>
      <c r="BC3" s="660"/>
      <c r="BD3" s="660"/>
      <c r="BE3" s="660"/>
      <c r="BF3" s="660"/>
      <c r="BG3" s="660"/>
      <c r="BH3" s="660"/>
      <c r="BI3" s="657"/>
    </row>
    <row r="4" spans="1:61" ht="13.5" customHeight="1">
      <c r="A4" s="666" t="s">
        <v>509</v>
      </c>
      <c r="B4" s="667"/>
      <c r="C4" s="667"/>
      <c r="D4" s="667"/>
      <c r="E4" s="667"/>
      <c r="F4" s="667"/>
      <c r="G4" s="667"/>
      <c r="H4" s="668"/>
      <c r="I4" s="317"/>
      <c r="J4" s="225"/>
      <c r="K4" s="317"/>
      <c r="L4" s="669" t="s">
        <v>510</v>
      </c>
      <c r="M4" s="667"/>
      <c r="N4" s="667"/>
      <c r="O4" s="667"/>
      <c r="P4" s="667"/>
      <c r="Q4" s="667"/>
      <c r="R4" s="667"/>
      <c r="S4" s="670"/>
      <c r="T4" s="226"/>
      <c r="U4" s="226"/>
      <c r="V4" s="226"/>
      <c r="W4" s="226"/>
      <c r="X4" s="226"/>
      <c r="Y4" s="226"/>
      <c r="Z4" s="226"/>
      <c r="AA4" s="671" t="s">
        <v>30</v>
      </c>
      <c r="AB4" s="665"/>
      <c r="AC4" s="665"/>
      <c r="AD4" s="665"/>
      <c r="AE4" s="665"/>
      <c r="AF4" s="73"/>
      <c r="AG4" s="671" t="s">
        <v>31</v>
      </c>
      <c r="AH4" s="665"/>
      <c r="AI4" s="665"/>
      <c r="AJ4" s="665"/>
      <c r="AK4" s="665"/>
      <c r="AL4" s="665"/>
      <c r="AM4" s="665"/>
      <c r="AN4" s="665"/>
      <c r="AO4" s="665"/>
      <c r="AP4" s="665"/>
      <c r="AQ4" s="665"/>
      <c r="AR4" s="665"/>
      <c r="AS4" s="665"/>
      <c r="AT4" s="665"/>
      <c r="AU4" s="665"/>
      <c r="AV4" s="665"/>
      <c r="AW4" s="665"/>
      <c r="AX4" s="665"/>
      <c r="AY4" s="665"/>
      <c r="AZ4" s="672"/>
      <c r="BA4" s="74"/>
      <c r="BB4" s="673" t="s">
        <v>32</v>
      </c>
      <c r="BC4" s="674"/>
      <c r="BD4" s="674"/>
      <c r="BE4" s="675"/>
      <c r="BF4" s="673" t="s">
        <v>32</v>
      </c>
      <c r="BG4" s="674"/>
      <c r="BH4" s="674"/>
      <c r="BI4" s="675"/>
    </row>
    <row r="5" spans="1:61" ht="14.25" customHeight="1">
      <c r="A5" s="679" t="s">
        <v>511</v>
      </c>
      <c r="B5" s="662"/>
      <c r="C5" s="661" t="s">
        <v>512</v>
      </c>
      <c r="D5" s="662"/>
      <c r="E5" s="661" t="s">
        <v>513</v>
      </c>
      <c r="F5" s="662"/>
      <c r="G5" s="661" t="s">
        <v>514</v>
      </c>
      <c r="H5" s="662"/>
      <c r="I5" s="318"/>
      <c r="J5" s="229" t="s">
        <v>515</v>
      </c>
      <c r="K5" s="318"/>
      <c r="L5" s="661" t="s">
        <v>514</v>
      </c>
      <c r="M5" s="662"/>
      <c r="N5" s="661" t="s">
        <v>513</v>
      </c>
      <c r="O5" s="662"/>
      <c r="P5" s="661" t="s">
        <v>512</v>
      </c>
      <c r="Q5" s="662"/>
      <c r="R5" s="661" t="s">
        <v>511</v>
      </c>
      <c r="S5" s="663"/>
      <c r="T5" s="319"/>
      <c r="U5" s="319"/>
      <c r="V5" s="319"/>
      <c r="W5" s="319"/>
      <c r="X5" s="319"/>
      <c r="Y5" s="319"/>
      <c r="Z5" s="319"/>
      <c r="AA5" s="658" t="s">
        <v>38</v>
      </c>
      <c r="AB5" s="658" t="s">
        <v>39</v>
      </c>
      <c r="AC5" s="658" t="s">
        <v>40</v>
      </c>
      <c r="AD5" s="658" t="s">
        <v>41</v>
      </c>
      <c r="AE5" s="673" t="s">
        <v>42</v>
      </c>
      <c r="AF5" s="80"/>
      <c r="AG5" s="656" t="s">
        <v>43</v>
      </c>
      <c r="AH5" s="660"/>
      <c r="AI5" s="656" t="s">
        <v>44</v>
      </c>
      <c r="AJ5" s="660"/>
      <c r="AK5" s="656" t="s">
        <v>45</v>
      </c>
      <c r="AL5" s="660"/>
      <c r="AM5" s="656" t="s">
        <v>46</v>
      </c>
      <c r="AN5" s="657"/>
      <c r="AO5" s="680" t="s">
        <v>47</v>
      </c>
      <c r="AP5" s="660"/>
      <c r="AQ5" s="656" t="s">
        <v>48</v>
      </c>
      <c r="AR5" s="657"/>
      <c r="AS5" s="680" t="s">
        <v>49</v>
      </c>
      <c r="AT5" s="660"/>
      <c r="AU5" s="656" t="s">
        <v>50</v>
      </c>
      <c r="AV5" s="657"/>
      <c r="AW5" s="680" t="s">
        <v>51</v>
      </c>
      <c r="AX5" s="657"/>
      <c r="AY5" s="656" t="s">
        <v>52</v>
      </c>
      <c r="AZ5" s="657"/>
      <c r="BA5" s="81"/>
      <c r="BB5" s="676"/>
      <c r="BC5" s="677"/>
      <c r="BD5" s="677"/>
      <c r="BE5" s="678"/>
      <c r="BF5" s="676"/>
      <c r="BG5" s="677"/>
      <c r="BH5" s="677"/>
      <c r="BI5" s="678"/>
    </row>
    <row r="6" spans="1:61" ht="13.5" customHeight="1">
      <c r="A6" s="230" t="s">
        <v>526</v>
      </c>
      <c r="B6" s="231" t="s">
        <v>37</v>
      </c>
      <c r="C6" s="232" t="s">
        <v>526</v>
      </c>
      <c r="D6" s="231" t="s">
        <v>37</v>
      </c>
      <c r="E6" s="232" t="s">
        <v>526</v>
      </c>
      <c r="F6" s="231" t="s">
        <v>37</v>
      </c>
      <c r="G6" s="232" t="s">
        <v>526</v>
      </c>
      <c r="H6" s="231" t="s">
        <v>37</v>
      </c>
      <c r="I6" s="233"/>
      <c r="J6" s="320"/>
      <c r="K6" s="233"/>
      <c r="L6" s="232" t="s">
        <v>526</v>
      </c>
      <c r="M6" s="231" t="s">
        <v>37</v>
      </c>
      <c r="N6" s="232" t="s">
        <v>526</v>
      </c>
      <c r="O6" s="231" t="s">
        <v>37</v>
      </c>
      <c r="P6" s="232" t="s">
        <v>526</v>
      </c>
      <c r="Q6" s="231" t="s">
        <v>37</v>
      </c>
      <c r="R6" s="232" t="s">
        <v>526</v>
      </c>
      <c r="S6" s="236" t="s">
        <v>37</v>
      </c>
      <c r="T6" s="226"/>
      <c r="U6" s="226"/>
      <c r="V6" s="226"/>
      <c r="W6" s="226"/>
      <c r="X6" s="226"/>
      <c r="Y6" s="226"/>
      <c r="Z6" s="226"/>
      <c r="AA6" s="659"/>
      <c r="AB6" s="659"/>
      <c r="AC6" s="659"/>
      <c r="AD6" s="659"/>
      <c r="AE6" s="676"/>
      <c r="AF6" s="84"/>
      <c r="AG6" s="85" t="s">
        <v>56</v>
      </c>
      <c r="AH6" s="86" t="s">
        <v>57</v>
      </c>
      <c r="AI6" s="85" t="s">
        <v>56</v>
      </c>
      <c r="AJ6" s="86" t="s">
        <v>57</v>
      </c>
      <c r="AK6" s="85" t="s">
        <v>56</v>
      </c>
      <c r="AL6" s="86" t="s">
        <v>57</v>
      </c>
      <c r="AM6" s="64" t="s">
        <v>56</v>
      </c>
      <c r="AN6" s="87" t="s">
        <v>57</v>
      </c>
      <c r="AO6" s="88" t="s">
        <v>56</v>
      </c>
      <c r="AP6" s="86" t="s">
        <v>57</v>
      </c>
      <c r="AQ6" s="85" t="s">
        <v>56</v>
      </c>
      <c r="AR6" s="89" t="s">
        <v>57</v>
      </c>
      <c r="AS6" s="88" t="s">
        <v>56</v>
      </c>
      <c r="AT6" s="86" t="s">
        <v>57</v>
      </c>
      <c r="AU6" s="85" t="s">
        <v>56</v>
      </c>
      <c r="AV6" s="89" t="s">
        <v>57</v>
      </c>
      <c r="AW6" s="88" t="s">
        <v>56</v>
      </c>
      <c r="AX6" s="89" t="s">
        <v>57</v>
      </c>
      <c r="AY6" s="85" t="s">
        <v>56</v>
      </c>
      <c r="AZ6" s="89" t="s">
        <v>57</v>
      </c>
      <c r="BA6" s="90"/>
      <c r="BB6" s="64" t="s">
        <v>58</v>
      </c>
      <c r="BC6" s="64" t="s">
        <v>59</v>
      </c>
      <c r="BD6" s="64" t="s">
        <v>60</v>
      </c>
      <c r="BE6" s="91" t="s">
        <v>61</v>
      </c>
      <c r="BF6" s="64" t="s">
        <v>58</v>
      </c>
      <c r="BG6" s="64" t="s">
        <v>59</v>
      </c>
      <c r="BH6" s="64" t="s">
        <v>60</v>
      </c>
      <c r="BI6" s="91" t="s">
        <v>61</v>
      </c>
    </row>
    <row r="7" spans="1:61" ht="12" customHeight="1">
      <c r="A7" s="321"/>
      <c r="B7" s="322"/>
      <c r="C7" s="321"/>
      <c r="D7" s="322"/>
      <c r="E7" s="321"/>
      <c r="F7" s="322"/>
      <c r="G7" s="321"/>
      <c r="H7" s="279"/>
      <c r="I7" s="322"/>
      <c r="J7" s="323" t="s">
        <v>615</v>
      </c>
      <c r="K7" s="322"/>
      <c r="L7" s="324"/>
      <c r="M7" s="325"/>
      <c r="N7" s="324"/>
      <c r="O7" s="262"/>
      <c r="P7" s="324"/>
      <c r="Q7" s="325"/>
      <c r="R7" s="324"/>
      <c r="S7" s="325"/>
      <c r="T7" s="326"/>
      <c r="U7" s="327"/>
      <c r="V7" s="327"/>
      <c r="W7" s="326"/>
      <c r="X7" s="326"/>
      <c r="Y7" s="326"/>
      <c r="Z7" s="326"/>
      <c r="AA7" s="95"/>
      <c r="AB7" s="96"/>
      <c r="AC7" s="96"/>
      <c r="AD7" s="96"/>
      <c r="AE7" s="96"/>
      <c r="AF7" s="97"/>
      <c r="AG7" s="95"/>
      <c r="AH7" s="96"/>
      <c r="AI7" s="95"/>
      <c r="AJ7" s="96"/>
      <c r="AK7" s="95"/>
      <c r="AL7" s="96"/>
      <c r="AM7" s="95"/>
      <c r="AN7" s="98"/>
      <c r="AO7" s="96"/>
      <c r="AP7" s="96"/>
      <c r="AQ7" s="95"/>
      <c r="AR7" s="98"/>
      <c r="AS7" s="96"/>
      <c r="AT7" s="96"/>
      <c r="AU7" s="95"/>
      <c r="AV7" s="98"/>
      <c r="AW7" s="96"/>
      <c r="AX7" s="96"/>
      <c r="AY7" s="95"/>
      <c r="AZ7" s="98"/>
      <c r="BA7" s="99"/>
      <c r="BB7" s="95" t="s">
        <v>616</v>
      </c>
      <c r="BC7" s="100" t="s">
        <v>617</v>
      </c>
      <c r="BD7" s="96" t="s">
        <v>618</v>
      </c>
      <c r="BE7" s="98" t="s">
        <v>619</v>
      </c>
      <c r="BF7" s="95" t="s">
        <v>616</v>
      </c>
      <c r="BG7" s="100" t="s">
        <v>620</v>
      </c>
      <c r="BH7" s="96" t="s">
        <v>618</v>
      </c>
      <c r="BI7" s="98" t="s">
        <v>621</v>
      </c>
    </row>
    <row r="8" spans="1:61" ht="12" customHeight="1">
      <c r="A8" s="254">
        <f t="array" ref="A8">_xll.AC(DB,_xll.ArrayDPT($AA8:$AE8),_xll.ArrayCOA($AG8:$AZ8),YR-1,PRD,_xll.ArrayDIM($BB8:$BE8))</f>
        <v>7234622.9299999997</v>
      </c>
      <c r="B8" s="254">
        <f t="shared" ref="B8:B12" si="0">IF(A8=0,0,(A8*100/A$14))</f>
        <v>99.794519065844113</v>
      </c>
      <c r="C8" s="254">
        <f t="shared" ref="C8:C12" si="1">+E8-G8</f>
        <v>-7896039.9800000004</v>
      </c>
      <c r="D8" s="254">
        <f t="shared" ref="D8:D12" si="2">IF(C8=0,0,(C8*100/C$14))</f>
        <v>99.674431075341033</v>
      </c>
      <c r="E8" s="254">
        <f t="array" ref="E8">_xll.BC(DB,_xll.ArrayDPT($AA8:$AE8),_xll.ArrayCOA($AG8:$AZ8),YR,PRD,RV,_xll.ArrayDIM($BB8:$BE8))</f>
        <v>0</v>
      </c>
      <c r="F8" s="254">
        <f t="shared" ref="F8:F12" si="3">IF(E8=0,0,(E8*100/E$14))</f>
        <v>0</v>
      </c>
      <c r="G8" s="254">
        <f t="array" ref="G8">_xll.AC(DB,_xll.ArrayDPT($AA8:$AE8),_xll.ArrayCOA($AG8:$AZ8),YR,PRD,_xll.ArrayDIM($BB8:$BE8))</f>
        <v>7896039.9800000004</v>
      </c>
      <c r="H8" s="254">
        <f t="shared" ref="H8:H12" si="4">IF(G8=0,0,(G8*100/G$14))</f>
        <v>99.674431075341033</v>
      </c>
      <c r="I8" s="254"/>
      <c r="J8" s="328" t="s">
        <v>622</v>
      </c>
      <c r="K8" s="254"/>
      <c r="L8" s="254">
        <f>_xll.ACC(DB,_xll.ArrayDPT($AA8:$AE8),_xll.ArrayCOA($AG8:$AZ8),YR,PRD,_xll.ArrayDIM($BB8:$BE8))</f>
        <v>7896039.9800000004</v>
      </c>
      <c r="M8" s="237">
        <f t="shared" ref="M8:M12" si="5">IF(L8=0,0,(L8*100/L$14))</f>
        <v>99.674431075341033</v>
      </c>
      <c r="N8" s="254">
        <f t="array" ref="N8">_xll.BCC(DB,_xll.ArrayDPT($AA8:$AE8),_xll.ArrayCOA($AG8:$AZ8),YR,PRD,RV,_xll.ArrayDIM($BB8:$BE8))</f>
        <v>0</v>
      </c>
      <c r="O8" s="237">
        <f t="shared" ref="O8:O12" si="6">IF(N8=0,0,(N8*100/N$14))</f>
        <v>0</v>
      </c>
      <c r="P8" s="237">
        <f t="shared" ref="P8:P12" si="7">+N8-L8</f>
        <v>-7896039.9800000004</v>
      </c>
      <c r="Q8" s="237">
        <f t="shared" ref="Q8:Q12" si="8">IF(P8=0,0,(P8*100/P$14))</f>
        <v>99.674431075341033</v>
      </c>
      <c r="R8" s="254">
        <f t="array" ref="R8">_xll.ACC(DB,_xll.ArrayDPT($AA8:$AE8),_xll.ArrayCOA($AG8:$AZ8),YR-1,PRD,_xll.ArrayDIM($BB8:$BE8))</f>
        <v>7234622.9299999997</v>
      </c>
      <c r="S8" s="237">
        <f t="shared" ref="S8:S12" si="9">IF(R8=0,0,(R8*100/R$14))</f>
        <v>99.794519065844113</v>
      </c>
      <c r="T8" s="328"/>
      <c r="U8" s="328"/>
      <c r="V8" s="328"/>
      <c r="W8" s="328"/>
      <c r="X8" s="328"/>
      <c r="Y8" s="328"/>
      <c r="Z8" s="328"/>
      <c r="AA8" s="95" t="s">
        <v>623</v>
      </c>
      <c r="AB8" s="96"/>
      <c r="AC8" s="96"/>
      <c r="AD8" s="96"/>
      <c r="AE8" s="96"/>
      <c r="AF8" s="97"/>
      <c r="AG8" s="95" t="s">
        <v>624</v>
      </c>
      <c r="AH8" s="96" t="s">
        <v>624</v>
      </c>
      <c r="AI8" s="95"/>
      <c r="AJ8" s="96"/>
      <c r="AK8" s="95"/>
      <c r="AL8" s="96"/>
      <c r="AM8" s="95"/>
      <c r="AN8" s="98"/>
      <c r="AO8" s="96"/>
      <c r="AP8" s="96"/>
      <c r="AQ8" s="95"/>
      <c r="AR8" s="98"/>
      <c r="AS8" s="96"/>
      <c r="AT8" s="96"/>
      <c r="AU8" s="95"/>
      <c r="AV8" s="98"/>
      <c r="AW8" s="96"/>
      <c r="AX8" s="96"/>
      <c r="AY8" s="95"/>
      <c r="AZ8" s="98"/>
      <c r="BA8" s="99"/>
      <c r="BB8" s="95"/>
      <c r="BC8" s="96"/>
      <c r="BD8" s="96"/>
      <c r="BE8" s="98"/>
      <c r="BF8" s="95"/>
      <c r="BG8" s="96"/>
      <c r="BH8" s="96"/>
      <c r="BI8" s="98"/>
    </row>
    <row r="9" spans="1:61" ht="12" customHeight="1">
      <c r="A9" s="254">
        <f t="array" ref="A9">_xll.AC(DB,_xll.ArrayDPT($AA9:$AE9),_xll.ArrayCOA($AG9:$AZ9),YR-1,PRD,_xll.ArrayDIM($BB9:$BE9))</f>
        <v>0</v>
      </c>
      <c r="B9" s="254">
        <f t="shared" si="0"/>
        <v>0</v>
      </c>
      <c r="C9" s="254">
        <f t="shared" si="1"/>
        <v>0</v>
      </c>
      <c r="D9" s="254">
        <f t="shared" si="2"/>
        <v>0</v>
      </c>
      <c r="E9" s="254">
        <f t="array" ref="E9">_xll.BC(DB,_xll.ArrayDPT($AA9:$AE9),_xll.ArrayCOA($AG9:$AZ9),YR,PRD,RV,_xll.ArrayDIM($BB9:$BE9))</f>
        <v>0</v>
      </c>
      <c r="F9" s="254">
        <f t="shared" si="3"/>
        <v>0</v>
      </c>
      <c r="G9" s="254">
        <f t="array" ref="G9">_xll.AC(DB,_xll.ArrayDPT($AA9:$AE9),_xll.ArrayCOA($AG9:$AZ9),YR,PRD,_xll.ArrayDIM($BB9:$BE9))</f>
        <v>0</v>
      </c>
      <c r="H9" s="254">
        <f t="shared" si="4"/>
        <v>0</v>
      </c>
      <c r="I9" s="254"/>
      <c r="J9" s="328" t="s">
        <v>625</v>
      </c>
      <c r="K9" s="254"/>
      <c r="L9" s="254">
        <f t="array" ref="L9">_xll.ACC(DB,_xll.ArrayDPT($AA9:$AE9),_xll.ArrayCOA($AG9:$AZ9),YR,PRD,_xll.ArrayDIM($BB9:$BE9))</f>
        <v>0</v>
      </c>
      <c r="M9" s="237">
        <f t="shared" si="5"/>
        <v>0</v>
      </c>
      <c r="N9" s="254">
        <f t="array" ref="N9">_xll.BCC(DB,_xll.ArrayDPT($AA9:$AE9),_xll.ArrayCOA($AG9:$AZ9),YR,PRD,RV,_xll.ArrayDIM($BB9:$BE9))</f>
        <v>0</v>
      </c>
      <c r="O9" s="237">
        <f t="shared" si="6"/>
        <v>0</v>
      </c>
      <c r="P9" s="237">
        <f t="shared" si="7"/>
        <v>0</v>
      </c>
      <c r="Q9" s="237">
        <f t="shared" si="8"/>
        <v>0</v>
      </c>
      <c r="R9" s="254">
        <f t="array" ref="R9">_xll.ACC(DB,_xll.ArrayDPT($AA9:$AE9),_xll.ArrayCOA($AG9:$AZ9),YR-1,PRD,_xll.ArrayDIM($BB9:$BE9))</f>
        <v>0</v>
      </c>
      <c r="S9" s="237">
        <f t="shared" si="9"/>
        <v>0</v>
      </c>
      <c r="T9" s="328"/>
      <c r="U9" s="328"/>
      <c r="V9" s="328"/>
      <c r="W9" s="328"/>
      <c r="X9" s="328"/>
      <c r="Y9" s="328"/>
      <c r="Z9" s="328"/>
      <c r="AA9" s="95"/>
      <c r="AB9" s="96"/>
      <c r="AC9" s="96"/>
      <c r="AD9" s="96"/>
      <c r="AE9" s="96"/>
      <c r="AF9" s="97"/>
      <c r="AG9" s="95"/>
      <c r="AH9" s="96"/>
      <c r="AI9" s="95"/>
      <c r="AJ9" s="96"/>
      <c r="AK9" s="95"/>
      <c r="AL9" s="96"/>
      <c r="AM9" s="95"/>
      <c r="AN9" s="98"/>
      <c r="AO9" s="96"/>
      <c r="AP9" s="96"/>
      <c r="AQ9" s="95"/>
      <c r="AR9" s="98"/>
      <c r="AS9" s="96"/>
      <c r="AT9" s="96"/>
      <c r="AU9" s="95"/>
      <c r="AV9" s="98"/>
      <c r="AW9" s="96"/>
      <c r="AX9" s="96"/>
      <c r="AY9" s="95"/>
      <c r="AZ9" s="98"/>
      <c r="BA9" s="99"/>
      <c r="BB9" s="95"/>
      <c r="BC9" s="96"/>
      <c r="BD9" s="96"/>
      <c r="BE9" s="98"/>
      <c r="BF9" s="95"/>
      <c r="BG9" s="96"/>
      <c r="BH9" s="96"/>
      <c r="BI9" s="98"/>
    </row>
    <row r="10" spans="1:61" ht="12" customHeight="1">
      <c r="A10" s="254">
        <f t="array" ref="A10">_xll.AC(DB,_xll.ArrayDPT($AA10:$AE10),_xll.ArrayCOA($AG10:$AZ10),YR-1,PRD,_xll.ArrayDIM($BB10:$BE10))</f>
        <v>36402.76</v>
      </c>
      <c r="B10" s="254">
        <f t="shared" si="0"/>
        <v>0.50214032742537795</v>
      </c>
      <c r="C10" s="254">
        <f t="shared" si="1"/>
        <v>-38913.08</v>
      </c>
      <c r="D10" s="254">
        <f t="shared" si="2"/>
        <v>0.49121320563389947</v>
      </c>
      <c r="E10" s="254">
        <f t="array" ref="E10">_xll.BC(DB,_xll.ArrayDPT($AA10:$AE10),_xll.ArrayCOA($AG10:$AZ10),YR,PRD,RV,_xll.ArrayDIM($BB10:$BE10))</f>
        <v>0</v>
      </c>
      <c r="F10" s="254">
        <f t="shared" si="3"/>
        <v>0</v>
      </c>
      <c r="G10" s="254">
        <f t="array" ref="G10">_xll.AC(DB,_xll.ArrayDPT($AA10:$AE10),_xll.ArrayCOA($AG10:$AZ10),YR,PRD,_xll.ArrayDIM($BB10:$BE10))</f>
        <v>38913.08</v>
      </c>
      <c r="H10" s="254">
        <f t="shared" si="4"/>
        <v>0.49121320563389947</v>
      </c>
      <c r="I10" s="254"/>
      <c r="J10" s="328" t="s">
        <v>626</v>
      </c>
      <c r="K10" s="254"/>
      <c r="L10" s="254">
        <f t="array" ref="L10">_xll.ACC(DB,_xll.ArrayDPT($AA10:$AE10),_xll.ArrayCOA($AG10:$AZ10),YR,PRD,_xll.ArrayDIM($BB10:$BE10))</f>
        <v>38913.08</v>
      </c>
      <c r="M10" s="237">
        <f t="shared" si="5"/>
        <v>0.49121320563389947</v>
      </c>
      <c r="N10" s="254">
        <f t="array" ref="N10">_xll.BCC(DB,_xll.ArrayDPT($AA10:$AE10),_xll.ArrayCOA($AG10:$AZ10),YR,PRD,RV,_xll.ArrayDIM($BB10:$BE10))</f>
        <v>0</v>
      </c>
      <c r="O10" s="237">
        <f t="shared" si="6"/>
        <v>0</v>
      </c>
      <c r="P10" s="237">
        <f t="shared" si="7"/>
        <v>-38913.08</v>
      </c>
      <c r="Q10" s="237">
        <f t="shared" si="8"/>
        <v>0.49121320563389947</v>
      </c>
      <c r="R10" s="254">
        <f t="array" ref="R10">_xll.ACC(DB,_xll.ArrayDPT($AA10:$AE10),_xll.ArrayCOA($AG10:$AZ10),YR-1,PRD,_xll.ArrayDIM($BB10:$BE10))</f>
        <v>36402.76</v>
      </c>
      <c r="S10" s="237">
        <f t="shared" si="9"/>
        <v>0.50214032742537795</v>
      </c>
      <c r="T10" s="328"/>
      <c r="U10" s="328"/>
      <c r="V10" s="328"/>
      <c r="W10" s="328"/>
      <c r="X10" s="328"/>
      <c r="Y10" s="328"/>
      <c r="Z10" s="328"/>
      <c r="AA10" s="95" t="s">
        <v>623</v>
      </c>
      <c r="AB10" s="96"/>
      <c r="AC10" s="96"/>
      <c r="AD10" s="96"/>
      <c r="AE10" s="96"/>
      <c r="AF10" s="97"/>
      <c r="AG10" s="95" t="s">
        <v>627</v>
      </c>
      <c r="AH10" s="96" t="s">
        <v>627</v>
      </c>
      <c r="AI10" s="95"/>
      <c r="AJ10" s="96"/>
      <c r="AK10" s="95"/>
      <c r="AL10" s="96"/>
      <c r="AM10" s="95"/>
      <c r="AN10" s="98"/>
      <c r="AO10" s="96"/>
      <c r="AP10" s="96"/>
      <c r="AQ10" s="95"/>
      <c r="AR10" s="98"/>
      <c r="AS10" s="96"/>
      <c r="AT10" s="96"/>
      <c r="AU10" s="95"/>
      <c r="AV10" s="98"/>
      <c r="AW10" s="96"/>
      <c r="AX10" s="96"/>
      <c r="AY10" s="95"/>
      <c r="AZ10" s="98"/>
      <c r="BA10" s="99"/>
      <c r="BB10" s="95"/>
      <c r="BC10" s="96"/>
      <c r="BD10" s="96"/>
      <c r="BE10" s="98"/>
      <c r="BF10" s="95"/>
      <c r="BG10" s="96"/>
      <c r="BH10" s="96"/>
      <c r="BI10" s="98"/>
    </row>
    <row r="11" spans="1:61" ht="12" customHeight="1">
      <c r="A11" s="254">
        <f t="array" ref="A11">_xll.AC(DB,_xll.ArrayDPT($AA11:$AE11),_xll.ArrayCOA($AG11:$AZ11),YR-1,PRD,_xll.ArrayDIM($BB11:$BE11))</f>
        <v>-21506.38</v>
      </c>
      <c r="B11" s="254">
        <f t="shared" si="0"/>
        <v>-0.29665939326948287</v>
      </c>
      <c r="C11" s="254">
        <f t="shared" si="1"/>
        <v>13122.06</v>
      </c>
      <c r="D11" s="254">
        <f t="shared" si="2"/>
        <v>-0.16564428097494124</v>
      </c>
      <c r="E11" s="254">
        <f t="array" ref="E11">_xll.BC(DB,_xll.ArrayDPT($AA11:$AE11),_xll.ArrayCOA($AG11:$AZ11),YR,PRD,RV,_xll.ArrayDIM($BB11:$BE11))</f>
        <v>0</v>
      </c>
      <c r="F11" s="254">
        <f t="shared" si="3"/>
        <v>0</v>
      </c>
      <c r="G11" s="254">
        <f t="array" ref="G11">_xll.AC(DB,_xll.ArrayDPT($AA11:$AE11),_xll.ArrayCOA($AG11:$AZ11),YR,PRD,_xll.ArrayDIM($BB11:$BE11))</f>
        <v>-13122.06</v>
      </c>
      <c r="H11" s="254">
        <f t="shared" si="4"/>
        <v>-0.16564428097494124</v>
      </c>
      <c r="I11" s="254"/>
      <c r="J11" s="328" t="s">
        <v>628</v>
      </c>
      <c r="K11" s="254"/>
      <c r="L11" s="254">
        <f t="array" ref="L11">_xll.ACC(DB,_xll.ArrayDPT($AA11:$AE11),_xll.ArrayCOA($AG11:$AZ11),YR,PRD,_xll.ArrayDIM($BB11:$BE11))</f>
        <v>-13122.06</v>
      </c>
      <c r="M11" s="237">
        <f t="shared" si="5"/>
        <v>-0.16564428097494124</v>
      </c>
      <c r="N11" s="254">
        <f t="array" ref="N11">_xll.BCC(DB,_xll.ArrayDPT($AA11:$AE11),_xll.ArrayCOA($AG11:$AZ11),YR,PRD,RV,_xll.ArrayDIM($BB11:$BE11))</f>
        <v>0</v>
      </c>
      <c r="O11" s="237">
        <f t="shared" si="6"/>
        <v>0</v>
      </c>
      <c r="P11" s="237">
        <f t="shared" si="7"/>
        <v>13122.06</v>
      </c>
      <c r="Q11" s="237">
        <f t="shared" si="8"/>
        <v>-0.16564428097494124</v>
      </c>
      <c r="R11" s="254">
        <f t="array" ref="R11">_xll.ACC(DB,_xll.ArrayDPT($AA11:$AE11),_xll.ArrayCOA($AG11:$AZ11),YR-1,PRD,_xll.ArrayDIM($BB11:$BE11))</f>
        <v>-21506.38</v>
      </c>
      <c r="S11" s="237">
        <f t="shared" si="9"/>
        <v>-0.29665939326948287</v>
      </c>
      <c r="T11" s="328"/>
      <c r="U11" s="328"/>
      <c r="V11" s="328"/>
      <c r="W11" s="328"/>
      <c r="X11" s="328"/>
      <c r="Y11" s="328"/>
      <c r="Z11" s="328"/>
      <c r="AA11" s="95" t="s">
        <v>623</v>
      </c>
      <c r="AB11" s="96"/>
      <c r="AC11" s="96"/>
      <c r="AD11" s="96"/>
      <c r="AE11" s="96"/>
      <c r="AF11" s="97"/>
      <c r="AG11" s="95" t="s">
        <v>629</v>
      </c>
      <c r="AH11" s="96" t="s">
        <v>629</v>
      </c>
      <c r="AI11" s="95"/>
      <c r="AJ11" s="96"/>
      <c r="AK11" s="95"/>
      <c r="AL11" s="96"/>
      <c r="AM11" s="95"/>
      <c r="AN11" s="98"/>
      <c r="AO11" s="96"/>
      <c r="AP11" s="96"/>
      <c r="AQ11" s="95"/>
      <c r="AR11" s="98"/>
      <c r="AS11" s="96"/>
      <c r="AT11" s="96"/>
      <c r="AU11" s="95"/>
      <c r="AV11" s="98"/>
      <c r="AW11" s="96"/>
      <c r="AX11" s="96"/>
      <c r="AY11" s="95"/>
      <c r="AZ11" s="98"/>
      <c r="BA11" s="99"/>
      <c r="BB11" s="95"/>
      <c r="BC11" s="96"/>
      <c r="BD11" s="96"/>
      <c r="BE11" s="98"/>
      <c r="BF11" s="95"/>
      <c r="BG11" s="96"/>
      <c r="BH11" s="96"/>
      <c r="BI11" s="98"/>
    </row>
    <row r="12" spans="1:61" ht="12" hidden="1" customHeight="1">
      <c r="A12" s="254">
        <f t="array" ref="A12">_xll.AC(DB,_xll.ArrayDPT($AA12:$AE12),_xll.ArrayCOA($AG12:$AZ12),YR-1,PRD,_xll.ArrayDIM($BB12:$BE12))</f>
        <v>0</v>
      </c>
      <c r="B12" s="254">
        <f t="shared" si="0"/>
        <v>0</v>
      </c>
      <c r="C12" s="254">
        <f t="shared" si="1"/>
        <v>0</v>
      </c>
      <c r="D12" s="254">
        <f t="shared" si="2"/>
        <v>0</v>
      </c>
      <c r="E12" s="254">
        <f t="array" ref="E12">_xll.BC(DB,_xll.ArrayDPT($AA12:$AE12),_xll.ArrayCOA($AG12:$AZ12),YR,PRD,RV,_xll.ArrayDIM($BB12:$BE12))</f>
        <v>0</v>
      </c>
      <c r="F12" s="254">
        <f t="shared" si="3"/>
        <v>0</v>
      </c>
      <c r="G12" s="254">
        <f t="array" ref="G12">_xll.AC(DB,_xll.ArrayDPT($AA12:$AE12),_xll.ArrayCOA($AG12:$AZ12),YR,PRD,_xll.ArrayDIM($BB12:$BE12))</f>
        <v>0</v>
      </c>
      <c r="H12" s="254">
        <f t="shared" si="4"/>
        <v>0</v>
      </c>
      <c r="I12" s="254"/>
      <c r="J12" s="328" t="s">
        <v>630</v>
      </c>
      <c r="K12" s="254"/>
      <c r="L12" s="254">
        <f t="array" ref="L12">_xll.ACC(DB,_xll.ArrayDPT($AA12:$AE12),_xll.ArrayCOA($AG12:$AZ12),YR,PRD,_xll.ArrayDIM($BB12:$BE12))</f>
        <v>0</v>
      </c>
      <c r="M12" s="237">
        <f t="shared" si="5"/>
        <v>0</v>
      </c>
      <c r="N12" s="254">
        <f t="array" ref="N12">_xll.BCC(DB,_xll.ArrayDPT($AA12:$AE12),_xll.ArrayCOA($AG12:$AZ12),YR,PRD,RV,_xll.ArrayDIM($BB12:$BE12))</f>
        <v>0</v>
      </c>
      <c r="O12" s="237">
        <f t="shared" si="6"/>
        <v>0</v>
      </c>
      <c r="P12" s="237">
        <f t="shared" si="7"/>
        <v>0</v>
      </c>
      <c r="Q12" s="237">
        <f t="shared" si="8"/>
        <v>0</v>
      </c>
      <c r="R12" s="254">
        <f t="array" ref="R12">_xll.ACC(DB,_xll.ArrayDPT($AA12:$AE12),_xll.ArrayCOA($AG12:$AZ12),YR-1,PRD,_xll.ArrayDIM($BB12:$BE12))</f>
        <v>0</v>
      </c>
      <c r="S12" s="237">
        <f t="shared" si="9"/>
        <v>0</v>
      </c>
      <c r="T12" s="328"/>
      <c r="U12" s="328"/>
      <c r="V12" s="328"/>
      <c r="W12" s="328"/>
      <c r="X12" s="328"/>
      <c r="Y12" s="328"/>
      <c r="Z12" s="328"/>
      <c r="AA12" s="95" t="s">
        <v>623</v>
      </c>
      <c r="AB12" s="96"/>
      <c r="AC12" s="96"/>
      <c r="AD12" s="96"/>
      <c r="AE12" s="96"/>
      <c r="AF12" s="97"/>
      <c r="AG12" s="95"/>
      <c r="AH12" s="96"/>
      <c r="AI12" s="95"/>
      <c r="AJ12" s="96"/>
      <c r="AK12" s="95"/>
      <c r="AL12" s="96"/>
      <c r="AM12" s="95"/>
      <c r="AN12" s="98"/>
      <c r="AO12" s="96"/>
      <c r="AP12" s="96"/>
      <c r="AQ12" s="95"/>
      <c r="AR12" s="98"/>
      <c r="AS12" s="96"/>
      <c r="AT12" s="96"/>
      <c r="AU12" s="95"/>
      <c r="AV12" s="98"/>
      <c r="AW12" s="96"/>
      <c r="AX12" s="96"/>
      <c r="AY12" s="95"/>
      <c r="AZ12" s="98"/>
      <c r="BA12" s="99"/>
      <c r="BB12" s="95"/>
      <c r="BC12" s="96"/>
      <c r="BD12" s="96"/>
      <c r="BE12" s="98"/>
      <c r="BF12" s="95"/>
      <c r="BG12" s="96"/>
      <c r="BH12" s="96"/>
      <c r="BI12" s="98"/>
    </row>
    <row r="13" spans="1:61" ht="6" customHeight="1">
      <c r="A13" s="329"/>
      <c r="B13" s="329"/>
      <c r="C13" s="329"/>
      <c r="D13" s="329"/>
      <c r="E13" s="329"/>
      <c r="F13" s="329"/>
      <c r="G13" s="329"/>
      <c r="H13" s="329"/>
      <c r="I13" s="330"/>
      <c r="J13" s="331"/>
      <c r="K13" s="332"/>
      <c r="L13" s="333"/>
      <c r="M13" s="333"/>
      <c r="N13" s="333"/>
      <c r="O13" s="333"/>
      <c r="P13" s="333"/>
      <c r="Q13" s="333"/>
      <c r="R13" s="333"/>
      <c r="S13" s="333"/>
      <c r="T13" s="328"/>
      <c r="U13" s="328"/>
      <c r="V13" s="328"/>
      <c r="W13" s="328"/>
      <c r="X13" s="328"/>
      <c r="Y13" s="328"/>
      <c r="Z13" s="328"/>
      <c r="AA13" s="95"/>
      <c r="AB13" s="96"/>
      <c r="AC13" s="96"/>
      <c r="AD13" s="96"/>
      <c r="AE13" s="96"/>
      <c r="AF13" s="97"/>
      <c r="AG13" s="95"/>
      <c r="AH13" s="96"/>
      <c r="AI13" s="95"/>
      <c r="AJ13" s="96"/>
      <c r="AK13" s="95"/>
      <c r="AL13" s="96"/>
      <c r="AM13" s="95"/>
      <c r="AN13" s="98"/>
      <c r="AO13" s="96"/>
      <c r="AP13" s="96"/>
      <c r="AQ13" s="95"/>
      <c r="AR13" s="98"/>
      <c r="AS13" s="96"/>
      <c r="AT13" s="96"/>
      <c r="AU13" s="95"/>
      <c r="AV13" s="98"/>
      <c r="AW13" s="96"/>
      <c r="AX13" s="96"/>
      <c r="AY13" s="95"/>
      <c r="AZ13" s="98"/>
      <c r="BA13" s="99"/>
      <c r="BB13" s="95"/>
      <c r="BC13" s="96"/>
      <c r="BD13" s="96"/>
      <c r="BE13" s="98"/>
      <c r="BF13" s="95"/>
      <c r="BG13" s="96"/>
      <c r="BH13" s="96"/>
      <c r="BI13" s="98"/>
    </row>
    <row r="14" spans="1:61" ht="12" customHeight="1">
      <c r="A14" s="334">
        <f>SUM(A8:A13)</f>
        <v>7249519.3099999996</v>
      </c>
      <c r="B14" s="334">
        <f>IF(A14=0,0,(A14*100/A$14))</f>
        <v>100</v>
      </c>
      <c r="C14" s="334">
        <f>SUM(C8:C13)</f>
        <v>-7921831.0000000009</v>
      </c>
      <c r="D14" s="334">
        <f>IF(C14=0,0,(C14*100/C$14))</f>
        <v>100</v>
      </c>
      <c r="E14" s="334">
        <f>SUM(E8:E13)</f>
        <v>0</v>
      </c>
      <c r="F14" s="334">
        <f>IF(E14=0,0,(E14*100/E$14))</f>
        <v>0</v>
      </c>
      <c r="G14" s="334">
        <f>SUM(G8:G13)</f>
        <v>7921831.0000000009</v>
      </c>
      <c r="H14" s="334">
        <f>IF(G14=0,0,(G14*100/G$14))</f>
        <v>100</v>
      </c>
      <c r="I14" s="335"/>
      <c r="J14" s="336" t="s">
        <v>631</v>
      </c>
      <c r="K14" s="337"/>
      <c r="L14" s="338">
        <f>SUM(L8:L13)</f>
        <v>7921831.0000000009</v>
      </c>
      <c r="M14" s="338">
        <f>IF(L14=0,0,(L14*100/L$14))</f>
        <v>100</v>
      </c>
      <c r="N14" s="338">
        <f>SUM(N8:N13)</f>
        <v>0</v>
      </c>
      <c r="O14" s="338">
        <f>IF(N14=0,0,(N14*100/N$14))</f>
        <v>0</v>
      </c>
      <c r="P14" s="338">
        <f>SUM(P8:P13)</f>
        <v>-7921831.0000000009</v>
      </c>
      <c r="Q14" s="338">
        <f>IF(P14=0,0,(P14*100/P$14))</f>
        <v>100</v>
      </c>
      <c r="R14" s="338">
        <f>SUM(R8:R13)</f>
        <v>7249519.3099999996</v>
      </c>
      <c r="S14" s="338">
        <f>IF(R14=0,0,(R14*100/R$14))</f>
        <v>100</v>
      </c>
      <c r="T14" s="339"/>
      <c r="U14" s="339"/>
      <c r="V14" s="339"/>
      <c r="W14" s="339"/>
      <c r="X14" s="339"/>
      <c r="Y14" s="339"/>
      <c r="Z14" s="339"/>
      <c r="AA14" s="95"/>
      <c r="AB14" s="96"/>
      <c r="AC14" s="96"/>
      <c r="AD14" s="96"/>
      <c r="AE14" s="96"/>
      <c r="AF14" s="97"/>
      <c r="AG14" s="95"/>
      <c r="AH14" s="96"/>
      <c r="AI14" s="95"/>
      <c r="AJ14" s="96"/>
      <c r="AK14" s="95"/>
      <c r="AL14" s="96"/>
      <c r="AM14" s="95"/>
      <c r="AN14" s="98"/>
      <c r="AO14" s="96"/>
      <c r="AP14" s="96"/>
      <c r="AQ14" s="95"/>
      <c r="AR14" s="98"/>
      <c r="AS14" s="96"/>
      <c r="AT14" s="96"/>
      <c r="AU14" s="95"/>
      <c r="AV14" s="98"/>
      <c r="AW14" s="96"/>
      <c r="AX14" s="96"/>
      <c r="AY14" s="95"/>
      <c r="AZ14" s="98"/>
      <c r="BA14" s="99"/>
      <c r="BB14" s="95"/>
      <c r="BC14" s="96"/>
      <c r="BD14" s="96"/>
      <c r="BE14" s="98"/>
      <c r="BF14" s="95"/>
      <c r="BG14" s="96"/>
      <c r="BH14" s="96"/>
      <c r="BI14" s="98"/>
    </row>
    <row r="15" spans="1:61" ht="12" customHeight="1">
      <c r="A15" s="279"/>
      <c r="B15" s="279"/>
      <c r="C15" s="279"/>
      <c r="D15" s="279"/>
      <c r="E15" s="279"/>
      <c r="F15" s="279"/>
      <c r="G15" s="279"/>
      <c r="H15" s="254"/>
      <c r="I15" s="279"/>
      <c r="J15" s="340" t="s">
        <v>632</v>
      </c>
      <c r="K15" s="279"/>
      <c r="L15" s="262"/>
      <c r="M15" s="237"/>
      <c r="N15" s="262"/>
      <c r="O15" s="262"/>
      <c r="P15" s="262"/>
      <c r="Q15" s="262"/>
      <c r="R15" s="262"/>
      <c r="S15" s="262"/>
      <c r="T15" s="339"/>
      <c r="U15" s="339"/>
      <c r="V15" s="339"/>
      <c r="W15" s="339"/>
      <c r="X15" s="339"/>
      <c r="Y15" s="339"/>
      <c r="Z15" s="339"/>
      <c r="AA15" s="95"/>
      <c r="AB15" s="96"/>
      <c r="AC15" s="96"/>
      <c r="AD15" s="96"/>
      <c r="AE15" s="96"/>
      <c r="AF15" s="97"/>
      <c r="AG15" s="95"/>
      <c r="AH15" s="96"/>
      <c r="AI15" s="95"/>
      <c r="AJ15" s="96"/>
      <c r="AK15" s="95"/>
      <c r="AL15" s="96"/>
      <c r="AM15" s="95"/>
      <c r="AN15" s="98"/>
      <c r="AO15" s="96"/>
      <c r="AP15" s="96"/>
      <c r="AQ15" s="95"/>
      <c r="AR15" s="98"/>
      <c r="AS15" s="96"/>
      <c r="AT15" s="96"/>
      <c r="AU15" s="95"/>
      <c r="AV15" s="98"/>
      <c r="AW15" s="96"/>
      <c r="AX15" s="96"/>
      <c r="AY15" s="95"/>
      <c r="AZ15" s="98"/>
      <c r="BA15" s="99"/>
      <c r="BB15" s="95"/>
      <c r="BC15" s="96"/>
      <c r="BD15" s="96"/>
      <c r="BE15" s="98"/>
      <c r="BF15" s="95"/>
      <c r="BG15" s="96"/>
      <c r="BH15" s="96"/>
      <c r="BI15" s="98"/>
    </row>
    <row r="16" spans="1:61" ht="12" customHeight="1">
      <c r="A16" s="254">
        <f t="array" ref="A16">_xll.AC(DB,_xll.ArrayDPT($AA16:$AE16),_xll.ArrayCOA($AG16:$AZ16),YR-1,PRD,_xll.ArrayDIM($BB16:$BE16))</f>
        <v>0</v>
      </c>
      <c r="B16" s="254">
        <f t="shared" ref="B16:B24" si="10">IF(A16=0,0,(A16*100/A$14))</f>
        <v>0</v>
      </c>
      <c r="C16" s="254">
        <f t="shared" ref="C16:C24" si="11">+E16-G16</f>
        <v>0</v>
      </c>
      <c r="D16" s="254">
        <f t="shared" ref="D16:D24" si="12">IF(C16=0,0,(C16*100/C$14))</f>
        <v>0</v>
      </c>
      <c r="E16" s="254">
        <f t="array" ref="E16">_xll.BC(DB,_xll.ArrayDPT($AA16:$AE16),_xll.ArrayCOA($AG16:$AZ16),YR,PRD,RV,_xll.ArrayDIM($BB16:$BE16))</f>
        <v>0</v>
      </c>
      <c r="F16" s="254">
        <f t="shared" ref="F16:F24" si="13">IF(E16=0,0,(E16*100/E$14))</f>
        <v>0</v>
      </c>
      <c r="G16" s="254">
        <f t="array" ref="G16">_xll.AC(DB,_xll.ArrayDPT($AA16:$AE16),_xll.ArrayCOA($AG16:$AZ16),YR,PRD,_xll.ArrayDIM($BB16:$BE16))</f>
        <v>0</v>
      </c>
      <c r="H16" s="254">
        <f t="shared" ref="H16:H24" si="14">IF(G16=0,0,(G16*100/G$14))</f>
        <v>0</v>
      </c>
      <c r="I16" s="254"/>
      <c r="J16" s="328" t="s">
        <v>633</v>
      </c>
      <c r="K16" s="254"/>
      <c r="L16" s="254">
        <f t="array" ref="L16">_xll.ACC(DB,_xll.ArrayDPT($AA16:$AE16),_xll.ArrayCOA($AG16:$AZ16),YR,PRD,_xll.ArrayDIM($BB16:$BE16))</f>
        <v>0</v>
      </c>
      <c r="M16" s="237">
        <f t="shared" ref="M16:M24" si="15">IF(L16=0,0,(L16*100/L$14))</f>
        <v>0</v>
      </c>
      <c r="N16" s="254">
        <f t="array" ref="N16">_xll.BCC(DB,_xll.ArrayDPT($AA16:$AE16),_xll.ArrayCOA($AG16:$AZ16),YR,PRD,RV,_xll.ArrayDIM($BB16:$BE16))</f>
        <v>0</v>
      </c>
      <c r="O16" s="237">
        <f t="shared" ref="O16:O24" si="16">IF(N16=0,0,(N16*100/N$14))</f>
        <v>0</v>
      </c>
      <c r="P16" s="237">
        <f t="shared" ref="P16:P24" si="17">+N16-L16</f>
        <v>0</v>
      </c>
      <c r="Q16" s="254">
        <f t="shared" ref="Q16:Q24" si="18">IF(P16=0,0,(P16*100/P$14))</f>
        <v>0</v>
      </c>
      <c r="R16" s="254">
        <f t="array" ref="R16">_xll.ACC(DB,_xll.ArrayDPT($AA16:$AE16),_xll.ArrayCOA($AG16:$AZ16),YR-1,PRD,_xll.ArrayDIM($BB16:$BE16))</f>
        <v>0</v>
      </c>
      <c r="S16" s="237">
        <f t="shared" ref="S16:S24" si="19">IF(R16=0,0,(R16*100/R$14))</f>
        <v>0</v>
      </c>
      <c r="T16" s="328"/>
      <c r="U16" s="328"/>
      <c r="V16" s="328"/>
      <c r="W16" s="328"/>
      <c r="X16" s="328"/>
      <c r="Y16" s="328"/>
      <c r="Z16" s="328"/>
      <c r="AA16" s="95" t="s">
        <v>637</v>
      </c>
      <c r="AB16" s="96"/>
      <c r="AC16" s="96"/>
      <c r="AD16" s="96"/>
      <c r="AE16" s="96"/>
      <c r="AF16" s="97"/>
      <c r="AG16" s="95" t="s">
        <v>635</v>
      </c>
      <c r="AH16" s="96" t="s">
        <v>635</v>
      </c>
      <c r="AI16" s="95"/>
      <c r="AJ16" s="96"/>
      <c r="AK16" s="95"/>
      <c r="AL16" s="96"/>
      <c r="AM16" s="95"/>
      <c r="AN16" s="98"/>
      <c r="AO16" s="96"/>
      <c r="AP16" s="96"/>
      <c r="AQ16" s="95"/>
      <c r="AR16" s="98"/>
      <c r="AS16" s="96"/>
      <c r="AT16" s="96"/>
      <c r="AU16" s="95"/>
      <c r="AV16" s="98"/>
      <c r="AW16" s="96"/>
      <c r="AX16" s="96"/>
      <c r="AY16" s="95"/>
      <c r="AZ16" s="98"/>
      <c r="BA16" s="99"/>
      <c r="BB16" s="95"/>
      <c r="BC16" s="96"/>
      <c r="BD16" s="96"/>
      <c r="BE16" s="98"/>
      <c r="BF16" s="95"/>
      <c r="BG16" s="96"/>
      <c r="BH16" s="96"/>
      <c r="BI16" s="98"/>
    </row>
    <row r="17" spans="1:61" ht="12" customHeight="1">
      <c r="A17" s="254">
        <f t="array" ref="A17">_xll.AC(DB,_xll.ArrayDPT($AA17:$AE17),_xll.ArrayCOA($AG17:$AZ17),YR-1,PRD,_xll.ArrayDIM($BB17:$BE17))</f>
        <v>0</v>
      </c>
      <c r="B17" s="254">
        <f t="shared" si="10"/>
        <v>0</v>
      </c>
      <c r="C17" s="254">
        <f t="shared" si="11"/>
        <v>-16000</v>
      </c>
      <c r="D17" s="254">
        <f t="shared" si="12"/>
        <v>0.20197350839723793</v>
      </c>
      <c r="E17" s="254">
        <f t="array" ref="E17">_xll.BC(DB,_xll.ArrayDPT($AA17:$AE17),_xll.ArrayCOA($AG17:$AZ17),YR,PRD,RV,_xll.ArrayDIM($BB17:$BE17))</f>
        <v>0</v>
      </c>
      <c r="F17" s="254">
        <f t="shared" si="13"/>
        <v>0</v>
      </c>
      <c r="G17" s="254">
        <f t="array" ref="G17">_xll.AC(DB,_xll.ArrayDPT($AA17:$AE17),_xll.ArrayCOA($AG17:$AZ17),YR,PRD,_xll.ArrayDIM($BB17:$BE17))</f>
        <v>16000</v>
      </c>
      <c r="H17" s="254">
        <f t="shared" si="14"/>
        <v>0.20197350839723793</v>
      </c>
      <c r="I17" s="254"/>
      <c r="J17" s="328" t="s">
        <v>636</v>
      </c>
      <c r="K17" s="254"/>
      <c r="L17" s="254">
        <f t="array" ref="L17">_xll.ACC(DB,_xll.ArrayDPT($AA17:$AE17),_xll.ArrayCOA($AG17:$AZ17),YR,PRD,_xll.ArrayDIM($BB17:$BE17))</f>
        <v>16000</v>
      </c>
      <c r="M17" s="237">
        <f t="shared" si="15"/>
        <v>0.20197350839723793</v>
      </c>
      <c r="N17" s="254">
        <f t="array" ref="N17">_xll.BCC(DB,_xll.ArrayDPT($AA17:$AE17),_xll.ArrayCOA($AG17:$AZ17),YR,PRD,RV,_xll.ArrayDIM($BB17:$BE17))</f>
        <v>0</v>
      </c>
      <c r="O17" s="237">
        <f t="shared" si="16"/>
        <v>0</v>
      </c>
      <c r="P17" s="237">
        <f t="shared" si="17"/>
        <v>-16000</v>
      </c>
      <c r="Q17" s="254">
        <f t="shared" si="18"/>
        <v>0.20197350839723793</v>
      </c>
      <c r="R17" s="254">
        <f t="array" ref="R17">_xll.ACC(DB,_xll.ArrayDPT($AA17:$AE17),_xll.ArrayCOA($AG17:$AZ17),YR-1,PRD,_xll.ArrayDIM($BB17:$BE17))</f>
        <v>0</v>
      </c>
      <c r="S17" s="237">
        <f t="shared" si="19"/>
        <v>0</v>
      </c>
      <c r="T17" s="328"/>
      <c r="U17" s="328"/>
      <c r="V17" s="328"/>
      <c r="W17" s="328"/>
      <c r="X17" s="328"/>
      <c r="Y17" s="328"/>
      <c r="Z17" s="328"/>
      <c r="AA17" s="95" t="s">
        <v>637</v>
      </c>
      <c r="AB17" s="96"/>
      <c r="AC17" s="96"/>
      <c r="AD17" s="96"/>
      <c r="AE17" s="96"/>
      <c r="AF17" s="97"/>
      <c r="AG17" s="95" t="s">
        <v>638</v>
      </c>
      <c r="AH17" s="96" t="s">
        <v>638</v>
      </c>
      <c r="AI17" s="95"/>
      <c r="AJ17" s="96"/>
      <c r="AK17" s="95"/>
      <c r="AL17" s="96"/>
      <c r="AM17" s="95"/>
      <c r="AN17" s="98"/>
      <c r="AO17" s="96"/>
      <c r="AP17" s="96"/>
      <c r="AQ17" s="95"/>
      <c r="AR17" s="98"/>
      <c r="AS17" s="96"/>
      <c r="AT17" s="96"/>
      <c r="AU17" s="95"/>
      <c r="AV17" s="98"/>
      <c r="AW17" s="96"/>
      <c r="AX17" s="96"/>
      <c r="AY17" s="95"/>
      <c r="AZ17" s="98"/>
      <c r="BA17" s="99"/>
      <c r="BB17" s="95"/>
      <c r="BC17" s="96"/>
      <c r="BD17" s="96"/>
      <c r="BE17" s="98"/>
      <c r="BF17" s="95"/>
      <c r="BG17" s="96"/>
      <c r="BH17" s="96"/>
      <c r="BI17" s="98"/>
    </row>
    <row r="18" spans="1:61" ht="12" customHeight="1">
      <c r="A18" s="254">
        <f t="array" ref="A18">_xll.AC(DB,_xll.ArrayDPT($AA18:$AE18),_xll.ArrayCOA($AG18:$AZ18),YR-1,PRD,_xll.ArrayDIM($BB18:$BE18))</f>
        <v>109500</v>
      </c>
      <c r="B18" s="254">
        <f t="shared" si="10"/>
        <v>1.5104449732129896</v>
      </c>
      <c r="C18" s="254">
        <f t="shared" si="11"/>
        <v>-122000</v>
      </c>
      <c r="D18" s="254">
        <f t="shared" si="12"/>
        <v>1.5400480015289393</v>
      </c>
      <c r="E18" s="254">
        <f t="array" ref="E18">_xll.BC(DB,_xll.ArrayDPT($AA18:$AE18),_xll.ArrayCOA($AG18:$AZ18),YR,PRD,RV,_xll.ArrayDIM($BB18:$BE18))</f>
        <v>0</v>
      </c>
      <c r="F18" s="254">
        <f t="shared" si="13"/>
        <v>0</v>
      </c>
      <c r="G18" s="254">
        <f t="array" ref="G18">_xll.AC(DB,_xll.ArrayDPT($AA18:$AE18),_xll.ArrayCOA($AG18:$AZ18),YR,PRD,_xll.ArrayDIM($BB18:$BE18))</f>
        <v>122000</v>
      </c>
      <c r="H18" s="254">
        <f t="shared" si="14"/>
        <v>1.5400480015289393</v>
      </c>
      <c r="I18" s="254"/>
      <c r="J18" s="328" t="s">
        <v>639</v>
      </c>
      <c r="K18" s="254"/>
      <c r="L18" s="254">
        <f t="array" ref="L18">_xll.ACC(DB,_xll.ArrayDPT($AA18:$AE18),_xll.ArrayCOA($AG18:$AZ18),YR,PRD,_xll.ArrayDIM($BB18:$BE18))</f>
        <v>122000</v>
      </c>
      <c r="M18" s="237">
        <f t="shared" si="15"/>
        <v>1.5400480015289393</v>
      </c>
      <c r="N18" s="254">
        <f t="array" ref="N18">_xll.BCC(DB,_xll.ArrayDPT($AA18:$AE18),_xll.ArrayCOA($AG18:$AZ18),YR,PRD,RV,_xll.ArrayDIM($BB18:$BE18))</f>
        <v>0</v>
      </c>
      <c r="O18" s="237">
        <f t="shared" si="16"/>
        <v>0</v>
      </c>
      <c r="P18" s="237">
        <f t="shared" si="17"/>
        <v>-122000</v>
      </c>
      <c r="Q18" s="254">
        <f t="shared" si="18"/>
        <v>1.5400480015289393</v>
      </c>
      <c r="R18" s="254">
        <f t="array" ref="R18">_xll.ACC(DB,_xll.ArrayDPT($AA18:$AE18),_xll.ArrayCOA($AG18:$AZ18),YR-1,PRD,_xll.ArrayDIM($BB18:$BE18))</f>
        <v>109500</v>
      </c>
      <c r="S18" s="237">
        <f t="shared" si="19"/>
        <v>1.5104449732129896</v>
      </c>
      <c r="T18" s="328"/>
      <c r="U18" s="328"/>
      <c r="V18" s="328"/>
      <c r="W18" s="328"/>
      <c r="X18" s="328"/>
      <c r="Y18" s="328"/>
      <c r="Z18" s="328"/>
      <c r="AA18" s="95" t="s">
        <v>637</v>
      </c>
      <c r="AB18" s="96"/>
      <c r="AC18" s="96"/>
      <c r="AD18" s="96"/>
      <c r="AE18" s="96"/>
      <c r="AF18" s="97"/>
      <c r="AG18" s="95" t="s">
        <v>641</v>
      </c>
      <c r="AH18" s="96" t="s">
        <v>641</v>
      </c>
      <c r="AI18" s="95"/>
      <c r="AJ18" s="96"/>
      <c r="AK18" s="95"/>
      <c r="AL18" s="96"/>
      <c r="AM18" s="95"/>
      <c r="AN18" s="98"/>
      <c r="AO18" s="96"/>
      <c r="AP18" s="96"/>
      <c r="AQ18" s="95"/>
      <c r="AR18" s="98"/>
      <c r="AS18" s="96"/>
      <c r="AT18" s="96"/>
      <c r="AU18" s="95"/>
      <c r="AV18" s="98"/>
      <c r="AW18" s="96"/>
      <c r="AX18" s="96"/>
      <c r="AY18" s="95"/>
      <c r="AZ18" s="98"/>
      <c r="BA18" s="99"/>
      <c r="BB18" s="95"/>
      <c r="BC18" s="96"/>
      <c r="BD18" s="96"/>
      <c r="BE18" s="98"/>
      <c r="BF18" s="95"/>
      <c r="BG18" s="96"/>
      <c r="BH18" s="96"/>
      <c r="BI18" s="98"/>
    </row>
    <row r="19" spans="1:61" ht="12" customHeight="1">
      <c r="A19" s="254">
        <f t="array" ref="A19">_xll.AC(DB,_xll.ArrayDPT($AA19:$AE19),_xll.ArrayCOA($AG19:$AZ19),YR-1,PRD,_xll.ArrayDIM($BB19:$BE19))</f>
        <v>0</v>
      </c>
      <c r="B19" s="254">
        <f t="shared" si="10"/>
        <v>0</v>
      </c>
      <c r="C19" s="254">
        <f t="shared" si="11"/>
        <v>0</v>
      </c>
      <c r="D19" s="254">
        <f t="shared" si="12"/>
        <v>0</v>
      </c>
      <c r="E19" s="254">
        <f t="array" ref="E19">_xll.BC(DB,_xll.ArrayDPT($AA19:$AE19),_xll.ArrayCOA($AG19:$AZ19),YR,PRD,RV,_xll.ArrayDIM($BB19:$BE19))</f>
        <v>0</v>
      </c>
      <c r="F19" s="254">
        <f t="shared" si="13"/>
        <v>0</v>
      </c>
      <c r="G19" s="254">
        <f t="array" ref="G19">_xll.AC(DB,_xll.ArrayDPT($AA19:$AE19),_xll.ArrayCOA($AG19:$AZ19),YR,PRD,_xll.ArrayDIM($BB19:$BE19))</f>
        <v>0</v>
      </c>
      <c r="H19" s="254">
        <f t="shared" si="14"/>
        <v>0</v>
      </c>
      <c r="I19" s="254"/>
      <c r="J19" s="328" t="s">
        <v>642</v>
      </c>
      <c r="K19" s="254"/>
      <c r="L19" s="254">
        <f t="array" ref="L19">_xll.ACC(DB,_xll.ArrayDPT($AA19:$AE19),_xll.ArrayCOA($AG19:$AZ19),YR,PRD,_xll.ArrayDIM($BB19:$BE19))</f>
        <v>0</v>
      </c>
      <c r="M19" s="237">
        <f t="shared" si="15"/>
        <v>0</v>
      </c>
      <c r="N19" s="254">
        <f t="array" ref="N19">_xll.BCC(DB,_xll.ArrayDPT($AA19:$AE19),_xll.ArrayCOA($AG19:$AZ19),YR,PRD,RV,_xll.ArrayDIM($BB19:$BE19))</f>
        <v>0</v>
      </c>
      <c r="O19" s="237">
        <f t="shared" si="16"/>
        <v>0</v>
      </c>
      <c r="P19" s="237">
        <f t="shared" si="17"/>
        <v>0</v>
      </c>
      <c r="Q19" s="254">
        <f t="shared" si="18"/>
        <v>0</v>
      </c>
      <c r="R19" s="254">
        <f t="array" ref="R19">_xll.ACC(DB,_xll.ArrayDPT($AA19:$AE19),_xll.ArrayCOA($AG19:$AZ19),YR-1,PRD,_xll.ArrayDIM($BB19:$BE19))</f>
        <v>0</v>
      </c>
      <c r="S19" s="237">
        <f t="shared" si="19"/>
        <v>0</v>
      </c>
      <c r="T19" s="328"/>
      <c r="U19" s="328"/>
      <c r="V19" s="328"/>
      <c r="W19" s="328"/>
      <c r="X19" s="328"/>
      <c r="Y19" s="328"/>
      <c r="Z19" s="328"/>
      <c r="AA19" s="95" t="s">
        <v>637</v>
      </c>
      <c r="AB19" s="96"/>
      <c r="AC19" s="96"/>
      <c r="AD19" s="96"/>
      <c r="AE19" s="96"/>
      <c r="AF19" s="97"/>
      <c r="AG19" s="95" t="s">
        <v>643</v>
      </c>
      <c r="AH19" s="96" t="s">
        <v>643</v>
      </c>
      <c r="AI19" s="95"/>
      <c r="AJ19" s="96"/>
      <c r="AK19" s="95"/>
      <c r="AL19" s="96"/>
      <c r="AM19" s="95"/>
      <c r="AN19" s="98"/>
      <c r="AO19" s="96"/>
      <c r="AP19" s="96"/>
      <c r="AQ19" s="95"/>
      <c r="AR19" s="98"/>
      <c r="AS19" s="96"/>
      <c r="AT19" s="96"/>
      <c r="AU19" s="95"/>
      <c r="AV19" s="98"/>
      <c r="AW19" s="96"/>
      <c r="AX19" s="96"/>
      <c r="AY19" s="95"/>
      <c r="AZ19" s="98"/>
      <c r="BA19" s="99"/>
      <c r="BB19" s="95"/>
      <c r="BC19" s="96"/>
      <c r="BD19" s="96"/>
      <c r="BE19" s="98"/>
      <c r="BF19" s="95"/>
      <c r="BG19" s="96"/>
      <c r="BH19" s="96"/>
      <c r="BI19" s="98"/>
    </row>
    <row r="20" spans="1:61" ht="12" customHeight="1">
      <c r="A20" s="254">
        <f t="array" ref="A20">_xll.AC(DB,_xll.ArrayDPT($AA20:$AE20),_xll.ArrayCOA($AG20:$AZ20),YR-1,PRD,_xll.ArrayDIM($BB20:$BE20))</f>
        <v>0</v>
      </c>
      <c r="B20" s="254">
        <f t="shared" si="10"/>
        <v>0</v>
      </c>
      <c r="C20" s="254">
        <f t="shared" si="11"/>
        <v>0</v>
      </c>
      <c r="D20" s="254">
        <f t="shared" si="12"/>
        <v>0</v>
      </c>
      <c r="E20" s="254">
        <f t="array" ref="E20">_xll.BC(DB,_xll.ArrayDPT($AA20:$AE20),_xll.ArrayCOA($AG20:$AZ20),YR,PRD,RV,_xll.ArrayDIM($BB20:$BE20))</f>
        <v>0</v>
      </c>
      <c r="F20" s="254">
        <f t="shared" si="13"/>
        <v>0</v>
      </c>
      <c r="G20" s="254">
        <f t="array" ref="G20">_xll.AC(DB,_xll.ArrayDPT($AA20:$AE20),_xll.ArrayCOA($AG20:$AZ20),YR,PRD,_xll.ArrayDIM($BB20:$BE20))</f>
        <v>0</v>
      </c>
      <c r="H20" s="254">
        <f t="shared" si="14"/>
        <v>0</v>
      </c>
      <c r="I20" s="254"/>
      <c r="J20" s="328" t="s">
        <v>644</v>
      </c>
      <c r="K20" s="254"/>
      <c r="L20" s="254">
        <f t="array" ref="L20">_xll.ACC(DB,_xll.ArrayDPT($AA20:$AE20),_xll.ArrayCOA($AG20:$AZ20),YR,PRD,_xll.ArrayDIM($BB20:$BE20))</f>
        <v>0</v>
      </c>
      <c r="M20" s="237">
        <f t="shared" si="15"/>
        <v>0</v>
      </c>
      <c r="N20" s="254">
        <f t="array" ref="N20">_xll.BCC(DB,_xll.ArrayDPT($AA20:$AE20),_xll.ArrayCOA($AG20:$AZ20),YR,PRD,RV,_xll.ArrayDIM($BB20:$BE20))</f>
        <v>0</v>
      </c>
      <c r="O20" s="237">
        <f t="shared" si="16"/>
        <v>0</v>
      </c>
      <c r="P20" s="237">
        <f t="shared" si="17"/>
        <v>0</v>
      </c>
      <c r="Q20" s="254">
        <f t="shared" si="18"/>
        <v>0</v>
      </c>
      <c r="R20" s="254">
        <f t="array" ref="R20">_xll.ACC(DB,_xll.ArrayDPT($AA20:$AE20),_xll.ArrayCOA($AG20:$AZ20),YR-1,PRD,_xll.ArrayDIM($BB20:$BE20))</f>
        <v>0</v>
      </c>
      <c r="S20" s="237">
        <f t="shared" si="19"/>
        <v>0</v>
      </c>
      <c r="T20" s="328"/>
      <c r="U20" s="328"/>
      <c r="V20" s="328"/>
      <c r="W20" s="328"/>
      <c r="X20" s="328"/>
      <c r="Y20" s="328"/>
      <c r="Z20" s="328"/>
      <c r="AA20" s="95" t="s">
        <v>637</v>
      </c>
      <c r="AB20" s="96"/>
      <c r="AC20" s="96"/>
      <c r="AD20" s="96"/>
      <c r="AE20" s="96"/>
      <c r="AF20" s="97"/>
      <c r="AG20" s="95" t="s">
        <v>645</v>
      </c>
      <c r="AH20" s="96" t="s">
        <v>645</v>
      </c>
      <c r="AI20" s="95"/>
      <c r="AJ20" s="96"/>
      <c r="AK20" s="95"/>
      <c r="AL20" s="96"/>
      <c r="AM20" s="95"/>
      <c r="AN20" s="98"/>
      <c r="AO20" s="96"/>
      <c r="AP20" s="96"/>
      <c r="AQ20" s="95"/>
      <c r="AR20" s="98"/>
      <c r="AS20" s="96"/>
      <c r="AT20" s="96"/>
      <c r="AU20" s="95"/>
      <c r="AV20" s="98"/>
      <c r="AW20" s="96"/>
      <c r="AX20" s="96"/>
      <c r="AY20" s="95"/>
      <c r="AZ20" s="98"/>
      <c r="BA20" s="99"/>
      <c r="BB20" s="95"/>
      <c r="BC20" s="96"/>
      <c r="BD20" s="96"/>
      <c r="BE20" s="98"/>
      <c r="BF20" s="95"/>
      <c r="BG20" s="96"/>
      <c r="BH20" s="96"/>
      <c r="BI20" s="98"/>
    </row>
    <row r="21" spans="1:61" ht="12" customHeight="1">
      <c r="A21" s="254">
        <f t="array" ref="A21">_xll.AC(DB,_xll.ArrayDPT($AA21:$AE21),_xll.ArrayCOA($AG21:$AZ21),YR-1,PRD,_xll.ArrayDIM($BB21:$BE21))</f>
        <v>0</v>
      </c>
      <c r="B21" s="254">
        <f t="shared" si="10"/>
        <v>0</v>
      </c>
      <c r="C21" s="254">
        <f t="shared" si="11"/>
        <v>-4200</v>
      </c>
      <c r="D21" s="254">
        <f t="shared" si="12"/>
        <v>5.3018045954274957E-2</v>
      </c>
      <c r="E21" s="254">
        <f t="array" ref="E21">_xll.BC(DB,_xll.ArrayDPT($AA21:$AE21),_xll.ArrayCOA($AG21:$AZ21),YR,PRD,RV,_xll.ArrayDIM($BB21:$BE21))</f>
        <v>0</v>
      </c>
      <c r="F21" s="254">
        <f t="shared" si="13"/>
        <v>0</v>
      </c>
      <c r="G21" s="254">
        <f t="array" ref="G21">_xll.AC(DB,_xll.ArrayDPT($AA21:$AE21),_xll.ArrayCOA($AG21:$AZ21),YR,PRD,_xll.ArrayDIM($BB21:$BE21))</f>
        <v>4200</v>
      </c>
      <c r="H21" s="254">
        <f t="shared" si="14"/>
        <v>5.3018045954274957E-2</v>
      </c>
      <c r="I21" s="254"/>
      <c r="J21" s="328" t="s">
        <v>646</v>
      </c>
      <c r="K21" s="254"/>
      <c r="L21" s="254">
        <f t="array" ref="L21">_xll.ACC(DB,_xll.ArrayDPT($AA21:$AE21),_xll.ArrayCOA($AG21:$AZ21),YR,PRD,_xll.ArrayDIM($BB21:$BE21))</f>
        <v>4200</v>
      </c>
      <c r="M21" s="237">
        <f t="shared" si="15"/>
        <v>5.3018045954274957E-2</v>
      </c>
      <c r="N21" s="254">
        <f t="array" ref="N21">_xll.BCC(DB,_xll.ArrayDPT($AA21:$AE21),_xll.ArrayCOA($AG21:$AZ21),YR,PRD,RV,_xll.ArrayDIM($BB21:$BE21))</f>
        <v>0</v>
      </c>
      <c r="O21" s="237">
        <f t="shared" si="16"/>
        <v>0</v>
      </c>
      <c r="P21" s="237">
        <f t="shared" si="17"/>
        <v>-4200</v>
      </c>
      <c r="Q21" s="254">
        <f t="shared" si="18"/>
        <v>5.3018045954274957E-2</v>
      </c>
      <c r="R21" s="254">
        <f t="array" ref="R21">_xll.ACC(DB,_xll.ArrayDPT($AA21:$AE21),_xll.ArrayCOA($AG21:$AZ21),YR-1,PRD,_xll.ArrayDIM($BB21:$BE21))</f>
        <v>0</v>
      </c>
      <c r="S21" s="237">
        <f t="shared" si="19"/>
        <v>0</v>
      </c>
      <c r="T21" s="328"/>
      <c r="U21" s="328"/>
      <c r="V21" s="328"/>
      <c r="W21" s="328"/>
      <c r="X21" s="328"/>
      <c r="Y21" s="328"/>
      <c r="Z21" s="328"/>
      <c r="AA21" s="95" t="s">
        <v>637</v>
      </c>
      <c r="AB21" s="96"/>
      <c r="AC21" s="96"/>
      <c r="AD21" s="96"/>
      <c r="AE21" s="96"/>
      <c r="AF21" s="97"/>
      <c r="AG21" s="95" t="s">
        <v>647</v>
      </c>
      <c r="AH21" s="96" t="s">
        <v>647</v>
      </c>
      <c r="AI21" s="95"/>
      <c r="AJ21" s="96"/>
      <c r="AK21" s="95"/>
      <c r="AL21" s="96"/>
      <c r="AM21" s="95"/>
      <c r="AN21" s="98"/>
      <c r="AO21" s="96"/>
      <c r="AP21" s="96"/>
      <c r="AQ21" s="95"/>
      <c r="AR21" s="98"/>
      <c r="AS21" s="96"/>
      <c r="AT21" s="96"/>
      <c r="AU21" s="95"/>
      <c r="AV21" s="98"/>
      <c r="AW21" s="96"/>
      <c r="AX21" s="96"/>
      <c r="AY21" s="95"/>
      <c r="AZ21" s="98"/>
      <c r="BA21" s="99"/>
      <c r="BB21" s="95"/>
      <c r="BC21" s="96"/>
      <c r="BD21" s="96"/>
      <c r="BE21" s="98"/>
      <c r="BF21" s="95"/>
      <c r="BG21" s="96"/>
      <c r="BH21" s="96"/>
      <c r="BI21" s="98"/>
    </row>
    <row r="22" spans="1:61" ht="12" customHeight="1">
      <c r="A22" s="254">
        <f t="array" ref="A22">_xll.AC(DB,_xll.ArrayDPT($AA22:$AE22),_xll.ArrayCOA($AG22:$AZ22),YR-1,PRD,_xll.ArrayDIM($BB22:$BE22))</f>
        <v>0</v>
      </c>
      <c r="B22" s="254">
        <f t="shared" si="10"/>
        <v>0</v>
      </c>
      <c r="C22" s="254">
        <f t="shared" si="11"/>
        <v>0</v>
      </c>
      <c r="D22" s="254">
        <f t="shared" si="12"/>
        <v>0</v>
      </c>
      <c r="E22" s="254">
        <f t="array" ref="E22">_xll.BC(DB,_xll.ArrayDPT($AA22:$AE22),_xll.ArrayCOA($AG22:$AZ22),YR,PRD,RV,_xll.ArrayDIM($BB22:$BE22))</f>
        <v>0</v>
      </c>
      <c r="F22" s="254">
        <f t="shared" si="13"/>
        <v>0</v>
      </c>
      <c r="G22" s="254">
        <f t="array" ref="G22">_xll.AC(DB,_xll.ArrayDPT($AA22:$AE22),_xll.ArrayCOA($AG22:$AZ22),YR,PRD,_xll.ArrayDIM($BB22:$BE22))</f>
        <v>0</v>
      </c>
      <c r="H22" s="254">
        <f t="shared" si="14"/>
        <v>0</v>
      </c>
      <c r="I22" s="254"/>
      <c r="J22" s="328" t="s">
        <v>648</v>
      </c>
      <c r="K22" s="254"/>
      <c r="L22" s="254">
        <f t="array" ref="L22">_xll.ACC(DB,_xll.ArrayDPT($AA22:$AE22),_xll.ArrayCOA($AG22:$AZ22),YR,PRD,_xll.ArrayDIM($BB22:$BE22))</f>
        <v>0</v>
      </c>
      <c r="M22" s="237">
        <f t="shared" si="15"/>
        <v>0</v>
      </c>
      <c r="N22" s="254">
        <f t="array" ref="N22">_xll.BCC(DB,_xll.ArrayDPT($AA22:$AE22),_xll.ArrayCOA($AG22:$AZ22),YR,PRD,RV,_xll.ArrayDIM($BB22:$BE22))</f>
        <v>0</v>
      </c>
      <c r="O22" s="237">
        <f t="shared" si="16"/>
        <v>0</v>
      </c>
      <c r="P22" s="237">
        <f t="shared" si="17"/>
        <v>0</v>
      </c>
      <c r="Q22" s="254">
        <f t="shared" si="18"/>
        <v>0</v>
      </c>
      <c r="R22" s="254">
        <f t="array" ref="R22">_xll.ACC(DB,_xll.ArrayDPT($AA22:$AE22),_xll.ArrayCOA($AG22:$AZ22),YR-1,PRD,_xll.ArrayDIM($BB22:$BE22))</f>
        <v>0</v>
      </c>
      <c r="S22" s="237">
        <f t="shared" si="19"/>
        <v>0</v>
      </c>
      <c r="T22" s="328"/>
      <c r="U22" s="328"/>
      <c r="V22" s="328"/>
      <c r="W22" s="328"/>
      <c r="X22" s="328"/>
      <c r="Y22" s="328"/>
      <c r="Z22" s="328"/>
      <c r="AA22" s="95" t="s">
        <v>637</v>
      </c>
      <c r="AB22" s="96"/>
      <c r="AC22" s="96"/>
      <c r="AD22" s="96"/>
      <c r="AE22" s="96"/>
      <c r="AF22" s="97"/>
      <c r="AG22" s="95" t="s">
        <v>649</v>
      </c>
      <c r="AH22" s="96" t="s">
        <v>649</v>
      </c>
      <c r="AI22" s="95"/>
      <c r="AJ22" s="96"/>
      <c r="AK22" s="95"/>
      <c r="AL22" s="96"/>
      <c r="AM22" s="95"/>
      <c r="AN22" s="98"/>
      <c r="AO22" s="96"/>
      <c r="AP22" s="96"/>
      <c r="AQ22" s="95"/>
      <c r="AR22" s="98"/>
      <c r="AS22" s="96"/>
      <c r="AT22" s="96"/>
      <c r="AU22" s="95"/>
      <c r="AV22" s="98"/>
      <c r="AW22" s="96"/>
      <c r="AX22" s="96"/>
      <c r="AY22" s="95"/>
      <c r="AZ22" s="98"/>
      <c r="BA22" s="99"/>
      <c r="BB22" s="95"/>
      <c r="BC22" s="96"/>
      <c r="BD22" s="96"/>
      <c r="BE22" s="98"/>
      <c r="BF22" s="95"/>
      <c r="BG22" s="96"/>
      <c r="BH22" s="96"/>
      <c r="BI22" s="98"/>
    </row>
    <row r="23" spans="1:61" ht="12" customHeight="1">
      <c r="A23" s="254">
        <f t="array" ref="A23">_xll.AC(DB,_xll.ArrayDPT($AA23:$AE23),_xll.ArrayCOA($AG23:$AZ23),YR-1,PRD,_xll.ArrayDIM($BB23:$BE23))</f>
        <v>0</v>
      </c>
      <c r="B23" s="254">
        <f t="shared" si="10"/>
        <v>0</v>
      </c>
      <c r="C23" s="254">
        <f t="shared" si="11"/>
        <v>-1500</v>
      </c>
      <c r="D23" s="254">
        <f t="shared" si="12"/>
        <v>1.8935016412241056E-2</v>
      </c>
      <c r="E23" s="254">
        <f t="array" ref="E23">_xll.BC(DB,_xll.ArrayDPT($AA23:$AE23),_xll.ArrayCOA($AG23:$AZ23),YR,PRD,RV,_xll.ArrayDIM($BB23:$BE23))</f>
        <v>0</v>
      </c>
      <c r="F23" s="254">
        <f t="shared" si="13"/>
        <v>0</v>
      </c>
      <c r="G23" s="254">
        <f t="array" ref="G23">_xll.AC(DB,_xll.ArrayDPT($AA23:$AE23),_xll.ArrayCOA($AG23:$AZ23),YR,PRD,_xll.ArrayDIM($BB23:$BE23))</f>
        <v>1500</v>
      </c>
      <c r="H23" s="254">
        <f t="shared" si="14"/>
        <v>1.8935016412241056E-2</v>
      </c>
      <c r="I23" s="254"/>
      <c r="J23" s="328" t="s">
        <v>650</v>
      </c>
      <c r="K23" s="254"/>
      <c r="L23" s="254">
        <f t="array" ref="L23">_xll.ACC(DB,_xll.ArrayDPT($AA23:$AE23),_xll.ArrayCOA($AG23:$AZ23),YR,PRD,_xll.ArrayDIM($BB23:$BE23))</f>
        <v>1500</v>
      </c>
      <c r="M23" s="237">
        <f t="shared" si="15"/>
        <v>1.8935016412241056E-2</v>
      </c>
      <c r="N23" s="254">
        <f t="array" ref="N23">_xll.BCC(DB,_xll.ArrayDPT($AA23:$AE23),_xll.ArrayCOA($AG23:$AZ23),YR,PRD,RV,_xll.ArrayDIM($BB23:$BE23))</f>
        <v>0</v>
      </c>
      <c r="O23" s="237">
        <f t="shared" si="16"/>
        <v>0</v>
      </c>
      <c r="P23" s="237">
        <f t="shared" si="17"/>
        <v>-1500</v>
      </c>
      <c r="Q23" s="254">
        <f t="shared" si="18"/>
        <v>1.8935016412241056E-2</v>
      </c>
      <c r="R23" s="254">
        <f t="array" ref="R23">_xll.ACC(DB,_xll.ArrayDPT($AA23:$AE23),_xll.ArrayCOA($AG23:$AZ23),YR-1,PRD,_xll.ArrayDIM($BB23:$BE23))</f>
        <v>0</v>
      </c>
      <c r="S23" s="237">
        <f t="shared" si="19"/>
        <v>0</v>
      </c>
      <c r="T23" s="328"/>
      <c r="U23" s="328"/>
      <c r="V23" s="328"/>
      <c r="W23" s="328"/>
      <c r="X23" s="328"/>
      <c r="Y23" s="328"/>
      <c r="Z23" s="328"/>
      <c r="AA23" s="95" t="s">
        <v>637</v>
      </c>
      <c r="AB23" s="96"/>
      <c r="AC23" s="96"/>
      <c r="AD23" s="96"/>
      <c r="AE23" s="96"/>
      <c r="AF23" s="97"/>
      <c r="AG23" s="95" t="s">
        <v>651</v>
      </c>
      <c r="AH23" s="96" t="s">
        <v>651</v>
      </c>
      <c r="AI23" s="95"/>
      <c r="AJ23" s="96"/>
      <c r="AK23" s="95"/>
      <c r="AL23" s="96"/>
      <c r="AM23" s="95"/>
      <c r="AN23" s="98"/>
      <c r="AO23" s="96"/>
      <c r="AP23" s="96"/>
      <c r="AQ23" s="95"/>
      <c r="AR23" s="98"/>
      <c r="AS23" s="96"/>
      <c r="AT23" s="96"/>
      <c r="AU23" s="95"/>
      <c r="AV23" s="98"/>
      <c r="AW23" s="96"/>
      <c r="AX23" s="96"/>
      <c r="AY23" s="95"/>
      <c r="AZ23" s="98"/>
      <c r="BA23" s="99"/>
      <c r="BB23" s="95"/>
      <c r="BC23" s="96"/>
      <c r="BD23" s="96"/>
      <c r="BE23" s="98"/>
      <c r="BF23" s="95"/>
      <c r="BG23" s="96"/>
      <c r="BH23" s="96"/>
      <c r="BI23" s="98"/>
    </row>
    <row r="24" spans="1:61" ht="12" customHeight="1">
      <c r="A24" s="254">
        <f t="array" ref="A24">_xll.AC(DB,_xll.ArrayDPT($AA24:$AE24),_xll.ArrayCOA($AG24:$AZ24),YR-1,PRD,_xll.ArrayDIM($BB24:$BE24))</f>
        <v>0</v>
      </c>
      <c r="B24" s="254">
        <f t="shared" si="10"/>
        <v>0</v>
      </c>
      <c r="C24" s="254">
        <f t="shared" si="11"/>
        <v>0</v>
      </c>
      <c r="D24" s="254">
        <f t="shared" si="12"/>
        <v>0</v>
      </c>
      <c r="E24" s="254">
        <f t="array" ref="E24">_xll.BC(DB,_xll.ArrayDPT($AA24:$AE24),_xll.ArrayCOA($AG24:$AZ24),YR,PRD,RV,_xll.ArrayDIM($BB24:$BE24))</f>
        <v>0</v>
      </c>
      <c r="F24" s="254">
        <f t="shared" si="13"/>
        <v>0</v>
      </c>
      <c r="G24" s="254">
        <f t="array" ref="G24">_xll.AC(DB,_xll.ArrayDPT($AA24:$AE24),_xll.ArrayCOA($AG24:$AZ24),YR,PRD,_xll.ArrayDIM($BB24:$BE24))</f>
        <v>0</v>
      </c>
      <c r="H24" s="254">
        <f t="shared" si="14"/>
        <v>0</v>
      </c>
      <c r="I24" s="254"/>
      <c r="J24" s="328" t="s">
        <v>652</v>
      </c>
      <c r="K24" s="254"/>
      <c r="L24" s="254">
        <f t="array" ref="L24">_xll.ACC(DB,_xll.ArrayDPT($AA24:$AE24),_xll.ArrayCOA($AG24:$AZ24),YR,PRD,_xll.ArrayDIM($BB24:$BE24))</f>
        <v>0</v>
      </c>
      <c r="M24" s="237">
        <f t="shared" si="15"/>
        <v>0</v>
      </c>
      <c r="N24" s="254">
        <f t="array" ref="N24">_xll.BCC(DB,_xll.ArrayDPT($AA24:$AE24),_xll.ArrayCOA($AG24:$AZ24),YR,PRD,RV,_xll.ArrayDIM($BB24:$BE24))</f>
        <v>0</v>
      </c>
      <c r="O24" s="237">
        <f t="shared" si="16"/>
        <v>0</v>
      </c>
      <c r="P24" s="237">
        <f t="shared" si="17"/>
        <v>0</v>
      </c>
      <c r="Q24" s="254">
        <f t="shared" si="18"/>
        <v>0</v>
      </c>
      <c r="R24" s="254">
        <f t="array" ref="R24">_xll.ACC(DB,_xll.ArrayDPT($AA24:$AE24),_xll.ArrayCOA($AG24:$AZ24),YR-1,PRD,_xll.ArrayDIM($BB24:$BE24))</f>
        <v>0</v>
      </c>
      <c r="S24" s="237">
        <f t="shared" si="19"/>
        <v>0</v>
      </c>
      <c r="T24" s="328"/>
      <c r="U24" s="328"/>
      <c r="V24" s="328"/>
      <c r="W24" s="328"/>
      <c r="X24" s="328"/>
      <c r="Y24" s="328"/>
      <c r="Z24" s="328"/>
      <c r="AA24" s="95" t="s">
        <v>637</v>
      </c>
      <c r="AB24" s="96"/>
      <c r="AC24" s="96"/>
      <c r="AD24" s="96"/>
      <c r="AE24" s="96"/>
      <c r="AF24" s="97"/>
      <c r="AG24" s="95" t="s">
        <v>579</v>
      </c>
      <c r="AH24" s="96" t="s">
        <v>579</v>
      </c>
      <c r="AI24" s="95"/>
      <c r="AJ24" s="96"/>
      <c r="AK24" s="95"/>
      <c r="AL24" s="96"/>
      <c r="AM24" s="95"/>
      <c r="AN24" s="98"/>
      <c r="AO24" s="96"/>
      <c r="AP24" s="96"/>
      <c r="AQ24" s="95"/>
      <c r="AR24" s="98"/>
      <c r="AS24" s="96"/>
      <c r="AT24" s="96"/>
      <c r="AU24" s="95"/>
      <c r="AV24" s="98"/>
      <c r="AW24" s="96"/>
      <c r="AX24" s="96"/>
      <c r="AY24" s="95"/>
      <c r="AZ24" s="98"/>
      <c r="BA24" s="99"/>
      <c r="BB24" s="95"/>
      <c r="BC24" s="96"/>
      <c r="BD24" s="96"/>
      <c r="BE24" s="98"/>
      <c r="BF24" s="95"/>
      <c r="BG24" s="96"/>
      <c r="BH24" s="96"/>
      <c r="BI24" s="98"/>
    </row>
    <row r="25" spans="1:61" ht="6" customHeight="1">
      <c r="A25" s="329"/>
      <c r="B25" s="329"/>
      <c r="C25" s="329"/>
      <c r="D25" s="329"/>
      <c r="E25" s="329"/>
      <c r="F25" s="329"/>
      <c r="G25" s="329"/>
      <c r="H25" s="329"/>
      <c r="I25" s="330"/>
      <c r="J25" s="331"/>
      <c r="K25" s="332"/>
      <c r="L25" s="333"/>
      <c r="M25" s="329"/>
      <c r="N25" s="333"/>
      <c r="O25" s="329"/>
      <c r="P25" s="333"/>
      <c r="Q25" s="329"/>
      <c r="R25" s="333"/>
      <c r="S25" s="329"/>
      <c r="T25" s="328"/>
      <c r="U25" s="328"/>
      <c r="V25" s="328"/>
      <c r="W25" s="328"/>
      <c r="X25" s="328"/>
      <c r="Y25" s="328"/>
      <c r="Z25" s="328"/>
      <c r="AA25" s="95"/>
      <c r="AB25" s="96"/>
      <c r="AC25" s="96"/>
      <c r="AD25" s="96"/>
      <c r="AE25" s="96"/>
      <c r="AF25" s="97"/>
      <c r="AG25" s="95"/>
      <c r="AH25" s="96"/>
      <c r="AI25" s="95"/>
      <c r="AJ25" s="96"/>
      <c r="AK25" s="95"/>
      <c r="AL25" s="96"/>
      <c r="AM25" s="95"/>
      <c r="AN25" s="98"/>
      <c r="AO25" s="96"/>
      <c r="AP25" s="96"/>
      <c r="AQ25" s="95"/>
      <c r="AR25" s="98"/>
      <c r="AS25" s="96"/>
      <c r="AT25" s="96"/>
      <c r="AU25" s="95"/>
      <c r="AV25" s="98"/>
      <c r="AW25" s="96"/>
      <c r="AX25" s="96"/>
      <c r="AY25" s="95"/>
      <c r="AZ25" s="98"/>
      <c r="BA25" s="99"/>
      <c r="BB25" s="95"/>
      <c r="BC25" s="96"/>
      <c r="BD25" s="96"/>
      <c r="BE25" s="98"/>
      <c r="BF25" s="95"/>
      <c r="BG25" s="96"/>
      <c r="BH25" s="96"/>
      <c r="BI25" s="98"/>
    </row>
    <row r="26" spans="1:61" ht="12" customHeight="1">
      <c r="A26" s="334">
        <f>SUM(A16:A25)</f>
        <v>109500</v>
      </c>
      <c r="B26" s="334">
        <f>IF(A26=0,0,(A26*100/A$14))</f>
        <v>1.5104449732129896</v>
      </c>
      <c r="C26" s="334">
        <f>SUM(C16:C25)</f>
        <v>-143700</v>
      </c>
      <c r="D26" s="334">
        <f>IF(C26=0,0,(C26*100/C$14))</f>
        <v>1.8139745722926932</v>
      </c>
      <c r="E26" s="334">
        <f>SUM(E16:E25)</f>
        <v>0</v>
      </c>
      <c r="F26" s="334">
        <f>IF(E26=0,0,(E26*100/E$14))</f>
        <v>0</v>
      </c>
      <c r="G26" s="334">
        <f>SUM(G16:G25)</f>
        <v>143700</v>
      </c>
      <c r="H26" s="334">
        <f>IF(G26=0,0,(G26*100/G$14))</f>
        <v>1.8139745722926932</v>
      </c>
      <c r="I26" s="335"/>
      <c r="J26" s="336" t="s">
        <v>543</v>
      </c>
      <c r="K26" s="337"/>
      <c r="L26" s="338">
        <f>SUM(L16:L25)</f>
        <v>143700</v>
      </c>
      <c r="M26" s="334">
        <f>IF(L26=0,0,(L26*100/L$14))</f>
        <v>1.8139745722926932</v>
      </c>
      <c r="N26" s="338">
        <f>SUM(N16:N25)</f>
        <v>0</v>
      </c>
      <c r="O26" s="334">
        <f>IF(N26=0,0,(N26*100/N$14))</f>
        <v>0</v>
      </c>
      <c r="P26" s="338">
        <f>SUM(P16:P25)</f>
        <v>-143700</v>
      </c>
      <c r="Q26" s="334">
        <f>IF(P26=0,0,(P26*100/P$14))</f>
        <v>1.8139745722926932</v>
      </c>
      <c r="R26" s="338">
        <f>SUM(R16:R25)</f>
        <v>109500</v>
      </c>
      <c r="S26" s="334">
        <f>IF(R26=0,0,(R26*100/R$14))</f>
        <v>1.5104449732129896</v>
      </c>
      <c r="T26" s="328"/>
      <c r="U26" s="328"/>
      <c r="V26" s="328"/>
      <c r="W26" s="328"/>
      <c r="X26" s="328"/>
      <c r="Y26" s="328"/>
      <c r="Z26" s="328"/>
      <c r="AA26" s="95"/>
      <c r="AB26" s="96"/>
      <c r="AC26" s="96"/>
      <c r="AD26" s="96"/>
      <c r="AE26" s="96"/>
      <c r="AF26" s="97"/>
      <c r="AG26" s="95"/>
      <c r="AH26" s="96"/>
      <c r="AI26" s="95"/>
      <c r="AJ26" s="96"/>
      <c r="AK26" s="95"/>
      <c r="AL26" s="96"/>
      <c r="AM26" s="95"/>
      <c r="AN26" s="98"/>
      <c r="AO26" s="96"/>
      <c r="AP26" s="96"/>
      <c r="AQ26" s="95"/>
      <c r="AR26" s="98"/>
      <c r="AS26" s="96"/>
      <c r="AT26" s="96"/>
      <c r="AU26" s="95"/>
      <c r="AV26" s="98"/>
      <c r="AW26" s="96"/>
      <c r="AX26" s="96"/>
      <c r="AY26" s="95"/>
      <c r="AZ26" s="98"/>
      <c r="BA26" s="99"/>
      <c r="BB26" s="95"/>
      <c r="BC26" s="96"/>
      <c r="BD26" s="96"/>
      <c r="BE26" s="98"/>
      <c r="BF26" s="95"/>
      <c r="BG26" s="96"/>
      <c r="BH26" s="96"/>
      <c r="BI26" s="98"/>
    </row>
    <row r="27" spans="1:61" ht="12" customHeight="1">
      <c r="A27" s="254"/>
      <c r="B27" s="254"/>
      <c r="C27" s="254"/>
      <c r="D27" s="254"/>
      <c r="E27" s="254"/>
      <c r="F27" s="254"/>
      <c r="G27" s="254"/>
      <c r="H27" s="254"/>
      <c r="I27" s="254"/>
      <c r="J27" s="340" t="s">
        <v>653</v>
      </c>
      <c r="K27" s="254"/>
      <c r="L27" s="237"/>
      <c r="M27" s="237"/>
      <c r="N27" s="237"/>
      <c r="O27" s="237"/>
      <c r="P27" s="237"/>
      <c r="Q27" s="237"/>
      <c r="R27" s="237"/>
      <c r="S27" s="237"/>
      <c r="T27" s="328"/>
      <c r="U27" s="328"/>
      <c r="V27" s="328"/>
      <c r="W27" s="328"/>
      <c r="X27" s="328"/>
      <c r="Y27" s="328"/>
      <c r="Z27" s="328"/>
      <c r="AA27" s="95"/>
      <c r="AB27" s="96"/>
      <c r="AC27" s="96"/>
      <c r="AD27" s="96"/>
      <c r="AE27" s="96"/>
      <c r="AF27" s="97"/>
      <c r="AG27" s="95"/>
      <c r="AH27" s="96"/>
      <c r="AI27" s="95"/>
      <c r="AJ27" s="96"/>
      <c r="AK27" s="95"/>
      <c r="AL27" s="96"/>
      <c r="AM27" s="95"/>
      <c r="AN27" s="98"/>
      <c r="AO27" s="96"/>
      <c r="AP27" s="96"/>
      <c r="AQ27" s="95"/>
      <c r="AR27" s="98"/>
      <c r="AS27" s="96"/>
      <c r="AT27" s="96"/>
      <c r="AU27" s="95"/>
      <c r="AV27" s="98"/>
      <c r="AW27" s="96"/>
      <c r="AX27" s="96"/>
      <c r="AY27" s="95"/>
      <c r="AZ27" s="98"/>
      <c r="BA27" s="99"/>
      <c r="BB27" s="95"/>
      <c r="BC27" s="96"/>
      <c r="BD27" s="96"/>
      <c r="BE27" s="98"/>
      <c r="BF27" s="95"/>
      <c r="BG27" s="96"/>
      <c r="BH27" s="96"/>
      <c r="BI27" s="98"/>
    </row>
    <row r="28" spans="1:61" ht="12" customHeight="1">
      <c r="A28" s="254">
        <f t="array" ref="A28">_xll.AC(DB,_xll.ArrayDPT($AA28:$AE28),_xll.ArrayCOA($AG28:$AZ28),YR-1,PRD,_xll.ArrayDIM($BB28:$BE28))</f>
        <v>0</v>
      </c>
      <c r="B28" s="254">
        <f t="shared" ref="B28:B69" si="20">IF(A28=0,0,(A28*100/A$14))</f>
        <v>0</v>
      </c>
      <c r="C28" s="254">
        <f t="shared" ref="C28:C69" si="21">+E28-G28</f>
        <v>0</v>
      </c>
      <c r="D28" s="254">
        <f t="shared" ref="D28:D69" si="22">IF(C28=0,0,(C28*100/C$14))</f>
        <v>0</v>
      </c>
      <c r="E28" s="254">
        <f t="array" ref="E28">_xll.BC(DB,_xll.ArrayDPT($AA28:$AE28),_xll.ArrayCOA($AG28:$AZ28),YR,PRD,RV,_xll.ArrayDIM($BB28:$BE28))</f>
        <v>0</v>
      </c>
      <c r="F28" s="254">
        <f t="shared" ref="F28:F69" si="23">IF(E28=0,0,(E28*100/E$14))</f>
        <v>0</v>
      </c>
      <c r="G28" s="254">
        <f t="array" ref="G28">_xll.AC(DB,_xll.ArrayDPT($AA28:$AE28),_xll.ArrayCOA($AG28:$AZ28),YR,PRD,_xll.ArrayDIM($BB28:$BE28))</f>
        <v>0</v>
      </c>
      <c r="H28" s="254">
        <f t="shared" ref="H28:H69" si="24">IF(G28=0,0,(G28*100/G$14))</f>
        <v>0</v>
      </c>
      <c r="I28" s="254"/>
      <c r="J28" s="328" t="s">
        <v>654</v>
      </c>
      <c r="K28" s="254"/>
      <c r="L28" s="254">
        <f t="array" ref="L28">_xll.ACC(DB,_xll.ArrayDPT($AA28:$AE28),_xll.ArrayCOA($AG28:$AZ28),YR,PRD,_xll.ArrayDIM($BB28:$BE28))</f>
        <v>0</v>
      </c>
      <c r="M28" s="237">
        <f t="shared" ref="M28:M69" si="25">IF(L28=0,0,(L28*100/L$14))</f>
        <v>0</v>
      </c>
      <c r="N28" s="254">
        <f t="array" ref="N28">_xll.BCC(DB,_xll.ArrayDPT($AA28:$AE28),_xll.ArrayCOA($AG28:$AZ28),YR,PRD,RV,_xll.ArrayDIM($BB28:$BE28))</f>
        <v>0</v>
      </c>
      <c r="O28" s="237">
        <f t="shared" ref="O28:O69" si="26">IF(N28=0,0,(N28*100/N$14))</f>
        <v>0</v>
      </c>
      <c r="P28" s="237">
        <f t="shared" ref="P28:P69" si="27">+N28-L28</f>
        <v>0</v>
      </c>
      <c r="Q28" s="237">
        <f t="shared" ref="Q28:Q69" si="28">IF(P28=0,0,(P28*100/P$14))</f>
        <v>0</v>
      </c>
      <c r="R28" s="254">
        <f t="array" ref="R28">_xll.ACC(DB,_xll.ArrayDPT($AA28:$AE28),_xll.ArrayCOA($AG28:$AZ28),YR-1,PRD,_xll.ArrayDIM($BB28:$BE28))</f>
        <v>0</v>
      </c>
      <c r="S28" s="237">
        <f t="shared" ref="S28:S69" si="29">IF(R28=0,0,(R28*100/R$14))</f>
        <v>0</v>
      </c>
      <c r="T28" s="328"/>
      <c r="U28" s="328"/>
      <c r="V28" s="328"/>
      <c r="W28" s="328"/>
      <c r="X28" s="328"/>
      <c r="Y28" s="328"/>
      <c r="Z28" s="328"/>
      <c r="AA28" s="95" t="s">
        <v>637</v>
      </c>
      <c r="AB28" s="96"/>
      <c r="AC28" s="96"/>
      <c r="AD28" s="96"/>
      <c r="AE28" s="96"/>
      <c r="AF28" s="97"/>
      <c r="AG28" s="95" t="s">
        <v>655</v>
      </c>
      <c r="AH28" s="96" t="s">
        <v>655</v>
      </c>
      <c r="AI28" s="95"/>
      <c r="AJ28" s="96"/>
      <c r="AK28" s="95"/>
      <c r="AL28" s="96"/>
      <c r="AM28" s="95"/>
      <c r="AN28" s="98"/>
      <c r="AO28" s="96"/>
      <c r="AP28" s="96"/>
      <c r="AQ28" s="95"/>
      <c r="AR28" s="98"/>
      <c r="AS28" s="96"/>
      <c r="AT28" s="96"/>
      <c r="AU28" s="95"/>
      <c r="AV28" s="98"/>
      <c r="AW28" s="96"/>
      <c r="AX28" s="96"/>
      <c r="AY28" s="95"/>
      <c r="AZ28" s="98"/>
      <c r="BA28" s="99"/>
      <c r="BB28" s="95"/>
      <c r="BC28" s="96"/>
      <c r="BD28" s="96"/>
      <c r="BE28" s="98"/>
      <c r="BF28" s="95"/>
      <c r="BG28" s="96"/>
      <c r="BH28" s="96"/>
      <c r="BI28" s="98"/>
    </row>
    <row r="29" spans="1:61" ht="12" customHeight="1">
      <c r="A29" s="254">
        <f t="array" ref="A29">_xll.AC(DB,_xll.ArrayDPT($AA29:$AE29),_xll.ArrayCOA($AG29:$AZ29),YR-1,PRD,_xll.ArrayDIM($BB29:$BE29))</f>
        <v>0</v>
      </c>
      <c r="B29" s="254">
        <f t="shared" si="20"/>
        <v>0</v>
      </c>
      <c r="C29" s="254">
        <f t="shared" si="21"/>
        <v>0</v>
      </c>
      <c r="D29" s="254">
        <f t="shared" si="22"/>
        <v>0</v>
      </c>
      <c r="E29" s="254">
        <f t="array" ref="E29">_xll.BC(DB,_xll.ArrayDPT($AA29:$AE29),_xll.ArrayCOA($AG29:$AZ29),YR,PRD,RV,_xll.ArrayDIM($BB29:$BE29))</f>
        <v>0</v>
      </c>
      <c r="F29" s="254">
        <f t="shared" si="23"/>
        <v>0</v>
      </c>
      <c r="G29" s="254">
        <f t="array" ref="G29">_xll.AC(DB,_xll.ArrayDPT($AA29:$AE29),_xll.ArrayCOA($AG29:$AZ29),YR,PRD,_xll.ArrayDIM($BB29:$BE29))</f>
        <v>0</v>
      </c>
      <c r="H29" s="254">
        <f t="shared" si="24"/>
        <v>0</v>
      </c>
      <c r="I29" s="254"/>
      <c r="J29" s="328" t="s">
        <v>658</v>
      </c>
      <c r="K29" s="254"/>
      <c r="L29" s="254">
        <f t="array" ref="L29">_xll.ACC(DB,_xll.ArrayDPT($AA29:$AE29),_xll.ArrayCOA($AG29:$AZ29),YR,PRD,_xll.ArrayDIM($BB29:$BE29))</f>
        <v>0</v>
      </c>
      <c r="M29" s="237">
        <f t="shared" si="25"/>
        <v>0</v>
      </c>
      <c r="N29" s="254">
        <f t="array" ref="N29">_xll.BCC(DB,_xll.ArrayDPT($AA29:$AE29),_xll.ArrayCOA($AG29:$AZ29),YR,PRD,RV,_xll.ArrayDIM($BB29:$BE29))</f>
        <v>0</v>
      </c>
      <c r="O29" s="237">
        <f t="shared" si="26"/>
        <v>0</v>
      </c>
      <c r="P29" s="237">
        <f t="shared" si="27"/>
        <v>0</v>
      </c>
      <c r="Q29" s="237">
        <f t="shared" si="28"/>
        <v>0</v>
      </c>
      <c r="R29" s="254">
        <f t="array" ref="R29">_xll.ACC(DB,_xll.ArrayDPT($AA29:$AE29),_xll.ArrayCOA($AG29:$AZ29),YR-1,PRD,_xll.ArrayDIM($BB29:$BE29))</f>
        <v>0</v>
      </c>
      <c r="S29" s="237">
        <f t="shared" si="29"/>
        <v>0</v>
      </c>
      <c r="T29" s="328"/>
      <c r="U29" s="328"/>
      <c r="V29" s="328"/>
      <c r="W29" s="328"/>
      <c r="X29" s="328"/>
      <c r="Y29" s="328"/>
      <c r="Z29" s="328"/>
      <c r="AA29" s="95" t="s">
        <v>637</v>
      </c>
      <c r="AB29" s="96"/>
      <c r="AC29" s="96"/>
      <c r="AD29" s="96"/>
      <c r="AE29" s="96"/>
      <c r="AF29" s="97"/>
      <c r="AG29" s="95" t="s">
        <v>659</v>
      </c>
      <c r="AH29" s="96" t="s">
        <v>659</v>
      </c>
      <c r="AI29" s="95"/>
      <c r="AJ29" s="96"/>
      <c r="AK29" s="95"/>
      <c r="AL29" s="96"/>
      <c r="AM29" s="95"/>
      <c r="AN29" s="98"/>
      <c r="AO29" s="96"/>
      <c r="AP29" s="96"/>
      <c r="AQ29" s="95"/>
      <c r="AR29" s="98"/>
      <c r="AS29" s="96"/>
      <c r="AT29" s="96"/>
      <c r="AU29" s="95"/>
      <c r="AV29" s="98"/>
      <c r="AW29" s="96"/>
      <c r="AX29" s="96"/>
      <c r="AY29" s="95"/>
      <c r="AZ29" s="98"/>
      <c r="BA29" s="99"/>
      <c r="BB29" s="95"/>
      <c r="BC29" s="96"/>
      <c r="BD29" s="96"/>
      <c r="BE29" s="98"/>
      <c r="BF29" s="95"/>
      <c r="BG29" s="96"/>
      <c r="BH29" s="96"/>
      <c r="BI29" s="98"/>
    </row>
    <row r="30" spans="1:61" ht="12" customHeight="1">
      <c r="A30" s="254">
        <f t="array" ref="A30">_xll.AC(DB,_xll.ArrayDPT($AA30:$AE30),_xll.ArrayCOA($AG30:$AZ30),YR-1,PRD,_xll.ArrayDIM($BB30:$BE30))</f>
        <v>0</v>
      </c>
      <c r="B30" s="254">
        <f t="shared" si="20"/>
        <v>0</v>
      </c>
      <c r="C30" s="254">
        <f t="shared" si="21"/>
        <v>-42217.74</v>
      </c>
      <c r="D30" s="254">
        <f t="shared" si="22"/>
        <v>0.53292906652515049</v>
      </c>
      <c r="E30" s="254">
        <f t="array" ref="E30">_xll.BC(DB,_xll.ArrayDPT($AA30:$AE30),_xll.ArrayCOA($AG30:$AZ30),YR,PRD,RV,_xll.ArrayDIM($BB30:$BE30))</f>
        <v>0</v>
      </c>
      <c r="F30" s="254">
        <f t="shared" si="23"/>
        <v>0</v>
      </c>
      <c r="G30" s="254">
        <f t="array" ref="G30">_xll.AC(DB,_xll.ArrayDPT($AA30:$AE30),_xll.ArrayCOA($AG30:$AZ30),YR,PRD,_xll.ArrayDIM($BB30:$BE30))</f>
        <v>42217.74</v>
      </c>
      <c r="H30" s="254">
        <f t="shared" si="24"/>
        <v>0.53292906652515049</v>
      </c>
      <c r="I30" s="254"/>
      <c r="J30" s="328" t="s">
        <v>660</v>
      </c>
      <c r="K30" s="254"/>
      <c r="L30" s="254">
        <f t="array" ref="L30">_xll.ACC(DB,_xll.ArrayDPT($AA30:$AE30),_xll.ArrayCOA($AG30:$AZ30),YR,PRD,_xll.ArrayDIM($BB30:$BE30))</f>
        <v>42217.74</v>
      </c>
      <c r="M30" s="237">
        <f t="shared" si="25"/>
        <v>0.53292906652515049</v>
      </c>
      <c r="N30" s="254">
        <f t="array" ref="N30">_xll.BCC(DB,_xll.ArrayDPT($AA30:$AE30),_xll.ArrayCOA($AG30:$AZ30),YR,PRD,RV,_xll.ArrayDIM($BB30:$BE30))</f>
        <v>0</v>
      </c>
      <c r="O30" s="237">
        <f t="shared" si="26"/>
        <v>0</v>
      </c>
      <c r="P30" s="237">
        <f t="shared" si="27"/>
        <v>-42217.74</v>
      </c>
      <c r="Q30" s="237">
        <f t="shared" si="28"/>
        <v>0.53292906652515049</v>
      </c>
      <c r="R30" s="254">
        <f t="array" ref="R30">_xll.ACC(DB,_xll.ArrayDPT($AA30:$AE30),_xll.ArrayCOA($AG30:$AZ30),YR-1,PRD,_xll.ArrayDIM($BB30:$BE30))</f>
        <v>0</v>
      </c>
      <c r="S30" s="237">
        <f t="shared" si="29"/>
        <v>0</v>
      </c>
      <c r="T30" s="328"/>
      <c r="U30" s="328"/>
      <c r="V30" s="328"/>
      <c r="W30" s="328"/>
      <c r="X30" s="328"/>
      <c r="Y30" s="328"/>
      <c r="Z30" s="328"/>
      <c r="AA30" s="95" t="s">
        <v>637</v>
      </c>
      <c r="AB30" s="96"/>
      <c r="AC30" s="96"/>
      <c r="AD30" s="96"/>
      <c r="AE30" s="96"/>
      <c r="AF30" s="97"/>
      <c r="AG30" s="95" t="s">
        <v>580</v>
      </c>
      <c r="AH30" s="96" t="s">
        <v>580</v>
      </c>
      <c r="AI30" s="95"/>
      <c r="AJ30" s="96"/>
      <c r="AK30" s="95"/>
      <c r="AL30" s="96"/>
      <c r="AM30" s="95"/>
      <c r="AN30" s="98"/>
      <c r="AO30" s="96"/>
      <c r="AP30" s="96"/>
      <c r="AQ30" s="95"/>
      <c r="AR30" s="98"/>
      <c r="AS30" s="96"/>
      <c r="AT30" s="96"/>
      <c r="AU30" s="95"/>
      <c r="AV30" s="98"/>
      <c r="AW30" s="96"/>
      <c r="AX30" s="96"/>
      <c r="AY30" s="95"/>
      <c r="AZ30" s="98"/>
      <c r="BA30" s="99"/>
      <c r="BB30" s="95"/>
      <c r="BC30" s="96"/>
      <c r="BD30" s="96"/>
      <c r="BE30" s="98"/>
      <c r="BF30" s="95"/>
      <c r="BG30" s="96"/>
      <c r="BH30" s="96"/>
      <c r="BI30" s="98"/>
    </row>
    <row r="31" spans="1:61" ht="12" customHeight="1">
      <c r="A31" s="254">
        <f t="array" ref="A31">_xll.AC(DB,_xll.ArrayDPT($AA31:$AE31),_xll.ArrayCOA($AG31:$AZ31),YR-1,PRD,_xll.ArrayDIM($BB31:$BE31))</f>
        <v>0</v>
      </c>
      <c r="B31" s="254">
        <f t="shared" si="20"/>
        <v>0</v>
      </c>
      <c r="C31" s="254">
        <f t="shared" si="21"/>
        <v>0</v>
      </c>
      <c r="D31" s="254">
        <f t="shared" si="22"/>
        <v>0</v>
      </c>
      <c r="E31" s="254">
        <f t="array" ref="E31">_xll.BC(DB,_xll.ArrayDPT($AA31:$AE31),_xll.ArrayCOA($AG31:$AZ31),YR,PRD,RV,_xll.ArrayDIM($BB31:$BE31))</f>
        <v>0</v>
      </c>
      <c r="F31" s="254">
        <f t="shared" si="23"/>
        <v>0</v>
      </c>
      <c r="G31" s="254">
        <f t="array" ref="G31">_xll.AC(DB,_xll.ArrayDPT($AA31:$AE31),_xll.ArrayCOA($AG31:$AZ31),YR,PRD,_xll.ArrayDIM($BB31:$BE31))</f>
        <v>0</v>
      </c>
      <c r="H31" s="254">
        <f t="shared" si="24"/>
        <v>0</v>
      </c>
      <c r="I31" s="254"/>
      <c r="J31" s="328" t="s">
        <v>661</v>
      </c>
      <c r="K31" s="254"/>
      <c r="L31" s="254">
        <f t="array" ref="L31">_xll.ACC(DB,_xll.ArrayDPT($AA31:$AE31),_xll.ArrayCOA($AG31:$AZ31),YR,PRD,_xll.ArrayDIM($BB31:$BE31))</f>
        <v>0</v>
      </c>
      <c r="M31" s="237">
        <f t="shared" si="25"/>
        <v>0</v>
      </c>
      <c r="N31" s="254">
        <f t="array" ref="N31">_xll.BCC(DB,_xll.ArrayDPT($AA31:$AE31),_xll.ArrayCOA($AG31:$AZ31),YR,PRD,RV,_xll.ArrayDIM($BB31:$BE31))</f>
        <v>0</v>
      </c>
      <c r="O31" s="237">
        <f t="shared" si="26"/>
        <v>0</v>
      </c>
      <c r="P31" s="237">
        <f t="shared" si="27"/>
        <v>0</v>
      </c>
      <c r="Q31" s="237">
        <f t="shared" si="28"/>
        <v>0</v>
      </c>
      <c r="R31" s="254">
        <f t="array" ref="R31">_xll.ACC(DB,_xll.ArrayDPT($AA31:$AE31),_xll.ArrayCOA($AG31:$AZ31),YR-1,PRD,_xll.ArrayDIM($BB31:$BE31))</f>
        <v>0</v>
      </c>
      <c r="S31" s="237">
        <f t="shared" si="29"/>
        <v>0</v>
      </c>
      <c r="T31" s="328"/>
      <c r="U31" s="328"/>
      <c r="V31" s="328"/>
      <c r="W31" s="328"/>
      <c r="X31" s="328"/>
      <c r="Y31" s="328"/>
      <c r="Z31" s="328"/>
      <c r="AA31" s="95" t="s">
        <v>637</v>
      </c>
      <c r="AB31" s="96"/>
      <c r="AC31" s="96"/>
      <c r="AD31" s="96"/>
      <c r="AE31" s="96"/>
      <c r="AF31" s="97"/>
      <c r="AG31" s="95" t="s">
        <v>662</v>
      </c>
      <c r="AH31" s="96" t="s">
        <v>662</v>
      </c>
      <c r="AI31" s="95"/>
      <c r="AJ31" s="96"/>
      <c r="AK31" s="95"/>
      <c r="AL31" s="96"/>
      <c r="AM31" s="95"/>
      <c r="AN31" s="98"/>
      <c r="AO31" s="96"/>
      <c r="AP31" s="96"/>
      <c r="AQ31" s="95"/>
      <c r="AR31" s="98"/>
      <c r="AS31" s="96"/>
      <c r="AT31" s="96"/>
      <c r="AU31" s="95"/>
      <c r="AV31" s="98"/>
      <c r="AW31" s="96"/>
      <c r="AX31" s="96"/>
      <c r="AY31" s="95"/>
      <c r="AZ31" s="98"/>
      <c r="BA31" s="99"/>
      <c r="BB31" s="95"/>
      <c r="BC31" s="96"/>
      <c r="BD31" s="96"/>
      <c r="BE31" s="98"/>
      <c r="BF31" s="95"/>
      <c r="BG31" s="96"/>
      <c r="BH31" s="96"/>
      <c r="BI31" s="98"/>
    </row>
    <row r="32" spans="1:61" ht="12" customHeight="1">
      <c r="A32" s="254">
        <f t="array" ref="A32">_xll.AC(DB,_xll.ArrayDPT($AA32:$AE32),_xll.ArrayCOA($AG32:$AZ32),YR-1,PRD,_xll.ArrayDIM($BB32:$BE32))</f>
        <v>172926</v>
      </c>
      <c r="B32" s="254">
        <f t="shared" si="20"/>
        <v>2.3853443601628257</v>
      </c>
      <c r="C32" s="254">
        <f t="shared" si="21"/>
        <v>-105408.31</v>
      </c>
      <c r="D32" s="254">
        <f t="shared" si="22"/>
        <v>1.3306053865577288</v>
      </c>
      <c r="E32" s="254">
        <f t="array" ref="E32">_xll.BC(DB,_xll.ArrayDPT($AA32:$AE32),_xll.ArrayCOA($AG32:$AZ32),YR,PRD,RV,_xll.ArrayDIM($BB32:$BE32))</f>
        <v>0</v>
      </c>
      <c r="F32" s="254">
        <f t="shared" si="23"/>
        <v>0</v>
      </c>
      <c r="G32" s="254">
        <f t="array" ref="G32">_xll.AC(DB,_xll.ArrayDPT($AA32:$AE32),_xll.ArrayCOA($AG32:$AZ32),YR,PRD,_xll.ArrayDIM($BB32:$BE32))</f>
        <v>105408.31</v>
      </c>
      <c r="H32" s="254">
        <f t="shared" si="24"/>
        <v>1.3306053865577288</v>
      </c>
      <c r="I32" s="254"/>
      <c r="J32" s="328" t="s">
        <v>663</v>
      </c>
      <c r="K32" s="254"/>
      <c r="L32" s="254">
        <f t="array" ref="L32">_xll.ACC(DB,_xll.ArrayDPT($AA32:$AE32),_xll.ArrayCOA($AG32:$AZ32),YR,PRD,_xll.ArrayDIM($BB32:$BE32))</f>
        <v>105408.31</v>
      </c>
      <c r="M32" s="237">
        <f t="shared" si="25"/>
        <v>1.3306053865577288</v>
      </c>
      <c r="N32" s="254">
        <f t="array" ref="N32">_xll.BCC(DB,_xll.ArrayDPT($AA32:$AE32),_xll.ArrayCOA($AG32:$AZ32),YR,PRD,RV,_xll.ArrayDIM($BB32:$BE32))</f>
        <v>0</v>
      </c>
      <c r="O32" s="237">
        <f t="shared" si="26"/>
        <v>0</v>
      </c>
      <c r="P32" s="237">
        <f t="shared" si="27"/>
        <v>-105408.31</v>
      </c>
      <c r="Q32" s="237">
        <f t="shared" si="28"/>
        <v>1.3306053865577288</v>
      </c>
      <c r="R32" s="254">
        <f t="array" ref="R32">_xll.ACC(DB,_xll.ArrayDPT($AA32:$AE32),_xll.ArrayCOA($AG32:$AZ32),YR-1,PRD,_xll.ArrayDIM($BB32:$BE32))</f>
        <v>172926</v>
      </c>
      <c r="S32" s="237">
        <f t="shared" si="29"/>
        <v>2.3853443601628257</v>
      </c>
      <c r="T32" s="328"/>
      <c r="U32" s="328"/>
      <c r="V32" s="328"/>
      <c r="W32" s="328"/>
      <c r="X32" s="328"/>
      <c r="Y32" s="328"/>
      <c r="Z32" s="328"/>
      <c r="AA32" s="95" t="s">
        <v>637</v>
      </c>
      <c r="AB32" s="96"/>
      <c r="AC32" s="96"/>
      <c r="AD32" s="96"/>
      <c r="AE32" s="96"/>
      <c r="AF32" s="97"/>
      <c r="AG32" s="95" t="s">
        <v>664</v>
      </c>
      <c r="AH32" s="96" t="s">
        <v>664</v>
      </c>
      <c r="AI32" s="95"/>
      <c r="AJ32" s="96"/>
      <c r="AK32" s="95"/>
      <c r="AL32" s="96"/>
      <c r="AM32" s="95"/>
      <c r="AN32" s="98"/>
      <c r="AO32" s="96"/>
      <c r="AP32" s="96"/>
      <c r="AQ32" s="95"/>
      <c r="AR32" s="98"/>
      <c r="AS32" s="96"/>
      <c r="AT32" s="96"/>
      <c r="AU32" s="95"/>
      <c r="AV32" s="98"/>
      <c r="AW32" s="96"/>
      <c r="AX32" s="96"/>
      <c r="AY32" s="95"/>
      <c r="AZ32" s="98"/>
      <c r="BA32" s="99"/>
      <c r="BB32" s="95"/>
      <c r="BC32" s="96"/>
      <c r="BD32" s="96"/>
      <c r="BE32" s="98"/>
      <c r="BF32" s="95"/>
      <c r="BG32" s="96"/>
      <c r="BH32" s="96"/>
      <c r="BI32" s="98"/>
    </row>
    <row r="33" spans="1:61" ht="12" customHeight="1">
      <c r="A33" s="254">
        <f t="array" ref="A33">_xll.AC(DB,_xll.ArrayDPT($AA33:$AE33),_xll.ArrayCOA($AG33:$AZ33),YR-1,PRD,_xll.ArrayDIM($BB33:$BE33))</f>
        <v>0</v>
      </c>
      <c r="B33" s="254">
        <f t="shared" si="20"/>
        <v>0</v>
      </c>
      <c r="C33" s="254">
        <f t="shared" si="21"/>
        <v>0</v>
      </c>
      <c r="D33" s="254">
        <f t="shared" si="22"/>
        <v>0</v>
      </c>
      <c r="E33" s="254">
        <f t="array" ref="E33">_xll.BC(DB,_xll.ArrayDPT($AA33:$AE33),_xll.ArrayCOA($AG33:$AZ33),YR,PRD,RV,_xll.ArrayDIM($BB33:$BE33))</f>
        <v>0</v>
      </c>
      <c r="F33" s="254">
        <f t="shared" si="23"/>
        <v>0</v>
      </c>
      <c r="G33" s="254">
        <f t="array" ref="G33">_xll.AC(DB,_xll.ArrayDPT($AA33:$AE33),_xll.ArrayCOA($AG33:$AZ33),YR,PRD,_xll.ArrayDIM($BB33:$BE33))</f>
        <v>0</v>
      </c>
      <c r="H33" s="254">
        <f t="shared" si="24"/>
        <v>0</v>
      </c>
      <c r="I33" s="254"/>
      <c r="J33" s="328" t="s">
        <v>665</v>
      </c>
      <c r="K33" s="254"/>
      <c r="L33" s="254">
        <f t="array" ref="L33">_xll.ACC(DB,_xll.ArrayDPT($AA33:$AE33),_xll.ArrayCOA($AG33:$AZ33),YR,PRD,_xll.ArrayDIM($BB33:$BE33))</f>
        <v>0</v>
      </c>
      <c r="M33" s="237">
        <f t="shared" si="25"/>
        <v>0</v>
      </c>
      <c r="N33" s="254">
        <f t="array" ref="N33">_xll.BCC(DB,_xll.ArrayDPT($AA33:$AE33),_xll.ArrayCOA($AG33:$AZ33),YR,PRD,RV,_xll.ArrayDIM($BB33:$BE33))</f>
        <v>0</v>
      </c>
      <c r="O33" s="237">
        <f t="shared" si="26"/>
        <v>0</v>
      </c>
      <c r="P33" s="237">
        <f t="shared" si="27"/>
        <v>0</v>
      </c>
      <c r="Q33" s="237">
        <f t="shared" si="28"/>
        <v>0</v>
      </c>
      <c r="R33" s="254">
        <f t="array" ref="R33">_xll.ACC(DB,_xll.ArrayDPT($AA33:$AE33),_xll.ArrayCOA($AG33:$AZ33),YR-1,PRD,_xll.ArrayDIM($BB33:$BE33))</f>
        <v>0</v>
      </c>
      <c r="S33" s="237">
        <f t="shared" si="29"/>
        <v>0</v>
      </c>
      <c r="T33" s="328"/>
      <c r="U33" s="328"/>
      <c r="V33" s="328"/>
      <c r="W33" s="328"/>
      <c r="X33" s="328"/>
      <c r="Y33" s="328"/>
      <c r="Z33" s="328"/>
      <c r="AA33" s="95" t="s">
        <v>637</v>
      </c>
      <c r="AB33" s="96"/>
      <c r="AC33" s="96"/>
      <c r="AD33" s="96"/>
      <c r="AE33" s="96"/>
      <c r="AF33" s="97"/>
      <c r="AG33" s="95" t="s">
        <v>666</v>
      </c>
      <c r="AH33" s="96" t="s">
        <v>666</v>
      </c>
      <c r="AI33" s="95"/>
      <c r="AJ33" s="96"/>
      <c r="AK33" s="95"/>
      <c r="AL33" s="96"/>
      <c r="AM33" s="95"/>
      <c r="AN33" s="98"/>
      <c r="AO33" s="96"/>
      <c r="AP33" s="96"/>
      <c r="AQ33" s="95"/>
      <c r="AR33" s="98"/>
      <c r="AS33" s="96"/>
      <c r="AT33" s="96"/>
      <c r="AU33" s="95"/>
      <c r="AV33" s="98"/>
      <c r="AW33" s="96"/>
      <c r="AX33" s="96"/>
      <c r="AY33" s="95"/>
      <c r="AZ33" s="98"/>
      <c r="BA33" s="99"/>
      <c r="BB33" s="95"/>
      <c r="BC33" s="96"/>
      <c r="BD33" s="96"/>
      <c r="BE33" s="98"/>
      <c r="BF33" s="95"/>
      <c r="BG33" s="96"/>
      <c r="BH33" s="96"/>
      <c r="BI33" s="98"/>
    </row>
    <row r="34" spans="1:61" ht="12" customHeight="1">
      <c r="A34" s="254">
        <f t="array" ref="A34">_xll.AC(DB,_xll.ArrayDPT($AA34:$AE34),_xll.ArrayCOA($AG34:$AZ34),YR-1,PRD,_xll.ArrayDIM($BB34:$BE34))</f>
        <v>0</v>
      </c>
      <c r="B34" s="254">
        <f t="shared" si="20"/>
        <v>0</v>
      </c>
      <c r="C34" s="254">
        <f t="shared" si="21"/>
        <v>0</v>
      </c>
      <c r="D34" s="254">
        <f t="shared" si="22"/>
        <v>0</v>
      </c>
      <c r="E34" s="254">
        <f t="array" ref="E34">_xll.BC(DB,_xll.ArrayDPT($AA34:$AE34),_xll.ArrayCOA($AG34:$AZ34),YR,PRD,RV,_xll.ArrayDIM($BB34:$BE34))</f>
        <v>0</v>
      </c>
      <c r="F34" s="254">
        <f t="shared" si="23"/>
        <v>0</v>
      </c>
      <c r="G34" s="254">
        <f t="array" ref="G34">_xll.AC(DB,_xll.ArrayDPT($AA34:$AE34),_xll.ArrayCOA($AG34:$AZ34),YR,PRD,_xll.ArrayDIM($BB34:$BE34))</f>
        <v>0</v>
      </c>
      <c r="H34" s="254">
        <f t="shared" si="24"/>
        <v>0</v>
      </c>
      <c r="I34" s="254"/>
      <c r="J34" s="328" t="s">
        <v>667</v>
      </c>
      <c r="K34" s="254"/>
      <c r="L34" s="254">
        <f t="array" ref="L34">_xll.ACC(DB,_xll.ArrayDPT($AA34:$AE34),_xll.ArrayCOA($AG34:$AZ34),YR,PRD,_xll.ArrayDIM($BB34:$BE34))</f>
        <v>0</v>
      </c>
      <c r="M34" s="237">
        <f t="shared" si="25"/>
        <v>0</v>
      </c>
      <c r="N34" s="254">
        <f t="array" ref="N34">_xll.BCC(DB,_xll.ArrayDPT($AA34:$AE34),_xll.ArrayCOA($AG34:$AZ34),YR,PRD,RV,_xll.ArrayDIM($BB34:$BE34))</f>
        <v>0</v>
      </c>
      <c r="O34" s="237">
        <f t="shared" si="26"/>
        <v>0</v>
      </c>
      <c r="P34" s="237">
        <f t="shared" si="27"/>
        <v>0</v>
      </c>
      <c r="Q34" s="237">
        <f t="shared" si="28"/>
        <v>0</v>
      </c>
      <c r="R34" s="254">
        <f t="array" ref="R34">_xll.ACC(DB,_xll.ArrayDPT($AA34:$AE34),_xll.ArrayCOA($AG34:$AZ34),YR-1,PRD,_xll.ArrayDIM($BB34:$BE34))</f>
        <v>0</v>
      </c>
      <c r="S34" s="237">
        <f t="shared" si="29"/>
        <v>0</v>
      </c>
      <c r="T34" s="328"/>
      <c r="U34" s="328"/>
      <c r="V34" s="328"/>
      <c r="W34" s="328"/>
      <c r="X34" s="328"/>
      <c r="Y34" s="328"/>
      <c r="Z34" s="328"/>
      <c r="AA34" s="95" t="s">
        <v>637</v>
      </c>
      <c r="AB34" s="96"/>
      <c r="AC34" s="96"/>
      <c r="AD34" s="96"/>
      <c r="AE34" s="96"/>
      <c r="AF34" s="97"/>
      <c r="AG34" s="95" t="s">
        <v>668</v>
      </c>
      <c r="AH34" s="96" t="s">
        <v>668</v>
      </c>
      <c r="AI34" s="95"/>
      <c r="AJ34" s="96"/>
      <c r="AK34" s="95"/>
      <c r="AL34" s="96"/>
      <c r="AM34" s="95"/>
      <c r="AN34" s="98"/>
      <c r="AO34" s="96"/>
      <c r="AP34" s="96"/>
      <c r="AQ34" s="95"/>
      <c r="AR34" s="98"/>
      <c r="AS34" s="96"/>
      <c r="AT34" s="96"/>
      <c r="AU34" s="95"/>
      <c r="AV34" s="98"/>
      <c r="AW34" s="96"/>
      <c r="AX34" s="96"/>
      <c r="AY34" s="95"/>
      <c r="AZ34" s="98"/>
      <c r="BA34" s="99"/>
      <c r="BB34" s="95"/>
      <c r="BC34" s="96"/>
      <c r="BD34" s="96"/>
      <c r="BE34" s="98"/>
      <c r="BF34" s="95"/>
      <c r="BG34" s="96"/>
      <c r="BH34" s="96"/>
      <c r="BI34" s="98"/>
    </row>
    <row r="35" spans="1:61" ht="12" customHeight="1">
      <c r="A35" s="254">
        <f t="array" ref="A35">_xll.AC(DB,_xll.ArrayDPT($AA35:$AE35),_xll.ArrayCOA($AG35:$AZ35),YR-1,PRD,_xll.ArrayDIM($BB35:$BE35))</f>
        <v>0</v>
      </c>
      <c r="B35" s="254">
        <f t="shared" si="20"/>
        <v>0</v>
      </c>
      <c r="C35" s="254">
        <f t="shared" si="21"/>
        <v>0</v>
      </c>
      <c r="D35" s="254">
        <f t="shared" si="22"/>
        <v>0</v>
      </c>
      <c r="E35" s="254">
        <f t="array" ref="E35">_xll.BC(DB,_xll.ArrayDPT($AA35:$AE35),_xll.ArrayCOA($AG35:$AZ35),YR,PRD,RV,_xll.ArrayDIM($BB35:$BE35))</f>
        <v>0</v>
      </c>
      <c r="F35" s="254">
        <f t="shared" si="23"/>
        <v>0</v>
      </c>
      <c r="G35" s="254">
        <f t="array" ref="G35">_xll.AC(DB,_xll.ArrayDPT($AA35:$AE35),_xll.ArrayCOA($AG35:$AZ35),YR,PRD,_xll.ArrayDIM($BB35:$BE35))</f>
        <v>0</v>
      </c>
      <c r="H35" s="254">
        <f t="shared" si="24"/>
        <v>0</v>
      </c>
      <c r="I35" s="254"/>
      <c r="J35" s="328" t="s">
        <v>669</v>
      </c>
      <c r="K35" s="254"/>
      <c r="L35" s="254">
        <f t="array" ref="L35">_xll.ACC(DB,_xll.ArrayDPT($AA35:$AE35),_xll.ArrayCOA($AG35:$AZ35),YR,PRD,_xll.ArrayDIM($BB35:$BE35))</f>
        <v>0</v>
      </c>
      <c r="M35" s="237">
        <f t="shared" si="25"/>
        <v>0</v>
      </c>
      <c r="N35" s="254">
        <f t="array" ref="N35">_xll.BCC(DB,_xll.ArrayDPT($AA35:$AE35),_xll.ArrayCOA($AG35:$AZ35),YR,PRD,RV,_xll.ArrayDIM($BB35:$BE35))</f>
        <v>0</v>
      </c>
      <c r="O35" s="237">
        <f t="shared" si="26"/>
        <v>0</v>
      </c>
      <c r="P35" s="237">
        <f t="shared" si="27"/>
        <v>0</v>
      </c>
      <c r="Q35" s="237">
        <f t="shared" si="28"/>
        <v>0</v>
      </c>
      <c r="R35" s="254">
        <f t="array" ref="R35">_xll.ACC(DB,_xll.ArrayDPT($AA35:$AE35),_xll.ArrayCOA($AG35:$AZ35),YR-1,PRD,_xll.ArrayDIM($BB35:$BE35))</f>
        <v>0</v>
      </c>
      <c r="S35" s="237">
        <f t="shared" si="29"/>
        <v>0</v>
      </c>
      <c r="T35" s="328"/>
      <c r="U35" s="328"/>
      <c r="V35" s="328"/>
      <c r="W35" s="328"/>
      <c r="X35" s="328"/>
      <c r="Y35" s="328"/>
      <c r="Z35" s="328"/>
      <c r="AA35" s="95"/>
      <c r="AB35" s="96"/>
      <c r="AC35" s="96"/>
      <c r="AD35" s="96"/>
      <c r="AE35" s="96"/>
      <c r="AF35" s="97"/>
      <c r="AG35" s="95"/>
      <c r="AH35" s="96"/>
      <c r="AI35" s="95"/>
      <c r="AJ35" s="96"/>
      <c r="AK35" s="95"/>
      <c r="AL35" s="96"/>
      <c r="AM35" s="95"/>
      <c r="AN35" s="98"/>
      <c r="AO35" s="96"/>
      <c r="AP35" s="96"/>
      <c r="AQ35" s="95"/>
      <c r="AR35" s="98"/>
      <c r="AS35" s="96"/>
      <c r="AT35" s="96"/>
      <c r="AU35" s="95"/>
      <c r="AV35" s="98"/>
      <c r="AW35" s="96"/>
      <c r="AX35" s="96"/>
      <c r="AY35" s="95"/>
      <c r="AZ35" s="98"/>
      <c r="BA35" s="99"/>
      <c r="BB35" s="95"/>
      <c r="BC35" s="96"/>
      <c r="BD35" s="96"/>
      <c r="BE35" s="98"/>
      <c r="BF35" s="95"/>
      <c r="BG35" s="96"/>
      <c r="BH35" s="96"/>
      <c r="BI35" s="98"/>
    </row>
    <row r="36" spans="1:61" ht="12" customHeight="1">
      <c r="A36" s="254">
        <f t="array" ref="A36">_xll.AC(DB,_xll.ArrayDPT($AA36:$AE36),_xll.ArrayCOA($AG36:$AZ36),YR-1,PRD,_xll.ArrayDIM($BB36:$BE36))</f>
        <v>0</v>
      </c>
      <c r="B36" s="254">
        <f t="shared" si="20"/>
        <v>0</v>
      </c>
      <c r="C36" s="254">
        <f t="shared" si="21"/>
        <v>0</v>
      </c>
      <c r="D36" s="254">
        <f t="shared" si="22"/>
        <v>0</v>
      </c>
      <c r="E36" s="254">
        <f t="array" ref="E36">_xll.BC(DB,_xll.ArrayDPT($AA36:$AE36),_xll.ArrayCOA($AG36:$AZ36),YR,PRD,RV,_xll.ArrayDIM($BB36:$BE36))</f>
        <v>0</v>
      </c>
      <c r="F36" s="254">
        <f t="shared" si="23"/>
        <v>0</v>
      </c>
      <c r="G36" s="254">
        <f t="array" ref="G36">_xll.AC(DB,_xll.ArrayDPT($AA36:$AE36),_xll.ArrayCOA($AG36:$AZ36),YR,PRD,_xll.ArrayDIM($BB36:$BE36))</f>
        <v>0</v>
      </c>
      <c r="H36" s="254">
        <f t="shared" si="24"/>
        <v>0</v>
      </c>
      <c r="I36" s="254"/>
      <c r="J36" s="328" t="s">
        <v>670</v>
      </c>
      <c r="K36" s="254"/>
      <c r="L36" s="254">
        <f t="array" ref="L36">_xll.ACC(DB,_xll.ArrayDPT($AA36:$AE36),_xll.ArrayCOA($AG36:$AZ36),YR,PRD,_xll.ArrayDIM($BB36:$BE36))</f>
        <v>0</v>
      </c>
      <c r="M36" s="237">
        <f t="shared" si="25"/>
        <v>0</v>
      </c>
      <c r="N36" s="254">
        <f t="array" ref="N36">_xll.BCC(DB,_xll.ArrayDPT($AA36:$AE36),_xll.ArrayCOA($AG36:$AZ36),YR,PRD,RV,_xll.ArrayDIM($BB36:$BE36))</f>
        <v>0</v>
      </c>
      <c r="O36" s="237">
        <f t="shared" si="26"/>
        <v>0</v>
      </c>
      <c r="P36" s="237">
        <f t="shared" si="27"/>
        <v>0</v>
      </c>
      <c r="Q36" s="237">
        <f t="shared" si="28"/>
        <v>0</v>
      </c>
      <c r="R36" s="254">
        <f t="array" ref="R36">_xll.ACC(DB,_xll.ArrayDPT($AA36:$AE36),_xll.ArrayCOA($AG36:$AZ36),YR-1,PRD,_xll.ArrayDIM($BB36:$BE36))</f>
        <v>0</v>
      </c>
      <c r="S36" s="237">
        <f t="shared" si="29"/>
        <v>0</v>
      </c>
      <c r="T36" s="328"/>
      <c r="U36" s="328"/>
      <c r="V36" s="328"/>
      <c r="W36" s="328"/>
      <c r="X36" s="328"/>
      <c r="Y36" s="328"/>
      <c r="Z36" s="328"/>
      <c r="AA36" s="95"/>
      <c r="AB36" s="96"/>
      <c r="AC36" s="96"/>
      <c r="AD36" s="96"/>
      <c r="AE36" s="96"/>
      <c r="AF36" s="97"/>
      <c r="AG36" s="95"/>
      <c r="AH36" s="96"/>
      <c r="AI36" s="95"/>
      <c r="AJ36" s="96"/>
      <c r="AK36" s="95"/>
      <c r="AL36" s="96"/>
      <c r="AM36" s="95"/>
      <c r="AN36" s="98"/>
      <c r="AO36" s="96"/>
      <c r="AP36" s="96"/>
      <c r="AQ36" s="95"/>
      <c r="AR36" s="98"/>
      <c r="AS36" s="96"/>
      <c r="AT36" s="96"/>
      <c r="AU36" s="95"/>
      <c r="AV36" s="98"/>
      <c r="AW36" s="96"/>
      <c r="AX36" s="96"/>
      <c r="AY36" s="95"/>
      <c r="AZ36" s="98"/>
      <c r="BA36" s="99"/>
      <c r="BB36" s="95"/>
      <c r="BC36" s="96"/>
      <c r="BD36" s="96"/>
      <c r="BE36" s="98"/>
      <c r="BF36" s="95"/>
      <c r="BG36" s="96"/>
      <c r="BH36" s="96"/>
      <c r="BI36" s="98"/>
    </row>
    <row r="37" spans="1:61" ht="12" customHeight="1">
      <c r="A37" s="254">
        <f t="array" ref="A37">_xll.AC(DB,_xll.ArrayDPT($AA37:$AE37),_xll.ArrayCOA($AG37:$AZ37),YR-1,PRD,_xll.ArrayDIM($BB37:$BE37))</f>
        <v>0</v>
      </c>
      <c r="B37" s="254">
        <f t="shared" si="20"/>
        <v>0</v>
      </c>
      <c r="C37" s="254">
        <f t="shared" si="21"/>
        <v>0</v>
      </c>
      <c r="D37" s="254">
        <f t="shared" si="22"/>
        <v>0</v>
      </c>
      <c r="E37" s="254">
        <f t="array" ref="E37">_xll.BC(DB,_xll.ArrayDPT($AA37:$AE37),_xll.ArrayCOA($AG37:$AZ37),YR,PRD,RV,_xll.ArrayDIM($BB37:$BE37))</f>
        <v>0</v>
      </c>
      <c r="F37" s="254">
        <f t="shared" si="23"/>
        <v>0</v>
      </c>
      <c r="G37" s="254">
        <f t="array" ref="G37">_xll.AC(DB,_xll.ArrayDPT($AA37:$AE37),_xll.ArrayCOA($AG37:$AZ37),YR,PRD,_xll.ArrayDIM($BB37:$BE37))</f>
        <v>0</v>
      </c>
      <c r="H37" s="254">
        <f t="shared" si="24"/>
        <v>0</v>
      </c>
      <c r="I37" s="254"/>
      <c r="J37" s="328" t="s">
        <v>671</v>
      </c>
      <c r="K37" s="254"/>
      <c r="L37" s="254">
        <f t="array" ref="L37">_xll.ACC(DB,_xll.ArrayDPT($AA37:$AE37),_xll.ArrayCOA($AG37:$AZ37),YR,PRD,_xll.ArrayDIM($BB37:$BE37))</f>
        <v>0</v>
      </c>
      <c r="M37" s="237">
        <f t="shared" si="25"/>
        <v>0</v>
      </c>
      <c r="N37" s="254">
        <f t="array" ref="N37">_xll.BCC(DB,_xll.ArrayDPT($AA37:$AE37),_xll.ArrayCOA($AG37:$AZ37),YR,PRD,RV,_xll.ArrayDIM($BB37:$BE37))</f>
        <v>0</v>
      </c>
      <c r="O37" s="237">
        <f t="shared" si="26"/>
        <v>0</v>
      </c>
      <c r="P37" s="237">
        <f t="shared" si="27"/>
        <v>0</v>
      </c>
      <c r="Q37" s="237">
        <f t="shared" si="28"/>
        <v>0</v>
      </c>
      <c r="R37" s="254">
        <f t="array" ref="R37">_xll.ACC(DB,_xll.ArrayDPT($AA37:$AE37),_xll.ArrayCOA($AG37:$AZ37),YR-1,PRD,_xll.ArrayDIM($BB37:$BE37))</f>
        <v>0</v>
      </c>
      <c r="S37" s="237">
        <f t="shared" si="29"/>
        <v>0</v>
      </c>
      <c r="T37" s="328"/>
      <c r="U37" s="328"/>
      <c r="V37" s="328"/>
      <c r="W37" s="328"/>
      <c r="X37" s="328"/>
      <c r="Y37" s="328"/>
      <c r="Z37" s="328"/>
      <c r="AA37" s="95"/>
      <c r="AB37" s="96"/>
      <c r="AC37" s="96"/>
      <c r="AD37" s="96"/>
      <c r="AE37" s="96"/>
      <c r="AF37" s="97"/>
      <c r="AG37" s="95"/>
      <c r="AH37" s="96"/>
      <c r="AI37" s="95"/>
      <c r="AJ37" s="96"/>
      <c r="AK37" s="95"/>
      <c r="AL37" s="96"/>
      <c r="AM37" s="95"/>
      <c r="AN37" s="98"/>
      <c r="AO37" s="96"/>
      <c r="AP37" s="96"/>
      <c r="AQ37" s="95"/>
      <c r="AR37" s="98"/>
      <c r="AS37" s="96"/>
      <c r="AT37" s="96"/>
      <c r="AU37" s="95"/>
      <c r="AV37" s="98"/>
      <c r="AW37" s="96"/>
      <c r="AX37" s="96"/>
      <c r="AY37" s="95"/>
      <c r="AZ37" s="98"/>
      <c r="BA37" s="99"/>
      <c r="BB37" s="95"/>
      <c r="BC37" s="96"/>
      <c r="BD37" s="96"/>
      <c r="BE37" s="98"/>
      <c r="BF37" s="95"/>
      <c r="BG37" s="96"/>
      <c r="BH37" s="96"/>
      <c r="BI37" s="98"/>
    </row>
    <row r="38" spans="1:61" ht="12" customHeight="1">
      <c r="A38" s="254">
        <f t="array" ref="A38">_xll.AC(DB,_xll.ArrayDPT($AA38:$AE38),_xll.ArrayCOA($AG38:$AZ38),YR-1,PRD,_xll.ArrayDIM($BB38:$BE38))</f>
        <v>2808</v>
      </c>
      <c r="B38" s="254">
        <f t="shared" si="20"/>
        <v>3.8733602600749539E-2</v>
      </c>
      <c r="C38" s="254">
        <f t="shared" si="21"/>
        <v>0</v>
      </c>
      <c r="D38" s="254">
        <f t="shared" si="22"/>
        <v>0</v>
      </c>
      <c r="E38" s="254">
        <f t="array" ref="E38">_xll.BC(DB,_xll.ArrayDPT($AA38:$AE38),_xll.ArrayCOA($AG38:$AZ38),YR,PRD,RV,_xll.ArrayDIM($BB38:$BE38))</f>
        <v>0</v>
      </c>
      <c r="F38" s="254">
        <f t="shared" si="23"/>
        <v>0</v>
      </c>
      <c r="G38" s="254">
        <f t="array" ref="G38">_xll.AC(DB,_xll.ArrayDPT($AA38:$AE38),_xll.ArrayCOA($AG38:$AZ38),YR,PRD,_xll.ArrayDIM($BB38:$BE38))</f>
        <v>0</v>
      </c>
      <c r="H38" s="254">
        <f t="shared" si="24"/>
        <v>0</v>
      </c>
      <c r="I38" s="254"/>
      <c r="J38" s="328" t="s">
        <v>672</v>
      </c>
      <c r="K38" s="254"/>
      <c r="L38" s="254">
        <f t="array" ref="L38">_xll.ACC(DB,_xll.ArrayDPT($AA38:$AE38),_xll.ArrayCOA($AG38:$AZ38),YR,PRD,_xll.ArrayDIM($BB38:$BE38))</f>
        <v>0</v>
      </c>
      <c r="M38" s="237">
        <f t="shared" si="25"/>
        <v>0</v>
      </c>
      <c r="N38" s="254">
        <f t="array" ref="N38">_xll.BCC(DB,_xll.ArrayDPT($AA38:$AE38),_xll.ArrayCOA($AG38:$AZ38),YR,PRD,RV,_xll.ArrayDIM($BB38:$BE38))</f>
        <v>0</v>
      </c>
      <c r="O38" s="237">
        <f t="shared" si="26"/>
        <v>0</v>
      </c>
      <c r="P38" s="237">
        <f t="shared" si="27"/>
        <v>0</v>
      </c>
      <c r="Q38" s="237">
        <f t="shared" si="28"/>
        <v>0</v>
      </c>
      <c r="R38" s="254">
        <f t="array" ref="R38">_xll.ACC(DB,_xll.ArrayDPT($AA38:$AE38),_xll.ArrayCOA($AG38:$AZ38),YR-1,PRD,_xll.ArrayDIM($BB38:$BE38))</f>
        <v>2808</v>
      </c>
      <c r="S38" s="237">
        <f t="shared" si="29"/>
        <v>3.8733602600749539E-2</v>
      </c>
      <c r="T38" s="328"/>
      <c r="U38" s="328"/>
      <c r="V38" s="328"/>
      <c r="W38" s="328"/>
      <c r="X38" s="328"/>
      <c r="Y38" s="328"/>
      <c r="Z38" s="328"/>
      <c r="AA38" s="95" t="s">
        <v>637</v>
      </c>
      <c r="AB38" s="96"/>
      <c r="AC38" s="96"/>
      <c r="AD38" s="96"/>
      <c r="AE38" s="96"/>
      <c r="AF38" s="97"/>
      <c r="AG38" s="95" t="s">
        <v>673</v>
      </c>
      <c r="AH38" s="96" t="s">
        <v>673</v>
      </c>
      <c r="AI38" s="95"/>
      <c r="AJ38" s="96"/>
      <c r="AK38" s="95"/>
      <c r="AL38" s="96"/>
      <c r="AM38" s="95"/>
      <c r="AN38" s="98"/>
      <c r="AO38" s="96"/>
      <c r="AP38" s="96"/>
      <c r="AQ38" s="95"/>
      <c r="AR38" s="98"/>
      <c r="AS38" s="96"/>
      <c r="AT38" s="96"/>
      <c r="AU38" s="95"/>
      <c r="AV38" s="98"/>
      <c r="AW38" s="96"/>
      <c r="AX38" s="96"/>
      <c r="AY38" s="95"/>
      <c r="AZ38" s="98"/>
      <c r="BA38" s="99"/>
      <c r="BB38" s="95"/>
      <c r="BC38" s="96"/>
      <c r="BD38" s="96"/>
      <c r="BE38" s="98"/>
      <c r="BF38" s="95"/>
      <c r="BG38" s="96"/>
      <c r="BH38" s="96"/>
      <c r="BI38" s="98"/>
    </row>
    <row r="39" spans="1:61" ht="12" customHeight="1">
      <c r="A39" s="254">
        <f t="array" ref="A39">_xll.AC(DB,_xll.ArrayDPT($AA39:$AE39),_xll.ArrayCOA($AG39:$AZ39),YR-1,PRD,_xll.ArrayDIM($BB39:$BE39))</f>
        <v>0</v>
      </c>
      <c r="B39" s="254">
        <f t="shared" si="20"/>
        <v>0</v>
      </c>
      <c r="C39" s="254">
        <f t="shared" si="21"/>
        <v>0</v>
      </c>
      <c r="D39" s="254">
        <f t="shared" si="22"/>
        <v>0</v>
      </c>
      <c r="E39" s="254">
        <f t="array" ref="E39">_xll.BC(DB,_xll.ArrayDPT($AA39:$AE39),_xll.ArrayCOA($AG39:$AZ39),YR,PRD,RV,_xll.ArrayDIM($BB39:$BE39))</f>
        <v>0</v>
      </c>
      <c r="F39" s="254">
        <f t="shared" si="23"/>
        <v>0</v>
      </c>
      <c r="G39" s="254">
        <f t="array" ref="G39">_xll.AC(DB,_xll.ArrayDPT($AA39:$AE39),_xll.ArrayCOA($AG39:$AZ39),YR,PRD,_xll.ArrayDIM($BB39:$BE39))</f>
        <v>0</v>
      </c>
      <c r="H39" s="254">
        <f t="shared" si="24"/>
        <v>0</v>
      </c>
      <c r="I39" s="254"/>
      <c r="J39" s="328" t="s">
        <v>674</v>
      </c>
      <c r="K39" s="254"/>
      <c r="L39" s="254">
        <f t="array" ref="L39">_xll.ACC(DB,_xll.ArrayDPT($AA39:$AE39),_xll.ArrayCOA($AG39:$AZ39),YR,PRD,_xll.ArrayDIM($BB39:$BE39))</f>
        <v>0</v>
      </c>
      <c r="M39" s="237">
        <f t="shared" si="25"/>
        <v>0</v>
      </c>
      <c r="N39" s="254">
        <f t="array" ref="N39">_xll.BCC(DB,_xll.ArrayDPT($AA39:$AE39),_xll.ArrayCOA($AG39:$AZ39),YR,PRD,RV,_xll.ArrayDIM($BB39:$BE39))</f>
        <v>0</v>
      </c>
      <c r="O39" s="237">
        <f t="shared" si="26"/>
        <v>0</v>
      </c>
      <c r="P39" s="237">
        <f t="shared" si="27"/>
        <v>0</v>
      </c>
      <c r="Q39" s="237">
        <f t="shared" si="28"/>
        <v>0</v>
      </c>
      <c r="R39" s="254">
        <f t="array" ref="R39">_xll.ACC(DB,_xll.ArrayDPT($AA39:$AE39),_xll.ArrayCOA($AG39:$AZ39),YR-1,PRD,_xll.ArrayDIM($BB39:$BE39))</f>
        <v>0</v>
      </c>
      <c r="S39" s="237">
        <f t="shared" si="29"/>
        <v>0</v>
      </c>
      <c r="T39" s="328"/>
      <c r="U39" s="328"/>
      <c r="V39" s="328"/>
      <c r="W39" s="328"/>
      <c r="X39" s="328"/>
      <c r="Y39" s="328"/>
      <c r="Z39" s="328"/>
      <c r="AA39" s="95"/>
      <c r="AB39" s="96"/>
      <c r="AC39" s="96"/>
      <c r="AD39" s="96"/>
      <c r="AE39" s="96"/>
      <c r="AF39" s="97"/>
      <c r="AG39" s="95"/>
      <c r="AH39" s="96"/>
      <c r="AI39" s="95"/>
      <c r="AJ39" s="96"/>
      <c r="AK39" s="95"/>
      <c r="AL39" s="96"/>
      <c r="AM39" s="95"/>
      <c r="AN39" s="98"/>
      <c r="AO39" s="96"/>
      <c r="AP39" s="96"/>
      <c r="AQ39" s="95"/>
      <c r="AR39" s="98"/>
      <c r="AS39" s="96"/>
      <c r="AT39" s="96"/>
      <c r="AU39" s="95"/>
      <c r="AV39" s="98"/>
      <c r="AW39" s="96"/>
      <c r="AX39" s="96"/>
      <c r="AY39" s="95"/>
      <c r="AZ39" s="98"/>
      <c r="BA39" s="99"/>
      <c r="BB39" s="95"/>
      <c r="BC39" s="96"/>
      <c r="BD39" s="96"/>
      <c r="BE39" s="98"/>
      <c r="BF39" s="95"/>
      <c r="BG39" s="96"/>
      <c r="BH39" s="96"/>
      <c r="BI39" s="98"/>
    </row>
    <row r="40" spans="1:61" ht="12" customHeight="1">
      <c r="A40" s="254">
        <f t="array" ref="A40">_xll.AC(DB,_xll.ArrayDPT($AA40:$AE40),_xll.ArrayCOA($AG40:$AZ40),YR-1,PRD,_xll.ArrayDIM($BB40:$BE40))</f>
        <v>0</v>
      </c>
      <c r="B40" s="254">
        <f t="shared" si="20"/>
        <v>0</v>
      </c>
      <c r="C40" s="254">
        <f t="shared" si="21"/>
        <v>0</v>
      </c>
      <c r="D40" s="254">
        <f t="shared" si="22"/>
        <v>0</v>
      </c>
      <c r="E40" s="254">
        <f t="array" ref="E40">_xll.BC(DB,_xll.ArrayDPT($AA40:$AE40),_xll.ArrayCOA($AG40:$AZ40),YR,PRD,RV,_xll.ArrayDIM($BB40:$BE40))</f>
        <v>0</v>
      </c>
      <c r="F40" s="254">
        <f t="shared" si="23"/>
        <v>0</v>
      </c>
      <c r="G40" s="254">
        <f t="array" ref="G40">_xll.AC(DB,_xll.ArrayDPT($AA40:$AE40),_xll.ArrayCOA($AG40:$AZ40),YR,PRD,_xll.ArrayDIM($BB40:$BE40))</f>
        <v>0</v>
      </c>
      <c r="H40" s="254">
        <f t="shared" si="24"/>
        <v>0</v>
      </c>
      <c r="I40" s="254"/>
      <c r="J40" s="328" t="s">
        <v>675</v>
      </c>
      <c r="K40" s="254"/>
      <c r="L40" s="254">
        <f t="array" ref="L40">_xll.ACC(DB,_xll.ArrayDPT($AA40:$AE40),_xll.ArrayCOA($AG40:$AZ40),YR,PRD,_xll.ArrayDIM($BB40:$BE40))</f>
        <v>0</v>
      </c>
      <c r="M40" s="237">
        <f t="shared" si="25"/>
        <v>0</v>
      </c>
      <c r="N40" s="254">
        <f t="array" ref="N40">_xll.BCC(DB,_xll.ArrayDPT($AA40:$AE40),_xll.ArrayCOA($AG40:$AZ40),YR,PRD,RV,_xll.ArrayDIM($BB40:$BE40))</f>
        <v>0</v>
      </c>
      <c r="O40" s="237">
        <f t="shared" si="26"/>
        <v>0</v>
      </c>
      <c r="P40" s="237">
        <f t="shared" si="27"/>
        <v>0</v>
      </c>
      <c r="Q40" s="237">
        <f t="shared" si="28"/>
        <v>0</v>
      </c>
      <c r="R40" s="254">
        <f t="array" ref="R40">_xll.ACC(DB,_xll.ArrayDPT($AA40:$AE40),_xll.ArrayCOA($AG40:$AZ40),YR-1,PRD,_xll.ArrayDIM($BB40:$BE40))</f>
        <v>0</v>
      </c>
      <c r="S40" s="237">
        <f t="shared" si="29"/>
        <v>0</v>
      </c>
      <c r="T40" s="328"/>
      <c r="U40" s="328"/>
      <c r="V40" s="328"/>
      <c r="W40" s="328"/>
      <c r="X40" s="328"/>
      <c r="Y40" s="328"/>
      <c r="Z40" s="328"/>
      <c r="AA40" s="95"/>
      <c r="AB40" s="96"/>
      <c r="AC40" s="96"/>
      <c r="AD40" s="96"/>
      <c r="AE40" s="96"/>
      <c r="AF40" s="97"/>
      <c r="AG40" s="95"/>
      <c r="AH40" s="96"/>
      <c r="AI40" s="95"/>
      <c r="AJ40" s="96"/>
      <c r="AK40" s="95"/>
      <c r="AL40" s="96"/>
      <c r="AM40" s="95"/>
      <c r="AN40" s="98"/>
      <c r="AO40" s="96"/>
      <c r="AP40" s="96"/>
      <c r="AQ40" s="95"/>
      <c r="AR40" s="98"/>
      <c r="AS40" s="96"/>
      <c r="AT40" s="96"/>
      <c r="AU40" s="95"/>
      <c r="AV40" s="98"/>
      <c r="AW40" s="96"/>
      <c r="AX40" s="96"/>
      <c r="AY40" s="95"/>
      <c r="AZ40" s="98"/>
      <c r="BA40" s="99"/>
      <c r="BB40" s="95"/>
      <c r="BC40" s="96"/>
      <c r="BD40" s="96"/>
      <c r="BE40" s="98"/>
      <c r="BF40" s="95"/>
      <c r="BG40" s="96"/>
      <c r="BH40" s="96"/>
      <c r="BI40" s="98"/>
    </row>
    <row r="41" spans="1:61" ht="12" customHeight="1">
      <c r="A41" s="254">
        <f t="array" ref="A41">_xll.AC(DB,_xll.ArrayDPT($AA41:$AE41),_xll.ArrayCOA($AG41:$AZ41),YR-1,PRD,_xll.ArrayDIM($BB41:$BE41))</f>
        <v>0</v>
      </c>
      <c r="B41" s="254">
        <f t="shared" si="20"/>
        <v>0</v>
      </c>
      <c r="C41" s="254">
        <f t="shared" si="21"/>
        <v>0</v>
      </c>
      <c r="D41" s="254">
        <f t="shared" si="22"/>
        <v>0</v>
      </c>
      <c r="E41" s="254">
        <f t="array" ref="E41">_xll.BC(DB,_xll.ArrayDPT($AA41:$AE41),_xll.ArrayCOA($AG41:$AZ41),YR,PRD,RV,_xll.ArrayDIM($BB41:$BE41))</f>
        <v>0</v>
      </c>
      <c r="F41" s="254">
        <f t="shared" si="23"/>
        <v>0</v>
      </c>
      <c r="G41" s="254">
        <f t="array" ref="G41">_xll.AC(DB,_xll.ArrayDPT($AA41:$AE41),_xll.ArrayCOA($AG41:$AZ41),YR,PRD,_xll.ArrayDIM($BB41:$BE41))</f>
        <v>0</v>
      </c>
      <c r="H41" s="254">
        <f t="shared" si="24"/>
        <v>0</v>
      </c>
      <c r="I41" s="254"/>
      <c r="J41" s="328" t="s">
        <v>676</v>
      </c>
      <c r="K41" s="254"/>
      <c r="L41" s="254">
        <f t="array" ref="L41">_xll.ACC(DB,_xll.ArrayDPT($AA41:$AE41),_xll.ArrayCOA($AG41:$AZ41),YR,PRD,_xll.ArrayDIM($BB41:$BE41))</f>
        <v>0</v>
      </c>
      <c r="M41" s="237">
        <f t="shared" si="25"/>
        <v>0</v>
      </c>
      <c r="N41" s="254">
        <f t="array" ref="N41">_xll.BCC(DB,_xll.ArrayDPT($AA41:$AE41),_xll.ArrayCOA($AG41:$AZ41),YR,PRD,RV,_xll.ArrayDIM($BB41:$BE41))</f>
        <v>0</v>
      </c>
      <c r="O41" s="237">
        <f t="shared" si="26"/>
        <v>0</v>
      </c>
      <c r="P41" s="237">
        <f t="shared" si="27"/>
        <v>0</v>
      </c>
      <c r="Q41" s="237">
        <f t="shared" si="28"/>
        <v>0</v>
      </c>
      <c r="R41" s="254">
        <f t="array" ref="R41">_xll.ACC(DB,_xll.ArrayDPT($AA41:$AE41),_xll.ArrayCOA($AG41:$AZ41),YR-1,PRD,_xll.ArrayDIM($BB41:$BE41))</f>
        <v>0</v>
      </c>
      <c r="S41" s="237">
        <f t="shared" si="29"/>
        <v>0</v>
      </c>
      <c r="T41" s="328"/>
      <c r="U41" s="328"/>
      <c r="V41" s="328"/>
      <c r="W41" s="328"/>
      <c r="X41" s="328"/>
      <c r="Y41" s="328"/>
      <c r="Z41" s="328"/>
      <c r="AA41" s="95"/>
      <c r="AB41" s="96"/>
      <c r="AC41" s="96"/>
      <c r="AD41" s="96"/>
      <c r="AE41" s="96"/>
      <c r="AF41" s="97"/>
      <c r="AG41" s="95"/>
      <c r="AH41" s="96"/>
      <c r="AI41" s="95"/>
      <c r="AJ41" s="96"/>
      <c r="AK41" s="95"/>
      <c r="AL41" s="96"/>
      <c r="AM41" s="95"/>
      <c r="AN41" s="98"/>
      <c r="AO41" s="96"/>
      <c r="AP41" s="96"/>
      <c r="AQ41" s="95"/>
      <c r="AR41" s="98"/>
      <c r="AS41" s="96"/>
      <c r="AT41" s="96"/>
      <c r="AU41" s="95"/>
      <c r="AV41" s="98"/>
      <c r="AW41" s="96"/>
      <c r="AX41" s="96"/>
      <c r="AY41" s="95"/>
      <c r="AZ41" s="98"/>
      <c r="BA41" s="99"/>
      <c r="BB41" s="95"/>
      <c r="BC41" s="96"/>
      <c r="BD41" s="96"/>
      <c r="BE41" s="98"/>
      <c r="BF41" s="95"/>
      <c r="BG41" s="96"/>
      <c r="BH41" s="96"/>
      <c r="BI41" s="98"/>
    </row>
    <row r="42" spans="1:61" ht="12" customHeight="1">
      <c r="A42" s="254">
        <f t="array" ref="A42">_xll.AC(DB,_xll.ArrayDPT($AA42:$AE42),_xll.ArrayCOA($AG42:$AZ42),YR-1,PRD,_xll.ArrayDIM($BB42:$BE42))</f>
        <v>0</v>
      </c>
      <c r="B42" s="254">
        <f t="shared" si="20"/>
        <v>0</v>
      </c>
      <c r="C42" s="254">
        <f t="shared" si="21"/>
        <v>0</v>
      </c>
      <c r="D42" s="254">
        <f t="shared" si="22"/>
        <v>0</v>
      </c>
      <c r="E42" s="254">
        <f t="array" ref="E42">_xll.BC(DB,_xll.ArrayDPT($AA42:$AE42),_xll.ArrayCOA($AG42:$AZ42),YR,PRD,RV,_xll.ArrayDIM($BB42:$BE42))</f>
        <v>0</v>
      </c>
      <c r="F42" s="254">
        <f t="shared" si="23"/>
        <v>0</v>
      </c>
      <c r="G42" s="254">
        <f t="array" ref="G42">_xll.AC(DB,_xll.ArrayDPT($AA42:$AE42),_xll.ArrayCOA($AG42:$AZ42),YR,PRD,_xll.ArrayDIM($BB42:$BE42))</f>
        <v>0</v>
      </c>
      <c r="H42" s="254">
        <f t="shared" si="24"/>
        <v>0</v>
      </c>
      <c r="I42" s="254"/>
      <c r="J42" s="328" t="s">
        <v>677</v>
      </c>
      <c r="K42" s="254"/>
      <c r="L42" s="254">
        <f t="array" ref="L42">_xll.ACC(DB,_xll.ArrayDPT($AA42:$AE42),_xll.ArrayCOA($AG42:$AZ42),YR,PRD,_xll.ArrayDIM($BB42:$BE42))</f>
        <v>0</v>
      </c>
      <c r="M42" s="237">
        <f t="shared" si="25"/>
        <v>0</v>
      </c>
      <c r="N42" s="254">
        <f t="array" ref="N42">_xll.BCC(DB,_xll.ArrayDPT($AA42:$AE42),_xll.ArrayCOA($AG42:$AZ42),YR,PRD,RV,_xll.ArrayDIM($BB42:$BE42))</f>
        <v>0</v>
      </c>
      <c r="O42" s="237">
        <f t="shared" si="26"/>
        <v>0</v>
      </c>
      <c r="P42" s="237">
        <f t="shared" si="27"/>
        <v>0</v>
      </c>
      <c r="Q42" s="237">
        <f t="shared" si="28"/>
        <v>0</v>
      </c>
      <c r="R42" s="254">
        <f t="array" ref="R42">_xll.ACC(DB,_xll.ArrayDPT($AA42:$AE42),_xll.ArrayCOA($AG42:$AZ42),YR-1,PRD,_xll.ArrayDIM($BB42:$BE42))</f>
        <v>0</v>
      </c>
      <c r="S42" s="237">
        <f t="shared" si="29"/>
        <v>0</v>
      </c>
      <c r="T42" s="328"/>
      <c r="U42" s="328"/>
      <c r="V42" s="328"/>
      <c r="W42" s="328"/>
      <c r="X42" s="328"/>
      <c r="Y42" s="328"/>
      <c r="Z42" s="328"/>
      <c r="AA42" s="95"/>
      <c r="AB42" s="96"/>
      <c r="AC42" s="96"/>
      <c r="AD42" s="96"/>
      <c r="AE42" s="96"/>
      <c r="AF42" s="97"/>
      <c r="AG42" s="95"/>
      <c r="AH42" s="96"/>
      <c r="AI42" s="95"/>
      <c r="AJ42" s="96"/>
      <c r="AK42" s="95"/>
      <c r="AL42" s="96"/>
      <c r="AM42" s="95"/>
      <c r="AN42" s="98"/>
      <c r="AO42" s="96"/>
      <c r="AP42" s="96"/>
      <c r="AQ42" s="95"/>
      <c r="AR42" s="98"/>
      <c r="AS42" s="96"/>
      <c r="AT42" s="96"/>
      <c r="AU42" s="95"/>
      <c r="AV42" s="98"/>
      <c r="AW42" s="96"/>
      <c r="AX42" s="96"/>
      <c r="AY42" s="95"/>
      <c r="AZ42" s="98"/>
      <c r="BA42" s="99"/>
      <c r="BB42" s="95"/>
      <c r="BC42" s="96"/>
      <c r="BD42" s="96"/>
      <c r="BE42" s="98"/>
      <c r="BF42" s="95"/>
      <c r="BG42" s="96"/>
      <c r="BH42" s="96"/>
      <c r="BI42" s="98"/>
    </row>
    <row r="43" spans="1:61" ht="12" customHeight="1">
      <c r="A43" s="254">
        <f t="array" ref="A43">_xll.AC(DB,_xll.ArrayDPT($AA43:$AE43),_xll.ArrayCOA($AG43:$AZ43),YR-1,PRD,_xll.ArrayDIM($BB43:$BE43))</f>
        <v>72660.31</v>
      </c>
      <c r="B43" s="254">
        <f t="shared" si="20"/>
        <v>1.0022776254940413</v>
      </c>
      <c r="C43" s="254">
        <f t="shared" si="21"/>
        <v>-45245.25</v>
      </c>
      <c r="D43" s="254">
        <f t="shared" si="22"/>
        <v>0.57114636755063308</v>
      </c>
      <c r="E43" s="254">
        <f t="array" ref="E43">_xll.BC(DB,_xll.ArrayDPT($AA43:$AE43),_xll.ArrayCOA($AG43:$AZ43),YR,PRD,RV,_xll.ArrayDIM($BB43:$BE43))</f>
        <v>0</v>
      </c>
      <c r="F43" s="254">
        <f t="shared" si="23"/>
        <v>0</v>
      </c>
      <c r="G43" s="254">
        <f t="array" ref="G43">_xll.AC(DB,_xll.ArrayDPT($AA43:$AE43),_xll.ArrayCOA($AG43:$AZ43),YR,PRD,_xll.ArrayDIM($BB43:$BE43))</f>
        <v>45245.25</v>
      </c>
      <c r="H43" s="254">
        <f t="shared" si="24"/>
        <v>0.57114636755063308</v>
      </c>
      <c r="I43" s="254"/>
      <c r="J43" s="328" t="s">
        <v>678</v>
      </c>
      <c r="K43" s="254"/>
      <c r="L43" s="254">
        <f t="array" ref="L43">_xll.ACC(DB,_xll.ArrayDPT($AA43:$AE43),_xll.ArrayCOA($AG43:$AZ43),YR,PRD,_xll.ArrayDIM($BB43:$BE43))</f>
        <v>45245.25</v>
      </c>
      <c r="M43" s="237">
        <f t="shared" si="25"/>
        <v>0.57114636755063308</v>
      </c>
      <c r="N43" s="254">
        <f t="array" ref="N43">_xll.BCC(DB,_xll.ArrayDPT($AA43:$AE43),_xll.ArrayCOA($AG43:$AZ43),YR,PRD,RV,_xll.ArrayDIM($BB43:$BE43))</f>
        <v>0</v>
      </c>
      <c r="O43" s="237">
        <f t="shared" si="26"/>
        <v>0</v>
      </c>
      <c r="P43" s="237">
        <f t="shared" si="27"/>
        <v>-45245.25</v>
      </c>
      <c r="Q43" s="237">
        <f t="shared" si="28"/>
        <v>0.57114636755063308</v>
      </c>
      <c r="R43" s="254">
        <f t="array" ref="R43">_xll.ACC(DB,_xll.ArrayDPT($AA43:$AE43),_xll.ArrayCOA($AG43:$AZ43),YR-1,PRD,_xll.ArrayDIM($BB43:$BE43))</f>
        <v>72660.31</v>
      </c>
      <c r="S43" s="237">
        <f t="shared" si="29"/>
        <v>1.0022776254940413</v>
      </c>
      <c r="T43" s="328"/>
      <c r="U43" s="328"/>
      <c r="V43" s="328"/>
      <c r="W43" s="328"/>
      <c r="X43" s="328"/>
      <c r="Y43" s="328"/>
      <c r="Z43" s="328"/>
      <c r="AA43" s="95" t="s">
        <v>637</v>
      </c>
      <c r="AB43" s="96"/>
      <c r="AC43" s="96"/>
      <c r="AD43" s="96"/>
      <c r="AE43" s="96"/>
      <c r="AF43" s="97"/>
      <c r="AG43" s="95" t="s">
        <v>679</v>
      </c>
      <c r="AH43" s="96" t="s">
        <v>679</v>
      </c>
      <c r="AI43" s="95"/>
      <c r="AJ43" s="96"/>
      <c r="AK43" s="95"/>
      <c r="AL43" s="96"/>
      <c r="AM43" s="95"/>
      <c r="AN43" s="98"/>
      <c r="AO43" s="96"/>
      <c r="AP43" s="96"/>
      <c r="AQ43" s="95"/>
      <c r="AR43" s="98"/>
      <c r="AS43" s="96"/>
      <c r="AT43" s="96"/>
      <c r="AU43" s="95"/>
      <c r="AV43" s="98"/>
      <c r="AW43" s="96"/>
      <c r="AX43" s="96"/>
      <c r="AY43" s="95"/>
      <c r="AZ43" s="98"/>
      <c r="BA43" s="99"/>
      <c r="BB43" s="95"/>
      <c r="BC43" s="96"/>
      <c r="BD43" s="96"/>
      <c r="BE43" s="98"/>
      <c r="BF43" s="95"/>
      <c r="BG43" s="96"/>
      <c r="BH43" s="96"/>
      <c r="BI43" s="98"/>
    </row>
    <row r="44" spans="1:61" ht="12" customHeight="1">
      <c r="A44" s="254">
        <f t="array" ref="A44">_xll.AC(DB,_xll.ArrayDPT($AA44:$AE44),_xll.ArrayCOA($AG44:$AZ44),YR-1,PRD,_xll.ArrayDIM($BB44:$BE44))</f>
        <v>0</v>
      </c>
      <c r="B44" s="254">
        <f t="shared" si="20"/>
        <v>0</v>
      </c>
      <c r="C44" s="254">
        <f t="shared" si="21"/>
        <v>0</v>
      </c>
      <c r="D44" s="254">
        <f t="shared" si="22"/>
        <v>0</v>
      </c>
      <c r="E44" s="254">
        <f t="array" ref="E44">_xll.BC(DB,_xll.ArrayDPT($AA44:$AE44),_xll.ArrayCOA($AG44:$AZ44),YR,PRD,RV,_xll.ArrayDIM($BB44:$BE44))</f>
        <v>0</v>
      </c>
      <c r="F44" s="254">
        <f t="shared" si="23"/>
        <v>0</v>
      </c>
      <c r="G44" s="254">
        <f t="array" ref="G44">_xll.AC(DB,_xll.ArrayDPT($AA44:$AE44),_xll.ArrayCOA($AG44:$AZ44),YR,PRD,_xll.ArrayDIM($BB44:$BE44))</f>
        <v>0</v>
      </c>
      <c r="H44" s="254">
        <f t="shared" si="24"/>
        <v>0</v>
      </c>
      <c r="I44" s="254"/>
      <c r="J44" s="328" t="s">
        <v>680</v>
      </c>
      <c r="K44" s="254"/>
      <c r="L44" s="254">
        <f t="array" ref="L44">_xll.ACC(DB,_xll.ArrayDPT($AA44:$AE44),_xll.ArrayCOA($AG44:$AZ44),YR,PRD,_xll.ArrayDIM($BB44:$BE44))</f>
        <v>0</v>
      </c>
      <c r="M44" s="237">
        <f t="shared" si="25"/>
        <v>0</v>
      </c>
      <c r="N44" s="254">
        <f t="array" ref="N44">_xll.BCC(DB,_xll.ArrayDPT($AA44:$AE44),_xll.ArrayCOA($AG44:$AZ44),YR,PRD,RV,_xll.ArrayDIM($BB44:$BE44))</f>
        <v>0</v>
      </c>
      <c r="O44" s="237">
        <f t="shared" si="26"/>
        <v>0</v>
      </c>
      <c r="P44" s="237">
        <f t="shared" si="27"/>
        <v>0</v>
      </c>
      <c r="Q44" s="237">
        <f t="shared" si="28"/>
        <v>0</v>
      </c>
      <c r="R44" s="254">
        <f t="array" ref="R44">_xll.ACC(DB,_xll.ArrayDPT($AA44:$AE44),_xll.ArrayCOA($AG44:$AZ44),YR-1,PRD,_xll.ArrayDIM($BB44:$BE44))</f>
        <v>0</v>
      </c>
      <c r="S44" s="237">
        <f t="shared" si="29"/>
        <v>0</v>
      </c>
      <c r="T44" s="328"/>
      <c r="U44" s="328"/>
      <c r="V44" s="328"/>
      <c r="W44" s="328"/>
      <c r="X44" s="328"/>
      <c r="Y44" s="328"/>
      <c r="Z44" s="328"/>
      <c r="AA44" s="95" t="s">
        <v>637</v>
      </c>
      <c r="AB44" s="96"/>
      <c r="AC44" s="96"/>
      <c r="AD44" s="96"/>
      <c r="AE44" s="96"/>
      <c r="AF44" s="97"/>
      <c r="AG44" s="95" t="s">
        <v>681</v>
      </c>
      <c r="AH44" s="96" t="s">
        <v>681</v>
      </c>
      <c r="AI44" s="95"/>
      <c r="AJ44" s="96"/>
      <c r="AK44" s="95"/>
      <c r="AL44" s="96"/>
      <c r="AM44" s="95"/>
      <c r="AN44" s="98"/>
      <c r="AO44" s="96"/>
      <c r="AP44" s="96"/>
      <c r="AQ44" s="95"/>
      <c r="AR44" s="98"/>
      <c r="AS44" s="96"/>
      <c r="AT44" s="96"/>
      <c r="AU44" s="95"/>
      <c r="AV44" s="98"/>
      <c r="AW44" s="96"/>
      <c r="AX44" s="96"/>
      <c r="AY44" s="95"/>
      <c r="AZ44" s="98"/>
      <c r="BA44" s="99"/>
      <c r="BB44" s="95"/>
      <c r="BC44" s="96"/>
      <c r="BD44" s="96"/>
      <c r="BE44" s="98"/>
      <c r="BF44" s="95"/>
      <c r="BG44" s="96"/>
      <c r="BH44" s="96"/>
      <c r="BI44" s="98"/>
    </row>
    <row r="45" spans="1:61" ht="12" customHeight="1">
      <c r="A45" s="254">
        <f t="array" ref="A45">_xll.AC(DB,_xll.ArrayDPT($AA45:$AE45),_xll.ArrayCOA($AG45:$AZ45),YR-1,PRD,_xll.ArrayDIM($BB45:$BE45))</f>
        <v>8907.48</v>
      </c>
      <c r="B45" s="254">
        <f t="shared" si="20"/>
        <v>0.12286993963465973</v>
      </c>
      <c r="C45" s="254">
        <f t="shared" si="21"/>
        <v>-6420.7</v>
      </c>
      <c r="D45" s="254">
        <f t="shared" si="22"/>
        <v>8.1050706585384102E-2</v>
      </c>
      <c r="E45" s="254">
        <f t="array" ref="E45">_xll.BC(DB,_xll.ArrayDPT($AA45:$AE45),_xll.ArrayCOA($AG45:$AZ45),YR,PRD,RV,_xll.ArrayDIM($BB45:$BE45))</f>
        <v>0</v>
      </c>
      <c r="F45" s="254">
        <f t="shared" si="23"/>
        <v>0</v>
      </c>
      <c r="G45" s="254">
        <f t="array" ref="G45">_xll.AC(DB,_xll.ArrayDPT($AA45:$AE45),_xll.ArrayCOA($AG45:$AZ45),YR,PRD,_xll.ArrayDIM($BB45:$BE45))</f>
        <v>6420.7</v>
      </c>
      <c r="H45" s="254">
        <f t="shared" si="24"/>
        <v>8.1050706585384102E-2</v>
      </c>
      <c r="I45" s="254"/>
      <c r="J45" s="328" t="s">
        <v>682</v>
      </c>
      <c r="K45" s="254"/>
      <c r="L45" s="254">
        <f t="array" ref="L45">_xll.ACC(DB,_xll.ArrayDPT($AA45:$AE45),_xll.ArrayCOA($AG45:$AZ45),YR,PRD,_xll.ArrayDIM($BB45:$BE45))</f>
        <v>6420.7</v>
      </c>
      <c r="M45" s="237">
        <f t="shared" si="25"/>
        <v>8.1050706585384102E-2</v>
      </c>
      <c r="N45" s="254">
        <f t="array" ref="N45">_xll.BCC(DB,_xll.ArrayDPT($AA45:$AE45),_xll.ArrayCOA($AG45:$AZ45),YR,PRD,RV,_xll.ArrayDIM($BB45:$BE45))</f>
        <v>0</v>
      </c>
      <c r="O45" s="237">
        <f t="shared" si="26"/>
        <v>0</v>
      </c>
      <c r="P45" s="237">
        <f t="shared" si="27"/>
        <v>-6420.7</v>
      </c>
      <c r="Q45" s="237">
        <f t="shared" si="28"/>
        <v>8.1050706585384102E-2</v>
      </c>
      <c r="R45" s="254">
        <f t="array" ref="R45">_xll.ACC(DB,_xll.ArrayDPT($AA45:$AE45),_xll.ArrayCOA($AG45:$AZ45),YR-1,PRD,_xll.ArrayDIM($BB45:$BE45))</f>
        <v>8907.48</v>
      </c>
      <c r="S45" s="237">
        <f t="shared" si="29"/>
        <v>0.12286993963465973</v>
      </c>
      <c r="T45" s="328"/>
      <c r="U45" s="328"/>
      <c r="V45" s="328"/>
      <c r="W45" s="328"/>
      <c r="X45" s="328"/>
      <c r="Y45" s="328"/>
      <c r="Z45" s="328"/>
      <c r="AA45" s="95" t="s">
        <v>637</v>
      </c>
      <c r="AB45" s="96"/>
      <c r="AC45" s="96"/>
      <c r="AD45" s="96"/>
      <c r="AE45" s="96"/>
      <c r="AF45" s="97"/>
      <c r="AG45" s="95" t="s">
        <v>683</v>
      </c>
      <c r="AH45" s="96" t="s">
        <v>683</v>
      </c>
      <c r="AI45" s="95"/>
      <c r="AJ45" s="96"/>
      <c r="AK45" s="95"/>
      <c r="AL45" s="96"/>
      <c r="AM45" s="95"/>
      <c r="AN45" s="98"/>
      <c r="AO45" s="96"/>
      <c r="AP45" s="96"/>
      <c r="AQ45" s="95"/>
      <c r="AR45" s="98"/>
      <c r="AS45" s="96"/>
      <c r="AT45" s="96"/>
      <c r="AU45" s="95"/>
      <c r="AV45" s="98"/>
      <c r="AW45" s="96"/>
      <c r="AX45" s="96"/>
      <c r="AY45" s="95"/>
      <c r="AZ45" s="98"/>
      <c r="BA45" s="99"/>
      <c r="BB45" s="95"/>
      <c r="BC45" s="96"/>
      <c r="BD45" s="96"/>
      <c r="BE45" s="98"/>
      <c r="BF45" s="95"/>
      <c r="BG45" s="96"/>
      <c r="BH45" s="96"/>
      <c r="BI45" s="98"/>
    </row>
    <row r="46" spans="1:61" ht="12" customHeight="1">
      <c r="A46" s="254">
        <f t="array" ref="A46">_xll.AC(DB,_xll.ArrayDPT($AA46:$AE46),_xll.ArrayCOA($AG46:$AZ46),YR-1,PRD,_xll.ArrayDIM($BB46:$BE46))</f>
        <v>0</v>
      </c>
      <c r="B46" s="254">
        <f t="shared" si="20"/>
        <v>0</v>
      </c>
      <c r="C46" s="254">
        <f t="shared" si="21"/>
        <v>-1000</v>
      </c>
      <c r="D46" s="254">
        <f t="shared" si="22"/>
        <v>1.2623344274827371E-2</v>
      </c>
      <c r="E46" s="254">
        <f t="array" ref="E46">_xll.BC(DB,_xll.ArrayDPT($AA46:$AE46),_xll.ArrayCOA($AG46:$AZ46),YR,PRD,RV,_xll.ArrayDIM($BB46:$BE46))</f>
        <v>0</v>
      </c>
      <c r="F46" s="254">
        <f t="shared" si="23"/>
        <v>0</v>
      </c>
      <c r="G46" s="254">
        <f t="array" ref="G46">_xll.AC(DB,_xll.ArrayDPT($AA46:$AE46),_xll.ArrayCOA($AG46:$AZ46),YR,PRD,_xll.ArrayDIM($BB46:$BE46))</f>
        <v>1000</v>
      </c>
      <c r="H46" s="254">
        <f t="shared" si="24"/>
        <v>1.2623344274827371E-2</v>
      </c>
      <c r="I46" s="254"/>
      <c r="J46" s="328" t="s">
        <v>684</v>
      </c>
      <c r="K46" s="254"/>
      <c r="L46" s="254">
        <f t="array" ref="L46">_xll.ACC(DB,_xll.ArrayDPT($AA46:$AE46),_xll.ArrayCOA($AG46:$AZ46),YR,PRD,_xll.ArrayDIM($BB46:$BE46))</f>
        <v>1000</v>
      </c>
      <c r="M46" s="237">
        <f t="shared" si="25"/>
        <v>1.2623344274827371E-2</v>
      </c>
      <c r="N46" s="254">
        <f t="array" ref="N46">_xll.BCC(DB,_xll.ArrayDPT($AA46:$AE46),_xll.ArrayCOA($AG46:$AZ46),YR,PRD,RV,_xll.ArrayDIM($BB46:$BE46))</f>
        <v>0</v>
      </c>
      <c r="O46" s="237">
        <f t="shared" si="26"/>
        <v>0</v>
      </c>
      <c r="P46" s="237">
        <f t="shared" si="27"/>
        <v>-1000</v>
      </c>
      <c r="Q46" s="237">
        <f t="shared" si="28"/>
        <v>1.2623344274827371E-2</v>
      </c>
      <c r="R46" s="254">
        <f t="array" ref="R46">_xll.ACC(DB,_xll.ArrayDPT($AA46:$AE46),_xll.ArrayCOA($AG46:$AZ46),YR-1,PRD,_xll.ArrayDIM($BB46:$BE46))</f>
        <v>0</v>
      </c>
      <c r="S46" s="237">
        <f t="shared" si="29"/>
        <v>0</v>
      </c>
      <c r="T46" s="328"/>
      <c r="U46" s="328"/>
      <c r="V46" s="328"/>
      <c r="W46" s="328"/>
      <c r="X46" s="328"/>
      <c r="Y46" s="328"/>
      <c r="Z46" s="328"/>
      <c r="AA46" s="95" t="s">
        <v>637</v>
      </c>
      <c r="AB46" s="96"/>
      <c r="AC46" s="96"/>
      <c r="AD46" s="96"/>
      <c r="AE46" s="96"/>
      <c r="AF46" s="97"/>
      <c r="AG46" s="95" t="s">
        <v>685</v>
      </c>
      <c r="AH46" s="96" t="s">
        <v>685</v>
      </c>
      <c r="AI46" s="95"/>
      <c r="AJ46" s="96"/>
      <c r="AK46" s="95"/>
      <c r="AL46" s="96"/>
      <c r="AM46" s="95"/>
      <c r="AN46" s="98"/>
      <c r="AO46" s="96"/>
      <c r="AP46" s="96"/>
      <c r="AQ46" s="95"/>
      <c r="AR46" s="98"/>
      <c r="AS46" s="96"/>
      <c r="AT46" s="96"/>
      <c r="AU46" s="95"/>
      <c r="AV46" s="98"/>
      <c r="AW46" s="96"/>
      <c r="AX46" s="96"/>
      <c r="AY46" s="95"/>
      <c r="AZ46" s="98"/>
      <c r="BA46" s="99"/>
      <c r="BB46" s="95"/>
      <c r="BC46" s="96"/>
      <c r="BD46" s="96"/>
      <c r="BE46" s="98"/>
      <c r="BF46" s="95"/>
      <c r="BG46" s="96"/>
      <c r="BH46" s="96"/>
      <c r="BI46" s="98"/>
    </row>
    <row r="47" spans="1:61" ht="12" customHeight="1">
      <c r="A47" s="254">
        <f t="array" ref="A47">_xll.AC(DB,_xll.ArrayDPT($AA47:$AE47),_xll.ArrayCOA($AG47:$AZ47),YR-1,PRD,_xll.ArrayDIM($BB47:$BE47))</f>
        <v>0</v>
      </c>
      <c r="B47" s="254">
        <f t="shared" si="20"/>
        <v>0</v>
      </c>
      <c r="C47" s="254">
        <f t="shared" si="21"/>
        <v>0</v>
      </c>
      <c r="D47" s="254">
        <f t="shared" si="22"/>
        <v>0</v>
      </c>
      <c r="E47" s="254">
        <f t="array" ref="E47">_xll.BC(DB,_xll.ArrayDPT($AA47:$AE47),_xll.ArrayCOA($AG47:$AZ47),YR,PRD,RV,_xll.ArrayDIM($BB47:$BE47))</f>
        <v>0</v>
      </c>
      <c r="F47" s="254">
        <f t="shared" si="23"/>
        <v>0</v>
      </c>
      <c r="G47" s="254">
        <f t="array" ref="G47">_xll.AC(DB,_xll.ArrayDPT($AA47:$AE47),_xll.ArrayCOA($AG47:$AZ47),YR,PRD,_xll.ArrayDIM($BB47:$BE47))</f>
        <v>0</v>
      </c>
      <c r="H47" s="254">
        <f t="shared" si="24"/>
        <v>0</v>
      </c>
      <c r="I47" s="254"/>
      <c r="J47" s="328" t="s">
        <v>686</v>
      </c>
      <c r="K47" s="254"/>
      <c r="L47" s="254">
        <f t="array" ref="L47">_xll.ACC(DB,_xll.ArrayDPT($AA47:$AE47),_xll.ArrayCOA($AG47:$AZ47),YR,PRD,_xll.ArrayDIM($BB47:$BE47))</f>
        <v>0</v>
      </c>
      <c r="M47" s="237">
        <f t="shared" si="25"/>
        <v>0</v>
      </c>
      <c r="N47" s="254">
        <f t="array" ref="N47">_xll.BCC(DB,_xll.ArrayDPT($AA47:$AE47),_xll.ArrayCOA($AG47:$AZ47),YR,PRD,RV,_xll.ArrayDIM($BB47:$BE47))</f>
        <v>0</v>
      </c>
      <c r="O47" s="237">
        <f t="shared" si="26"/>
        <v>0</v>
      </c>
      <c r="P47" s="237">
        <f t="shared" si="27"/>
        <v>0</v>
      </c>
      <c r="Q47" s="237">
        <f t="shared" si="28"/>
        <v>0</v>
      </c>
      <c r="R47" s="254">
        <f t="array" ref="R47">_xll.ACC(DB,_xll.ArrayDPT($AA47:$AE47),_xll.ArrayCOA($AG47:$AZ47),YR-1,PRD,_xll.ArrayDIM($BB47:$BE47))</f>
        <v>0</v>
      </c>
      <c r="S47" s="237">
        <f t="shared" si="29"/>
        <v>0</v>
      </c>
      <c r="T47" s="328"/>
      <c r="U47" s="328"/>
      <c r="V47" s="328"/>
      <c r="W47" s="328"/>
      <c r="X47" s="328"/>
      <c r="Y47" s="328"/>
      <c r="Z47" s="328"/>
      <c r="AA47" s="95"/>
      <c r="AB47" s="96"/>
      <c r="AC47" s="96"/>
      <c r="AD47" s="96"/>
      <c r="AE47" s="96"/>
      <c r="AF47" s="97"/>
      <c r="AG47" s="95"/>
      <c r="AH47" s="96"/>
      <c r="AI47" s="95"/>
      <c r="AJ47" s="96"/>
      <c r="AK47" s="95"/>
      <c r="AL47" s="96"/>
      <c r="AM47" s="95"/>
      <c r="AN47" s="98"/>
      <c r="AO47" s="96"/>
      <c r="AP47" s="96"/>
      <c r="AQ47" s="95"/>
      <c r="AR47" s="98"/>
      <c r="AS47" s="96"/>
      <c r="AT47" s="96"/>
      <c r="AU47" s="95"/>
      <c r="AV47" s="98"/>
      <c r="AW47" s="96"/>
      <c r="AX47" s="96"/>
      <c r="AY47" s="95"/>
      <c r="AZ47" s="98"/>
      <c r="BA47" s="99"/>
      <c r="BB47" s="95"/>
      <c r="BC47" s="96"/>
      <c r="BD47" s="96"/>
      <c r="BE47" s="98"/>
      <c r="BF47" s="95"/>
      <c r="BG47" s="96"/>
      <c r="BH47" s="96"/>
      <c r="BI47" s="98"/>
    </row>
    <row r="48" spans="1:61" ht="12" customHeight="1">
      <c r="A48" s="254">
        <f t="array" ref="A48">_xll.AC(DB,_xll.ArrayDPT($AA48:$AE48),_xll.ArrayCOA($AG48:$AZ48),YR-1,PRD,_xll.ArrayDIM($BB48:$BE48))</f>
        <v>0</v>
      </c>
      <c r="B48" s="254">
        <f t="shared" si="20"/>
        <v>0</v>
      </c>
      <c r="C48" s="254">
        <f t="shared" si="21"/>
        <v>0</v>
      </c>
      <c r="D48" s="254">
        <f t="shared" si="22"/>
        <v>0</v>
      </c>
      <c r="E48" s="254">
        <f t="array" ref="E48">_xll.BC(DB,_xll.ArrayDPT($AA48:$AE48),_xll.ArrayCOA($AG48:$AZ48),YR,PRD,RV,_xll.ArrayDIM($BB48:$BE48))</f>
        <v>0</v>
      </c>
      <c r="F48" s="254">
        <f t="shared" si="23"/>
        <v>0</v>
      </c>
      <c r="G48" s="254">
        <f t="array" ref="G48">_xll.AC(DB,_xll.ArrayDPT($AA48:$AE48),_xll.ArrayCOA($AG48:$AZ48),YR,PRD,_xll.ArrayDIM($BB48:$BE48))</f>
        <v>0</v>
      </c>
      <c r="H48" s="254">
        <f t="shared" si="24"/>
        <v>0</v>
      </c>
      <c r="I48" s="254"/>
      <c r="J48" s="328" t="s">
        <v>687</v>
      </c>
      <c r="K48" s="254"/>
      <c r="L48" s="254">
        <f t="array" ref="L48">_xll.ACC(DB,_xll.ArrayDPT($AA48:$AE48),_xll.ArrayCOA($AG48:$AZ48),YR,PRD,_xll.ArrayDIM($BB48:$BE48))</f>
        <v>0</v>
      </c>
      <c r="M48" s="237">
        <f t="shared" si="25"/>
        <v>0</v>
      </c>
      <c r="N48" s="254">
        <f t="array" ref="N48">_xll.BCC(DB,_xll.ArrayDPT($AA48:$AE48),_xll.ArrayCOA($AG48:$AZ48),YR,PRD,RV,_xll.ArrayDIM($BB48:$BE48))</f>
        <v>0</v>
      </c>
      <c r="O48" s="237">
        <f t="shared" si="26"/>
        <v>0</v>
      </c>
      <c r="P48" s="237">
        <f t="shared" si="27"/>
        <v>0</v>
      </c>
      <c r="Q48" s="237">
        <f t="shared" si="28"/>
        <v>0</v>
      </c>
      <c r="R48" s="254">
        <f t="array" ref="R48">_xll.ACC(DB,_xll.ArrayDPT($AA48:$AE48),_xll.ArrayCOA($AG48:$AZ48),YR-1,PRD,_xll.ArrayDIM($BB48:$BE48))</f>
        <v>0</v>
      </c>
      <c r="S48" s="237">
        <f t="shared" si="29"/>
        <v>0</v>
      </c>
      <c r="T48" s="328"/>
      <c r="U48" s="328"/>
      <c r="V48" s="328"/>
      <c r="W48" s="328"/>
      <c r="X48" s="328"/>
      <c r="Y48" s="328"/>
      <c r="Z48" s="328"/>
      <c r="AA48" s="95" t="s">
        <v>637</v>
      </c>
      <c r="AB48" s="96"/>
      <c r="AC48" s="96"/>
      <c r="AD48" s="96"/>
      <c r="AE48" s="96"/>
      <c r="AF48" s="97"/>
      <c r="AG48" s="95" t="s">
        <v>688</v>
      </c>
      <c r="AH48" s="96" t="s">
        <v>688</v>
      </c>
      <c r="AI48" s="95"/>
      <c r="AJ48" s="96"/>
      <c r="AK48" s="95"/>
      <c r="AL48" s="96"/>
      <c r="AM48" s="95"/>
      <c r="AN48" s="98"/>
      <c r="AO48" s="96"/>
      <c r="AP48" s="96"/>
      <c r="AQ48" s="95"/>
      <c r="AR48" s="98"/>
      <c r="AS48" s="96"/>
      <c r="AT48" s="96"/>
      <c r="AU48" s="95"/>
      <c r="AV48" s="98"/>
      <c r="AW48" s="96"/>
      <c r="AX48" s="96"/>
      <c r="AY48" s="95"/>
      <c r="AZ48" s="98"/>
      <c r="BA48" s="99"/>
      <c r="BB48" s="95"/>
      <c r="BC48" s="96"/>
      <c r="BD48" s="96"/>
      <c r="BE48" s="98"/>
      <c r="BF48" s="95"/>
      <c r="BG48" s="96"/>
      <c r="BH48" s="96"/>
      <c r="BI48" s="98"/>
    </row>
    <row r="49" spans="1:61" ht="12" customHeight="1">
      <c r="A49" s="254">
        <f t="array" ref="A49">_xll.AC(DB,_xll.ArrayDPT($AA49:$AE49),_xll.ArrayCOA($AG49:$AZ49),YR-1,PRD,_xll.ArrayDIM($BB49:$BE49))</f>
        <v>0</v>
      </c>
      <c r="B49" s="254">
        <f t="shared" si="20"/>
        <v>0</v>
      </c>
      <c r="C49" s="254">
        <f t="shared" si="21"/>
        <v>0</v>
      </c>
      <c r="D49" s="254">
        <f t="shared" si="22"/>
        <v>0</v>
      </c>
      <c r="E49" s="254">
        <f t="array" ref="E49">_xll.BC(DB,_xll.ArrayDPT($AA49:$AE49),_xll.ArrayCOA($AG49:$AZ49),YR,PRD,RV,_xll.ArrayDIM($BB49:$BE49))</f>
        <v>0</v>
      </c>
      <c r="F49" s="254">
        <f t="shared" si="23"/>
        <v>0</v>
      </c>
      <c r="G49" s="254">
        <f t="array" ref="G49">_xll.AC(DB,_xll.ArrayDPT($AA49:$AE49),_xll.ArrayCOA($AG49:$AZ49),YR,PRD,_xll.ArrayDIM($BB49:$BE49))</f>
        <v>0</v>
      </c>
      <c r="H49" s="254">
        <f t="shared" si="24"/>
        <v>0</v>
      </c>
      <c r="I49" s="254"/>
      <c r="J49" s="328" t="s">
        <v>689</v>
      </c>
      <c r="K49" s="254"/>
      <c r="L49" s="254">
        <f t="array" ref="L49">_xll.ACC(DB,_xll.ArrayDPT($AA49:$AE49),_xll.ArrayCOA($AG49:$AZ49),YR,PRD,_xll.ArrayDIM($BB49:$BE49))</f>
        <v>0</v>
      </c>
      <c r="M49" s="237">
        <f t="shared" si="25"/>
        <v>0</v>
      </c>
      <c r="N49" s="254">
        <f t="array" ref="N49">_xll.BCC(DB,_xll.ArrayDPT($AA49:$AE49),_xll.ArrayCOA($AG49:$AZ49),YR,PRD,RV,_xll.ArrayDIM($BB49:$BE49))</f>
        <v>0</v>
      </c>
      <c r="O49" s="237">
        <f t="shared" si="26"/>
        <v>0</v>
      </c>
      <c r="P49" s="237">
        <f t="shared" si="27"/>
        <v>0</v>
      </c>
      <c r="Q49" s="237">
        <f t="shared" si="28"/>
        <v>0</v>
      </c>
      <c r="R49" s="254">
        <f t="array" ref="R49">_xll.ACC(DB,_xll.ArrayDPT($AA49:$AE49),_xll.ArrayCOA($AG49:$AZ49),YR-1,PRD,_xll.ArrayDIM($BB49:$BE49))</f>
        <v>0</v>
      </c>
      <c r="S49" s="237">
        <f t="shared" si="29"/>
        <v>0</v>
      </c>
      <c r="T49" s="328"/>
      <c r="U49" s="328"/>
      <c r="V49" s="328"/>
      <c r="W49" s="328"/>
      <c r="X49" s="328"/>
      <c r="Y49" s="328"/>
      <c r="Z49" s="328"/>
      <c r="AA49" s="95" t="s">
        <v>637</v>
      </c>
      <c r="AB49" s="96"/>
      <c r="AC49" s="96"/>
      <c r="AD49" s="96"/>
      <c r="AE49" s="96"/>
      <c r="AF49" s="97"/>
      <c r="AG49" s="95" t="s">
        <v>690</v>
      </c>
      <c r="AH49" s="96" t="s">
        <v>690</v>
      </c>
      <c r="AI49" s="95"/>
      <c r="AJ49" s="96"/>
      <c r="AK49" s="95"/>
      <c r="AL49" s="96"/>
      <c r="AM49" s="95"/>
      <c r="AN49" s="98"/>
      <c r="AO49" s="96"/>
      <c r="AP49" s="96"/>
      <c r="AQ49" s="95"/>
      <c r="AR49" s="98"/>
      <c r="AS49" s="96"/>
      <c r="AT49" s="96"/>
      <c r="AU49" s="95"/>
      <c r="AV49" s="98"/>
      <c r="AW49" s="96"/>
      <c r="AX49" s="96"/>
      <c r="AY49" s="95"/>
      <c r="AZ49" s="98"/>
      <c r="BA49" s="99"/>
      <c r="BB49" s="95"/>
      <c r="BC49" s="96"/>
      <c r="BD49" s="96"/>
      <c r="BE49" s="98"/>
      <c r="BF49" s="95"/>
      <c r="BG49" s="96"/>
      <c r="BH49" s="96"/>
      <c r="BI49" s="98"/>
    </row>
    <row r="50" spans="1:61" ht="12" customHeight="1">
      <c r="A50" s="254">
        <f t="array" ref="A50">_xll.AC(DB,_xll.ArrayDPT($AA50:$AE50),_xll.ArrayCOA($AG50:$AZ50),YR-1,PRD,_xll.ArrayDIM($BB50:$BE50))</f>
        <v>0</v>
      </c>
      <c r="B50" s="254">
        <f t="shared" si="20"/>
        <v>0</v>
      </c>
      <c r="C50" s="254">
        <f t="shared" si="21"/>
        <v>0</v>
      </c>
      <c r="D50" s="254">
        <f t="shared" si="22"/>
        <v>0</v>
      </c>
      <c r="E50" s="254">
        <f t="array" ref="E50">_xll.BC(DB,_xll.ArrayDPT($AA50:$AE50),_xll.ArrayCOA($AG50:$AZ50),YR,PRD,RV,_xll.ArrayDIM($BB50:$BE50))</f>
        <v>0</v>
      </c>
      <c r="F50" s="254">
        <f t="shared" si="23"/>
        <v>0</v>
      </c>
      <c r="G50" s="254">
        <f t="array" ref="G50">_xll.AC(DB,_xll.ArrayDPT($AA50:$AE50),_xll.ArrayCOA($AG50:$AZ50),YR,PRD,_xll.ArrayDIM($BB50:$BE50))</f>
        <v>0</v>
      </c>
      <c r="H50" s="254">
        <f t="shared" si="24"/>
        <v>0</v>
      </c>
      <c r="I50" s="254"/>
      <c r="J50" s="328" t="s">
        <v>691</v>
      </c>
      <c r="K50" s="254"/>
      <c r="L50" s="254">
        <f t="array" ref="L50">_xll.ACC(DB,_xll.ArrayDPT($AA50:$AE50),_xll.ArrayCOA($AG50:$AZ50),YR,PRD,_xll.ArrayDIM($BB50:$BE50))</f>
        <v>0</v>
      </c>
      <c r="M50" s="237">
        <f t="shared" si="25"/>
        <v>0</v>
      </c>
      <c r="N50" s="254">
        <f t="array" ref="N50">_xll.BCC(DB,_xll.ArrayDPT($AA50:$AE50),_xll.ArrayCOA($AG50:$AZ50),YR,PRD,RV,_xll.ArrayDIM($BB50:$BE50))</f>
        <v>0</v>
      </c>
      <c r="O50" s="237">
        <f t="shared" si="26"/>
        <v>0</v>
      </c>
      <c r="P50" s="237">
        <f t="shared" si="27"/>
        <v>0</v>
      </c>
      <c r="Q50" s="237">
        <f t="shared" si="28"/>
        <v>0</v>
      </c>
      <c r="R50" s="254">
        <f t="array" ref="R50">_xll.ACC(DB,_xll.ArrayDPT($AA50:$AE50),_xll.ArrayCOA($AG50:$AZ50),YR-1,PRD,_xll.ArrayDIM($BB50:$BE50))</f>
        <v>0</v>
      </c>
      <c r="S50" s="237">
        <f t="shared" si="29"/>
        <v>0</v>
      </c>
      <c r="T50" s="328"/>
      <c r="U50" s="328"/>
      <c r="V50" s="328"/>
      <c r="W50" s="328"/>
      <c r="X50" s="328"/>
      <c r="Y50" s="328"/>
      <c r="Z50" s="328"/>
      <c r="AA50" s="95" t="s">
        <v>637</v>
      </c>
      <c r="AB50" s="96"/>
      <c r="AC50" s="96"/>
      <c r="AD50" s="96"/>
      <c r="AE50" s="96"/>
      <c r="AF50" s="97"/>
      <c r="AG50" s="95" t="s">
        <v>692</v>
      </c>
      <c r="AH50" s="96" t="s">
        <v>692</v>
      </c>
      <c r="AI50" s="95"/>
      <c r="AJ50" s="96"/>
      <c r="AK50" s="95"/>
      <c r="AL50" s="96"/>
      <c r="AM50" s="95"/>
      <c r="AN50" s="98"/>
      <c r="AO50" s="96"/>
      <c r="AP50" s="96"/>
      <c r="AQ50" s="95"/>
      <c r="AR50" s="98"/>
      <c r="AS50" s="96"/>
      <c r="AT50" s="96"/>
      <c r="AU50" s="95"/>
      <c r="AV50" s="98"/>
      <c r="AW50" s="96"/>
      <c r="AX50" s="96"/>
      <c r="AY50" s="95"/>
      <c r="AZ50" s="98"/>
      <c r="BA50" s="99"/>
      <c r="BB50" s="95"/>
      <c r="BC50" s="96"/>
      <c r="BD50" s="96"/>
      <c r="BE50" s="98"/>
      <c r="BF50" s="95"/>
      <c r="BG50" s="96"/>
      <c r="BH50" s="96"/>
      <c r="BI50" s="98"/>
    </row>
    <row r="51" spans="1:61" ht="12" customHeight="1">
      <c r="A51" s="254">
        <f t="array" ref="A51">_xll.AC(DB,_xll.ArrayDPT($AA51:$AE51),_xll.ArrayCOA($AG51:$AZ51),YR-1,PRD,_xll.ArrayDIM($BB51:$BE51))</f>
        <v>0</v>
      </c>
      <c r="B51" s="254">
        <f t="shared" si="20"/>
        <v>0</v>
      </c>
      <c r="C51" s="254">
        <f t="shared" si="21"/>
        <v>0</v>
      </c>
      <c r="D51" s="254">
        <f t="shared" si="22"/>
        <v>0</v>
      </c>
      <c r="E51" s="254">
        <f t="array" ref="E51">_xll.BC(DB,_xll.ArrayDPT($AA51:$AE51),_xll.ArrayCOA($AG51:$AZ51),YR,PRD,RV,_xll.ArrayDIM($BB51:$BE51))</f>
        <v>0</v>
      </c>
      <c r="F51" s="254">
        <f t="shared" si="23"/>
        <v>0</v>
      </c>
      <c r="G51" s="254">
        <f t="array" ref="G51">_xll.AC(DB,_xll.ArrayDPT($AA51:$AE51),_xll.ArrayCOA($AG51:$AZ51),YR,PRD,_xll.ArrayDIM($BB51:$BE51))</f>
        <v>0</v>
      </c>
      <c r="H51" s="254">
        <f t="shared" si="24"/>
        <v>0</v>
      </c>
      <c r="I51" s="254"/>
      <c r="J51" s="328" t="s">
        <v>693</v>
      </c>
      <c r="K51" s="254"/>
      <c r="L51" s="254">
        <f t="array" ref="L51">_xll.ACC(DB,_xll.ArrayDPT($AA51:$AE51),_xll.ArrayCOA($AG51:$AZ51),YR,PRD,_xll.ArrayDIM($BB51:$BE51))</f>
        <v>0</v>
      </c>
      <c r="M51" s="237">
        <f t="shared" si="25"/>
        <v>0</v>
      </c>
      <c r="N51" s="254">
        <f t="array" ref="N51">_xll.BCC(DB,_xll.ArrayDPT($AA51:$AE51),_xll.ArrayCOA($AG51:$AZ51),YR,PRD,RV,_xll.ArrayDIM($BB51:$BE51))</f>
        <v>0</v>
      </c>
      <c r="O51" s="237">
        <f t="shared" si="26"/>
        <v>0</v>
      </c>
      <c r="P51" s="237">
        <f t="shared" si="27"/>
        <v>0</v>
      </c>
      <c r="Q51" s="237">
        <f t="shared" si="28"/>
        <v>0</v>
      </c>
      <c r="R51" s="254">
        <f t="array" ref="R51">_xll.ACC(DB,_xll.ArrayDPT($AA51:$AE51),_xll.ArrayCOA($AG51:$AZ51),YR-1,PRD,_xll.ArrayDIM($BB51:$BE51))</f>
        <v>0</v>
      </c>
      <c r="S51" s="237">
        <f t="shared" si="29"/>
        <v>0</v>
      </c>
      <c r="T51" s="328"/>
      <c r="U51" s="328"/>
      <c r="V51" s="328"/>
      <c r="W51" s="328"/>
      <c r="X51" s="328"/>
      <c r="Y51" s="328"/>
      <c r="Z51" s="328"/>
      <c r="AA51" s="95" t="s">
        <v>637</v>
      </c>
      <c r="AB51" s="96"/>
      <c r="AC51" s="96"/>
      <c r="AD51" s="96"/>
      <c r="AE51" s="96"/>
      <c r="AF51" s="97"/>
      <c r="AG51" s="95" t="s">
        <v>694</v>
      </c>
      <c r="AH51" s="96" t="s">
        <v>694</v>
      </c>
      <c r="AI51" s="95"/>
      <c r="AJ51" s="96"/>
      <c r="AK51" s="95"/>
      <c r="AL51" s="96"/>
      <c r="AM51" s="95"/>
      <c r="AN51" s="98"/>
      <c r="AO51" s="96"/>
      <c r="AP51" s="96"/>
      <c r="AQ51" s="95"/>
      <c r="AR51" s="98"/>
      <c r="AS51" s="96"/>
      <c r="AT51" s="96"/>
      <c r="AU51" s="95"/>
      <c r="AV51" s="98"/>
      <c r="AW51" s="96"/>
      <c r="AX51" s="96"/>
      <c r="AY51" s="95"/>
      <c r="AZ51" s="98"/>
      <c r="BA51" s="99"/>
      <c r="BB51" s="95"/>
      <c r="BC51" s="96"/>
      <c r="BD51" s="96"/>
      <c r="BE51" s="98"/>
      <c r="BF51" s="95"/>
      <c r="BG51" s="96"/>
      <c r="BH51" s="96"/>
      <c r="BI51" s="98"/>
    </row>
    <row r="52" spans="1:61" ht="12" customHeight="1">
      <c r="A52" s="254">
        <f t="array" ref="A52">_xll.AC(DB,_xll.ArrayDPT($AA52:$AE52),_xll.ArrayCOA($AG52:$AZ52),YR-1,PRD,_xll.ArrayDIM($BB52:$BE52))</f>
        <v>0</v>
      </c>
      <c r="B52" s="254">
        <f t="shared" si="20"/>
        <v>0</v>
      </c>
      <c r="C52" s="254">
        <f t="shared" si="21"/>
        <v>0</v>
      </c>
      <c r="D52" s="254">
        <f t="shared" si="22"/>
        <v>0</v>
      </c>
      <c r="E52" s="254">
        <f t="array" ref="E52">_xll.BC(DB,_xll.ArrayDPT($AA52:$AE52),_xll.ArrayCOA($AG52:$AZ52),YR,PRD,RV,_xll.ArrayDIM($BB52:$BE52))</f>
        <v>0</v>
      </c>
      <c r="F52" s="254">
        <f t="shared" si="23"/>
        <v>0</v>
      </c>
      <c r="G52" s="254">
        <f t="array" ref="G52">_xll.AC(DB,_xll.ArrayDPT($AA52:$AE52),_xll.ArrayCOA($AG52:$AZ52),YR,PRD,_xll.ArrayDIM($BB52:$BE52))</f>
        <v>0</v>
      </c>
      <c r="H52" s="254">
        <f t="shared" si="24"/>
        <v>0</v>
      </c>
      <c r="I52" s="254"/>
      <c r="J52" s="328" t="s">
        <v>695</v>
      </c>
      <c r="K52" s="254"/>
      <c r="L52" s="254">
        <f t="array" ref="L52">_xll.ACC(DB,_xll.ArrayDPT($AA52:$AE52),_xll.ArrayCOA($AG52:$AZ52),YR,PRD,_xll.ArrayDIM($BB52:$BE52))</f>
        <v>0</v>
      </c>
      <c r="M52" s="237">
        <f t="shared" si="25"/>
        <v>0</v>
      </c>
      <c r="N52" s="254">
        <f t="array" ref="N52">_xll.BCC(DB,_xll.ArrayDPT($AA52:$AE52),_xll.ArrayCOA($AG52:$AZ52),YR,PRD,RV,_xll.ArrayDIM($BB52:$BE52))</f>
        <v>0</v>
      </c>
      <c r="O52" s="237">
        <f t="shared" si="26"/>
        <v>0</v>
      </c>
      <c r="P52" s="237">
        <f t="shared" si="27"/>
        <v>0</v>
      </c>
      <c r="Q52" s="237">
        <f t="shared" si="28"/>
        <v>0</v>
      </c>
      <c r="R52" s="254">
        <f t="array" ref="R52">_xll.ACC(DB,_xll.ArrayDPT($AA52:$AE52),_xll.ArrayCOA($AG52:$AZ52),YR-1,PRD,_xll.ArrayDIM($BB52:$BE52))</f>
        <v>0</v>
      </c>
      <c r="S52" s="237">
        <f t="shared" si="29"/>
        <v>0</v>
      </c>
      <c r="T52" s="328"/>
      <c r="U52" s="328"/>
      <c r="V52" s="328"/>
      <c r="W52" s="328"/>
      <c r="X52" s="328"/>
      <c r="Y52" s="328"/>
      <c r="Z52" s="328"/>
      <c r="AA52" s="95" t="s">
        <v>637</v>
      </c>
      <c r="AB52" s="96"/>
      <c r="AC52" s="96"/>
      <c r="AD52" s="96"/>
      <c r="AE52" s="96"/>
      <c r="AF52" s="97"/>
      <c r="AG52" s="95" t="s">
        <v>696</v>
      </c>
      <c r="AH52" s="96" t="s">
        <v>696</v>
      </c>
      <c r="AI52" s="95"/>
      <c r="AJ52" s="96"/>
      <c r="AK52" s="95"/>
      <c r="AL52" s="96"/>
      <c r="AM52" s="95"/>
      <c r="AN52" s="98"/>
      <c r="AO52" s="96"/>
      <c r="AP52" s="96"/>
      <c r="AQ52" s="95"/>
      <c r="AR52" s="98"/>
      <c r="AS52" s="96"/>
      <c r="AT52" s="96"/>
      <c r="AU52" s="95"/>
      <c r="AV52" s="98"/>
      <c r="AW52" s="96"/>
      <c r="AX52" s="96"/>
      <c r="AY52" s="95"/>
      <c r="AZ52" s="98"/>
      <c r="BA52" s="99"/>
      <c r="BB52" s="95"/>
      <c r="BC52" s="96"/>
      <c r="BD52" s="96"/>
      <c r="BE52" s="98"/>
      <c r="BF52" s="95"/>
      <c r="BG52" s="96"/>
      <c r="BH52" s="96"/>
      <c r="BI52" s="98"/>
    </row>
    <row r="53" spans="1:61" ht="12" customHeight="1">
      <c r="A53" s="254">
        <f t="array" ref="A53">_xll.AC(DB,_xll.ArrayDPT($AA53:$AE53),_xll.ArrayCOA($AG53:$AZ53),YR-1,PRD,_xll.ArrayDIM($BB53:$BE53))</f>
        <v>0</v>
      </c>
      <c r="B53" s="254">
        <f t="shared" si="20"/>
        <v>0</v>
      </c>
      <c r="C53" s="254">
        <f t="shared" si="21"/>
        <v>0</v>
      </c>
      <c r="D53" s="254">
        <f t="shared" si="22"/>
        <v>0</v>
      </c>
      <c r="E53" s="254">
        <f t="array" ref="E53">_xll.BC(DB,_xll.ArrayDPT($AA53:$AE53),_xll.ArrayCOA($AG53:$AZ53),YR,PRD,RV,_xll.ArrayDIM($BB53:$BE53))</f>
        <v>0</v>
      </c>
      <c r="F53" s="254">
        <f t="shared" si="23"/>
        <v>0</v>
      </c>
      <c r="G53" s="254">
        <f t="array" ref="G53">_xll.AC(DB,_xll.ArrayDPT($AA53:$AE53),_xll.ArrayCOA($AG53:$AZ53),YR,PRD,_xll.ArrayDIM($BB53:$BE53))</f>
        <v>0</v>
      </c>
      <c r="H53" s="254">
        <f t="shared" si="24"/>
        <v>0</v>
      </c>
      <c r="I53" s="254"/>
      <c r="J53" s="328" t="s">
        <v>697</v>
      </c>
      <c r="K53" s="254"/>
      <c r="L53" s="254">
        <f t="array" ref="L53">_xll.ACC(DB,_xll.ArrayDPT($AA53:$AE53),_xll.ArrayCOA($AG53:$AZ53),YR,PRD,_xll.ArrayDIM($BB53:$BE53))</f>
        <v>0</v>
      </c>
      <c r="M53" s="237">
        <f t="shared" si="25"/>
        <v>0</v>
      </c>
      <c r="N53" s="254">
        <f t="array" ref="N53">_xll.BCC(DB,_xll.ArrayDPT($AA53:$AE53),_xll.ArrayCOA($AG53:$AZ53),YR,PRD,RV,_xll.ArrayDIM($BB53:$BE53))</f>
        <v>0</v>
      </c>
      <c r="O53" s="237">
        <f t="shared" si="26"/>
        <v>0</v>
      </c>
      <c r="P53" s="237">
        <f t="shared" si="27"/>
        <v>0</v>
      </c>
      <c r="Q53" s="237">
        <f t="shared" si="28"/>
        <v>0</v>
      </c>
      <c r="R53" s="254">
        <f t="array" ref="R53">_xll.ACC(DB,_xll.ArrayDPT($AA53:$AE53),_xll.ArrayCOA($AG53:$AZ53),YR-1,PRD,_xll.ArrayDIM($BB53:$BE53))</f>
        <v>0</v>
      </c>
      <c r="S53" s="237">
        <f t="shared" si="29"/>
        <v>0</v>
      </c>
      <c r="T53" s="328"/>
      <c r="U53" s="328"/>
      <c r="V53" s="328"/>
      <c r="W53" s="328"/>
      <c r="X53" s="328"/>
      <c r="Y53" s="328"/>
      <c r="Z53" s="328"/>
      <c r="AA53" s="95" t="s">
        <v>637</v>
      </c>
      <c r="AB53" s="96"/>
      <c r="AC53" s="96"/>
      <c r="AD53" s="96"/>
      <c r="AE53" s="96"/>
      <c r="AF53" s="97"/>
      <c r="AG53" s="95" t="s">
        <v>698</v>
      </c>
      <c r="AH53" s="96" t="s">
        <v>698</v>
      </c>
      <c r="AI53" s="95"/>
      <c r="AJ53" s="96"/>
      <c r="AK53" s="95"/>
      <c r="AL53" s="96"/>
      <c r="AM53" s="95"/>
      <c r="AN53" s="98"/>
      <c r="AO53" s="96"/>
      <c r="AP53" s="96"/>
      <c r="AQ53" s="95"/>
      <c r="AR53" s="98"/>
      <c r="AS53" s="96"/>
      <c r="AT53" s="96"/>
      <c r="AU53" s="95"/>
      <c r="AV53" s="98"/>
      <c r="AW53" s="96"/>
      <c r="AX53" s="96"/>
      <c r="AY53" s="95"/>
      <c r="AZ53" s="98"/>
      <c r="BA53" s="99"/>
      <c r="BB53" s="95"/>
      <c r="BC53" s="96"/>
      <c r="BD53" s="96"/>
      <c r="BE53" s="98"/>
      <c r="BF53" s="95"/>
      <c r="BG53" s="96"/>
      <c r="BH53" s="96"/>
      <c r="BI53" s="98"/>
    </row>
    <row r="54" spans="1:61" ht="12" customHeight="1">
      <c r="A54" s="254">
        <f t="array" ref="A54">_xll.AC(DB,_xll.ArrayDPT($AA54:$AE54),_xll.ArrayCOA($AG54:$AZ54),YR-1,PRD,_xll.ArrayDIM($BB54:$BE54))</f>
        <v>0</v>
      </c>
      <c r="B54" s="254">
        <f t="shared" si="20"/>
        <v>0</v>
      </c>
      <c r="C54" s="254">
        <f t="shared" si="21"/>
        <v>0</v>
      </c>
      <c r="D54" s="254">
        <f t="shared" si="22"/>
        <v>0</v>
      </c>
      <c r="E54" s="254">
        <f t="array" ref="E54">_xll.BC(DB,_xll.ArrayDPT($AA54:$AE54),_xll.ArrayCOA($AG54:$AZ54),YR,PRD,RV,_xll.ArrayDIM($BB54:$BE54))</f>
        <v>0</v>
      </c>
      <c r="F54" s="254">
        <f t="shared" si="23"/>
        <v>0</v>
      </c>
      <c r="G54" s="254">
        <f t="array" ref="G54">_xll.AC(DB,_xll.ArrayDPT($AA54:$AE54),_xll.ArrayCOA($AG54:$AZ54),YR,PRD,_xll.ArrayDIM($BB54:$BE54))</f>
        <v>0</v>
      </c>
      <c r="H54" s="254">
        <f t="shared" si="24"/>
        <v>0</v>
      </c>
      <c r="I54" s="254"/>
      <c r="J54" s="328" t="s">
        <v>699</v>
      </c>
      <c r="K54" s="254"/>
      <c r="L54" s="254">
        <f t="array" ref="L54">_xll.ACC(DB,_xll.ArrayDPT($AA54:$AE54),_xll.ArrayCOA($AG54:$AZ54),YR,PRD,_xll.ArrayDIM($BB54:$BE54))</f>
        <v>0</v>
      </c>
      <c r="M54" s="237">
        <f t="shared" si="25"/>
        <v>0</v>
      </c>
      <c r="N54" s="254">
        <f t="array" ref="N54">_xll.BCC(DB,_xll.ArrayDPT($AA54:$AE54),_xll.ArrayCOA($AG54:$AZ54),YR,PRD,RV,_xll.ArrayDIM($BB54:$BE54))</f>
        <v>0</v>
      </c>
      <c r="O54" s="237">
        <f t="shared" si="26"/>
        <v>0</v>
      </c>
      <c r="P54" s="237">
        <f t="shared" si="27"/>
        <v>0</v>
      </c>
      <c r="Q54" s="237">
        <f t="shared" si="28"/>
        <v>0</v>
      </c>
      <c r="R54" s="254">
        <f t="array" ref="R54">_xll.ACC(DB,_xll.ArrayDPT($AA54:$AE54),_xll.ArrayCOA($AG54:$AZ54),YR-1,PRD,_xll.ArrayDIM($BB54:$BE54))</f>
        <v>0</v>
      </c>
      <c r="S54" s="237">
        <f t="shared" si="29"/>
        <v>0</v>
      </c>
      <c r="T54" s="328"/>
      <c r="U54" s="328"/>
      <c r="V54" s="328"/>
      <c r="W54" s="328"/>
      <c r="X54" s="328"/>
      <c r="Y54" s="328"/>
      <c r="Z54" s="328"/>
      <c r="AA54" s="95"/>
      <c r="AB54" s="96"/>
      <c r="AC54" s="96"/>
      <c r="AD54" s="96"/>
      <c r="AE54" s="96"/>
      <c r="AF54" s="97"/>
      <c r="AG54" s="95"/>
      <c r="AH54" s="96"/>
      <c r="AI54" s="95"/>
      <c r="AJ54" s="96"/>
      <c r="AK54" s="95"/>
      <c r="AL54" s="96"/>
      <c r="AM54" s="95"/>
      <c r="AN54" s="98"/>
      <c r="AO54" s="96"/>
      <c r="AP54" s="96"/>
      <c r="AQ54" s="95"/>
      <c r="AR54" s="98"/>
      <c r="AS54" s="96"/>
      <c r="AT54" s="96"/>
      <c r="AU54" s="95"/>
      <c r="AV54" s="98"/>
      <c r="AW54" s="96"/>
      <c r="AX54" s="96"/>
      <c r="AY54" s="95"/>
      <c r="AZ54" s="98"/>
      <c r="BA54" s="99"/>
      <c r="BB54" s="95"/>
      <c r="BC54" s="96"/>
      <c r="BD54" s="96"/>
      <c r="BE54" s="98"/>
      <c r="BF54" s="95"/>
      <c r="BG54" s="96"/>
      <c r="BH54" s="96"/>
      <c r="BI54" s="98"/>
    </row>
    <row r="55" spans="1:61" ht="12" customHeight="1">
      <c r="A55" s="254">
        <f t="array" ref="A55">_xll.AC(DB,_xll.ArrayDPT($AA55:$AE55),_xll.ArrayCOA($AG55:$AZ55),YR-1,PRD,_xll.ArrayDIM($BB55:$BE55))</f>
        <v>0</v>
      </c>
      <c r="B55" s="254">
        <f t="shared" si="20"/>
        <v>0</v>
      </c>
      <c r="C55" s="254">
        <f t="shared" si="21"/>
        <v>0</v>
      </c>
      <c r="D55" s="254">
        <f t="shared" si="22"/>
        <v>0</v>
      </c>
      <c r="E55" s="254">
        <f t="array" ref="E55">_xll.BC(DB,_xll.ArrayDPT($AA55:$AE55),_xll.ArrayCOA($AG55:$AZ55),YR,PRD,RV,_xll.ArrayDIM($BB55:$BE55))</f>
        <v>0</v>
      </c>
      <c r="F55" s="254">
        <f t="shared" si="23"/>
        <v>0</v>
      </c>
      <c r="G55" s="254">
        <f t="array" ref="G55">_xll.AC(DB,_xll.ArrayDPT($AA55:$AE55),_xll.ArrayCOA($AG55:$AZ55),YR,PRD,_xll.ArrayDIM($BB55:$BE55))</f>
        <v>0</v>
      </c>
      <c r="H55" s="254">
        <f t="shared" si="24"/>
        <v>0</v>
      </c>
      <c r="I55" s="254"/>
      <c r="J55" s="328" t="s">
        <v>700</v>
      </c>
      <c r="K55" s="254"/>
      <c r="L55" s="254">
        <f t="array" ref="L55">_xll.ACC(DB,_xll.ArrayDPT($AA55:$AE55),_xll.ArrayCOA($AG55:$AZ55),YR,PRD,_xll.ArrayDIM($BB55:$BE55))</f>
        <v>0</v>
      </c>
      <c r="M55" s="237">
        <f t="shared" si="25"/>
        <v>0</v>
      </c>
      <c r="N55" s="254">
        <f t="array" ref="N55">_xll.BCC(DB,_xll.ArrayDPT($AA55:$AE55),_xll.ArrayCOA($AG55:$AZ55),YR,PRD,RV,_xll.ArrayDIM($BB55:$BE55))</f>
        <v>0</v>
      </c>
      <c r="O55" s="237">
        <f t="shared" si="26"/>
        <v>0</v>
      </c>
      <c r="P55" s="237">
        <f t="shared" si="27"/>
        <v>0</v>
      </c>
      <c r="Q55" s="237">
        <f t="shared" si="28"/>
        <v>0</v>
      </c>
      <c r="R55" s="254">
        <f t="array" ref="R55">_xll.ACC(DB,_xll.ArrayDPT($AA55:$AE55),_xll.ArrayCOA($AG55:$AZ55),YR-1,PRD,_xll.ArrayDIM($BB55:$BE55))</f>
        <v>0</v>
      </c>
      <c r="S55" s="237">
        <f t="shared" si="29"/>
        <v>0</v>
      </c>
      <c r="T55" s="328"/>
      <c r="U55" s="328"/>
      <c r="V55" s="328"/>
      <c r="W55" s="328"/>
      <c r="X55" s="328"/>
      <c r="Y55" s="328"/>
      <c r="Z55" s="328"/>
      <c r="AA55" s="95"/>
      <c r="AB55" s="96"/>
      <c r="AC55" s="96"/>
      <c r="AD55" s="96"/>
      <c r="AE55" s="96"/>
      <c r="AF55" s="97"/>
      <c r="AG55" s="95"/>
      <c r="AH55" s="96"/>
      <c r="AI55" s="95"/>
      <c r="AJ55" s="96"/>
      <c r="AK55" s="95"/>
      <c r="AL55" s="96"/>
      <c r="AM55" s="95"/>
      <c r="AN55" s="98"/>
      <c r="AO55" s="96"/>
      <c r="AP55" s="96"/>
      <c r="AQ55" s="95"/>
      <c r="AR55" s="98"/>
      <c r="AS55" s="96"/>
      <c r="AT55" s="96"/>
      <c r="AU55" s="95"/>
      <c r="AV55" s="98"/>
      <c r="AW55" s="96"/>
      <c r="AX55" s="96"/>
      <c r="AY55" s="95"/>
      <c r="AZ55" s="98"/>
      <c r="BA55" s="99"/>
      <c r="BB55" s="95"/>
      <c r="BC55" s="96"/>
      <c r="BD55" s="96"/>
      <c r="BE55" s="98"/>
      <c r="BF55" s="95"/>
      <c r="BG55" s="96"/>
      <c r="BH55" s="96"/>
      <c r="BI55" s="98"/>
    </row>
    <row r="56" spans="1:61" ht="12" customHeight="1">
      <c r="A56" s="254">
        <f t="array" ref="A56">_xll.AC(DB,_xll.ArrayDPT($AA56:$AE56),_xll.ArrayCOA($AG56:$AZ56),YR-1,PRD,_xll.ArrayDIM($BB56:$BE56))</f>
        <v>0</v>
      </c>
      <c r="B56" s="254">
        <f t="shared" si="20"/>
        <v>0</v>
      </c>
      <c r="C56" s="254">
        <f t="shared" si="21"/>
        <v>0</v>
      </c>
      <c r="D56" s="254">
        <f t="shared" si="22"/>
        <v>0</v>
      </c>
      <c r="E56" s="254">
        <f t="array" ref="E56">_xll.BC(DB,_xll.ArrayDPT($AA56:$AE56),_xll.ArrayCOA($AG56:$AZ56),YR,PRD,RV,_xll.ArrayDIM($BB56:$BE56))</f>
        <v>0</v>
      </c>
      <c r="F56" s="254">
        <f t="shared" si="23"/>
        <v>0</v>
      </c>
      <c r="G56" s="254">
        <f t="array" ref="G56">_xll.AC(DB,_xll.ArrayDPT($AA56:$AE56),_xll.ArrayCOA($AG56:$AZ56),YR,PRD,_xll.ArrayDIM($BB56:$BE56))</f>
        <v>0</v>
      </c>
      <c r="H56" s="254">
        <f t="shared" si="24"/>
        <v>0</v>
      </c>
      <c r="I56" s="254"/>
      <c r="J56" s="328" t="s">
        <v>701</v>
      </c>
      <c r="K56" s="254"/>
      <c r="L56" s="254">
        <f t="array" ref="L56">_xll.ACC(DB,_xll.ArrayDPT($AA56:$AE56),_xll.ArrayCOA($AG56:$AZ56),YR,PRD,_xll.ArrayDIM($BB56:$BE56))</f>
        <v>0</v>
      </c>
      <c r="M56" s="237">
        <f t="shared" si="25"/>
        <v>0</v>
      </c>
      <c r="N56" s="254">
        <f t="array" ref="N56">_xll.BCC(DB,_xll.ArrayDPT($AA56:$AE56),_xll.ArrayCOA($AG56:$AZ56),YR,PRD,RV,_xll.ArrayDIM($BB56:$BE56))</f>
        <v>0</v>
      </c>
      <c r="O56" s="237">
        <f t="shared" si="26"/>
        <v>0</v>
      </c>
      <c r="P56" s="237">
        <f t="shared" si="27"/>
        <v>0</v>
      </c>
      <c r="Q56" s="237">
        <f t="shared" si="28"/>
        <v>0</v>
      </c>
      <c r="R56" s="254">
        <f t="array" ref="R56">_xll.ACC(DB,_xll.ArrayDPT($AA56:$AE56),_xll.ArrayCOA($AG56:$AZ56),YR-1,PRD,_xll.ArrayDIM($BB56:$BE56))</f>
        <v>0</v>
      </c>
      <c r="S56" s="237">
        <f t="shared" si="29"/>
        <v>0</v>
      </c>
      <c r="T56" s="328"/>
      <c r="U56" s="328"/>
      <c r="V56" s="328"/>
      <c r="W56" s="328"/>
      <c r="X56" s="328"/>
      <c r="Y56" s="328"/>
      <c r="Z56" s="328"/>
      <c r="AA56" s="95" t="s">
        <v>637</v>
      </c>
      <c r="AB56" s="96"/>
      <c r="AC56" s="96"/>
      <c r="AD56" s="96"/>
      <c r="AE56" s="96"/>
      <c r="AF56" s="97"/>
      <c r="AG56" s="95" t="s">
        <v>702</v>
      </c>
      <c r="AH56" s="96" t="s">
        <v>702</v>
      </c>
      <c r="AI56" s="95"/>
      <c r="AJ56" s="96"/>
      <c r="AK56" s="95"/>
      <c r="AL56" s="96"/>
      <c r="AM56" s="95"/>
      <c r="AN56" s="98"/>
      <c r="AO56" s="96"/>
      <c r="AP56" s="96"/>
      <c r="AQ56" s="95"/>
      <c r="AR56" s="98"/>
      <c r="AS56" s="96"/>
      <c r="AT56" s="96"/>
      <c r="AU56" s="95"/>
      <c r="AV56" s="98"/>
      <c r="AW56" s="96"/>
      <c r="AX56" s="96"/>
      <c r="AY56" s="95"/>
      <c r="AZ56" s="98"/>
      <c r="BA56" s="99"/>
      <c r="BB56" s="95"/>
      <c r="BC56" s="96"/>
      <c r="BD56" s="96"/>
      <c r="BE56" s="98"/>
      <c r="BF56" s="95"/>
      <c r="BG56" s="96"/>
      <c r="BH56" s="96"/>
      <c r="BI56" s="98"/>
    </row>
    <row r="57" spans="1:61" ht="12" customHeight="1">
      <c r="A57" s="254">
        <f t="array" ref="A57">_xll.AC(DB,_xll.ArrayDPT($AA57:$AE57),_xll.ArrayCOA($AG57:$AZ57),YR-1,PRD,_xll.ArrayDIM($BB57:$BE57))</f>
        <v>0</v>
      </c>
      <c r="B57" s="254">
        <f t="shared" si="20"/>
        <v>0</v>
      </c>
      <c r="C57" s="254">
        <f t="shared" si="21"/>
        <v>0</v>
      </c>
      <c r="D57" s="254">
        <f t="shared" si="22"/>
        <v>0</v>
      </c>
      <c r="E57" s="254">
        <f t="array" ref="E57">_xll.BC(DB,_xll.ArrayDPT($AA57:$AE57),_xll.ArrayCOA($AG57:$AZ57),YR,PRD,RV,_xll.ArrayDIM($BB57:$BE57))</f>
        <v>0</v>
      </c>
      <c r="F57" s="254">
        <f t="shared" si="23"/>
        <v>0</v>
      </c>
      <c r="G57" s="254">
        <f t="array" ref="G57">_xll.AC(DB,_xll.ArrayDPT($AA57:$AE57),_xll.ArrayCOA($AG57:$AZ57),YR,PRD,_xll.ArrayDIM($BB57:$BE57))</f>
        <v>0</v>
      </c>
      <c r="H57" s="254">
        <f t="shared" si="24"/>
        <v>0</v>
      </c>
      <c r="I57" s="254"/>
      <c r="J57" s="328" t="s">
        <v>703</v>
      </c>
      <c r="K57" s="254"/>
      <c r="L57" s="254">
        <f t="array" ref="L57">_xll.ACC(DB,_xll.ArrayDPT($AA57:$AE57),_xll.ArrayCOA($AG57:$AZ57),YR,PRD,_xll.ArrayDIM($BB57:$BE57))</f>
        <v>0</v>
      </c>
      <c r="M57" s="237">
        <f t="shared" si="25"/>
        <v>0</v>
      </c>
      <c r="N57" s="254">
        <f t="array" ref="N57">_xll.BCC(DB,_xll.ArrayDPT($AA57:$AE57),_xll.ArrayCOA($AG57:$AZ57),YR,PRD,RV,_xll.ArrayDIM($BB57:$BE57))</f>
        <v>0</v>
      </c>
      <c r="O57" s="237">
        <f t="shared" si="26"/>
        <v>0</v>
      </c>
      <c r="P57" s="237">
        <f t="shared" si="27"/>
        <v>0</v>
      </c>
      <c r="Q57" s="237">
        <f t="shared" si="28"/>
        <v>0</v>
      </c>
      <c r="R57" s="254">
        <f t="array" ref="R57">_xll.ACC(DB,_xll.ArrayDPT($AA57:$AE57),_xll.ArrayCOA($AG57:$AZ57),YR-1,PRD,_xll.ArrayDIM($BB57:$BE57))</f>
        <v>0</v>
      </c>
      <c r="S57" s="237">
        <f t="shared" si="29"/>
        <v>0</v>
      </c>
      <c r="T57" s="328"/>
      <c r="U57" s="328"/>
      <c r="V57" s="328"/>
      <c r="W57" s="328"/>
      <c r="X57" s="328"/>
      <c r="Y57" s="328"/>
      <c r="Z57" s="328"/>
      <c r="AA57" s="95" t="s">
        <v>637</v>
      </c>
      <c r="AB57" s="96"/>
      <c r="AC57" s="96"/>
      <c r="AD57" s="96"/>
      <c r="AE57" s="96"/>
      <c r="AF57" s="97"/>
      <c r="AG57" s="95" t="s">
        <v>578</v>
      </c>
      <c r="AH57" s="96" t="s">
        <v>578</v>
      </c>
      <c r="AI57" s="95"/>
      <c r="AJ57" s="96"/>
      <c r="AK57" s="95"/>
      <c r="AL57" s="96"/>
      <c r="AM57" s="95"/>
      <c r="AN57" s="98"/>
      <c r="AO57" s="96"/>
      <c r="AP57" s="96"/>
      <c r="AQ57" s="95"/>
      <c r="AR57" s="98"/>
      <c r="AS57" s="96"/>
      <c r="AT57" s="96"/>
      <c r="AU57" s="95"/>
      <c r="AV57" s="98"/>
      <c r="AW57" s="96"/>
      <c r="AX57" s="96"/>
      <c r="AY57" s="95"/>
      <c r="AZ57" s="98"/>
      <c r="BA57" s="99"/>
      <c r="BB57" s="95"/>
      <c r="BC57" s="96"/>
      <c r="BD57" s="96"/>
      <c r="BE57" s="98"/>
      <c r="BF57" s="95"/>
      <c r="BG57" s="96"/>
      <c r="BH57" s="96"/>
      <c r="BI57" s="98"/>
    </row>
    <row r="58" spans="1:61" ht="12" customHeight="1">
      <c r="A58" s="254">
        <f t="array" ref="A58">_xll.AC(DB,_xll.ArrayDPT($AA58:$AE58),_xll.ArrayCOA($AG58:$AZ58),YR-1,PRD,_xll.ArrayDIM($BB58:$BE58))</f>
        <v>0</v>
      </c>
      <c r="B58" s="254">
        <f t="shared" si="20"/>
        <v>0</v>
      </c>
      <c r="C58" s="254">
        <f t="shared" si="21"/>
        <v>0</v>
      </c>
      <c r="D58" s="254">
        <f t="shared" si="22"/>
        <v>0</v>
      </c>
      <c r="E58" s="254">
        <f t="array" ref="E58">_xll.BC(DB,_xll.ArrayDPT($AA58:$AE58),_xll.ArrayCOA($AG58:$AZ58),YR,PRD,RV,_xll.ArrayDIM($BB58:$BE58))</f>
        <v>0</v>
      </c>
      <c r="F58" s="254">
        <f t="shared" si="23"/>
        <v>0</v>
      </c>
      <c r="G58" s="254">
        <f t="array" ref="G58">_xll.AC(DB,_xll.ArrayDPT($AA58:$AE58),_xll.ArrayCOA($AG58:$AZ58),YR,PRD,_xll.ArrayDIM($BB58:$BE58))</f>
        <v>0</v>
      </c>
      <c r="H58" s="254">
        <f t="shared" si="24"/>
        <v>0</v>
      </c>
      <c r="I58" s="254"/>
      <c r="J58" s="328" t="s">
        <v>704</v>
      </c>
      <c r="K58" s="254"/>
      <c r="L58" s="254">
        <f t="array" ref="L58">_xll.ACC(DB,_xll.ArrayDPT($AA58:$AE58),_xll.ArrayCOA($AG58:$AZ58),YR,PRD,_xll.ArrayDIM($BB58:$BE58))</f>
        <v>0</v>
      </c>
      <c r="M58" s="237">
        <f t="shared" si="25"/>
        <v>0</v>
      </c>
      <c r="N58" s="254">
        <f t="array" ref="N58">_xll.BCC(DB,_xll.ArrayDPT($AA58:$AE58),_xll.ArrayCOA($AG58:$AZ58),YR,PRD,RV,_xll.ArrayDIM($BB58:$BE58))</f>
        <v>0</v>
      </c>
      <c r="O58" s="237">
        <f t="shared" si="26"/>
        <v>0</v>
      </c>
      <c r="P58" s="237">
        <f t="shared" si="27"/>
        <v>0</v>
      </c>
      <c r="Q58" s="237">
        <f t="shared" si="28"/>
        <v>0</v>
      </c>
      <c r="R58" s="254">
        <f t="array" ref="R58">_xll.ACC(DB,_xll.ArrayDPT($AA58:$AE58),_xll.ArrayCOA($AG58:$AZ58),YR-1,PRD,_xll.ArrayDIM($BB58:$BE58))</f>
        <v>0</v>
      </c>
      <c r="S58" s="237">
        <f t="shared" si="29"/>
        <v>0</v>
      </c>
      <c r="T58" s="328"/>
      <c r="U58" s="328"/>
      <c r="V58" s="328"/>
      <c r="W58" s="328"/>
      <c r="X58" s="328"/>
      <c r="Y58" s="328"/>
      <c r="Z58" s="328"/>
      <c r="AA58" s="95"/>
      <c r="AB58" s="96"/>
      <c r="AC58" s="96"/>
      <c r="AD58" s="96"/>
      <c r="AE58" s="96"/>
      <c r="AF58" s="97"/>
      <c r="AG58" s="95"/>
      <c r="AH58" s="96"/>
      <c r="AI58" s="95"/>
      <c r="AJ58" s="96"/>
      <c r="AK58" s="95"/>
      <c r="AL58" s="96"/>
      <c r="AM58" s="95"/>
      <c r="AN58" s="98"/>
      <c r="AO58" s="96"/>
      <c r="AP58" s="96"/>
      <c r="AQ58" s="95"/>
      <c r="AR58" s="98"/>
      <c r="AS58" s="96"/>
      <c r="AT58" s="96"/>
      <c r="AU58" s="95"/>
      <c r="AV58" s="98"/>
      <c r="AW58" s="96"/>
      <c r="AX58" s="96"/>
      <c r="AY58" s="95"/>
      <c r="AZ58" s="98"/>
      <c r="BA58" s="99"/>
      <c r="BB58" s="95"/>
      <c r="BC58" s="96"/>
      <c r="BD58" s="96"/>
      <c r="BE58" s="98"/>
      <c r="BF58" s="95"/>
      <c r="BG58" s="96"/>
      <c r="BH58" s="96"/>
      <c r="BI58" s="98"/>
    </row>
    <row r="59" spans="1:61" ht="12" customHeight="1">
      <c r="A59" s="254">
        <f t="array" ref="A59">_xll.AC(DB,_xll.ArrayDPT($AA59:$AE59),_xll.ArrayCOA($AG59:$AZ59),YR-1,PRD,_xll.ArrayDIM($BB59:$BE59))</f>
        <v>0</v>
      </c>
      <c r="B59" s="254">
        <f t="shared" si="20"/>
        <v>0</v>
      </c>
      <c r="C59" s="254">
        <f t="shared" si="21"/>
        <v>0</v>
      </c>
      <c r="D59" s="254">
        <f t="shared" si="22"/>
        <v>0</v>
      </c>
      <c r="E59" s="254">
        <f t="array" ref="E59">_xll.BC(DB,_xll.ArrayDPT($AA59:$AE59),_xll.ArrayCOA($AG59:$AZ59),YR,PRD,RV,_xll.ArrayDIM($BB59:$BE59))</f>
        <v>0</v>
      </c>
      <c r="F59" s="254">
        <f t="shared" si="23"/>
        <v>0</v>
      </c>
      <c r="G59" s="254">
        <f t="array" ref="G59">_xll.AC(DB,_xll.ArrayDPT($AA59:$AE59),_xll.ArrayCOA($AG59:$AZ59),YR,PRD,_xll.ArrayDIM($BB59:$BE59))</f>
        <v>0</v>
      </c>
      <c r="H59" s="254">
        <f t="shared" si="24"/>
        <v>0</v>
      </c>
      <c r="I59" s="254"/>
      <c r="J59" s="328" t="s">
        <v>705</v>
      </c>
      <c r="K59" s="254"/>
      <c r="L59" s="254">
        <f t="array" ref="L59">_xll.ACC(DB,_xll.ArrayDPT($AA59:$AE59),_xll.ArrayCOA($AG59:$AZ59),YR,PRD,_xll.ArrayDIM($BB59:$BE59))</f>
        <v>0</v>
      </c>
      <c r="M59" s="237">
        <f t="shared" si="25"/>
        <v>0</v>
      </c>
      <c r="N59" s="254">
        <f t="array" ref="N59">_xll.BCC(DB,_xll.ArrayDPT($AA59:$AE59),_xll.ArrayCOA($AG59:$AZ59),YR,PRD,RV,_xll.ArrayDIM($BB59:$BE59))</f>
        <v>0</v>
      </c>
      <c r="O59" s="237">
        <f t="shared" si="26"/>
        <v>0</v>
      </c>
      <c r="P59" s="237">
        <f t="shared" si="27"/>
        <v>0</v>
      </c>
      <c r="Q59" s="237">
        <f t="shared" si="28"/>
        <v>0</v>
      </c>
      <c r="R59" s="254">
        <f t="array" ref="R59">_xll.ACC(DB,_xll.ArrayDPT($AA59:$AE59),_xll.ArrayCOA($AG59:$AZ59),YR-1,PRD,_xll.ArrayDIM($BB59:$BE59))</f>
        <v>0</v>
      </c>
      <c r="S59" s="237">
        <f t="shared" si="29"/>
        <v>0</v>
      </c>
      <c r="T59" s="328"/>
      <c r="U59" s="328"/>
      <c r="V59" s="328"/>
      <c r="W59" s="328"/>
      <c r="X59" s="328"/>
      <c r="Y59" s="328"/>
      <c r="Z59" s="328"/>
      <c r="AA59" s="95" t="s">
        <v>637</v>
      </c>
      <c r="AB59" s="96"/>
      <c r="AC59" s="96"/>
      <c r="AD59" s="96"/>
      <c r="AE59" s="96"/>
      <c r="AF59" s="97"/>
      <c r="AG59" s="95" t="s">
        <v>706</v>
      </c>
      <c r="AH59" s="96" t="s">
        <v>706</v>
      </c>
      <c r="AI59" s="95"/>
      <c r="AJ59" s="96"/>
      <c r="AK59" s="95"/>
      <c r="AL59" s="96"/>
      <c r="AM59" s="95"/>
      <c r="AN59" s="98"/>
      <c r="AO59" s="96"/>
      <c r="AP59" s="96"/>
      <c r="AQ59" s="95"/>
      <c r="AR59" s="98"/>
      <c r="AS59" s="96"/>
      <c r="AT59" s="96"/>
      <c r="AU59" s="95"/>
      <c r="AV59" s="98"/>
      <c r="AW59" s="96"/>
      <c r="AX59" s="96"/>
      <c r="AY59" s="95"/>
      <c r="AZ59" s="98"/>
      <c r="BA59" s="99"/>
      <c r="BB59" s="95"/>
      <c r="BC59" s="96"/>
      <c r="BD59" s="96"/>
      <c r="BE59" s="98"/>
      <c r="BF59" s="95"/>
      <c r="BG59" s="96"/>
      <c r="BH59" s="96"/>
      <c r="BI59" s="98"/>
    </row>
    <row r="60" spans="1:61" ht="12" customHeight="1">
      <c r="A60" s="254">
        <f t="array" ref="A60">_xll.AC(DB,_xll.ArrayDPT($AA60:$AE60),_xll.ArrayCOA($AG60:$AZ60),YR-1,PRD,_xll.ArrayDIM($BB60:$BE60))</f>
        <v>0</v>
      </c>
      <c r="B60" s="254">
        <f t="shared" si="20"/>
        <v>0</v>
      </c>
      <c r="C60" s="254">
        <f t="shared" si="21"/>
        <v>0</v>
      </c>
      <c r="D60" s="254">
        <f t="shared" si="22"/>
        <v>0</v>
      </c>
      <c r="E60" s="254">
        <f t="array" ref="E60">_xll.BC(DB,_xll.ArrayDPT($AA60:$AE60),_xll.ArrayCOA($AG60:$AZ60),YR,PRD,RV,_xll.ArrayDIM($BB60:$BE60))</f>
        <v>0</v>
      </c>
      <c r="F60" s="254">
        <f t="shared" si="23"/>
        <v>0</v>
      </c>
      <c r="G60" s="254">
        <f t="array" ref="G60">_xll.AC(DB,_xll.ArrayDPT($AA60:$AE60),_xll.ArrayCOA($AG60:$AZ60),YR,PRD,_xll.ArrayDIM($BB60:$BE60))</f>
        <v>0</v>
      </c>
      <c r="H60" s="254">
        <f t="shared" si="24"/>
        <v>0</v>
      </c>
      <c r="I60" s="254"/>
      <c r="J60" s="328" t="s">
        <v>707</v>
      </c>
      <c r="K60" s="254"/>
      <c r="L60" s="254">
        <f t="array" ref="L60">_xll.ACC(DB,_xll.ArrayDPT($AA60:$AE60),_xll.ArrayCOA($AG60:$AZ60),YR,PRD,_xll.ArrayDIM($BB60:$BE60))</f>
        <v>0</v>
      </c>
      <c r="M60" s="237">
        <f t="shared" si="25"/>
        <v>0</v>
      </c>
      <c r="N60" s="254">
        <f t="array" ref="N60">_xll.BCC(DB,_xll.ArrayDPT($AA60:$AE60),_xll.ArrayCOA($AG60:$AZ60),YR,PRD,RV,_xll.ArrayDIM($BB60:$BE60))</f>
        <v>0</v>
      </c>
      <c r="O60" s="237">
        <f t="shared" si="26"/>
        <v>0</v>
      </c>
      <c r="P60" s="237">
        <f t="shared" si="27"/>
        <v>0</v>
      </c>
      <c r="Q60" s="237">
        <f t="shared" si="28"/>
        <v>0</v>
      </c>
      <c r="R60" s="254">
        <f t="array" ref="R60">_xll.ACC(DB,_xll.ArrayDPT($AA60:$AE60),_xll.ArrayCOA($AG60:$AZ60),YR-1,PRD,_xll.ArrayDIM($BB60:$BE60))</f>
        <v>0</v>
      </c>
      <c r="S60" s="237">
        <f t="shared" si="29"/>
        <v>0</v>
      </c>
      <c r="T60" s="328"/>
      <c r="U60" s="328"/>
      <c r="V60" s="328"/>
      <c r="W60" s="328"/>
      <c r="X60" s="328"/>
      <c r="Y60" s="328"/>
      <c r="Z60" s="328"/>
      <c r="AA60" s="95" t="s">
        <v>637</v>
      </c>
      <c r="AB60" s="96"/>
      <c r="AC60" s="96"/>
      <c r="AD60" s="96"/>
      <c r="AE60" s="96"/>
      <c r="AF60" s="97"/>
      <c r="AG60" s="95" t="s">
        <v>708</v>
      </c>
      <c r="AH60" s="96" t="s">
        <v>708</v>
      </c>
      <c r="AI60" s="95"/>
      <c r="AJ60" s="96"/>
      <c r="AK60" s="95"/>
      <c r="AL60" s="96"/>
      <c r="AM60" s="95"/>
      <c r="AN60" s="98"/>
      <c r="AO60" s="96"/>
      <c r="AP60" s="96"/>
      <c r="AQ60" s="95"/>
      <c r="AR60" s="98"/>
      <c r="AS60" s="96"/>
      <c r="AT60" s="96"/>
      <c r="AU60" s="95"/>
      <c r="AV60" s="98"/>
      <c r="AW60" s="96"/>
      <c r="AX60" s="96"/>
      <c r="AY60" s="95"/>
      <c r="AZ60" s="98"/>
      <c r="BA60" s="99"/>
      <c r="BB60" s="95"/>
      <c r="BC60" s="96"/>
      <c r="BD60" s="96"/>
      <c r="BE60" s="98"/>
      <c r="BF60" s="95"/>
      <c r="BG60" s="96"/>
      <c r="BH60" s="96"/>
      <c r="BI60" s="98"/>
    </row>
    <row r="61" spans="1:61" ht="12" customHeight="1">
      <c r="A61" s="254">
        <f t="array" ref="A61">_xll.AC(DB,_xll.ArrayDPT($AA61:$AE61),_xll.ArrayCOA($AG61:$AZ61),YR-1,PRD,_xll.ArrayDIM($BB61:$BE61))</f>
        <v>0</v>
      </c>
      <c r="B61" s="254">
        <f t="shared" si="20"/>
        <v>0</v>
      </c>
      <c r="C61" s="254">
        <f t="shared" si="21"/>
        <v>0</v>
      </c>
      <c r="D61" s="254">
        <f t="shared" si="22"/>
        <v>0</v>
      </c>
      <c r="E61" s="254">
        <f t="array" ref="E61">_xll.BC(DB,_xll.ArrayDPT($AA61:$AE61),_xll.ArrayCOA($AG61:$AZ61),YR,PRD,RV,_xll.ArrayDIM($BB61:$BE61))</f>
        <v>0</v>
      </c>
      <c r="F61" s="254">
        <f t="shared" si="23"/>
        <v>0</v>
      </c>
      <c r="G61" s="254">
        <f t="array" ref="G61">_xll.AC(DB,_xll.ArrayDPT($AA61:$AE61),_xll.ArrayCOA($AG61:$AZ61),YR,PRD,_xll.ArrayDIM($BB61:$BE61))</f>
        <v>0</v>
      </c>
      <c r="H61" s="254">
        <f t="shared" si="24"/>
        <v>0</v>
      </c>
      <c r="I61" s="254"/>
      <c r="J61" s="328" t="s">
        <v>709</v>
      </c>
      <c r="K61" s="254"/>
      <c r="L61" s="254">
        <f t="array" ref="L61">_xll.ACC(DB,_xll.ArrayDPT($AA61:$AE61),_xll.ArrayCOA($AG61:$AZ61),YR,PRD,_xll.ArrayDIM($BB61:$BE61))</f>
        <v>0</v>
      </c>
      <c r="M61" s="237">
        <f t="shared" si="25"/>
        <v>0</v>
      </c>
      <c r="N61" s="254">
        <f t="array" ref="N61">_xll.BCC(DB,_xll.ArrayDPT($AA61:$AE61),_xll.ArrayCOA($AG61:$AZ61),YR,PRD,RV,_xll.ArrayDIM($BB61:$BE61))</f>
        <v>0</v>
      </c>
      <c r="O61" s="237">
        <f t="shared" si="26"/>
        <v>0</v>
      </c>
      <c r="P61" s="237">
        <f t="shared" si="27"/>
        <v>0</v>
      </c>
      <c r="Q61" s="237">
        <f t="shared" si="28"/>
        <v>0</v>
      </c>
      <c r="R61" s="254">
        <f t="array" ref="R61">_xll.ACC(DB,_xll.ArrayDPT($AA61:$AE61),_xll.ArrayCOA($AG61:$AZ61),YR-1,PRD,_xll.ArrayDIM($BB61:$BE61))</f>
        <v>0</v>
      </c>
      <c r="S61" s="237">
        <f t="shared" si="29"/>
        <v>0</v>
      </c>
      <c r="T61" s="328"/>
      <c r="U61" s="328"/>
      <c r="V61" s="328"/>
      <c r="W61" s="328"/>
      <c r="X61" s="328"/>
      <c r="Y61" s="328"/>
      <c r="Z61" s="328"/>
      <c r="AA61" s="95" t="s">
        <v>637</v>
      </c>
      <c r="AB61" s="96"/>
      <c r="AC61" s="96"/>
      <c r="AD61" s="96"/>
      <c r="AE61" s="96"/>
      <c r="AF61" s="97"/>
      <c r="AG61" s="95" t="s">
        <v>710</v>
      </c>
      <c r="AH61" s="96" t="s">
        <v>710</v>
      </c>
      <c r="AI61" s="95"/>
      <c r="AJ61" s="96"/>
      <c r="AK61" s="95"/>
      <c r="AL61" s="96"/>
      <c r="AM61" s="95"/>
      <c r="AN61" s="98"/>
      <c r="AO61" s="96"/>
      <c r="AP61" s="96"/>
      <c r="AQ61" s="95"/>
      <c r="AR61" s="98"/>
      <c r="AS61" s="96"/>
      <c r="AT61" s="96"/>
      <c r="AU61" s="95"/>
      <c r="AV61" s="98"/>
      <c r="AW61" s="96"/>
      <c r="AX61" s="96"/>
      <c r="AY61" s="95"/>
      <c r="AZ61" s="98"/>
      <c r="BA61" s="99"/>
      <c r="BB61" s="95"/>
      <c r="BC61" s="96"/>
      <c r="BD61" s="96"/>
      <c r="BE61" s="98"/>
      <c r="BF61" s="95"/>
      <c r="BG61" s="96"/>
      <c r="BH61" s="96"/>
      <c r="BI61" s="98"/>
    </row>
    <row r="62" spans="1:61" ht="12" customHeight="1">
      <c r="A62" s="254">
        <f t="array" ref="A62">_xll.AC(DB,_xll.ArrayDPT($AA62:$AE62),_xll.ArrayCOA($AG62:$AZ62),YR-1,PRD,_xll.ArrayDIM($BB62:$BE62))</f>
        <v>0</v>
      </c>
      <c r="B62" s="254">
        <f t="shared" si="20"/>
        <v>0</v>
      </c>
      <c r="C62" s="254">
        <f t="shared" si="21"/>
        <v>0</v>
      </c>
      <c r="D62" s="254">
        <f t="shared" si="22"/>
        <v>0</v>
      </c>
      <c r="E62" s="254">
        <f t="array" ref="E62">_xll.BC(DB,_xll.ArrayDPT($AA62:$AE62),_xll.ArrayCOA($AG62:$AZ62),YR,PRD,RV,_xll.ArrayDIM($BB62:$BE62))</f>
        <v>0</v>
      </c>
      <c r="F62" s="254">
        <f t="shared" si="23"/>
        <v>0</v>
      </c>
      <c r="G62" s="254">
        <f t="array" ref="G62">_xll.AC(DB,_xll.ArrayDPT($AA62:$AE62),_xll.ArrayCOA($AG62:$AZ62),YR,PRD,_xll.ArrayDIM($BB62:$BE62))</f>
        <v>0</v>
      </c>
      <c r="H62" s="254">
        <f t="shared" si="24"/>
        <v>0</v>
      </c>
      <c r="I62" s="254"/>
      <c r="J62" s="328" t="s">
        <v>711</v>
      </c>
      <c r="K62" s="254"/>
      <c r="L62" s="254">
        <f t="array" ref="L62">_xll.ACC(DB,_xll.ArrayDPT($AA62:$AE62),_xll.ArrayCOA($AG62:$AZ62),YR,PRD,_xll.ArrayDIM($BB62:$BE62))</f>
        <v>0</v>
      </c>
      <c r="M62" s="237">
        <f t="shared" si="25"/>
        <v>0</v>
      </c>
      <c r="N62" s="254">
        <f t="array" ref="N62">_xll.BCC(DB,_xll.ArrayDPT($AA62:$AE62),_xll.ArrayCOA($AG62:$AZ62),YR,PRD,RV,_xll.ArrayDIM($BB62:$BE62))</f>
        <v>0</v>
      </c>
      <c r="O62" s="237">
        <f t="shared" si="26"/>
        <v>0</v>
      </c>
      <c r="P62" s="237">
        <f t="shared" si="27"/>
        <v>0</v>
      </c>
      <c r="Q62" s="237">
        <f t="shared" si="28"/>
        <v>0</v>
      </c>
      <c r="R62" s="254">
        <f t="array" ref="R62">_xll.ACC(DB,_xll.ArrayDPT($AA62:$AE62),_xll.ArrayCOA($AG62:$AZ62),YR-1,PRD,_xll.ArrayDIM($BB62:$BE62))</f>
        <v>0</v>
      </c>
      <c r="S62" s="237">
        <f t="shared" si="29"/>
        <v>0</v>
      </c>
      <c r="T62" s="328"/>
      <c r="U62" s="328"/>
      <c r="V62" s="328"/>
      <c r="W62" s="328"/>
      <c r="X62" s="328"/>
      <c r="Y62" s="328"/>
      <c r="Z62" s="328"/>
      <c r="AA62" s="95" t="s">
        <v>637</v>
      </c>
      <c r="AB62" s="96"/>
      <c r="AC62" s="96"/>
      <c r="AD62" s="96"/>
      <c r="AE62" s="96"/>
      <c r="AF62" s="97"/>
      <c r="AG62" s="95" t="s">
        <v>712</v>
      </c>
      <c r="AH62" s="96" t="s">
        <v>712</v>
      </c>
      <c r="AI62" s="95"/>
      <c r="AJ62" s="96"/>
      <c r="AK62" s="95"/>
      <c r="AL62" s="96"/>
      <c r="AM62" s="95"/>
      <c r="AN62" s="98"/>
      <c r="AO62" s="96"/>
      <c r="AP62" s="96"/>
      <c r="AQ62" s="95"/>
      <c r="AR62" s="98"/>
      <c r="AS62" s="96"/>
      <c r="AT62" s="96"/>
      <c r="AU62" s="95"/>
      <c r="AV62" s="98"/>
      <c r="AW62" s="96"/>
      <c r="AX62" s="96"/>
      <c r="AY62" s="95"/>
      <c r="AZ62" s="98"/>
      <c r="BA62" s="99"/>
      <c r="BB62" s="95"/>
      <c r="BC62" s="96"/>
      <c r="BD62" s="96"/>
      <c r="BE62" s="98"/>
      <c r="BF62" s="95"/>
      <c r="BG62" s="96"/>
      <c r="BH62" s="96"/>
      <c r="BI62" s="98"/>
    </row>
    <row r="63" spans="1:61" ht="12" customHeight="1">
      <c r="A63" s="254">
        <f t="array" ref="A63">_xll.AC(DB,_xll.ArrayDPT($AA63:$AE63),_xll.ArrayCOA($AG63:$AZ63),YR-1,PRD,_xll.ArrayDIM($BB63:$BE63))</f>
        <v>0</v>
      </c>
      <c r="B63" s="254">
        <f t="shared" si="20"/>
        <v>0</v>
      </c>
      <c r="C63" s="254">
        <f t="shared" si="21"/>
        <v>0</v>
      </c>
      <c r="D63" s="254">
        <f t="shared" si="22"/>
        <v>0</v>
      </c>
      <c r="E63" s="254">
        <f t="array" ref="E63">_xll.BC(DB,_xll.ArrayDPT($AA63:$AE63),_xll.ArrayCOA($AG63:$AZ63),YR,PRD,RV,_xll.ArrayDIM($BB63:$BE63))</f>
        <v>0</v>
      </c>
      <c r="F63" s="254">
        <f t="shared" si="23"/>
        <v>0</v>
      </c>
      <c r="G63" s="254">
        <f t="array" ref="G63">_xll.AC(DB,_xll.ArrayDPT($AA63:$AE63),_xll.ArrayCOA($AG63:$AZ63),YR,PRD,_xll.ArrayDIM($BB63:$BE63))</f>
        <v>0</v>
      </c>
      <c r="H63" s="254">
        <f t="shared" si="24"/>
        <v>0</v>
      </c>
      <c r="I63" s="254"/>
      <c r="J63" s="328" t="s">
        <v>713</v>
      </c>
      <c r="K63" s="254"/>
      <c r="L63" s="254">
        <f t="array" ref="L63">_xll.ACC(DB,_xll.ArrayDPT($AA63:$AE63),_xll.ArrayCOA($AG63:$AZ63),YR,PRD,_xll.ArrayDIM($BB63:$BE63))</f>
        <v>0</v>
      </c>
      <c r="M63" s="237">
        <f t="shared" si="25"/>
        <v>0</v>
      </c>
      <c r="N63" s="254">
        <f t="array" ref="N63">_xll.BCC(DB,_xll.ArrayDPT($AA63:$AE63),_xll.ArrayCOA($AG63:$AZ63),YR,PRD,RV,_xll.ArrayDIM($BB63:$BE63))</f>
        <v>0</v>
      </c>
      <c r="O63" s="237">
        <f t="shared" si="26"/>
        <v>0</v>
      </c>
      <c r="P63" s="237">
        <f t="shared" si="27"/>
        <v>0</v>
      </c>
      <c r="Q63" s="237">
        <f t="shared" si="28"/>
        <v>0</v>
      </c>
      <c r="R63" s="254">
        <f t="array" ref="R63">_xll.ACC(DB,_xll.ArrayDPT($AA63:$AE63),_xll.ArrayCOA($AG63:$AZ63),YR-1,PRD,_xll.ArrayDIM($BB63:$BE63))</f>
        <v>0</v>
      </c>
      <c r="S63" s="237">
        <f t="shared" si="29"/>
        <v>0</v>
      </c>
      <c r="T63" s="328"/>
      <c r="U63" s="328"/>
      <c r="V63" s="328"/>
      <c r="W63" s="328"/>
      <c r="X63" s="328"/>
      <c r="Y63" s="328"/>
      <c r="Z63" s="328"/>
      <c r="AA63" s="95"/>
      <c r="AB63" s="96"/>
      <c r="AC63" s="96"/>
      <c r="AD63" s="96"/>
      <c r="AE63" s="96"/>
      <c r="AF63" s="97"/>
      <c r="AG63" s="95"/>
      <c r="AH63" s="96"/>
      <c r="AI63" s="95"/>
      <c r="AJ63" s="96"/>
      <c r="AK63" s="95"/>
      <c r="AL63" s="96"/>
      <c r="AM63" s="95"/>
      <c r="AN63" s="98"/>
      <c r="AO63" s="96"/>
      <c r="AP63" s="96"/>
      <c r="AQ63" s="95"/>
      <c r="AR63" s="98"/>
      <c r="AS63" s="96"/>
      <c r="AT63" s="96"/>
      <c r="AU63" s="95"/>
      <c r="AV63" s="98"/>
      <c r="AW63" s="96"/>
      <c r="AX63" s="96"/>
      <c r="AY63" s="95"/>
      <c r="AZ63" s="98"/>
      <c r="BA63" s="99"/>
      <c r="BB63" s="95"/>
      <c r="BC63" s="96"/>
      <c r="BD63" s="96"/>
      <c r="BE63" s="98"/>
      <c r="BF63" s="95"/>
      <c r="BG63" s="96"/>
      <c r="BH63" s="96"/>
      <c r="BI63" s="98"/>
    </row>
    <row r="64" spans="1:61" ht="12" customHeight="1">
      <c r="A64" s="254">
        <f t="array" ref="A64">_xll.AC(DB,_xll.ArrayDPT($AA64:$AE64),_xll.ArrayCOA($AG64:$AZ64),YR-1,PRD,_xll.ArrayDIM($BB64:$BE64))</f>
        <v>0</v>
      </c>
      <c r="B64" s="254">
        <f t="shared" si="20"/>
        <v>0</v>
      </c>
      <c r="C64" s="254">
        <f t="shared" si="21"/>
        <v>0</v>
      </c>
      <c r="D64" s="254">
        <f t="shared" si="22"/>
        <v>0</v>
      </c>
      <c r="E64" s="254">
        <f t="array" ref="E64">_xll.BC(DB,_xll.ArrayDPT($AA64:$AE64),_xll.ArrayCOA($AG64:$AZ64),YR,PRD,RV,_xll.ArrayDIM($BB64:$BE64))</f>
        <v>0</v>
      </c>
      <c r="F64" s="254">
        <f t="shared" si="23"/>
        <v>0</v>
      </c>
      <c r="G64" s="254">
        <f t="array" ref="G64">_xll.AC(DB,_xll.ArrayDPT($AA64:$AE64),_xll.ArrayCOA($AG64:$AZ64),YR,PRD,_xll.ArrayDIM($BB64:$BE64))</f>
        <v>0</v>
      </c>
      <c r="H64" s="254">
        <f t="shared" si="24"/>
        <v>0</v>
      </c>
      <c r="I64" s="254"/>
      <c r="J64" s="328" t="s">
        <v>714</v>
      </c>
      <c r="K64" s="254"/>
      <c r="L64" s="254">
        <f t="array" ref="L64">_xll.ACC(DB,_xll.ArrayDPT($AA64:$AE64),_xll.ArrayCOA($AG64:$AZ64),YR,PRD,_xll.ArrayDIM($BB64:$BE64))</f>
        <v>0</v>
      </c>
      <c r="M64" s="237">
        <f t="shared" si="25"/>
        <v>0</v>
      </c>
      <c r="N64" s="254">
        <f t="array" ref="N64">_xll.BCC(DB,_xll.ArrayDPT($AA64:$AE64),_xll.ArrayCOA($AG64:$AZ64),YR,PRD,RV,_xll.ArrayDIM($BB64:$BE64))</f>
        <v>0</v>
      </c>
      <c r="O64" s="237">
        <f t="shared" si="26"/>
        <v>0</v>
      </c>
      <c r="P64" s="237">
        <f t="shared" si="27"/>
        <v>0</v>
      </c>
      <c r="Q64" s="237">
        <f t="shared" si="28"/>
        <v>0</v>
      </c>
      <c r="R64" s="254">
        <f t="array" ref="R64">_xll.ACC(DB,_xll.ArrayDPT($AA64:$AE64),_xll.ArrayCOA($AG64:$AZ64),YR-1,PRD,_xll.ArrayDIM($BB64:$BE64))</f>
        <v>0</v>
      </c>
      <c r="S64" s="237">
        <f t="shared" si="29"/>
        <v>0</v>
      </c>
      <c r="T64" s="328"/>
      <c r="U64" s="328"/>
      <c r="V64" s="328"/>
      <c r="W64" s="328"/>
      <c r="X64" s="328"/>
      <c r="Y64" s="328"/>
      <c r="Z64" s="328"/>
      <c r="AA64" s="95" t="s">
        <v>637</v>
      </c>
      <c r="AB64" s="96"/>
      <c r="AC64" s="96"/>
      <c r="AD64" s="96"/>
      <c r="AE64" s="96"/>
      <c r="AF64" s="97"/>
      <c r="AG64" s="95" t="s">
        <v>715</v>
      </c>
      <c r="AH64" s="96" t="s">
        <v>715</v>
      </c>
      <c r="AI64" s="95" t="s">
        <v>716</v>
      </c>
      <c r="AJ64" s="96" t="s">
        <v>716</v>
      </c>
      <c r="AK64" s="95"/>
      <c r="AL64" s="96"/>
      <c r="AM64" s="95"/>
      <c r="AN64" s="98"/>
      <c r="AO64" s="96"/>
      <c r="AP64" s="96"/>
      <c r="AQ64" s="95"/>
      <c r="AR64" s="98"/>
      <c r="AS64" s="96"/>
      <c r="AT64" s="96"/>
      <c r="AU64" s="95"/>
      <c r="AV64" s="98"/>
      <c r="AW64" s="96"/>
      <c r="AX64" s="96"/>
      <c r="AY64" s="95"/>
      <c r="AZ64" s="98"/>
      <c r="BA64" s="99"/>
      <c r="BB64" s="95"/>
      <c r="BC64" s="96"/>
      <c r="BD64" s="96"/>
      <c r="BE64" s="98"/>
      <c r="BF64" s="95"/>
      <c r="BG64" s="96"/>
      <c r="BH64" s="96"/>
      <c r="BI64" s="98"/>
    </row>
    <row r="65" spans="1:61" ht="12" customHeight="1">
      <c r="A65" s="254">
        <f t="array" ref="A65">_xll.AC(DB,_xll.ArrayDPT($AA65:$AE65),_xll.ArrayCOA($AG65:$AZ65),YR-1,PRD,_xll.ArrayDIM($BB65:$BE65))</f>
        <v>0</v>
      </c>
      <c r="B65" s="254">
        <f t="shared" si="20"/>
        <v>0</v>
      </c>
      <c r="C65" s="254">
        <f t="shared" si="21"/>
        <v>-3288.59</v>
      </c>
      <c r="D65" s="254">
        <f t="shared" si="22"/>
        <v>4.1513003748754544E-2</v>
      </c>
      <c r="E65" s="254">
        <f t="array" ref="E65">_xll.BC(DB,_xll.ArrayDPT($AA65:$AE65),_xll.ArrayCOA($AG65:$AZ65),YR,PRD,RV,_xll.ArrayDIM($BB65:$BE65))</f>
        <v>0</v>
      </c>
      <c r="F65" s="254">
        <f t="shared" si="23"/>
        <v>0</v>
      </c>
      <c r="G65" s="254">
        <f t="array" ref="G65">_xll.AC(DB,_xll.ArrayDPT($AA65:$AE65),_xll.ArrayCOA($AG65:$AZ65),YR,PRD,_xll.ArrayDIM($BB65:$BE65))</f>
        <v>3288.59</v>
      </c>
      <c r="H65" s="254">
        <f t="shared" si="24"/>
        <v>4.1513003748754544E-2</v>
      </c>
      <c r="I65" s="254"/>
      <c r="J65" s="328" t="s">
        <v>717</v>
      </c>
      <c r="K65" s="254"/>
      <c r="L65" s="254">
        <f t="array" ref="L65">_xll.ACC(DB,_xll.ArrayDPT($AA65:$AE65),_xll.ArrayCOA($AG65:$AZ65),YR,PRD,_xll.ArrayDIM($BB65:$BE65))</f>
        <v>3288.59</v>
      </c>
      <c r="M65" s="237">
        <f t="shared" si="25"/>
        <v>4.1513003748754544E-2</v>
      </c>
      <c r="N65" s="254">
        <f t="array" ref="N65">_xll.BCC(DB,_xll.ArrayDPT($AA65:$AE65),_xll.ArrayCOA($AG65:$AZ65),YR,PRD,RV,_xll.ArrayDIM($BB65:$BE65))</f>
        <v>0</v>
      </c>
      <c r="O65" s="237">
        <f t="shared" si="26"/>
        <v>0</v>
      </c>
      <c r="P65" s="237">
        <f t="shared" si="27"/>
        <v>-3288.59</v>
      </c>
      <c r="Q65" s="237">
        <f t="shared" si="28"/>
        <v>4.1513003748754544E-2</v>
      </c>
      <c r="R65" s="254">
        <f t="array" ref="R65">_xll.ACC(DB,_xll.ArrayDPT($AA65:$AE65),_xll.ArrayCOA($AG65:$AZ65),YR-1,PRD,_xll.ArrayDIM($BB65:$BE65))</f>
        <v>0</v>
      </c>
      <c r="S65" s="237">
        <f t="shared" si="29"/>
        <v>0</v>
      </c>
      <c r="T65" s="328"/>
      <c r="U65" s="328"/>
      <c r="V65" s="328"/>
      <c r="W65" s="328"/>
      <c r="X65" s="328"/>
      <c r="Y65" s="328"/>
      <c r="Z65" s="328"/>
      <c r="AA65" s="95" t="s">
        <v>637</v>
      </c>
      <c r="AB65" s="96"/>
      <c r="AC65" s="96"/>
      <c r="AD65" s="96"/>
      <c r="AE65" s="96"/>
      <c r="AF65" s="97"/>
      <c r="AG65" s="95" t="s">
        <v>718</v>
      </c>
      <c r="AH65" s="96" t="s">
        <v>718</v>
      </c>
      <c r="AI65" s="95"/>
      <c r="AJ65" s="96"/>
      <c r="AK65" s="95"/>
      <c r="AL65" s="96"/>
      <c r="AM65" s="95"/>
      <c r="AN65" s="98"/>
      <c r="AO65" s="96"/>
      <c r="AP65" s="96"/>
      <c r="AQ65" s="95"/>
      <c r="AR65" s="98"/>
      <c r="AS65" s="96"/>
      <c r="AT65" s="96"/>
      <c r="AU65" s="95"/>
      <c r="AV65" s="98"/>
      <c r="AW65" s="96"/>
      <c r="AX65" s="96"/>
      <c r="AY65" s="95"/>
      <c r="AZ65" s="98"/>
      <c r="BA65" s="99"/>
      <c r="BB65" s="95"/>
      <c r="BC65" s="96"/>
      <c r="BD65" s="96"/>
      <c r="BE65" s="98"/>
      <c r="BF65" s="95"/>
      <c r="BG65" s="96"/>
      <c r="BH65" s="96"/>
      <c r="BI65" s="98"/>
    </row>
    <row r="66" spans="1:61" ht="12" customHeight="1">
      <c r="A66" s="254">
        <f t="array" ref="A66">_xll.AC(DB,_xll.ArrayDPT($AA66:$AE66),_xll.ArrayCOA($AG66:$AZ66),YR-1,PRD,_xll.ArrayDIM($BB66:$BE66))</f>
        <v>1800</v>
      </c>
      <c r="B66" s="254">
        <f t="shared" si="20"/>
        <v>2.4829232436377909E-2</v>
      </c>
      <c r="C66" s="254">
        <f t="shared" si="21"/>
        <v>0</v>
      </c>
      <c r="D66" s="254">
        <f t="shared" si="22"/>
        <v>0</v>
      </c>
      <c r="E66" s="254">
        <f t="array" ref="E66">_xll.BC(DB,_xll.ArrayDPT($AA66:$AE66),_xll.ArrayCOA($AG66:$AZ66),YR,PRD,RV,_xll.ArrayDIM($BB66:$BE66))</f>
        <v>0</v>
      </c>
      <c r="F66" s="254">
        <f t="shared" si="23"/>
        <v>0</v>
      </c>
      <c r="G66" s="254">
        <f t="array" ref="G66">_xll.AC(DB,_xll.ArrayDPT($AA66:$AE66),_xll.ArrayCOA($AG66:$AZ66),YR,PRD,_xll.ArrayDIM($BB66:$BE66))</f>
        <v>0</v>
      </c>
      <c r="H66" s="254">
        <f t="shared" si="24"/>
        <v>0</v>
      </c>
      <c r="I66" s="254"/>
      <c r="J66" s="328" t="s">
        <v>719</v>
      </c>
      <c r="K66" s="254"/>
      <c r="L66" s="254">
        <f t="array" ref="L66">_xll.ACC(DB,_xll.ArrayDPT($AA66:$AE66),_xll.ArrayCOA($AG66:$AZ66),YR,PRD,_xll.ArrayDIM($BB66:$BE66))</f>
        <v>0</v>
      </c>
      <c r="M66" s="237">
        <f t="shared" si="25"/>
        <v>0</v>
      </c>
      <c r="N66" s="254">
        <f t="array" ref="N66">_xll.BCC(DB,_xll.ArrayDPT($AA66:$AE66),_xll.ArrayCOA($AG66:$AZ66),YR,PRD,RV,_xll.ArrayDIM($BB66:$BE66))</f>
        <v>0</v>
      </c>
      <c r="O66" s="237">
        <f t="shared" si="26"/>
        <v>0</v>
      </c>
      <c r="P66" s="237">
        <f t="shared" si="27"/>
        <v>0</v>
      </c>
      <c r="Q66" s="237">
        <f t="shared" si="28"/>
        <v>0</v>
      </c>
      <c r="R66" s="254">
        <f t="array" ref="R66">_xll.ACC(DB,_xll.ArrayDPT($AA66:$AE66),_xll.ArrayCOA($AG66:$AZ66),YR-1,PRD,_xll.ArrayDIM($BB66:$BE66))</f>
        <v>1800</v>
      </c>
      <c r="S66" s="237">
        <f t="shared" si="29"/>
        <v>2.4829232436377909E-2</v>
      </c>
      <c r="T66" s="328"/>
      <c r="U66" s="328"/>
      <c r="V66" s="328"/>
      <c r="W66" s="328"/>
      <c r="X66" s="328"/>
      <c r="Y66" s="328"/>
      <c r="Z66" s="328"/>
      <c r="AA66" s="95" t="s">
        <v>637</v>
      </c>
      <c r="AB66" s="96"/>
      <c r="AC66" s="96"/>
      <c r="AD66" s="96"/>
      <c r="AE66" s="96"/>
      <c r="AF66" s="97"/>
      <c r="AG66" s="95" t="s">
        <v>720</v>
      </c>
      <c r="AH66" s="96" t="s">
        <v>720</v>
      </c>
      <c r="AI66" s="95"/>
      <c r="AJ66" s="96"/>
      <c r="AK66" s="95"/>
      <c r="AL66" s="96"/>
      <c r="AM66" s="95"/>
      <c r="AN66" s="98"/>
      <c r="AO66" s="96"/>
      <c r="AP66" s="96"/>
      <c r="AQ66" s="95"/>
      <c r="AR66" s="98"/>
      <c r="AS66" s="96"/>
      <c r="AT66" s="96"/>
      <c r="AU66" s="95"/>
      <c r="AV66" s="98"/>
      <c r="AW66" s="96"/>
      <c r="AX66" s="96"/>
      <c r="AY66" s="95"/>
      <c r="AZ66" s="98"/>
      <c r="BA66" s="99"/>
      <c r="BB66" s="95"/>
      <c r="BC66" s="96"/>
      <c r="BD66" s="96"/>
      <c r="BE66" s="98"/>
      <c r="BF66" s="95"/>
      <c r="BG66" s="96"/>
      <c r="BH66" s="96"/>
      <c r="BI66" s="98"/>
    </row>
    <row r="67" spans="1:61" ht="12" customHeight="1">
      <c r="A67" s="254">
        <f t="array" ref="A67">_xll.AC(DB,_xll.ArrayDPT($AA67:$AE67),_xll.ArrayCOA($AG67:$AZ67),YR-1,PRD,_xll.ArrayDIM($BB67:$BE67))</f>
        <v>0</v>
      </c>
      <c r="B67" s="254">
        <f t="shared" si="20"/>
        <v>0</v>
      </c>
      <c r="C67" s="254">
        <f t="shared" si="21"/>
        <v>0</v>
      </c>
      <c r="D67" s="254">
        <f t="shared" si="22"/>
        <v>0</v>
      </c>
      <c r="E67" s="254">
        <f t="array" ref="E67">_xll.BC(DB,_xll.ArrayDPT($AA67:$AE67),_xll.ArrayCOA($AG67:$AZ67),YR,PRD,RV,_xll.ArrayDIM($BB67:$BE67))</f>
        <v>0</v>
      </c>
      <c r="F67" s="254">
        <f t="shared" si="23"/>
        <v>0</v>
      </c>
      <c r="G67" s="254">
        <f t="array" ref="G67">_xll.AC(DB,_xll.ArrayDPT($AA67:$AE67),_xll.ArrayCOA($AG67:$AZ67),YR,PRD,_xll.ArrayDIM($BB67:$BE67))</f>
        <v>0</v>
      </c>
      <c r="H67" s="254">
        <f t="shared" si="24"/>
        <v>0</v>
      </c>
      <c r="I67" s="254"/>
      <c r="J67" s="328" t="s">
        <v>721</v>
      </c>
      <c r="K67" s="254"/>
      <c r="L67" s="254">
        <f t="array" ref="L67">_xll.ACC(DB,_xll.ArrayDPT($AA67:$AE67),_xll.ArrayCOA($AG67:$AZ67),YR,PRD,_xll.ArrayDIM($BB67:$BE67))</f>
        <v>0</v>
      </c>
      <c r="M67" s="237">
        <f t="shared" si="25"/>
        <v>0</v>
      </c>
      <c r="N67" s="254">
        <f t="array" ref="N67">_xll.BCC(DB,_xll.ArrayDPT($AA67:$AE67),_xll.ArrayCOA($AG67:$AZ67),YR,PRD,RV,_xll.ArrayDIM($BB67:$BE67))</f>
        <v>0</v>
      </c>
      <c r="O67" s="237">
        <f t="shared" si="26"/>
        <v>0</v>
      </c>
      <c r="P67" s="237">
        <f t="shared" si="27"/>
        <v>0</v>
      </c>
      <c r="Q67" s="237">
        <f t="shared" si="28"/>
        <v>0</v>
      </c>
      <c r="R67" s="254">
        <f t="array" ref="R67">_xll.ACC(DB,_xll.ArrayDPT($AA67:$AE67),_xll.ArrayCOA($AG67:$AZ67),YR-1,PRD,_xll.ArrayDIM($BB67:$BE67))</f>
        <v>0</v>
      </c>
      <c r="S67" s="237">
        <f t="shared" si="29"/>
        <v>0</v>
      </c>
      <c r="T67" s="328"/>
      <c r="U67" s="328"/>
      <c r="V67" s="328"/>
      <c r="W67" s="328"/>
      <c r="X67" s="328"/>
      <c r="Y67" s="328"/>
      <c r="Z67" s="328"/>
      <c r="AA67" s="95" t="s">
        <v>637</v>
      </c>
      <c r="AB67" s="96"/>
      <c r="AC67" s="96"/>
      <c r="AD67" s="96"/>
      <c r="AE67" s="96"/>
      <c r="AF67" s="97"/>
      <c r="AG67" s="95" t="s">
        <v>722</v>
      </c>
      <c r="AH67" s="96" t="s">
        <v>722</v>
      </c>
      <c r="AI67" s="95"/>
      <c r="AJ67" s="96"/>
      <c r="AK67" s="95"/>
      <c r="AL67" s="96"/>
      <c r="AM67" s="95"/>
      <c r="AN67" s="98"/>
      <c r="AO67" s="96"/>
      <c r="AP67" s="96"/>
      <c r="AQ67" s="95"/>
      <c r="AR67" s="98"/>
      <c r="AS67" s="96"/>
      <c r="AT67" s="96"/>
      <c r="AU67" s="95"/>
      <c r="AV67" s="98"/>
      <c r="AW67" s="96"/>
      <c r="AX67" s="96"/>
      <c r="AY67" s="95"/>
      <c r="AZ67" s="98"/>
      <c r="BA67" s="99"/>
      <c r="BB67" s="95"/>
      <c r="BC67" s="96"/>
      <c r="BD67" s="96"/>
      <c r="BE67" s="98"/>
      <c r="BF67" s="95"/>
      <c r="BG67" s="96"/>
      <c r="BH67" s="96"/>
      <c r="BI67" s="98"/>
    </row>
    <row r="68" spans="1:61" ht="12" customHeight="1">
      <c r="A68" s="254">
        <f t="array" ref="A68">_xll.AC(DB,_xll.ArrayDPT($AA68:$AE68),_xll.ArrayCOA($AG68:$AZ68),YR-1,PRD,_xll.ArrayDIM($BB68:$BE68))</f>
        <v>1500</v>
      </c>
      <c r="B68" s="254">
        <f t="shared" si="20"/>
        <v>2.0691027030314925E-2</v>
      </c>
      <c r="C68" s="254">
        <f t="shared" si="21"/>
        <v>-1500</v>
      </c>
      <c r="D68" s="254">
        <f t="shared" si="22"/>
        <v>1.8935016412241056E-2</v>
      </c>
      <c r="E68" s="254">
        <f t="array" ref="E68">_xll.BC(DB,_xll.ArrayDPT($AA68:$AE68),_xll.ArrayCOA($AG68:$AZ68),YR,PRD,RV,_xll.ArrayDIM($BB68:$BE68))</f>
        <v>0</v>
      </c>
      <c r="F68" s="254">
        <f t="shared" si="23"/>
        <v>0</v>
      </c>
      <c r="G68" s="254">
        <f t="array" ref="G68">_xll.AC(DB,_xll.ArrayDPT($AA68:$AE68),_xll.ArrayCOA($AG68:$AZ68),YR,PRD,_xll.ArrayDIM($BB68:$BE68))</f>
        <v>1500</v>
      </c>
      <c r="H68" s="254">
        <f t="shared" si="24"/>
        <v>1.8935016412241056E-2</v>
      </c>
      <c r="I68" s="254"/>
      <c r="J68" s="328" t="s">
        <v>723</v>
      </c>
      <c r="K68" s="254"/>
      <c r="L68" s="254">
        <f t="array" ref="L68">_xll.ACC(DB,_xll.ArrayDPT($AA68:$AE68),_xll.ArrayCOA($AG68:$AZ68),YR,PRD,_xll.ArrayDIM($BB68:$BE68))</f>
        <v>1500</v>
      </c>
      <c r="M68" s="237">
        <f t="shared" si="25"/>
        <v>1.8935016412241056E-2</v>
      </c>
      <c r="N68" s="254">
        <f t="array" ref="N68">_xll.BCC(DB,_xll.ArrayDPT($AA68:$AE68),_xll.ArrayCOA($AG68:$AZ68),YR,PRD,RV,_xll.ArrayDIM($BB68:$BE68))</f>
        <v>0</v>
      </c>
      <c r="O68" s="237">
        <f t="shared" si="26"/>
        <v>0</v>
      </c>
      <c r="P68" s="237">
        <f t="shared" si="27"/>
        <v>-1500</v>
      </c>
      <c r="Q68" s="237">
        <f t="shared" si="28"/>
        <v>1.8935016412241056E-2</v>
      </c>
      <c r="R68" s="254">
        <f t="array" ref="R68">_xll.ACC(DB,_xll.ArrayDPT($AA68:$AE68),_xll.ArrayCOA($AG68:$AZ68),YR-1,PRD,_xll.ArrayDIM($BB68:$BE68))</f>
        <v>1500</v>
      </c>
      <c r="S68" s="237">
        <f t="shared" si="29"/>
        <v>2.0691027030314925E-2</v>
      </c>
      <c r="T68" s="328"/>
      <c r="U68" s="328"/>
      <c r="V68" s="328"/>
      <c r="W68" s="328"/>
      <c r="X68" s="328"/>
      <c r="Y68" s="328"/>
      <c r="Z68" s="328"/>
      <c r="AA68" s="95" t="s">
        <v>637</v>
      </c>
      <c r="AB68" s="96"/>
      <c r="AC68" s="96"/>
      <c r="AD68" s="96"/>
      <c r="AE68" s="96"/>
      <c r="AF68" s="97"/>
      <c r="AG68" s="95" t="s">
        <v>724</v>
      </c>
      <c r="AH68" s="96" t="s">
        <v>724</v>
      </c>
      <c r="AI68" s="95"/>
      <c r="AJ68" s="96"/>
      <c r="AK68" s="95"/>
      <c r="AL68" s="96"/>
      <c r="AM68" s="95"/>
      <c r="AN68" s="98"/>
      <c r="AO68" s="96"/>
      <c r="AP68" s="96"/>
      <c r="AQ68" s="95"/>
      <c r="AR68" s="98"/>
      <c r="AS68" s="96"/>
      <c r="AT68" s="96"/>
      <c r="AU68" s="95"/>
      <c r="AV68" s="98"/>
      <c r="AW68" s="96"/>
      <c r="AX68" s="96"/>
      <c r="AY68" s="95"/>
      <c r="AZ68" s="98"/>
      <c r="BA68" s="99"/>
      <c r="BB68" s="95"/>
      <c r="BC68" s="96"/>
      <c r="BD68" s="96"/>
      <c r="BE68" s="98"/>
      <c r="BF68" s="95"/>
      <c r="BG68" s="96"/>
      <c r="BH68" s="96"/>
      <c r="BI68" s="98"/>
    </row>
    <row r="69" spans="1:61" ht="12" customHeight="1">
      <c r="A69" s="254">
        <f t="array" ref="A69">_xll.AC(DB,_xll.ArrayDPT($AA69:$AE69),_xll.ArrayCOA($AG69:$AZ69),YR-1,PRD,_xll.ArrayDIM($BB69:$BE69))</f>
        <v>0</v>
      </c>
      <c r="B69" s="254">
        <f t="shared" si="20"/>
        <v>0</v>
      </c>
      <c r="C69" s="254">
        <f t="shared" si="21"/>
        <v>0</v>
      </c>
      <c r="D69" s="254">
        <f t="shared" si="22"/>
        <v>0</v>
      </c>
      <c r="E69" s="254">
        <f t="array" ref="E69">_xll.BC(DB,_xll.ArrayDPT($AA69:$AE69),_xll.ArrayCOA($AG69:$AZ69),YR,PRD,RV,_xll.ArrayDIM($BB69:$BE69))</f>
        <v>0</v>
      </c>
      <c r="F69" s="254">
        <f t="shared" si="23"/>
        <v>0</v>
      </c>
      <c r="G69" s="254">
        <f t="array" ref="G69">_xll.AC(DB,_xll.ArrayDPT($AA69:$AE69),_xll.ArrayCOA($AG69:$AZ69),YR,PRD,_xll.ArrayDIM($BB69:$BE69))</f>
        <v>0</v>
      </c>
      <c r="H69" s="254">
        <f t="shared" si="24"/>
        <v>0</v>
      </c>
      <c r="I69" s="254"/>
      <c r="J69" s="328" t="s">
        <v>725</v>
      </c>
      <c r="K69" s="254"/>
      <c r="L69" s="254">
        <f t="array" ref="L69">_xll.ACC(DB,_xll.ArrayDPT($AA69:$AE69),_xll.ArrayCOA($AG69:$AZ69),YR,PRD,_xll.ArrayDIM($BB69:$BE69))</f>
        <v>0</v>
      </c>
      <c r="M69" s="237">
        <f t="shared" si="25"/>
        <v>0</v>
      </c>
      <c r="N69" s="254">
        <f t="array" ref="N69">_xll.BCC(DB,_xll.ArrayDPT($AA69:$AE69),_xll.ArrayCOA($AG69:$AZ69),YR,PRD,RV,_xll.ArrayDIM($BB69:$BE69))</f>
        <v>0</v>
      </c>
      <c r="O69" s="237">
        <f t="shared" si="26"/>
        <v>0</v>
      </c>
      <c r="P69" s="237">
        <f t="shared" si="27"/>
        <v>0</v>
      </c>
      <c r="Q69" s="237">
        <f t="shared" si="28"/>
        <v>0</v>
      </c>
      <c r="R69" s="254">
        <f t="array" ref="R69">_xll.ACC(DB,_xll.ArrayDPT($AA69:$AE69),_xll.ArrayCOA($AG69:$AZ69),YR-1,PRD,_xll.ArrayDIM($BB69:$BE69))</f>
        <v>0</v>
      </c>
      <c r="S69" s="237">
        <f t="shared" si="29"/>
        <v>0</v>
      </c>
      <c r="T69" s="328"/>
      <c r="U69" s="328"/>
      <c r="V69" s="328"/>
      <c r="W69" s="328"/>
      <c r="X69" s="328"/>
      <c r="Y69" s="328"/>
      <c r="Z69" s="328"/>
      <c r="AA69" s="95" t="s">
        <v>637</v>
      </c>
      <c r="AB69" s="96"/>
      <c r="AC69" s="96"/>
      <c r="AD69" s="96"/>
      <c r="AE69" s="96"/>
      <c r="AF69" s="97"/>
      <c r="AG69" s="95" t="s">
        <v>726</v>
      </c>
      <c r="AH69" s="96" t="s">
        <v>726</v>
      </c>
      <c r="AI69" s="95"/>
      <c r="AJ69" s="96"/>
      <c r="AK69" s="95"/>
      <c r="AL69" s="96"/>
      <c r="AM69" s="95"/>
      <c r="AN69" s="98"/>
      <c r="AO69" s="96"/>
      <c r="AP69" s="96"/>
      <c r="AQ69" s="95"/>
      <c r="AR69" s="98"/>
      <c r="AS69" s="96"/>
      <c r="AT69" s="96"/>
      <c r="AU69" s="95"/>
      <c r="AV69" s="98"/>
      <c r="AW69" s="96"/>
      <c r="AX69" s="96"/>
      <c r="AY69" s="95"/>
      <c r="AZ69" s="98"/>
      <c r="BA69" s="99"/>
      <c r="BB69" s="95"/>
      <c r="BC69" s="96"/>
      <c r="BD69" s="96"/>
      <c r="BE69" s="98"/>
      <c r="BF69" s="95"/>
      <c r="BG69" s="96"/>
      <c r="BH69" s="96"/>
      <c r="BI69" s="98"/>
    </row>
    <row r="70" spans="1:61" ht="6" customHeight="1">
      <c r="A70" s="341"/>
      <c r="B70" s="341"/>
      <c r="C70" s="341"/>
      <c r="D70" s="341"/>
      <c r="E70" s="341"/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28"/>
      <c r="U70" s="328"/>
      <c r="V70" s="328"/>
      <c r="W70" s="328"/>
      <c r="X70" s="328"/>
      <c r="Y70" s="328"/>
      <c r="Z70" s="328"/>
      <c r="AA70" s="95"/>
      <c r="AB70" s="96"/>
      <c r="AC70" s="96"/>
      <c r="AD70" s="96"/>
      <c r="AE70" s="96"/>
      <c r="AF70" s="97"/>
      <c r="AG70" s="95"/>
      <c r="AH70" s="96"/>
      <c r="AI70" s="95"/>
      <c r="AJ70" s="96"/>
      <c r="AK70" s="95"/>
      <c r="AL70" s="96"/>
      <c r="AM70" s="95"/>
      <c r="AN70" s="98"/>
      <c r="AO70" s="96"/>
      <c r="AP70" s="96"/>
      <c r="AQ70" s="95"/>
      <c r="AR70" s="98"/>
      <c r="AS70" s="96"/>
      <c r="AT70" s="96"/>
      <c r="AU70" s="95"/>
      <c r="AV70" s="98"/>
      <c r="AW70" s="96"/>
      <c r="AX70" s="96"/>
      <c r="AY70" s="95"/>
      <c r="AZ70" s="98"/>
      <c r="BA70" s="99"/>
      <c r="BB70" s="95"/>
      <c r="BC70" s="96"/>
      <c r="BD70" s="96"/>
      <c r="BE70" s="98"/>
      <c r="BF70" s="95"/>
      <c r="BG70" s="96"/>
      <c r="BH70" s="96"/>
      <c r="BI70" s="98"/>
    </row>
    <row r="71" spans="1:61" ht="12" customHeight="1">
      <c r="A71" s="334">
        <f>SUM(A28:A70)</f>
        <v>260601.79</v>
      </c>
      <c r="B71" s="334">
        <f t="shared" ref="B71:B73" si="30">IF(A71=0,0,(A71*100/A$14))</f>
        <v>3.5947457873589692</v>
      </c>
      <c r="C71" s="334">
        <f>SUM(C28:C70)</f>
        <v>-205080.59</v>
      </c>
      <c r="D71" s="334">
        <f t="shared" ref="D71:D73" si="31">IF(C71=0,0,(C71*100/C$14))</f>
        <v>2.5888028916547192</v>
      </c>
      <c r="E71" s="334">
        <f>SUM(E28:E70)</f>
        <v>0</v>
      </c>
      <c r="F71" s="334">
        <f t="shared" ref="F71:F73" si="32">IF(E71=0,0,(E71*100/E$14))</f>
        <v>0</v>
      </c>
      <c r="G71" s="334">
        <f>SUM(G28:G70)</f>
        <v>205080.59</v>
      </c>
      <c r="H71" s="334">
        <f t="shared" ref="H71:H73" si="33">IF(G71=0,0,(G71*100/G$14))</f>
        <v>2.5888028916547192</v>
      </c>
      <c r="I71" s="334"/>
      <c r="J71" s="342" t="s">
        <v>727</v>
      </c>
      <c r="K71" s="334"/>
      <c r="L71" s="338">
        <f>SUM(L28:L70)</f>
        <v>205080.59</v>
      </c>
      <c r="M71" s="338">
        <f t="shared" ref="M71:M73" si="34">IF(L71=0,0,(L71*100/L$14))</f>
        <v>2.5888028916547192</v>
      </c>
      <c r="N71" s="338">
        <f>SUM(N28:N70)</f>
        <v>0</v>
      </c>
      <c r="O71" s="338">
        <f t="shared" ref="O71:O73" si="35">IF(N71=0,0,(N71*100/N$14))</f>
        <v>0</v>
      </c>
      <c r="P71" s="338">
        <f>SUM(P28:P70)</f>
        <v>-205080.59</v>
      </c>
      <c r="Q71" s="338">
        <f t="shared" ref="Q71:Q73" si="36">IF(P71=0,0,(P71*100/P$14))</f>
        <v>2.5888028916547192</v>
      </c>
      <c r="R71" s="338">
        <f>SUM(R28:R70)</f>
        <v>260601.79</v>
      </c>
      <c r="S71" s="338">
        <f t="shared" ref="S71:S73" si="37">IF(R71=0,0,(R71*100/R$14))</f>
        <v>3.5947457873589692</v>
      </c>
      <c r="T71" s="339"/>
      <c r="U71" s="339"/>
      <c r="V71" s="339"/>
      <c r="W71" s="339"/>
      <c r="X71" s="339"/>
      <c r="Y71" s="339"/>
      <c r="Z71" s="339"/>
      <c r="AA71" s="95"/>
      <c r="AB71" s="96"/>
      <c r="AC71" s="96"/>
      <c r="AD71" s="96"/>
      <c r="AE71" s="96"/>
      <c r="AF71" s="97"/>
      <c r="AG71" s="95"/>
      <c r="AH71" s="96"/>
      <c r="AI71" s="95"/>
      <c r="AJ71" s="96"/>
      <c r="AK71" s="95"/>
      <c r="AL71" s="96"/>
      <c r="AM71" s="95"/>
      <c r="AN71" s="98"/>
      <c r="AO71" s="96"/>
      <c r="AP71" s="96"/>
      <c r="AQ71" s="95"/>
      <c r="AR71" s="98"/>
      <c r="AS71" s="96"/>
      <c r="AT71" s="96"/>
      <c r="AU71" s="95"/>
      <c r="AV71" s="98"/>
      <c r="AW71" s="96"/>
      <c r="AX71" s="96"/>
      <c r="AY71" s="95"/>
      <c r="AZ71" s="98"/>
      <c r="BA71" s="99"/>
      <c r="BB71" s="95"/>
      <c r="BC71" s="96"/>
      <c r="BD71" s="96"/>
      <c r="BE71" s="98"/>
      <c r="BF71" s="95"/>
      <c r="BG71" s="96"/>
      <c r="BH71" s="96"/>
      <c r="BI71" s="98"/>
    </row>
    <row r="72" spans="1:61" ht="12" customHeight="1">
      <c r="A72" s="343">
        <f>+A26+A71</f>
        <v>370101.79000000004</v>
      </c>
      <c r="B72" s="344">
        <f t="shared" si="30"/>
        <v>5.1051907605719586</v>
      </c>
      <c r="C72" s="343">
        <f>+C26+C71</f>
        <v>-348780.58999999997</v>
      </c>
      <c r="D72" s="344">
        <f t="shared" si="31"/>
        <v>4.4027774639474124</v>
      </c>
      <c r="E72" s="343">
        <f>+E26+E71</f>
        <v>0</v>
      </c>
      <c r="F72" s="344">
        <f t="shared" si="32"/>
        <v>0</v>
      </c>
      <c r="G72" s="343">
        <f>+G26+G71</f>
        <v>348780.58999999997</v>
      </c>
      <c r="H72" s="344">
        <f t="shared" si="33"/>
        <v>4.4027774639474124</v>
      </c>
      <c r="I72" s="345"/>
      <c r="J72" s="346" t="s">
        <v>728</v>
      </c>
      <c r="K72" s="345"/>
      <c r="L72" s="343">
        <f>+L26+L71</f>
        <v>348780.58999999997</v>
      </c>
      <c r="M72" s="347">
        <f t="shared" si="34"/>
        <v>4.4027774639474124</v>
      </c>
      <c r="N72" s="343">
        <f>+N26+N71</f>
        <v>0</v>
      </c>
      <c r="O72" s="347">
        <f t="shared" si="35"/>
        <v>0</v>
      </c>
      <c r="P72" s="343">
        <f>+P26+P71</f>
        <v>-348780.58999999997</v>
      </c>
      <c r="Q72" s="347">
        <f t="shared" si="36"/>
        <v>4.4027774639474124</v>
      </c>
      <c r="R72" s="343">
        <f>+R26+R71</f>
        <v>370101.79000000004</v>
      </c>
      <c r="S72" s="348">
        <f t="shared" si="37"/>
        <v>5.1051907605719586</v>
      </c>
      <c r="T72" s="349"/>
      <c r="U72" s="349"/>
      <c r="V72" s="349"/>
      <c r="W72" s="349"/>
      <c r="X72" s="349"/>
      <c r="Y72" s="349"/>
      <c r="Z72" s="349"/>
      <c r="AA72" s="95"/>
      <c r="AB72" s="96"/>
      <c r="AC72" s="96"/>
      <c r="AD72" s="96"/>
      <c r="AE72" s="96"/>
      <c r="AF72" s="97"/>
      <c r="AG72" s="95"/>
      <c r="AH72" s="96"/>
      <c r="AI72" s="95"/>
      <c r="AJ72" s="96"/>
      <c r="AK72" s="95"/>
      <c r="AL72" s="96"/>
      <c r="AM72" s="95"/>
      <c r="AN72" s="98"/>
      <c r="AO72" s="96"/>
      <c r="AP72" s="96"/>
      <c r="AQ72" s="95"/>
      <c r="AR72" s="98"/>
      <c r="AS72" s="96"/>
      <c r="AT72" s="96"/>
      <c r="AU72" s="95"/>
      <c r="AV72" s="98"/>
      <c r="AW72" s="96"/>
      <c r="AX72" s="96"/>
      <c r="AY72" s="95"/>
      <c r="AZ72" s="98"/>
      <c r="BA72" s="99"/>
      <c r="BB72" s="95"/>
      <c r="BC72" s="96"/>
      <c r="BD72" s="96"/>
      <c r="BE72" s="98"/>
      <c r="BF72" s="95"/>
      <c r="BG72" s="96"/>
      <c r="BH72" s="96"/>
      <c r="BI72" s="98"/>
    </row>
    <row r="73" spans="1:61" ht="12" customHeight="1">
      <c r="A73" s="350">
        <f>+A14-A72</f>
        <v>6879417.5199999996</v>
      </c>
      <c r="B73" s="350">
        <f t="shared" si="30"/>
        <v>94.894809239428042</v>
      </c>
      <c r="C73" s="350">
        <f>+C14-C72</f>
        <v>-7573050.4100000011</v>
      </c>
      <c r="D73" s="350">
        <f t="shared" si="31"/>
        <v>95.597222536052584</v>
      </c>
      <c r="E73" s="350">
        <f>+E14-E72</f>
        <v>0</v>
      </c>
      <c r="F73" s="350">
        <f t="shared" si="32"/>
        <v>0</v>
      </c>
      <c r="G73" s="351">
        <f>+G14-G72</f>
        <v>7573050.4100000011</v>
      </c>
      <c r="H73" s="350">
        <f t="shared" si="33"/>
        <v>95.597222536052584</v>
      </c>
      <c r="I73" s="352"/>
      <c r="J73" s="353" t="s">
        <v>729</v>
      </c>
      <c r="K73" s="352"/>
      <c r="L73" s="354">
        <f>+L14-L72</f>
        <v>7573050.4100000011</v>
      </c>
      <c r="M73" s="354">
        <f t="shared" si="34"/>
        <v>95.597222536052584</v>
      </c>
      <c r="N73" s="354">
        <f>+N14-N72</f>
        <v>0</v>
      </c>
      <c r="O73" s="354">
        <f t="shared" si="35"/>
        <v>0</v>
      </c>
      <c r="P73" s="354">
        <f>+P14-P72</f>
        <v>-7573050.4100000011</v>
      </c>
      <c r="Q73" s="354">
        <f t="shared" si="36"/>
        <v>95.597222536052584</v>
      </c>
      <c r="R73" s="354">
        <f>+R14-R72</f>
        <v>6879417.5199999996</v>
      </c>
      <c r="S73" s="355">
        <f t="shared" si="37"/>
        <v>94.894809239428042</v>
      </c>
      <c r="T73" s="349"/>
      <c r="U73" s="349"/>
      <c r="V73" s="349"/>
      <c r="W73" s="349"/>
      <c r="X73" s="349"/>
      <c r="Y73" s="349"/>
      <c r="Z73" s="349"/>
      <c r="AA73" s="95"/>
      <c r="AB73" s="96"/>
      <c r="AC73" s="96"/>
      <c r="AD73" s="96"/>
      <c r="AE73" s="96"/>
      <c r="AF73" s="97"/>
      <c r="AG73" s="95"/>
      <c r="AH73" s="96"/>
      <c r="AI73" s="95"/>
      <c r="AJ73" s="96"/>
      <c r="AK73" s="95"/>
      <c r="AL73" s="96"/>
      <c r="AM73" s="95"/>
      <c r="AN73" s="98"/>
      <c r="AO73" s="96"/>
      <c r="AP73" s="96"/>
      <c r="AQ73" s="95"/>
      <c r="AR73" s="98"/>
      <c r="AS73" s="96"/>
      <c r="AT73" s="96"/>
      <c r="AU73" s="95"/>
      <c r="AV73" s="98"/>
      <c r="AW73" s="96"/>
      <c r="AX73" s="96"/>
      <c r="AY73" s="95"/>
      <c r="AZ73" s="98"/>
      <c r="BA73" s="99"/>
      <c r="BB73" s="95"/>
      <c r="BC73" s="96"/>
      <c r="BD73" s="96"/>
      <c r="BE73" s="98"/>
      <c r="BF73" s="95"/>
      <c r="BG73" s="96"/>
      <c r="BH73" s="96"/>
      <c r="BI73" s="98"/>
    </row>
    <row r="74" spans="1:61" ht="12" customHeight="1">
      <c r="A74" s="279"/>
      <c r="B74" s="279"/>
      <c r="C74" s="279"/>
      <c r="D74" s="279"/>
      <c r="E74" s="279"/>
      <c r="F74" s="279"/>
      <c r="G74" s="356"/>
      <c r="H74" s="279"/>
      <c r="I74" s="279"/>
      <c r="J74" s="339"/>
      <c r="K74" s="279"/>
      <c r="L74" s="262"/>
      <c r="M74" s="262"/>
      <c r="N74" s="262"/>
      <c r="O74" s="262"/>
      <c r="P74" s="262"/>
      <c r="Q74" s="262"/>
      <c r="R74" s="262"/>
      <c r="S74" s="262"/>
      <c r="T74" s="339"/>
      <c r="U74" s="339"/>
      <c r="V74" s="339"/>
      <c r="W74" s="339"/>
      <c r="X74" s="339"/>
      <c r="Y74" s="339"/>
      <c r="Z74" s="339"/>
      <c r="AA74" s="95"/>
      <c r="AB74" s="96"/>
      <c r="AC74" s="96"/>
      <c r="AD74" s="96"/>
      <c r="AE74" s="96"/>
      <c r="AF74" s="97"/>
      <c r="AG74" s="95"/>
      <c r="AH74" s="96"/>
      <c r="AI74" s="95"/>
      <c r="AJ74" s="96"/>
      <c r="AK74" s="95"/>
      <c r="AL74" s="96"/>
      <c r="AM74" s="95"/>
      <c r="AN74" s="98"/>
      <c r="AO74" s="96"/>
      <c r="AP74" s="96"/>
      <c r="AQ74" s="95"/>
      <c r="AR74" s="98"/>
      <c r="AS74" s="96"/>
      <c r="AT74" s="96"/>
      <c r="AU74" s="95"/>
      <c r="AV74" s="98"/>
      <c r="AW74" s="96"/>
      <c r="AX74" s="96"/>
      <c r="AY74" s="95"/>
      <c r="AZ74" s="98"/>
      <c r="BA74" s="99"/>
      <c r="BB74" s="95"/>
      <c r="BC74" s="96"/>
      <c r="BD74" s="96"/>
      <c r="BE74" s="98"/>
      <c r="BF74" s="95"/>
      <c r="BG74" s="96"/>
      <c r="BH74" s="96"/>
      <c r="BI74" s="98"/>
    </row>
    <row r="75" spans="1:61" ht="12" customHeight="1">
      <c r="A75" s="279"/>
      <c r="B75" s="279"/>
      <c r="C75" s="279"/>
      <c r="D75" s="279"/>
      <c r="E75" s="279"/>
      <c r="F75" s="279"/>
      <c r="G75" s="279"/>
      <c r="H75" s="279"/>
      <c r="I75" s="279"/>
      <c r="J75" s="339"/>
      <c r="K75" s="279"/>
      <c r="L75" s="262"/>
      <c r="M75" s="262"/>
      <c r="N75" s="262"/>
      <c r="O75" s="262"/>
      <c r="P75" s="262"/>
      <c r="Q75" s="262"/>
      <c r="R75" s="262"/>
      <c r="S75" s="262"/>
      <c r="T75" s="339"/>
      <c r="U75" s="339"/>
      <c r="V75" s="339"/>
      <c r="W75" s="339"/>
      <c r="X75" s="339"/>
      <c r="Y75" s="339"/>
      <c r="Z75" s="339"/>
      <c r="AA75" s="95"/>
      <c r="AB75" s="96"/>
      <c r="AC75" s="96"/>
      <c r="AD75" s="96"/>
      <c r="AE75" s="96"/>
      <c r="AF75" s="97"/>
      <c r="AG75" s="95"/>
      <c r="AH75" s="96"/>
      <c r="AI75" s="95"/>
      <c r="AJ75" s="96"/>
      <c r="AK75" s="95"/>
      <c r="AL75" s="96"/>
      <c r="AM75" s="95"/>
      <c r="AN75" s="98"/>
      <c r="AO75" s="96"/>
      <c r="AP75" s="96"/>
      <c r="AQ75" s="95"/>
      <c r="AR75" s="98"/>
      <c r="AS75" s="96"/>
      <c r="AT75" s="96"/>
      <c r="AU75" s="95"/>
      <c r="AV75" s="98"/>
      <c r="AW75" s="96"/>
      <c r="AX75" s="96"/>
      <c r="AY75" s="95"/>
      <c r="AZ75" s="98"/>
      <c r="BA75" s="99"/>
      <c r="BB75" s="95"/>
      <c r="BC75" s="96"/>
      <c r="BD75" s="96"/>
      <c r="BE75" s="98"/>
      <c r="BF75" s="95"/>
      <c r="BG75" s="96"/>
      <c r="BH75" s="96"/>
      <c r="BI75" s="98"/>
    </row>
    <row r="76" spans="1:61" ht="12" customHeight="1">
      <c r="A76" s="357"/>
      <c r="B76" s="254"/>
      <c r="C76" s="357"/>
      <c r="D76" s="254"/>
      <c r="E76" s="357"/>
      <c r="F76" s="254"/>
      <c r="G76" s="357"/>
      <c r="H76" s="254"/>
      <c r="I76" s="254"/>
      <c r="J76" s="358" t="s">
        <v>730</v>
      </c>
      <c r="K76" s="254"/>
      <c r="L76" s="251"/>
      <c r="M76" s="237"/>
      <c r="N76" s="251"/>
      <c r="O76" s="237"/>
      <c r="P76" s="251"/>
      <c r="Q76" s="237"/>
      <c r="R76" s="251"/>
      <c r="S76" s="237"/>
      <c r="T76" s="359"/>
      <c r="U76" s="359"/>
      <c r="V76" s="359"/>
      <c r="W76" s="359"/>
      <c r="X76" s="359"/>
      <c r="Y76" s="359"/>
      <c r="Z76" s="359"/>
      <c r="AA76" s="95"/>
      <c r="AB76" s="96"/>
      <c r="AC76" s="96"/>
      <c r="AD76" s="96"/>
      <c r="AE76" s="96"/>
      <c r="AF76" s="97"/>
      <c r="AG76" s="95"/>
      <c r="AH76" s="96"/>
      <c r="AI76" s="95"/>
      <c r="AJ76" s="96"/>
      <c r="AK76" s="95"/>
      <c r="AL76" s="96"/>
      <c r="AM76" s="95"/>
      <c r="AN76" s="98"/>
      <c r="AO76" s="96"/>
      <c r="AP76" s="96"/>
      <c r="AQ76" s="95"/>
      <c r="AR76" s="98"/>
      <c r="AS76" s="96"/>
      <c r="AT76" s="96"/>
      <c r="AU76" s="95"/>
      <c r="AV76" s="98"/>
      <c r="AW76" s="96"/>
      <c r="AX76" s="96"/>
      <c r="AY76" s="95"/>
      <c r="AZ76" s="98"/>
      <c r="BA76" s="99"/>
      <c r="BB76" s="95"/>
      <c r="BC76" s="96"/>
      <c r="BD76" s="96"/>
      <c r="BE76" s="98"/>
      <c r="BF76" s="95"/>
      <c r="BG76" s="96"/>
      <c r="BH76" s="96"/>
      <c r="BI76" s="98"/>
    </row>
    <row r="77" spans="1:61" ht="12" customHeight="1">
      <c r="A77" s="360">
        <f t="array" ref="A77">_xll.AC(DB,_xll.ArrayDPT($AA77:$AE77),_xll.ArrayCOA($AG77:$AZ77),YR-1,PRD,_xll.ArrayDIM($BB77:$BE77))</f>
        <v>0</v>
      </c>
      <c r="B77" s="361"/>
      <c r="C77" s="361">
        <f t="shared" ref="C77:C81" si="38">+G77-E77</f>
        <v>0</v>
      </c>
      <c r="D77" s="361"/>
      <c r="E77" s="361">
        <f t="array" ref="E77">_xll.BC(DB,_xll.ArrayDPT($AA77:$AE77),_xll.ArrayCOA($AG77:$AZ77),YR,PRD,RV,_xll.ArrayDIM($BB77:$BE77))</f>
        <v>0</v>
      </c>
      <c r="F77" s="361"/>
      <c r="G77" s="361">
        <f t="array" ref="G77">_xll.AC(DB,_xll.ArrayDPT($AA77:$AE77),_xll.ArrayCOA($AG77:$AZ77),YR,PRD,_xll.ArrayDIM($BB77:$BE77))</f>
        <v>0</v>
      </c>
      <c r="H77" s="361"/>
      <c r="I77" s="361"/>
      <c r="J77" s="362" t="s">
        <v>731</v>
      </c>
      <c r="K77" s="361"/>
      <c r="L77" s="363">
        <f t="array" ref="L77">_xll.ACC(DB,_xll.ArrayDPT($AA77:$AE77),_xll.ArrayCOA($AG77:$AZ77),YR,PRD,_xll.ArrayDIM($BB77:$BE77))</f>
        <v>0</v>
      </c>
      <c r="M77" s="363"/>
      <c r="N77" s="363">
        <f t="array" ref="N77">_xll.BCC(DB,_xll.ArrayDPT($AA77:$AE77),_xll.ArrayCOA($AG77:$AZ77),YR,PRD,RV,_xll.ArrayDIM($BB77:$BE77))</f>
        <v>0</v>
      </c>
      <c r="O77" s="363"/>
      <c r="P77" s="363">
        <f t="shared" ref="P77:P81" si="39">+N77-L77</f>
        <v>0</v>
      </c>
      <c r="Q77" s="363"/>
      <c r="R77" s="363">
        <f t="array" ref="R77">_xll.ACC(DB,_xll.ArrayDPT($AA77:$AE77),_xll.ArrayCOA($AG77:$AZ77),YR-1,PRD,_xll.ArrayDIM($BB77:$BE77))</f>
        <v>0</v>
      </c>
      <c r="S77" s="363"/>
      <c r="T77" s="364"/>
      <c r="U77" s="364"/>
      <c r="V77" s="359"/>
      <c r="W77" s="359"/>
      <c r="X77" s="359"/>
      <c r="Y77" s="359"/>
      <c r="Z77" s="359"/>
      <c r="AA77" s="95"/>
      <c r="AB77" s="96"/>
      <c r="AC77" s="96"/>
      <c r="AD77" s="96"/>
      <c r="AE77" s="96"/>
      <c r="AF77" s="97"/>
      <c r="AG77" s="95"/>
      <c r="AH77" s="96"/>
      <c r="AI77" s="95"/>
      <c r="AJ77" s="96"/>
      <c r="AK77" s="95"/>
      <c r="AL77" s="96"/>
      <c r="AM77" s="95"/>
      <c r="AN77" s="98"/>
      <c r="AO77" s="96"/>
      <c r="AP77" s="96"/>
      <c r="AQ77" s="95"/>
      <c r="AR77" s="98"/>
      <c r="AS77" s="96"/>
      <c r="AT77" s="96"/>
      <c r="AU77" s="95"/>
      <c r="AV77" s="98"/>
      <c r="AW77" s="96"/>
      <c r="AX77" s="96"/>
      <c r="AY77" s="95"/>
      <c r="AZ77" s="98"/>
      <c r="BA77" s="99"/>
      <c r="BB77" s="95"/>
      <c r="BC77" s="96"/>
      <c r="BD77" s="96"/>
      <c r="BE77" s="98"/>
      <c r="BF77" s="95"/>
      <c r="BG77" s="96"/>
      <c r="BH77" s="96"/>
      <c r="BI77" s="98"/>
    </row>
    <row r="78" spans="1:61" ht="12" customHeight="1">
      <c r="A78" s="360">
        <f t="array" ref="A78">_xll.AC(DB,_xll.ArrayDPT($AA78:$AE78),_xll.ArrayCOA($AG78:$AZ78),YR-1,PRD,_xll.ArrayDIM($BB78:$BE78))</f>
        <v>0</v>
      </c>
      <c r="B78" s="361"/>
      <c r="C78" s="361">
        <f t="shared" si="38"/>
        <v>0</v>
      </c>
      <c r="D78" s="361"/>
      <c r="E78" s="361">
        <f t="array" ref="E78">_xll.BC(DB,_xll.ArrayDPT($AA78:$AE78),_xll.ArrayCOA($AG78:$AZ78),YR,PRD,RV,_xll.ArrayDIM($BB78:$BE78))</f>
        <v>0</v>
      </c>
      <c r="F78" s="361"/>
      <c r="G78" s="361">
        <f t="array" ref="G78">_xll.AC(DB,_xll.ArrayDPT($AA78:$AE78),_xll.ArrayCOA($AG78:$AZ78),YR,PRD,_xll.ArrayDIM($BB78:$BE78))</f>
        <v>0</v>
      </c>
      <c r="H78" s="361"/>
      <c r="I78" s="361"/>
      <c r="J78" s="362" t="s">
        <v>732</v>
      </c>
      <c r="K78" s="361"/>
      <c r="L78" s="363">
        <f t="array" ref="L78">_xll.ACC(DB,_xll.ArrayDPT($AA78:$AE78),_xll.ArrayCOA($AG78:$AZ78),YR,PRD,_xll.ArrayDIM($BB78:$BE78))</f>
        <v>0</v>
      </c>
      <c r="M78" s="363"/>
      <c r="N78" s="363">
        <f t="array" ref="N78">_xll.BCC(DB,_xll.ArrayDPT($AA78:$AE78),_xll.ArrayCOA($AG78:$AZ78),YR,PRD,RV,_xll.ArrayDIM($BB78:$BE78))</f>
        <v>0</v>
      </c>
      <c r="O78" s="363"/>
      <c r="P78" s="363">
        <f t="shared" si="39"/>
        <v>0</v>
      </c>
      <c r="Q78" s="363"/>
      <c r="R78" s="363">
        <f t="array" ref="R78">_xll.ACC(DB,_xll.ArrayDPT($AA78:$AE78),_xll.ArrayCOA($AG78:$AZ78),YR-1,PRD,_xll.ArrayDIM($BB78:$BE78))</f>
        <v>0</v>
      </c>
      <c r="S78" s="363"/>
      <c r="T78" s="359"/>
      <c r="U78" s="359"/>
      <c r="V78" s="359"/>
      <c r="W78" s="359"/>
      <c r="X78" s="359"/>
      <c r="Y78" s="359"/>
      <c r="Z78" s="359"/>
      <c r="AA78" s="95"/>
      <c r="AB78" s="96"/>
      <c r="AC78" s="96"/>
      <c r="AD78" s="96"/>
      <c r="AE78" s="96"/>
      <c r="AF78" s="97"/>
      <c r="AG78" s="95"/>
      <c r="AH78" s="96"/>
      <c r="AI78" s="95"/>
      <c r="AJ78" s="96"/>
      <c r="AK78" s="95"/>
      <c r="AL78" s="96"/>
      <c r="AM78" s="95"/>
      <c r="AN78" s="98"/>
      <c r="AO78" s="96"/>
      <c r="AP78" s="96"/>
      <c r="AQ78" s="95"/>
      <c r="AR78" s="98"/>
      <c r="AS78" s="96"/>
      <c r="AT78" s="96"/>
      <c r="AU78" s="95"/>
      <c r="AV78" s="98"/>
      <c r="AW78" s="96"/>
      <c r="AX78" s="96"/>
      <c r="AY78" s="95"/>
      <c r="AZ78" s="98"/>
      <c r="BA78" s="99"/>
      <c r="BB78" s="95"/>
      <c r="BC78" s="96"/>
      <c r="BD78" s="96"/>
      <c r="BE78" s="98"/>
      <c r="BF78" s="95"/>
      <c r="BG78" s="96"/>
      <c r="BH78" s="96"/>
      <c r="BI78" s="98"/>
    </row>
    <row r="79" spans="1:61" ht="12" customHeight="1">
      <c r="A79" s="360">
        <f t="array" ref="A79">_xll.AC(DB,_xll.ArrayDPT($AA79:$AE79),_xll.ArrayCOA($AG79:$AZ79),YR-1,PRD,_xll.ArrayDIM($BB79:$BE79))</f>
        <v>0</v>
      </c>
      <c r="B79" s="361"/>
      <c r="C79" s="361">
        <f t="shared" si="38"/>
        <v>0</v>
      </c>
      <c r="D79" s="361"/>
      <c r="E79" s="361">
        <f t="array" ref="E79">_xll.BC(DB,_xll.ArrayDPT($AA79:$AE79),_xll.ArrayCOA($AG79:$AZ79),YR,PRD,RV,_xll.ArrayDIM($BB79:$BE79))</f>
        <v>0</v>
      </c>
      <c r="F79" s="361"/>
      <c r="G79" s="361">
        <f t="array" ref="G79">_xll.AC(DB,_xll.ArrayDPT($AA79:$AE79),_xll.ArrayCOA($AG79:$AZ79),YR,PRD,_xll.ArrayDIM($BB79:$BE79))</f>
        <v>0</v>
      </c>
      <c r="H79" s="361"/>
      <c r="I79" s="361"/>
      <c r="J79" s="362" t="s">
        <v>733</v>
      </c>
      <c r="K79" s="361"/>
      <c r="L79" s="363">
        <f t="array" ref="L79">_xll.ACC(DB,_xll.ArrayDPT($AA79:$AE79),_xll.ArrayCOA($AG79:$AZ79),YR,PRD,_xll.ArrayDIM($BB79:$BE79))</f>
        <v>0</v>
      </c>
      <c r="M79" s="363"/>
      <c r="N79" s="363">
        <f t="array" ref="N79">_xll.BCC(DB,_xll.ArrayDPT($AA79:$AE79),_xll.ArrayCOA($AG79:$AZ79),YR,PRD,RV,_xll.ArrayDIM($BB79:$BE79))</f>
        <v>0</v>
      </c>
      <c r="O79" s="363"/>
      <c r="P79" s="363">
        <f t="shared" si="39"/>
        <v>0</v>
      </c>
      <c r="Q79" s="363"/>
      <c r="R79" s="363">
        <f t="array" ref="R79">_xll.ACC(DB,_xll.ArrayDPT($AA79:$AE79),_xll.ArrayCOA($AG79:$AZ79),YR-1,PRD,_xll.ArrayDIM($BB79:$BE79))</f>
        <v>0</v>
      </c>
      <c r="S79" s="363"/>
      <c r="T79" s="364"/>
      <c r="U79" s="364"/>
      <c r="V79" s="364"/>
      <c r="W79" s="359"/>
      <c r="X79" s="359"/>
      <c r="Y79" s="359"/>
      <c r="Z79" s="359"/>
      <c r="AA79" s="95"/>
      <c r="AB79" s="96"/>
      <c r="AC79" s="96"/>
      <c r="AD79" s="96"/>
      <c r="AE79" s="96"/>
      <c r="AF79" s="97"/>
      <c r="AG79" s="95"/>
      <c r="AH79" s="96"/>
      <c r="AI79" s="95"/>
      <c r="AJ79" s="96"/>
      <c r="AK79" s="95"/>
      <c r="AL79" s="96"/>
      <c r="AM79" s="95"/>
      <c r="AN79" s="98"/>
      <c r="AO79" s="96"/>
      <c r="AP79" s="96"/>
      <c r="AQ79" s="95"/>
      <c r="AR79" s="98"/>
      <c r="AS79" s="96"/>
      <c r="AT79" s="96"/>
      <c r="AU79" s="95"/>
      <c r="AV79" s="98"/>
      <c r="AW79" s="96"/>
      <c r="AX79" s="96"/>
      <c r="AY79" s="95"/>
      <c r="AZ79" s="98"/>
      <c r="BA79" s="99"/>
      <c r="BB79" s="95"/>
      <c r="BC79" s="96"/>
      <c r="BD79" s="96"/>
      <c r="BE79" s="98"/>
      <c r="BF79" s="95"/>
      <c r="BG79" s="96"/>
      <c r="BH79" s="96"/>
      <c r="BI79" s="98"/>
    </row>
    <row r="80" spans="1:61" ht="12" customHeight="1">
      <c r="A80" s="360">
        <f t="array" ref="A80">_xll.AC(DB,_xll.ArrayDPT($AA80:$AE80),_xll.ArrayCOA($AG80:$AZ80),YR-1,PRD,_xll.ArrayDIM($BB80:$BE80))</f>
        <v>0</v>
      </c>
      <c r="B80" s="361"/>
      <c r="C80" s="361">
        <f t="shared" si="38"/>
        <v>0</v>
      </c>
      <c r="D80" s="361"/>
      <c r="E80" s="361">
        <f t="array" ref="E80">_xll.BC(DB,_xll.ArrayDPT($AA80:$AE80),_xll.ArrayCOA($AG80:$AZ80),YR,PRD,RV,_xll.ArrayDIM($BB80:$BE80))</f>
        <v>0</v>
      </c>
      <c r="F80" s="361"/>
      <c r="G80" s="361">
        <f t="array" ref="G80">_xll.AC(DB,_xll.ArrayDPT($AA80:$AE80),_xll.ArrayCOA($AG80:$AZ80),YR,PRD,_xll.ArrayDIM($BB80:$BE80))</f>
        <v>0</v>
      </c>
      <c r="H80" s="361"/>
      <c r="I80" s="361"/>
      <c r="J80" s="362" t="s">
        <v>734</v>
      </c>
      <c r="K80" s="361"/>
      <c r="L80" s="363">
        <f t="array" ref="L80">_xll.ACC(DB,_xll.ArrayDPT($AA80:$AE80),_xll.ArrayCOA($AG80:$AZ80),YR,PRD,_xll.ArrayDIM($BB80:$BE80))</f>
        <v>0</v>
      </c>
      <c r="M80" s="363"/>
      <c r="N80" s="363">
        <f t="array" ref="N80">_xll.BCC(DB,_xll.ArrayDPT($AA80:$AE80),_xll.ArrayCOA($AG80:$AZ80),YR,PRD,RV,_xll.ArrayDIM($BB80:$BE80))</f>
        <v>0</v>
      </c>
      <c r="O80" s="363"/>
      <c r="P80" s="363">
        <f t="shared" si="39"/>
        <v>0</v>
      </c>
      <c r="Q80" s="363"/>
      <c r="R80" s="363">
        <f t="array" ref="R80">_xll.ACC(DB,_xll.ArrayDPT($AA80:$AE80),_xll.ArrayCOA($AG80:$AZ80),YR-1,PRD,_xll.ArrayDIM($BB80:$BE80))</f>
        <v>0</v>
      </c>
      <c r="S80" s="363"/>
      <c r="T80" s="365"/>
      <c r="U80" s="359"/>
      <c r="V80" s="359"/>
      <c r="W80" s="359"/>
      <c r="X80" s="359"/>
      <c r="Y80" s="359"/>
      <c r="Z80" s="359"/>
      <c r="AA80" s="95"/>
      <c r="AB80" s="96"/>
      <c r="AC80" s="96"/>
      <c r="AD80" s="96"/>
      <c r="AE80" s="96"/>
      <c r="AF80" s="97"/>
      <c r="AG80" s="95"/>
      <c r="AH80" s="96"/>
      <c r="AI80" s="95"/>
      <c r="AJ80" s="96"/>
      <c r="AK80" s="95"/>
      <c r="AL80" s="96"/>
      <c r="AM80" s="95"/>
      <c r="AN80" s="98"/>
      <c r="AO80" s="96"/>
      <c r="AP80" s="96"/>
      <c r="AQ80" s="95"/>
      <c r="AR80" s="98"/>
      <c r="AS80" s="96"/>
      <c r="AT80" s="96"/>
      <c r="AU80" s="95"/>
      <c r="AV80" s="98"/>
      <c r="AW80" s="96"/>
      <c r="AX80" s="96"/>
      <c r="AY80" s="95"/>
      <c r="AZ80" s="98"/>
      <c r="BA80" s="99"/>
      <c r="BB80" s="95"/>
      <c r="BC80" s="96"/>
      <c r="BD80" s="96"/>
      <c r="BE80" s="98"/>
      <c r="BF80" s="95"/>
      <c r="BG80" s="96"/>
      <c r="BH80" s="96"/>
      <c r="BI80" s="98"/>
    </row>
    <row r="81" spans="1:61" ht="12" customHeight="1">
      <c r="A81" s="360">
        <f t="array" ref="A81">_xll.AC(DB,_xll.ArrayDPT($AA81:$AE81),_xll.ArrayCOA($AG81:$AZ81),YR-1,PRD,_xll.ArrayDIM($BB81:$BE81))</f>
        <v>0</v>
      </c>
      <c r="B81" s="361"/>
      <c r="C81" s="361">
        <f t="shared" si="38"/>
        <v>0</v>
      </c>
      <c r="D81" s="361"/>
      <c r="E81" s="361">
        <f t="array" ref="E81">_xll.BC(DB,_xll.ArrayDPT($AA81:$AE81),_xll.ArrayCOA($AG81:$AZ81),YR,PRD,RV,_xll.ArrayDIM($BB81:$BE81))</f>
        <v>0</v>
      </c>
      <c r="F81" s="361"/>
      <c r="G81" s="361">
        <f t="array" ref="G81">_xll.AC(DB,_xll.ArrayDPT($AA81:$AE81),_xll.ArrayCOA($AG81:$AZ81),YR,PRD,_xll.ArrayDIM($BB81:$BE81))</f>
        <v>0</v>
      </c>
      <c r="H81" s="361"/>
      <c r="I81" s="361"/>
      <c r="J81" s="362" t="s">
        <v>735</v>
      </c>
      <c r="K81" s="361"/>
      <c r="L81" s="363">
        <f t="array" ref="L81">_xll.ACC(DB,_xll.ArrayDPT($AA81:$AE81),_xll.ArrayCOA($AG81:$AZ81),YR,PRD,_xll.ArrayDIM($BB81:$BE81))</f>
        <v>0</v>
      </c>
      <c r="M81" s="363"/>
      <c r="N81" s="363">
        <f t="array" ref="N81">_xll.BCC(DB,_xll.ArrayDPT($AA81:$AE81),_xll.ArrayCOA($AG81:$AZ81),YR,PRD,RV,_xll.ArrayDIM($BB81:$BE81))</f>
        <v>0</v>
      </c>
      <c r="O81" s="363"/>
      <c r="P81" s="363">
        <f t="shared" si="39"/>
        <v>0</v>
      </c>
      <c r="Q81" s="363"/>
      <c r="R81" s="363">
        <f t="array" ref="R81">_xll.ACC(DB,_xll.ArrayDPT($AA81:$AE81),_xll.ArrayCOA($AG81:$AZ81),YR-1,PRD,_xll.ArrayDIM($BB81:$BE81))</f>
        <v>0</v>
      </c>
      <c r="S81" s="363"/>
      <c r="T81" s="364"/>
      <c r="U81" s="364"/>
      <c r="V81" s="364"/>
      <c r="W81" s="364"/>
      <c r="X81" s="364"/>
      <c r="Y81" s="364"/>
      <c r="Z81" s="364"/>
      <c r="AA81" s="95"/>
      <c r="AB81" s="96"/>
      <c r="AC81" s="96"/>
      <c r="AD81" s="96"/>
      <c r="AE81" s="96"/>
      <c r="AF81" s="97"/>
      <c r="AG81" s="95"/>
      <c r="AH81" s="96"/>
      <c r="AI81" s="95"/>
      <c r="AJ81" s="96"/>
      <c r="AK81" s="95"/>
      <c r="AL81" s="96"/>
      <c r="AM81" s="95"/>
      <c r="AN81" s="98"/>
      <c r="AO81" s="96"/>
      <c r="AP81" s="96"/>
      <c r="AQ81" s="95"/>
      <c r="AR81" s="98"/>
      <c r="AS81" s="96"/>
      <c r="AT81" s="96"/>
      <c r="AU81" s="95"/>
      <c r="AV81" s="98"/>
      <c r="AW81" s="96"/>
      <c r="AX81" s="96"/>
      <c r="AY81" s="95"/>
      <c r="AZ81" s="98"/>
      <c r="BA81" s="99"/>
      <c r="BB81" s="95"/>
      <c r="BC81" s="96"/>
      <c r="BD81" s="96"/>
      <c r="BE81" s="98"/>
      <c r="BF81" s="95"/>
      <c r="BG81" s="96"/>
      <c r="BH81" s="96"/>
      <c r="BI81" s="98"/>
    </row>
    <row r="82" spans="1:61" ht="12" customHeight="1">
      <c r="A82" s="366"/>
      <c r="B82" s="366"/>
      <c r="C82" s="366"/>
      <c r="D82" s="366"/>
      <c r="E82" s="366"/>
      <c r="F82" s="366"/>
      <c r="G82" s="366"/>
      <c r="H82" s="366"/>
      <c r="I82" s="366"/>
      <c r="J82" s="364"/>
      <c r="K82" s="366"/>
      <c r="L82" s="239"/>
      <c r="M82" s="239"/>
      <c r="N82" s="239"/>
      <c r="O82" s="239"/>
      <c r="P82" s="239"/>
      <c r="Q82" s="239"/>
      <c r="R82" s="239"/>
      <c r="S82" s="239"/>
      <c r="T82" s="364"/>
      <c r="U82" s="364"/>
      <c r="V82" s="364"/>
      <c r="W82" s="364"/>
      <c r="X82" s="364"/>
      <c r="Y82" s="364"/>
      <c r="Z82" s="364"/>
    </row>
    <row r="83" spans="1:61" ht="12" customHeight="1">
      <c r="A83" s="366"/>
      <c r="B83" s="366"/>
      <c r="C83" s="366"/>
      <c r="D83" s="366"/>
      <c r="E83" s="366"/>
      <c r="F83" s="366"/>
      <c r="G83" s="366"/>
      <c r="H83" s="366"/>
      <c r="I83" s="366"/>
      <c r="J83" s="364"/>
      <c r="K83" s="366"/>
      <c r="L83" s="239"/>
      <c r="M83" s="239"/>
      <c r="N83" s="239"/>
      <c r="O83" s="239"/>
      <c r="P83" s="239"/>
      <c r="Q83" s="239"/>
      <c r="R83" s="239"/>
      <c r="S83" s="239"/>
      <c r="T83" s="364"/>
      <c r="U83" s="364"/>
      <c r="V83" s="364"/>
      <c r="W83" s="364"/>
      <c r="X83" s="364"/>
      <c r="Y83" s="364"/>
      <c r="Z83" s="364"/>
    </row>
    <row r="84" spans="1:61" ht="12" customHeight="1">
      <c r="A84" s="366"/>
      <c r="B84" s="366"/>
      <c r="C84" s="366"/>
      <c r="D84" s="366"/>
      <c r="E84" s="366"/>
      <c r="F84" s="366"/>
      <c r="G84" s="366"/>
      <c r="H84" s="366"/>
      <c r="I84" s="366"/>
      <c r="J84" s="364"/>
      <c r="K84" s="366"/>
      <c r="L84" s="239"/>
      <c r="M84" s="239"/>
      <c r="N84" s="239"/>
      <c r="O84" s="239"/>
      <c r="P84" s="239"/>
      <c r="Q84" s="239"/>
      <c r="R84" s="239"/>
      <c r="S84" s="239"/>
      <c r="T84" s="364"/>
      <c r="U84" s="364"/>
      <c r="V84" s="364"/>
      <c r="W84" s="364"/>
      <c r="X84" s="364"/>
      <c r="Y84" s="364"/>
      <c r="Z84" s="364"/>
    </row>
    <row r="85" spans="1:61" ht="12" customHeight="1">
      <c r="A85" s="367"/>
      <c r="B85" s="367"/>
      <c r="C85" s="367"/>
      <c r="D85" s="367"/>
      <c r="E85" s="367"/>
      <c r="F85" s="367"/>
      <c r="G85" s="367"/>
      <c r="H85" s="367"/>
      <c r="I85" s="367"/>
      <c r="J85" s="365"/>
      <c r="K85" s="367"/>
      <c r="L85" s="244"/>
      <c r="M85" s="244"/>
      <c r="N85" s="244"/>
      <c r="O85" s="244"/>
      <c r="P85" s="244"/>
      <c r="Q85" s="244"/>
      <c r="R85" s="244"/>
      <c r="S85" s="244"/>
      <c r="T85" s="365"/>
      <c r="U85" s="365"/>
      <c r="V85" s="365"/>
      <c r="W85" s="365"/>
      <c r="X85" s="365"/>
      <c r="Y85" s="365"/>
      <c r="Z85" s="365"/>
    </row>
    <row r="86" spans="1:61" ht="12" customHeight="1">
      <c r="A86" s="366"/>
      <c r="B86" s="366"/>
      <c r="C86" s="366"/>
      <c r="D86" s="366"/>
      <c r="E86" s="366"/>
      <c r="F86" s="366"/>
      <c r="G86" s="366"/>
      <c r="H86" s="366"/>
      <c r="I86" s="366"/>
      <c r="J86" s="364"/>
      <c r="K86" s="366"/>
      <c r="L86" s="239"/>
      <c r="M86" s="239"/>
      <c r="N86" s="239"/>
      <c r="O86" s="239"/>
      <c r="P86" s="239"/>
      <c r="Q86" s="239"/>
      <c r="R86" s="239"/>
      <c r="S86" s="239"/>
      <c r="T86" s="364"/>
      <c r="U86" s="364"/>
      <c r="V86" s="359"/>
      <c r="W86" s="359"/>
      <c r="X86" s="359"/>
      <c r="Y86" s="359"/>
      <c r="Z86" s="359"/>
    </row>
    <row r="87" spans="1:61" ht="18" customHeight="1">
      <c r="A87" s="368"/>
      <c r="B87" s="102"/>
      <c r="C87" s="368"/>
      <c r="D87" s="102"/>
      <c r="E87" s="368"/>
      <c r="F87" s="102"/>
      <c r="G87" s="368"/>
      <c r="H87" s="102"/>
      <c r="I87" s="102"/>
      <c r="J87" s="369"/>
      <c r="K87" s="102"/>
      <c r="L87" s="369"/>
      <c r="M87" s="104"/>
      <c r="N87" s="369"/>
      <c r="O87" s="104"/>
      <c r="P87" s="369"/>
      <c r="Q87" s="104"/>
      <c r="R87" s="369"/>
      <c r="S87" s="104"/>
      <c r="T87" s="370"/>
      <c r="U87" s="370"/>
      <c r="V87" s="371"/>
      <c r="W87" s="371"/>
      <c r="X87" s="371"/>
      <c r="Y87" s="371"/>
      <c r="Z87" s="371"/>
    </row>
    <row r="88" spans="1:61" ht="18" customHeight="1">
      <c r="A88" s="368"/>
      <c r="B88" s="102"/>
      <c r="C88" s="368"/>
      <c r="D88" s="102"/>
      <c r="E88" s="368"/>
      <c r="F88" s="102"/>
      <c r="G88" s="368"/>
      <c r="H88" s="102"/>
      <c r="I88" s="102"/>
      <c r="J88" s="369"/>
      <c r="K88" s="102"/>
      <c r="L88" s="369"/>
      <c r="M88" s="104"/>
      <c r="N88" s="369"/>
      <c r="O88" s="104"/>
      <c r="P88" s="369"/>
      <c r="Q88" s="104"/>
      <c r="R88" s="369"/>
      <c r="S88" s="104"/>
      <c r="T88" s="370"/>
      <c r="U88" s="370"/>
      <c r="V88" s="371"/>
      <c r="W88" s="371"/>
      <c r="X88" s="371"/>
      <c r="Y88" s="371"/>
      <c r="Z88" s="371"/>
    </row>
    <row r="89" spans="1:61" ht="18" customHeight="1">
      <c r="A89" s="368"/>
      <c r="B89" s="102"/>
      <c r="C89" s="368"/>
      <c r="D89" s="102"/>
      <c r="E89" s="368"/>
      <c r="F89" s="368"/>
      <c r="G89" s="368"/>
      <c r="H89" s="102"/>
      <c r="I89" s="102"/>
      <c r="J89" s="369"/>
      <c r="K89" s="102"/>
      <c r="L89" s="369"/>
      <c r="M89" s="104"/>
      <c r="N89" s="369"/>
      <c r="O89" s="104"/>
      <c r="P89" s="369"/>
      <c r="Q89" s="104"/>
      <c r="R89" s="369"/>
      <c r="S89" s="104"/>
      <c r="T89" s="370"/>
      <c r="U89" s="370"/>
      <c r="V89" s="371"/>
      <c r="W89" s="371"/>
      <c r="X89" s="371"/>
      <c r="Y89" s="371"/>
      <c r="Z89" s="371"/>
    </row>
    <row r="90" spans="1:61" ht="18" customHeight="1">
      <c r="A90" s="368"/>
      <c r="B90" s="368"/>
      <c r="C90" s="372"/>
      <c r="D90" s="102"/>
      <c r="E90" s="368"/>
      <c r="F90" s="368"/>
      <c r="G90" s="368"/>
      <c r="H90" s="102"/>
      <c r="I90" s="102"/>
      <c r="J90" s="369"/>
      <c r="K90" s="102"/>
      <c r="L90" s="369"/>
      <c r="M90" s="104"/>
      <c r="N90" s="369"/>
      <c r="O90" s="104"/>
      <c r="P90" s="369"/>
      <c r="Q90" s="104"/>
      <c r="R90" s="369"/>
      <c r="S90" s="104"/>
      <c r="T90" s="370"/>
      <c r="U90" s="370"/>
      <c r="V90" s="371"/>
      <c r="W90" s="371"/>
      <c r="X90" s="371"/>
      <c r="Y90" s="371"/>
      <c r="Z90" s="371"/>
    </row>
    <row r="91" spans="1:61" ht="18" customHeight="1">
      <c r="A91" s="372"/>
      <c r="B91" s="373"/>
      <c r="C91" s="372"/>
      <c r="D91" s="102"/>
      <c r="E91" s="372"/>
      <c r="F91" s="373"/>
      <c r="G91" s="372"/>
      <c r="H91" s="102"/>
      <c r="I91" s="102"/>
      <c r="J91" s="125"/>
      <c r="K91" s="102"/>
      <c r="L91" s="125"/>
      <c r="M91" s="104"/>
      <c r="N91" s="125"/>
      <c r="O91" s="104"/>
      <c r="P91" s="125"/>
      <c r="Q91" s="104"/>
      <c r="R91" s="125"/>
      <c r="S91" s="104"/>
      <c r="T91" s="60"/>
      <c r="U91" s="60"/>
      <c r="V91" s="137"/>
      <c r="W91" s="137"/>
      <c r="X91" s="137"/>
      <c r="Y91" s="137"/>
      <c r="Z91" s="137"/>
    </row>
    <row r="92" spans="1:61" ht="18" customHeight="1">
      <c r="A92" s="373"/>
      <c r="B92" s="372"/>
      <c r="C92" s="153"/>
      <c r="D92" s="372"/>
      <c r="E92" s="373"/>
      <c r="F92" s="372"/>
      <c r="G92" s="102"/>
      <c r="H92" s="153"/>
      <c r="I92" s="125"/>
      <c r="J92" s="153"/>
      <c r="K92" s="374"/>
      <c r="L92" s="125"/>
      <c r="M92" s="104"/>
      <c r="N92" s="125"/>
      <c r="O92" s="104"/>
      <c r="P92" s="125"/>
      <c r="Q92" s="104"/>
      <c r="R92" s="125"/>
      <c r="S92" s="104"/>
      <c r="T92" s="60"/>
      <c r="U92" s="60"/>
      <c r="V92" s="137"/>
      <c r="W92" s="137"/>
      <c r="X92" s="137"/>
      <c r="Y92" s="137"/>
      <c r="Z92" s="137"/>
    </row>
    <row r="93" spans="1:61" ht="18" customHeight="1">
      <c r="A93" s="373"/>
      <c r="B93" s="372"/>
      <c r="C93" s="153"/>
      <c r="D93" s="372"/>
      <c r="E93" s="373"/>
      <c r="F93" s="372"/>
      <c r="G93" s="102"/>
      <c r="H93" s="153"/>
      <c r="I93" s="125"/>
      <c r="J93" s="153"/>
      <c r="K93" s="374"/>
      <c r="L93" s="125"/>
      <c r="M93" s="104"/>
      <c r="N93" s="125"/>
      <c r="O93" s="104"/>
      <c r="P93" s="125"/>
      <c r="Q93" s="104"/>
      <c r="R93" s="125"/>
      <c r="S93" s="104"/>
      <c r="T93" s="60"/>
      <c r="U93" s="60"/>
      <c r="V93" s="137"/>
      <c r="W93" s="137"/>
      <c r="X93" s="137"/>
      <c r="Y93" s="137"/>
      <c r="Z93" s="137"/>
    </row>
    <row r="94" spans="1:61" ht="18" customHeight="1">
      <c r="A94" s="373"/>
      <c r="B94" s="372"/>
      <c r="C94" s="153"/>
      <c r="D94" s="372"/>
      <c r="E94" s="373"/>
      <c r="F94" s="372"/>
      <c r="G94" s="102"/>
      <c r="H94" s="153"/>
      <c r="I94" s="125"/>
      <c r="J94" s="153"/>
      <c r="K94" s="374"/>
      <c r="L94" s="125"/>
      <c r="M94" s="104"/>
      <c r="N94" s="125"/>
      <c r="O94" s="104"/>
      <c r="P94" s="125"/>
      <c r="Q94" s="104"/>
      <c r="R94" s="125"/>
      <c r="S94" s="104"/>
      <c r="T94" s="60"/>
      <c r="U94" s="60"/>
      <c r="V94" s="137"/>
      <c r="W94" s="137"/>
      <c r="X94" s="137"/>
      <c r="Y94" s="137"/>
      <c r="Z94" s="137"/>
    </row>
    <row r="95" spans="1:61" ht="18" customHeight="1">
      <c r="A95" s="373"/>
      <c r="B95" s="372"/>
      <c r="C95" s="153"/>
      <c r="D95" s="372"/>
      <c r="E95" s="373"/>
      <c r="F95" s="372"/>
      <c r="G95" s="102"/>
      <c r="H95" s="153"/>
      <c r="I95" s="125"/>
      <c r="J95" s="153"/>
      <c r="K95" s="374"/>
      <c r="L95" s="125"/>
      <c r="M95" s="104"/>
      <c r="N95" s="125"/>
      <c r="O95" s="104"/>
      <c r="P95" s="125"/>
      <c r="Q95" s="104"/>
      <c r="R95" s="125"/>
      <c r="S95" s="104"/>
      <c r="T95" s="60"/>
      <c r="U95" s="60"/>
      <c r="V95" s="137"/>
      <c r="W95" s="137"/>
      <c r="X95" s="137"/>
      <c r="Y95" s="137"/>
      <c r="Z95" s="137"/>
    </row>
    <row r="96" spans="1:61" ht="18" customHeight="1">
      <c r="A96" s="373"/>
      <c r="B96" s="372"/>
      <c r="C96" s="153"/>
      <c r="D96" s="372"/>
      <c r="E96" s="373"/>
      <c r="F96" s="372"/>
      <c r="G96" s="102"/>
      <c r="H96" s="153"/>
      <c r="I96" s="125"/>
      <c r="J96" s="153"/>
      <c r="K96" s="374"/>
      <c r="L96" s="125"/>
      <c r="M96" s="104"/>
      <c r="N96" s="125"/>
      <c r="O96" s="104"/>
      <c r="P96" s="125"/>
      <c r="Q96" s="104"/>
      <c r="R96" s="125"/>
      <c r="S96" s="104"/>
      <c r="T96" s="60"/>
      <c r="U96" s="60"/>
      <c r="V96" s="137"/>
      <c r="W96" s="137"/>
      <c r="X96" s="137"/>
      <c r="Y96" s="137"/>
      <c r="Z96" s="137"/>
    </row>
    <row r="97" spans="1:26" ht="12" customHeight="1">
      <c r="A97" s="373"/>
      <c r="B97" s="372"/>
      <c r="C97" s="102"/>
      <c r="D97" s="372"/>
      <c r="E97" s="373"/>
      <c r="F97" s="372"/>
      <c r="G97" s="102"/>
      <c r="H97" s="102"/>
      <c r="I97" s="125"/>
      <c r="J97" s="102"/>
      <c r="K97" s="374"/>
      <c r="L97" s="125"/>
      <c r="M97" s="104"/>
      <c r="N97" s="125"/>
      <c r="O97" s="104"/>
      <c r="P97" s="125"/>
      <c r="Q97" s="104"/>
      <c r="R97" s="125"/>
      <c r="S97" s="104"/>
      <c r="T97" s="60"/>
      <c r="U97" s="60"/>
      <c r="V97" s="137"/>
      <c r="W97" s="137"/>
      <c r="X97" s="137"/>
      <c r="Y97" s="137"/>
      <c r="Z97" s="137"/>
    </row>
    <row r="98" spans="1:26" ht="12" customHeight="1">
      <c r="A98" s="373"/>
      <c r="B98" s="372"/>
      <c r="C98" s="153"/>
      <c r="D98" s="372"/>
      <c r="E98" s="373"/>
      <c r="F98" s="372"/>
      <c r="G98" s="102"/>
      <c r="H98" s="153"/>
      <c r="I98" s="125"/>
      <c r="J98" s="153"/>
      <c r="K98" s="374"/>
      <c r="L98" s="125"/>
      <c r="M98" s="104"/>
      <c r="N98" s="125"/>
      <c r="O98" s="104"/>
      <c r="P98" s="125"/>
      <c r="Q98" s="104"/>
      <c r="R98" s="125"/>
      <c r="S98" s="104"/>
      <c r="T98" s="60"/>
      <c r="U98" s="60"/>
      <c r="V98" s="137"/>
      <c r="W98" s="137"/>
      <c r="X98" s="137"/>
      <c r="Y98" s="137"/>
      <c r="Z98" s="137"/>
    </row>
    <row r="99" spans="1:26" ht="12" customHeight="1">
      <c r="A99" s="373"/>
      <c r="B99" s="372"/>
      <c r="C99" s="153"/>
      <c r="D99" s="372"/>
      <c r="E99" s="373"/>
      <c r="F99" s="372"/>
      <c r="G99" s="102"/>
      <c r="H99" s="153"/>
      <c r="I99" s="125"/>
      <c r="J99" s="153"/>
      <c r="K99" s="374"/>
      <c r="L99" s="125"/>
      <c r="M99" s="104"/>
      <c r="N99" s="125"/>
      <c r="O99" s="104"/>
      <c r="P99" s="125"/>
      <c r="Q99" s="104"/>
      <c r="R99" s="125"/>
      <c r="S99" s="104"/>
      <c r="T99" s="60"/>
      <c r="U99" s="60"/>
      <c r="V99" s="137"/>
      <c r="W99" s="137"/>
      <c r="X99" s="137"/>
      <c r="Y99" s="137"/>
      <c r="Z99" s="137"/>
    </row>
    <row r="100" spans="1:26" ht="12" customHeight="1">
      <c r="A100" s="373"/>
      <c r="B100" s="372"/>
      <c r="C100" s="102"/>
      <c r="D100" s="372"/>
      <c r="E100" s="373"/>
      <c r="F100" s="372"/>
      <c r="G100" s="102"/>
      <c r="H100" s="102"/>
      <c r="I100" s="125"/>
      <c r="J100" s="102"/>
      <c r="K100" s="374"/>
      <c r="L100" s="125"/>
      <c r="M100" s="104"/>
      <c r="N100" s="125"/>
      <c r="O100" s="104"/>
      <c r="P100" s="125"/>
      <c r="Q100" s="104"/>
      <c r="R100" s="125"/>
      <c r="S100" s="104"/>
      <c r="T100" s="60"/>
      <c r="U100" s="60"/>
      <c r="V100" s="137"/>
      <c r="W100" s="137"/>
      <c r="X100" s="137"/>
      <c r="Y100" s="137"/>
      <c r="Z100" s="137"/>
    </row>
    <row r="101" spans="1:26" ht="12" customHeight="1">
      <c r="A101" s="373"/>
      <c r="B101" s="372"/>
      <c r="C101" s="102"/>
      <c r="D101" s="372"/>
      <c r="E101" s="373"/>
      <c r="F101" s="372"/>
      <c r="G101" s="102"/>
      <c r="H101" s="102"/>
      <c r="I101" s="125"/>
      <c r="J101" s="102"/>
      <c r="K101" s="374"/>
      <c r="L101" s="125"/>
      <c r="M101" s="104"/>
      <c r="N101" s="125"/>
      <c r="O101" s="375"/>
      <c r="P101" s="125"/>
      <c r="Q101" s="104"/>
      <c r="R101" s="125"/>
      <c r="S101" s="104"/>
      <c r="T101" s="60"/>
      <c r="U101" s="60"/>
      <c r="V101" s="137"/>
      <c r="W101" s="137"/>
      <c r="X101" s="137"/>
      <c r="Y101" s="137"/>
      <c r="Z101" s="137"/>
    </row>
    <row r="102" spans="1:26" ht="12" customHeight="1">
      <c r="A102" s="373"/>
      <c r="B102" s="372"/>
      <c r="C102" s="153"/>
      <c r="D102" s="372"/>
      <c r="E102" s="373"/>
      <c r="F102" s="372"/>
      <c r="G102" s="102"/>
      <c r="H102" s="153"/>
      <c r="I102" s="125"/>
      <c r="J102" s="153"/>
      <c r="K102" s="374"/>
      <c r="L102" s="125"/>
      <c r="M102" s="375"/>
      <c r="N102" s="125"/>
      <c r="O102" s="375"/>
      <c r="P102" s="125"/>
      <c r="Q102" s="209"/>
      <c r="R102" s="125"/>
      <c r="S102" s="209"/>
      <c r="T102" s="60"/>
      <c r="U102" s="60"/>
      <c r="V102" s="137"/>
      <c r="W102" s="137"/>
      <c r="X102" s="137"/>
      <c r="Y102" s="137"/>
      <c r="Z102" s="137"/>
    </row>
    <row r="103" spans="1:26" ht="12" customHeight="1">
      <c r="A103" s="373"/>
      <c r="B103" s="372"/>
      <c r="C103" s="153"/>
      <c r="D103" s="372"/>
      <c r="E103" s="373"/>
      <c r="F103" s="372"/>
      <c r="G103" s="102"/>
      <c r="H103" s="153"/>
      <c r="I103" s="125"/>
      <c r="J103" s="153"/>
      <c r="K103" s="374"/>
      <c r="L103" s="125"/>
      <c r="M103" s="375"/>
      <c r="N103" s="125"/>
      <c r="O103" s="375"/>
      <c r="P103" s="125"/>
      <c r="Q103" s="209"/>
      <c r="R103" s="125"/>
      <c r="S103" s="209"/>
      <c r="T103" s="60"/>
      <c r="U103" s="60"/>
      <c r="V103" s="137"/>
      <c r="W103" s="137"/>
      <c r="X103" s="137"/>
      <c r="Y103" s="137"/>
      <c r="Z103" s="137"/>
    </row>
    <row r="104" spans="1:26" ht="12" customHeight="1">
      <c r="A104" s="373"/>
      <c r="B104" s="372"/>
      <c r="C104" s="153"/>
      <c r="D104" s="372"/>
      <c r="E104" s="373"/>
      <c r="F104" s="372"/>
      <c r="G104" s="102"/>
      <c r="H104" s="153"/>
      <c r="I104" s="125"/>
      <c r="J104" s="153"/>
      <c r="K104" s="374"/>
      <c r="L104" s="125"/>
      <c r="M104" s="375"/>
      <c r="N104" s="125"/>
      <c r="O104" s="375"/>
      <c r="P104" s="125"/>
      <c r="Q104" s="209"/>
      <c r="R104" s="125"/>
      <c r="S104" s="209"/>
      <c r="T104" s="60"/>
      <c r="U104" s="60"/>
      <c r="V104" s="137"/>
      <c r="W104" s="137"/>
      <c r="X104" s="137"/>
      <c r="Y104" s="137"/>
      <c r="Z104" s="137"/>
    </row>
    <row r="105" spans="1:26" ht="12" customHeight="1">
      <c r="A105" s="373"/>
      <c r="B105" s="372"/>
      <c r="C105" s="153"/>
      <c r="D105" s="372"/>
      <c r="E105" s="373"/>
      <c r="F105" s="372"/>
      <c r="G105" s="102"/>
      <c r="H105" s="153"/>
      <c r="I105" s="125"/>
      <c r="J105" s="153"/>
      <c r="K105" s="374"/>
      <c r="L105" s="125"/>
      <c r="M105" s="375"/>
      <c r="N105" s="125"/>
      <c r="O105" s="375"/>
      <c r="P105" s="125"/>
      <c r="Q105" s="209"/>
      <c r="R105" s="125"/>
      <c r="S105" s="209"/>
      <c r="T105" s="60"/>
      <c r="U105" s="60"/>
      <c r="V105" s="137"/>
      <c r="W105" s="137"/>
      <c r="X105" s="137"/>
      <c r="Y105" s="137"/>
      <c r="Z105" s="137"/>
    </row>
    <row r="106" spans="1:26" ht="12" customHeight="1">
      <c r="A106" s="373"/>
      <c r="B106" s="372"/>
      <c r="C106" s="153"/>
      <c r="D106" s="372"/>
      <c r="E106" s="373"/>
      <c r="F106" s="372"/>
      <c r="G106" s="102"/>
      <c r="H106" s="153"/>
      <c r="I106" s="125"/>
      <c r="J106" s="153"/>
      <c r="K106" s="374"/>
      <c r="L106" s="125"/>
      <c r="M106" s="375"/>
      <c r="N106" s="125"/>
      <c r="O106" s="375"/>
      <c r="P106" s="125"/>
      <c r="Q106" s="209"/>
      <c r="R106" s="125"/>
      <c r="S106" s="209"/>
      <c r="T106" s="60"/>
      <c r="U106" s="60"/>
      <c r="V106" s="137"/>
      <c r="W106" s="137"/>
      <c r="X106" s="137"/>
      <c r="Y106" s="137"/>
      <c r="Z106" s="137"/>
    </row>
    <row r="107" spans="1:26" ht="12" customHeight="1">
      <c r="A107" s="373"/>
      <c r="B107" s="372"/>
      <c r="C107" s="102"/>
      <c r="D107" s="372"/>
      <c r="E107" s="373"/>
      <c r="F107" s="372"/>
      <c r="G107" s="102"/>
      <c r="H107" s="102"/>
      <c r="I107" s="125"/>
      <c r="J107" s="102"/>
      <c r="K107" s="374"/>
      <c r="L107" s="125"/>
      <c r="M107" s="375"/>
      <c r="N107" s="125"/>
      <c r="O107" s="375"/>
      <c r="P107" s="125"/>
      <c r="Q107" s="209"/>
      <c r="R107" s="125"/>
      <c r="S107" s="209"/>
      <c r="T107" s="60"/>
      <c r="U107" s="60"/>
      <c r="V107" s="137"/>
      <c r="W107" s="137"/>
      <c r="X107" s="137"/>
      <c r="Y107" s="137"/>
      <c r="Z107" s="137"/>
    </row>
    <row r="108" spans="1:26" ht="12" customHeight="1">
      <c r="A108" s="373"/>
      <c r="B108" s="372"/>
      <c r="C108" s="102"/>
      <c r="D108" s="372"/>
      <c r="E108" s="373"/>
      <c r="F108" s="372"/>
      <c r="G108" s="102"/>
      <c r="H108" s="102"/>
      <c r="I108" s="125"/>
      <c r="J108" s="102"/>
      <c r="K108" s="374"/>
      <c r="L108" s="125"/>
      <c r="M108" s="375"/>
      <c r="N108" s="125"/>
      <c r="O108" s="375"/>
      <c r="P108" s="125"/>
      <c r="Q108" s="209"/>
      <c r="R108" s="125"/>
      <c r="S108" s="209"/>
      <c r="T108" s="60"/>
      <c r="U108" s="60"/>
      <c r="V108" s="137"/>
      <c r="W108" s="137"/>
      <c r="X108" s="137"/>
      <c r="Y108" s="137"/>
      <c r="Z108" s="137"/>
    </row>
    <row r="109" spans="1:26" ht="12" customHeight="1">
      <c r="A109" s="373"/>
      <c r="B109" s="372"/>
      <c r="C109" s="102"/>
      <c r="D109" s="372"/>
      <c r="E109" s="373"/>
      <c r="F109" s="372"/>
      <c r="G109" s="102"/>
      <c r="H109" s="102"/>
      <c r="I109" s="125"/>
      <c r="J109" s="102"/>
      <c r="K109" s="374"/>
      <c r="L109" s="125"/>
      <c r="M109" s="375"/>
      <c r="N109" s="125"/>
      <c r="O109" s="375"/>
      <c r="P109" s="125"/>
      <c r="Q109" s="209"/>
      <c r="R109" s="125"/>
      <c r="S109" s="209"/>
      <c r="T109" s="60"/>
      <c r="U109" s="60"/>
      <c r="V109" s="137"/>
      <c r="W109" s="137"/>
      <c r="X109" s="137"/>
      <c r="Y109" s="137"/>
      <c r="Z109" s="137"/>
    </row>
    <row r="110" spans="1:26" ht="12" customHeight="1">
      <c r="A110" s="373"/>
      <c r="B110" s="372"/>
      <c r="C110" s="102"/>
      <c r="D110" s="372"/>
      <c r="E110" s="373"/>
      <c r="F110" s="372"/>
      <c r="G110" s="102"/>
      <c r="H110" s="102"/>
      <c r="I110" s="125"/>
      <c r="J110" s="102"/>
      <c r="K110" s="374"/>
      <c r="L110" s="125"/>
      <c r="M110" s="375"/>
      <c r="N110" s="125"/>
      <c r="O110" s="375"/>
      <c r="P110" s="125"/>
      <c r="Q110" s="209"/>
      <c r="R110" s="125"/>
      <c r="S110" s="209"/>
      <c r="T110" s="60"/>
      <c r="U110" s="60"/>
      <c r="V110" s="137"/>
      <c r="W110" s="137"/>
      <c r="X110" s="137"/>
      <c r="Y110" s="137"/>
      <c r="Z110" s="137"/>
    </row>
    <row r="111" spans="1:26" ht="12" customHeight="1">
      <c r="A111" s="373"/>
      <c r="B111" s="372"/>
      <c r="C111" s="102"/>
      <c r="D111" s="372"/>
      <c r="E111" s="373"/>
      <c r="F111" s="372"/>
      <c r="G111" s="102"/>
      <c r="H111" s="102"/>
      <c r="I111" s="125"/>
      <c r="J111" s="102"/>
      <c r="K111" s="374"/>
      <c r="L111" s="125"/>
      <c r="M111" s="375"/>
      <c r="N111" s="125"/>
      <c r="O111" s="375"/>
      <c r="P111" s="125"/>
      <c r="Q111" s="209"/>
      <c r="R111" s="125"/>
      <c r="S111" s="209"/>
      <c r="T111" s="60"/>
      <c r="U111" s="60"/>
      <c r="V111" s="137"/>
      <c r="W111" s="137"/>
      <c r="X111" s="137"/>
      <c r="Y111" s="137"/>
      <c r="Z111" s="137"/>
    </row>
    <row r="112" spans="1:26" ht="12" customHeight="1">
      <c r="A112" s="373"/>
      <c r="B112" s="372"/>
      <c r="C112" s="153"/>
      <c r="D112" s="372"/>
      <c r="E112" s="373"/>
      <c r="F112" s="372"/>
      <c r="G112" s="102"/>
      <c r="H112" s="153"/>
      <c r="I112" s="125"/>
      <c r="J112" s="153"/>
      <c r="K112" s="374"/>
      <c r="L112" s="125"/>
      <c r="M112" s="375"/>
      <c r="N112" s="125"/>
      <c r="O112" s="375"/>
      <c r="P112" s="125"/>
      <c r="Q112" s="209"/>
      <c r="R112" s="125"/>
      <c r="S112" s="209"/>
      <c r="T112" s="60"/>
      <c r="U112" s="60"/>
      <c r="V112" s="137"/>
      <c r="W112" s="137"/>
      <c r="X112" s="137"/>
      <c r="Y112" s="137"/>
      <c r="Z112" s="137"/>
    </row>
    <row r="113" spans="1:26" ht="12" customHeight="1">
      <c r="A113" s="373"/>
      <c r="B113" s="372"/>
      <c r="C113" s="153"/>
      <c r="D113" s="372"/>
      <c r="E113" s="373"/>
      <c r="F113" s="372"/>
      <c r="G113" s="102"/>
      <c r="H113" s="153"/>
      <c r="I113" s="125"/>
      <c r="J113" s="153"/>
      <c r="K113" s="374"/>
      <c r="L113" s="125"/>
      <c r="M113" s="375"/>
      <c r="N113" s="125"/>
      <c r="O113" s="375"/>
      <c r="P113" s="125"/>
      <c r="Q113" s="209"/>
      <c r="R113" s="125"/>
      <c r="S113" s="209"/>
      <c r="T113" s="60"/>
      <c r="U113" s="60"/>
      <c r="V113" s="137"/>
      <c r="W113" s="137"/>
      <c r="X113" s="137"/>
      <c r="Y113" s="137"/>
      <c r="Z113" s="137"/>
    </row>
    <row r="114" spans="1:26" ht="12" customHeight="1">
      <c r="A114" s="373"/>
      <c r="B114" s="372"/>
      <c r="C114" s="153"/>
      <c r="D114" s="372"/>
      <c r="E114" s="373"/>
      <c r="F114" s="372"/>
      <c r="G114" s="102"/>
      <c r="H114" s="153"/>
      <c r="I114" s="125"/>
      <c r="J114" s="153"/>
      <c r="K114" s="374"/>
      <c r="L114" s="125"/>
      <c r="M114" s="375"/>
      <c r="N114" s="125"/>
      <c r="O114" s="375"/>
      <c r="P114" s="125"/>
      <c r="Q114" s="209"/>
      <c r="R114" s="125"/>
      <c r="S114" s="209"/>
      <c r="T114" s="60"/>
      <c r="U114" s="60"/>
      <c r="V114" s="137"/>
      <c r="W114" s="137"/>
      <c r="X114" s="137"/>
      <c r="Y114" s="137"/>
      <c r="Z114" s="137"/>
    </row>
    <row r="115" spans="1:26" ht="12" customHeight="1">
      <c r="A115" s="373"/>
      <c r="B115" s="372"/>
      <c r="C115" s="153"/>
      <c r="D115" s="372"/>
      <c r="E115" s="373"/>
      <c r="F115" s="372"/>
      <c r="G115" s="102"/>
      <c r="H115" s="153"/>
      <c r="I115" s="125"/>
      <c r="J115" s="153"/>
      <c r="K115" s="374"/>
      <c r="L115" s="125"/>
      <c r="M115" s="375"/>
      <c r="N115" s="125"/>
      <c r="O115" s="375"/>
      <c r="P115" s="125"/>
      <c r="Q115" s="209"/>
      <c r="R115" s="125"/>
      <c r="S115" s="209"/>
      <c r="T115" s="60"/>
      <c r="U115" s="60"/>
      <c r="V115" s="137"/>
      <c r="W115" s="137"/>
      <c r="X115" s="137"/>
      <c r="Y115" s="137"/>
      <c r="Z115" s="137"/>
    </row>
    <row r="116" spans="1:26" ht="12" customHeight="1">
      <c r="A116" s="373"/>
      <c r="B116" s="368"/>
      <c r="C116" s="102"/>
      <c r="D116" s="372"/>
      <c r="E116" s="373"/>
      <c r="F116" s="372"/>
      <c r="G116" s="102"/>
      <c r="H116" s="102"/>
      <c r="I116" s="125"/>
      <c r="J116" s="102"/>
      <c r="K116" s="374"/>
      <c r="L116" s="125"/>
      <c r="M116" s="375"/>
      <c r="N116" s="125"/>
      <c r="O116" s="375"/>
      <c r="P116" s="125"/>
      <c r="Q116" s="209"/>
      <c r="R116" s="125"/>
      <c r="S116" s="209"/>
      <c r="T116" s="60"/>
      <c r="U116" s="60"/>
      <c r="V116" s="137"/>
      <c r="W116" s="137"/>
      <c r="X116" s="137"/>
      <c r="Y116" s="137"/>
      <c r="Z116" s="137"/>
    </row>
    <row r="117" spans="1:26" ht="12" customHeight="1">
      <c r="A117" s="373"/>
      <c r="B117" s="372"/>
      <c r="C117" s="102"/>
      <c r="D117" s="372"/>
      <c r="E117" s="373"/>
      <c r="F117" s="372"/>
      <c r="G117" s="102"/>
      <c r="H117" s="102"/>
      <c r="I117" s="125"/>
      <c r="J117" s="102"/>
      <c r="K117" s="374"/>
      <c r="L117" s="125"/>
      <c r="M117" s="375"/>
      <c r="N117" s="125"/>
      <c r="O117" s="375"/>
      <c r="P117" s="125"/>
      <c r="Q117" s="209"/>
      <c r="R117" s="125"/>
      <c r="S117" s="209"/>
      <c r="T117" s="60"/>
      <c r="U117" s="60"/>
      <c r="V117" s="137"/>
      <c r="W117" s="137"/>
      <c r="X117" s="137"/>
      <c r="Y117" s="137"/>
      <c r="Z117" s="137"/>
    </row>
    <row r="118" spans="1:26" ht="12" customHeight="1">
      <c r="A118" s="373"/>
      <c r="B118" s="372"/>
      <c r="C118" s="153"/>
      <c r="D118" s="372"/>
      <c r="E118" s="373"/>
      <c r="F118" s="372"/>
      <c r="G118" s="102"/>
      <c r="H118" s="153"/>
      <c r="I118" s="125"/>
      <c r="J118" s="153"/>
      <c r="K118" s="374"/>
      <c r="L118" s="125"/>
      <c r="M118" s="375"/>
      <c r="N118" s="125"/>
      <c r="O118" s="375"/>
      <c r="P118" s="125"/>
      <c r="Q118" s="209"/>
      <c r="R118" s="125"/>
      <c r="S118" s="209"/>
      <c r="T118" s="60"/>
      <c r="U118" s="60"/>
      <c r="V118" s="137"/>
      <c r="W118" s="137"/>
      <c r="X118" s="137"/>
      <c r="Y118" s="137"/>
      <c r="Z118" s="137"/>
    </row>
    <row r="119" spans="1:26" ht="12" customHeight="1">
      <c r="A119" s="372"/>
      <c r="B119" s="373"/>
      <c r="C119" s="372"/>
      <c r="D119" s="153"/>
      <c r="E119" s="372"/>
      <c r="F119" s="373"/>
      <c r="G119" s="372"/>
      <c r="H119" s="102"/>
      <c r="I119" s="153"/>
      <c r="J119" s="125"/>
      <c r="K119" s="153"/>
      <c r="L119" s="125"/>
      <c r="M119" s="375"/>
      <c r="N119" s="125"/>
      <c r="O119" s="375"/>
      <c r="P119" s="125"/>
      <c r="Q119" s="209"/>
      <c r="R119" s="125"/>
      <c r="S119" s="209"/>
      <c r="T119" s="60"/>
      <c r="U119" s="60"/>
      <c r="V119" s="137"/>
      <c r="W119" s="137"/>
      <c r="X119" s="137"/>
      <c r="Y119" s="137"/>
      <c r="Z119" s="137"/>
    </row>
    <row r="120" spans="1:26" ht="12" customHeight="1">
      <c r="A120" s="372"/>
      <c r="B120" s="373"/>
      <c r="C120" s="372"/>
      <c r="D120" s="153"/>
      <c r="E120" s="372"/>
      <c r="F120" s="373"/>
      <c r="G120" s="372"/>
      <c r="H120" s="102"/>
      <c r="I120" s="153"/>
      <c r="J120" s="125"/>
      <c r="K120" s="153"/>
      <c r="L120" s="125"/>
      <c r="M120" s="375"/>
      <c r="N120" s="125"/>
      <c r="O120" s="375"/>
      <c r="P120" s="125"/>
      <c r="Q120" s="209"/>
      <c r="R120" s="125"/>
      <c r="S120" s="209"/>
      <c r="T120" s="60"/>
      <c r="U120" s="60"/>
      <c r="V120" s="137"/>
      <c r="W120" s="137"/>
      <c r="X120" s="137"/>
      <c r="Y120" s="137"/>
      <c r="Z120" s="137"/>
    </row>
    <row r="121" spans="1:26" ht="12" customHeight="1">
      <c r="A121" s="372"/>
      <c r="B121" s="373"/>
      <c r="C121" s="372"/>
      <c r="D121" s="153"/>
      <c r="E121" s="372"/>
      <c r="F121" s="373"/>
      <c r="G121" s="372"/>
      <c r="H121" s="102"/>
      <c r="I121" s="153"/>
      <c r="J121" s="125"/>
      <c r="K121" s="153"/>
      <c r="L121" s="125"/>
      <c r="M121" s="375"/>
      <c r="N121" s="125"/>
      <c r="O121" s="375"/>
      <c r="P121" s="125"/>
      <c r="Q121" s="209"/>
      <c r="R121" s="125"/>
      <c r="S121" s="209"/>
      <c r="T121" s="60"/>
      <c r="U121" s="60"/>
      <c r="V121" s="137"/>
      <c r="W121" s="137"/>
      <c r="X121" s="137"/>
      <c r="Y121" s="137"/>
      <c r="Z121" s="137"/>
    </row>
    <row r="122" spans="1:26" ht="12" customHeight="1">
      <c r="A122" s="372"/>
      <c r="B122" s="373"/>
      <c r="C122" s="372"/>
      <c r="D122" s="153"/>
      <c r="E122" s="372"/>
      <c r="F122" s="373"/>
      <c r="G122" s="372"/>
      <c r="H122" s="102"/>
      <c r="I122" s="153"/>
      <c r="J122" s="125"/>
      <c r="K122" s="153"/>
      <c r="L122" s="125"/>
      <c r="M122" s="375"/>
      <c r="N122" s="125"/>
      <c r="O122" s="375"/>
      <c r="P122" s="125"/>
      <c r="Q122" s="209"/>
      <c r="R122" s="125"/>
      <c r="S122" s="209"/>
      <c r="T122" s="60"/>
      <c r="U122" s="60"/>
      <c r="V122" s="137"/>
      <c r="W122" s="137"/>
      <c r="X122" s="137"/>
      <c r="Y122" s="137"/>
      <c r="Z122" s="137"/>
    </row>
    <row r="123" spans="1:26" ht="12" customHeight="1">
      <c r="A123" s="372"/>
      <c r="B123" s="373"/>
      <c r="C123" s="372"/>
      <c r="D123" s="153"/>
      <c r="E123" s="372"/>
      <c r="F123" s="373"/>
      <c r="G123" s="372"/>
      <c r="H123" s="102"/>
      <c r="I123" s="153"/>
      <c r="J123" s="125"/>
      <c r="K123" s="153"/>
      <c r="L123" s="125"/>
      <c r="M123" s="375"/>
      <c r="N123" s="125"/>
      <c r="O123" s="375"/>
      <c r="P123" s="125"/>
      <c r="Q123" s="209"/>
      <c r="R123" s="125"/>
      <c r="S123" s="209"/>
      <c r="T123" s="60"/>
      <c r="U123" s="60"/>
      <c r="V123" s="137"/>
      <c r="W123" s="137"/>
      <c r="X123" s="137"/>
      <c r="Y123" s="137"/>
      <c r="Z123" s="137"/>
    </row>
    <row r="124" spans="1:26" ht="12" customHeight="1">
      <c r="A124" s="372"/>
      <c r="B124" s="373"/>
      <c r="C124" s="372"/>
      <c r="D124" s="153"/>
      <c r="E124" s="372"/>
      <c r="F124" s="373"/>
      <c r="G124" s="372"/>
      <c r="H124" s="102"/>
      <c r="I124" s="153"/>
      <c r="J124" s="125"/>
      <c r="K124" s="153"/>
      <c r="L124" s="125"/>
      <c r="M124" s="375"/>
      <c r="N124" s="125"/>
      <c r="O124" s="375"/>
      <c r="P124" s="125"/>
      <c r="Q124" s="209"/>
      <c r="R124" s="125"/>
      <c r="S124" s="209"/>
      <c r="T124" s="60"/>
      <c r="U124" s="60"/>
      <c r="V124" s="137"/>
      <c r="W124" s="137"/>
      <c r="X124" s="137"/>
      <c r="Y124" s="137"/>
      <c r="Z124" s="137"/>
    </row>
    <row r="125" spans="1:26" ht="12" customHeight="1">
      <c r="A125" s="372"/>
      <c r="B125" s="373"/>
      <c r="C125" s="372"/>
      <c r="D125" s="153"/>
      <c r="E125" s="372"/>
      <c r="F125" s="373"/>
      <c r="G125" s="372"/>
      <c r="H125" s="102"/>
      <c r="I125" s="153"/>
      <c r="J125" s="125"/>
      <c r="K125" s="153"/>
      <c r="L125" s="125"/>
      <c r="M125" s="375"/>
      <c r="N125" s="125"/>
      <c r="O125" s="375"/>
      <c r="P125" s="125"/>
      <c r="Q125" s="209"/>
      <c r="R125" s="125"/>
      <c r="S125" s="209"/>
      <c r="T125" s="60"/>
      <c r="U125" s="60"/>
      <c r="V125" s="137"/>
      <c r="W125" s="137"/>
      <c r="X125" s="137"/>
      <c r="Y125" s="137"/>
      <c r="Z125" s="137"/>
    </row>
    <row r="126" spans="1:26" ht="12" customHeight="1">
      <c r="A126" s="372"/>
      <c r="B126" s="373"/>
      <c r="C126" s="372"/>
      <c r="D126" s="153"/>
      <c r="E126" s="372"/>
      <c r="F126" s="373"/>
      <c r="G126" s="372"/>
      <c r="H126" s="102"/>
      <c r="I126" s="153"/>
      <c r="J126" s="125"/>
      <c r="K126" s="153"/>
      <c r="L126" s="125"/>
      <c r="M126" s="375"/>
      <c r="N126" s="125"/>
      <c r="O126" s="375"/>
      <c r="P126" s="125"/>
      <c r="Q126" s="209"/>
      <c r="R126" s="125"/>
      <c r="S126" s="209"/>
      <c r="T126" s="60"/>
      <c r="U126" s="60"/>
      <c r="V126" s="137"/>
      <c r="W126" s="137"/>
      <c r="X126" s="137"/>
      <c r="Y126" s="137"/>
      <c r="Z126" s="137"/>
    </row>
    <row r="127" spans="1:26" ht="12" customHeight="1">
      <c r="A127" s="372"/>
      <c r="B127" s="373"/>
      <c r="C127" s="372"/>
      <c r="D127" s="153"/>
      <c r="E127" s="372"/>
      <c r="F127" s="373"/>
      <c r="G127" s="372"/>
      <c r="H127" s="102"/>
      <c r="I127" s="153"/>
      <c r="J127" s="125"/>
      <c r="K127" s="153"/>
      <c r="L127" s="125"/>
      <c r="M127" s="375"/>
      <c r="N127" s="125"/>
      <c r="O127" s="375"/>
      <c r="P127" s="125"/>
      <c r="Q127" s="209"/>
      <c r="R127" s="125"/>
      <c r="S127" s="209"/>
      <c r="T127" s="60"/>
      <c r="U127" s="60"/>
      <c r="V127" s="137"/>
      <c r="W127" s="137"/>
      <c r="X127" s="137"/>
      <c r="Y127" s="137"/>
      <c r="Z127" s="137"/>
    </row>
    <row r="128" spans="1:26" ht="12" customHeight="1">
      <c r="A128" s="372"/>
      <c r="B128" s="373"/>
      <c r="C128" s="372"/>
      <c r="D128" s="153"/>
      <c r="E128" s="372"/>
      <c r="F128" s="373"/>
      <c r="G128" s="372"/>
      <c r="H128" s="102"/>
      <c r="I128" s="153"/>
      <c r="J128" s="125"/>
      <c r="K128" s="153"/>
      <c r="L128" s="125"/>
      <c r="M128" s="375"/>
      <c r="N128" s="125"/>
      <c r="O128" s="375"/>
      <c r="P128" s="125"/>
      <c r="Q128" s="209"/>
      <c r="R128" s="125"/>
      <c r="S128" s="209"/>
      <c r="T128" s="60"/>
      <c r="U128" s="60"/>
      <c r="V128" s="137"/>
      <c r="W128" s="137"/>
      <c r="X128" s="137"/>
      <c r="Y128" s="137"/>
      <c r="Z128" s="137"/>
    </row>
    <row r="129" spans="1:26" ht="12" customHeight="1">
      <c r="A129" s="372"/>
      <c r="B129" s="373"/>
      <c r="C129" s="372"/>
      <c r="D129" s="153"/>
      <c r="E129" s="372"/>
      <c r="F129" s="373"/>
      <c r="G129" s="372"/>
      <c r="H129" s="102"/>
      <c r="I129" s="153"/>
      <c r="J129" s="125"/>
      <c r="K129" s="153"/>
      <c r="L129" s="125"/>
      <c r="M129" s="375"/>
      <c r="N129" s="125"/>
      <c r="O129" s="375"/>
      <c r="P129" s="125"/>
      <c r="Q129" s="209"/>
      <c r="R129" s="125"/>
      <c r="S129" s="209"/>
      <c r="T129" s="60"/>
      <c r="U129" s="60"/>
      <c r="V129" s="137"/>
      <c r="W129" s="137"/>
      <c r="X129" s="137"/>
      <c r="Y129" s="137"/>
      <c r="Z129" s="137"/>
    </row>
    <row r="130" spans="1:26" ht="12" customHeight="1">
      <c r="A130" s="372"/>
      <c r="B130" s="373"/>
      <c r="C130" s="372"/>
      <c r="D130" s="153"/>
      <c r="E130" s="372"/>
      <c r="F130" s="373"/>
      <c r="G130" s="372"/>
      <c r="H130" s="102"/>
      <c r="I130" s="153"/>
      <c r="J130" s="125"/>
      <c r="K130" s="153"/>
      <c r="L130" s="125"/>
      <c r="M130" s="375"/>
      <c r="N130" s="125"/>
      <c r="O130" s="375"/>
      <c r="P130" s="125"/>
      <c r="Q130" s="209"/>
      <c r="R130" s="125"/>
      <c r="S130" s="209"/>
      <c r="T130" s="60"/>
      <c r="U130" s="60"/>
      <c r="V130" s="137"/>
      <c r="W130" s="137"/>
      <c r="X130" s="137"/>
      <c r="Y130" s="137"/>
      <c r="Z130" s="137"/>
    </row>
    <row r="131" spans="1:26" ht="12" customHeight="1">
      <c r="A131" s="372"/>
      <c r="B131" s="373"/>
      <c r="C131" s="372"/>
      <c r="D131" s="153"/>
      <c r="E131" s="372"/>
      <c r="F131" s="373"/>
      <c r="G131" s="372"/>
      <c r="H131" s="102"/>
      <c r="I131" s="153"/>
      <c r="J131" s="125"/>
      <c r="K131" s="153"/>
      <c r="L131" s="125"/>
      <c r="M131" s="375"/>
      <c r="N131" s="125"/>
      <c r="O131" s="375"/>
      <c r="P131" s="125"/>
      <c r="Q131" s="209"/>
      <c r="R131" s="125"/>
      <c r="S131" s="209"/>
      <c r="T131" s="60"/>
      <c r="U131" s="60"/>
      <c r="V131" s="137"/>
      <c r="W131" s="137"/>
      <c r="X131" s="137"/>
      <c r="Y131" s="137"/>
      <c r="Z131" s="137"/>
    </row>
    <row r="132" spans="1:26" ht="12" customHeight="1">
      <c r="A132" s="372"/>
      <c r="B132" s="373"/>
      <c r="C132" s="372"/>
      <c r="D132" s="153"/>
      <c r="E132" s="372"/>
      <c r="F132" s="373"/>
      <c r="G132" s="372"/>
      <c r="H132" s="102"/>
      <c r="I132" s="153"/>
      <c r="J132" s="125"/>
      <c r="K132" s="153"/>
      <c r="L132" s="125"/>
      <c r="M132" s="375"/>
      <c r="N132" s="125"/>
      <c r="O132" s="375"/>
      <c r="P132" s="125"/>
      <c r="Q132" s="209"/>
      <c r="R132" s="125"/>
      <c r="S132" s="209"/>
      <c r="T132" s="60"/>
      <c r="U132" s="60"/>
      <c r="V132" s="137"/>
      <c r="W132" s="137"/>
      <c r="X132" s="137"/>
      <c r="Y132" s="137"/>
      <c r="Z132" s="137"/>
    </row>
    <row r="133" spans="1:26" ht="12" customHeight="1">
      <c r="A133" s="372"/>
      <c r="B133" s="373"/>
      <c r="C133" s="372"/>
      <c r="D133" s="153"/>
      <c r="E133" s="372"/>
      <c r="F133" s="373"/>
      <c r="G133" s="372"/>
      <c r="H133" s="102"/>
      <c r="I133" s="153"/>
      <c r="J133" s="125"/>
      <c r="K133" s="153"/>
      <c r="L133" s="125"/>
      <c r="M133" s="375"/>
      <c r="N133" s="125"/>
      <c r="O133" s="375"/>
      <c r="P133" s="125"/>
      <c r="Q133" s="209"/>
      <c r="R133" s="125"/>
      <c r="S133" s="209"/>
      <c r="T133" s="60"/>
      <c r="U133" s="60"/>
      <c r="V133" s="137"/>
      <c r="W133" s="137"/>
      <c r="X133" s="137"/>
      <c r="Y133" s="137"/>
      <c r="Z133" s="137"/>
    </row>
    <row r="134" spans="1:26" ht="12" customHeight="1">
      <c r="A134" s="372"/>
      <c r="B134" s="373"/>
      <c r="C134" s="372"/>
      <c r="D134" s="153"/>
      <c r="E134" s="372"/>
      <c r="F134" s="373"/>
      <c r="G134" s="372"/>
      <c r="H134" s="102"/>
      <c r="I134" s="153"/>
      <c r="J134" s="125"/>
      <c r="K134" s="153"/>
      <c r="L134" s="125"/>
      <c r="M134" s="375"/>
      <c r="N134" s="125"/>
      <c r="O134" s="375"/>
      <c r="P134" s="125"/>
      <c r="Q134" s="209"/>
      <c r="R134" s="125"/>
      <c r="S134" s="209"/>
      <c r="T134" s="60"/>
      <c r="U134" s="60"/>
      <c r="V134" s="137"/>
      <c r="W134" s="137"/>
      <c r="X134" s="137"/>
      <c r="Y134" s="137"/>
      <c r="Z134" s="137"/>
    </row>
    <row r="135" spans="1:26" ht="12" customHeight="1">
      <c r="A135" s="372"/>
      <c r="B135" s="373"/>
      <c r="C135" s="372"/>
      <c r="D135" s="153"/>
      <c r="E135" s="372"/>
      <c r="F135" s="373"/>
      <c r="G135" s="372"/>
      <c r="H135" s="102"/>
      <c r="I135" s="153"/>
      <c r="J135" s="125"/>
      <c r="K135" s="153"/>
      <c r="L135" s="125"/>
      <c r="M135" s="375"/>
      <c r="N135" s="125"/>
      <c r="O135" s="375"/>
      <c r="P135" s="125"/>
      <c r="Q135" s="209"/>
      <c r="R135" s="125"/>
      <c r="S135" s="209"/>
      <c r="T135" s="60"/>
      <c r="U135" s="60"/>
      <c r="V135" s="137"/>
      <c r="W135" s="137"/>
      <c r="X135" s="137"/>
      <c r="Y135" s="137"/>
      <c r="Z135" s="137"/>
    </row>
    <row r="136" spans="1:26" ht="12" customHeight="1">
      <c r="A136" s="372"/>
      <c r="B136" s="373"/>
      <c r="C136" s="372"/>
      <c r="D136" s="153"/>
      <c r="E136" s="372"/>
      <c r="F136" s="373"/>
      <c r="G136" s="372"/>
      <c r="H136" s="102"/>
      <c r="I136" s="153"/>
      <c r="J136" s="125"/>
      <c r="K136" s="153"/>
      <c r="L136" s="125"/>
      <c r="M136" s="375"/>
      <c r="N136" s="125"/>
      <c r="O136" s="375"/>
      <c r="P136" s="125"/>
      <c r="Q136" s="209"/>
      <c r="R136" s="125"/>
      <c r="S136" s="209"/>
      <c r="T136" s="60"/>
      <c r="U136" s="60"/>
      <c r="V136" s="137"/>
      <c r="W136" s="137"/>
      <c r="X136" s="137"/>
      <c r="Y136" s="137"/>
      <c r="Z136" s="137"/>
    </row>
    <row r="137" spans="1:26" ht="12" customHeight="1">
      <c r="A137" s="372"/>
      <c r="B137" s="373"/>
      <c r="C137" s="372"/>
      <c r="D137" s="153"/>
      <c r="E137" s="372"/>
      <c r="F137" s="373"/>
      <c r="G137" s="372"/>
      <c r="H137" s="102"/>
      <c r="I137" s="153"/>
      <c r="J137" s="125"/>
      <c r="K137" s="153"/>
      <c r="L137" s="125"/>
      <c r="M137" s="375"/>
      <c r="N137" s="125"/>
      <c r="O137" s="375"/>
      <c r="P137" s="125"/>
      <c r="Q137" s="209"/>
      <c r="R137" s="125"/>
      <c r="S137" s="209"/>
      <c r="T137" s="60"/>
      <c r="U137" s="60"/>
      <c r="V137" s="137"/>
      <c r="W137" s="137"/>
      <c r="X137" s="137"/>
      <c r="Y137" s="137"/>
      <c r="Z137" s="137"/>
    </row>
    <row r="138" spans="1:26" ht="12" customHeight="1">
      <c r="A138" s="372"/>
      <c r="B138" s="373"/>
      <c r="C138" s="372"/>
      <c r="D138" s="153"/>
      <c r="E138" s="372"/>
      <c r="F138" s="373"/>
      <c r="G138" s="372"/>
      <c r="H138" s="102"/>
      <c r="I138" s="153"/>
      <c r="J138" s="125"/>
      <c r="K138" s="153"/>
      <c r="L138" s="125"/>
      <c r="M138" s="375"/>
      <c r="N138" s="125"/>
      <c r="O138" s="375"/>
      <c r="P138" s="125"/>
      <c r="Q138" s="209"/>
      <c r="R138" s="125"/>
      <c r="S138" s="209"/>
      <c r="T138" s="60"/>
      <c r="U138" s="60"/>
      <c r="V138" s="137"/>
      <c r="W138" s="137"/>
      <c r="X138" s="137"/>
      <c r="Y138" s="137"/>
      <c r="Z138" s="137"/>
    </row>
    <row r="139" spans="1:26" ht="12" customHeight="1">
      <c r="A139" s="372"/>
      <c r="B139" s="373"/>
      <c r="C139" s="372"/>
      <c r="D139" s="153"/>
      <c r="E139" s="372"/>
      <c r="F139" s="373"/>
      <c r="G139" s="372"/>
      <c r="H139" s="102"/>
      <c r="I139" s="153"/>
      <c r="J139" s="125"/>
      <c r="K139" s="153"/>
      <c r="L139" s="125"/>
      <c r="M139" s="375"/>
      <c r="N139" s="125"/>
      <c r="O139" s="375"/>
      <c r="P139" s="125"/>
      <c r="Q139" s="209"/>
      <c r="R139" s="125"/>
      <c r="S139" s="209"/>
      <c r="T139" s="60"/>
      <c r="U139" s="60"/>
      <c r="V139" s="137"/>
      <c r="W139" s="137"/>
      <c r="X139" s="137"/>
      <c r="Y139" s="137"/>
      <c r="Z139" s="137"/>
    </row>
    <row r="140" spans="1:26" ht="12" customHeight="1">
      <c r="A140" s="372"/>
      <c r="B140" s="373"/>
      <c r="C140" s="372"/>
      <c r="D140" s="153"/>
      <c r="E140" s="372"/>
      <c r="F140" s="373"/>
      <c r="G140" s="372"/>
      <c r="H140" s="102"/>
      <c r="I140" s="153"/>
      <c r="J140" s="125"/>
      <c r="K140" s="153"/>
      <c r="L140" s="125"/>
      <c r="M140" s="375"/>
      <c r="N140" s="125"/>
      <c r="O140" s="375"/>
      <c r="P140" s="125"/>
      <c r="Q140" s="209"/>
      <c r="R140" s="125"/>
      <c r="S140" s="209"/>
      <c r="T140" s="60"/>
      <c r="U140" s="60"/>
      <c r="V140" s="137"/>
      <c r="W140" s="137"/>
      <c r="X140" s="137"/>
      <c r="Y140" s="137"/>
      <c r="Z140" s="137"/>
    </row>
    <row r="141" spans="1:26" ht="12" customHeight="1">
      <c r="A141" s="372"/>
      <c r="B141" s="373"/>
      <c r="C141" s="372"/>
      <c r="D141" s="153"/>
      <c r="E141" s="372"/>
      <c r="F141" s="373"/>
      <c r="G141" s="372"/>
      <c r="H141" s="102"/>
      <c r="I141" s="153"/>
      <c r="J141" s="125"/>
      <c r="K141" s="153"/>
      <c r="L141" s="125"/>
      <c r="M141" s="375"/>
      <c r="N141" s="125"/>
      <c r="O141" s="375"/>
      <c r="P141" s="125"/>
      <c r="Q141" s="209"/>
      <c r="R141" s="125"/>
      <c r="S141" s="375"/>
      <c r="T141" s="60"/>
      <c r="U141" s="60"/>
      <c r="V141" s="137"/>
      <c r="W141" s="137"/>
      <c r="X141" s="137"/>
      <c r="Y141" s="137"/>
      <c r="Z141" s="137"/>
    </row>
    <row r="142" spans="1:26" ht="12" customHeight="1">
      <c r="A142" s="372"/>
      <c r="B142" s="373"/>
      <c r="C142" s="372"/>
      <c r="D142" s="153"/>
      <c r="E142" s="372"/>
      <c r="F142" s="373"/>
      <c r="G142" s="372"/>
      <c r="H142" s="102"/>
      <c r="I142" s="153"/>
      <c r="J142" s="125"/>
      <c r="K142" s="153"/>
      <c r="L142" s="125"/>
      <c r="M142" s="375"/>
      <c r="N142" s="125"/>
      <c r="O142" s="375"/>
      <c r="P142" s="125"/>
      <c r="Q142" s="209"/>
      <c r="R142" s="125"/>
      <c r="S142" s="375"/>
      <c r="T142" s="60"/>
      <c r="U142" s="60"/>
      <c r="V142" s="137"/>
      <c r="W142" s="137"/>
      <c r="X142" s="137"/>
      <c r="Y142" s="137"/>
      <c r="Z142" s="137"/>
    </row>
    <row r="143" spans="1:26" ht="12" customHeight="1">
      <c r="A143" s="372"/>
      <c r="B143" s="373"/>
      <c r="C143" s="372"/>
      <c r="D143" s="153"/>
      <c r="E143" s="372"/>
      <c r="F143" s="373"/>
      <c r="G143" s="372"/>
      <c r="H143" s="102"/>
      <c r="I143" s="153"/>
      <c r="J143" s="125"/>
      <c r="K143" s="153"/>
      <c r="L143" s="125"/>
      <c r="M143" s="375"/>
      <c r="N143" s="125"/>
      <c r="O143" s="375"/>
      <c r="P143" s="125"/>
      <c r="Q143" s="209"/>
      <c r="R143" s="125"/>
      <c r="S143" s="375"/>
      <c r="T143" s="60"/>
      <c r="U143" s="60"/>
      <c r="V143" s="137"/>
      <c r="W143" s="137"/>
      <c r="X143" s="137"/>
      <c r="Y143" s="137"/>
      <c r="Z143" s="137"/>
    </row>
    <row r="144" spans="1:26" ht="12" customHeight="1">
      <c r="A144" s="372"/>
      <c r="B144" s="373"/>
      <c r="C144" s="372"/>
      <c r="D144" s="153"/>
      <c r="E144" s="372"/>
      <c r="F144" s="373"/>
      <c r="G144" s="372"/>
      <c r="H144" s="102"/>
      <c r="I144" s="153"/>
      <c r="J144" s="125"/>
      <c r="K144" s="153"/>
      <c r="L144" s="125"/>
      <c r="M144" s="375"/>
      <c r="N144" s="125"/>
      <c r="O144" s="375"/>
      <c r="P144" s="125"/>
      <c r="Q144" s="209"/>
      <c r="R144" s="125"/>
      <c r="S144" s="375"/>
      <c r="T144" s="60"/>
      <c r="U144" s="60"/>
      <c r="V144" s="137"/>
      <c r="W144" s="137"/>
      <c r="X144" s="137"/>
      <c r="Y144" s="137"/>
      <c r="Z144" s="137"/>
    </row>
    <row r="145" spans="1:26" ht="12" customHeight="1">
      <c r="A145" s="372"/>
      <c r="B145" s="373"/>
      <c r="C145" s="372"/>
      <c r="D145" s="153"/>
      <c r="E145" s="372"/>
      <c r="F145" s="373"/>
      <c r="G145" s="372"/>
      <c r="H145" s="102"/>
      <c r="I145" s="153"/>
      <c r="J145" s="125"/>
      <c r="K145" s="153"/>
      <c r="L145" s="125"/>
      <c r="M145" s="375"/>
      <c r="N145" s="125"/>
      <c r="O145" s="375"/>
      <c r="P145" s="125"/>
      <c r="Q145" s="209"/>
      <c r="R145" s="125"/>
      <c r="S145" s="375"/>
      <c r="T145" s="60"/>
      <c r="U145" s="60"/>
      <c r="V145" s="137"/>
      <c r="W145" s="137"/>
      <c r="X145" s="137"/>
      <c r="Y145" s="137"/>
      <c r="Z145" s="137"/>
    </row>
    <row r="146" spans="1:26" ht="12" customHeight="1">
      <c r="A146" s="372"/>
      <c r="B146" s="373"/>
      <c r="C146" s="372"/>
      <c r="D146" s="153"/>
      <c r="E146" s="372"/>
      <c r="F146" s="373"/>
      <c r="G146" s="372"/>
      <c r="H146" s="102"/>
      <c r="I146" s="153"/>
      <c r="J146" s="125"/>
      <c r="K146" s="153"/>
      <c r="L146" s="125"/>
      <c r="M146" s="375"/>
      <c r="N146" s="125"/>
      <c r="O146" s="375"/>
      <c r="P146" s="125"/>
      <c r="Q146" s="209"/>
      <c r="R146" s="125"/>
      <c r="S146" s="375"/>
      <c r="T146" s="60"/>
      <c r="U146" s="60"/>
      <c r="V146" s="137"/>
      <c r="W146" s="137"/>
      <c r="X146" s="137"/>
      <c r="Y146" s="137"/>
      <c r="Z146" s="137"/>
    </row>
    <row r="147" spans="1:26" ht="12" customHeight="1">
      <c r="A147" s="372"/>
      <c r="B147" s="373"/>
      <c r="C147" s="372"/>
      <c r="D147" s="153"/>
      <c r="E147" s="372"/>
      <c r="F147" s="373"/>
      <c r="G147" s="372"/>
      <c r="H147" s="102"/>
      <c r="I147" s="153"/>
      <c r="J147" s="125"/>
      <c r="K147" s="153"/>
      <c r="L147" s="125"/>
      <c r="M147" s="375"/>
      <c r="N147" s="125"/>
      <c r="O147" s="375"/>
      <c r="P147" s="125"/>
      <c r="Q147" s="209"/>
      <c r="R147" s="125"/>
      <c r="S147" s="375"/>
      <c r="T147" s="60"/>
      <c r="U147" s="60"/>
      <c r="V147" s="137"/>
      <c r="W147" s="137"/>
      <c r="X147" s="137"/>
      <c r="Y147" s="137"/>
      <c r="Z147" s="137"/>
    </row>
    <row r="148" spans="1:26" ht="12" customHeight="1">
      <c r="A148" s="372"/>
      <c r="B148" s="373"/>
      <c r="C148" s="372"/>
      <c r="D148" s="153"/>
      <c r="E148" s="372"/>
      <c r="F148" s="373"/>
      <c r="G148" s="372"/>
      <c r="H148" s="102"/>
      <c r="I148" s="153"/>
      <c r="J148" s="125"/>
      <c r="K148" s="153"/>
      <c r="L148" s="125"/>
      <c r="M148" s="375"/>
      <c r="N148" s="125"/>
      <c r="O148" s="375"/>
      <c r="P148" s="125"/>
      <c r="Q148" s="209"/>
      <c r="R148" s="125"/>
      <c r="S148" s="375"/>
      <c r="T148" s="60"/>
      <c r="U148" s="60"/>
      <c r="V148" s="137"/>
      <c r="W148" s="137"/>
      <c r="X148" s="137"/>
      <c r="Y148" s="137"/>
      <c r="Z148" s="137"/>
    </row>
    <row r="149" spans="1:26" ht="12" customHeight="1">
      <c r="A149" s="372"/>
      <c r="B149" s="373"/>
      <c r="C149" s="372"/>
      <c r="D149" s="153"/>
      <c r="E149" s="372"/>
      <c r="F149" s="373"/>
      <c r="G149" s="372"/>
      <c r="H149" s="102"/>
      <c r="I149" s="153"/>
      <c r="J149" s="125"/>
      <c r="K149" s="153"/>
      <c r="L149" s="125"/>
      <c r="M149" s="375"/>
      <c r="N149" s="125"/>
      <c r="O149" s="375"/>
      <c r="P149" s="125"/>
      <c r="Q149" s="209"/>
      <c r="R149" s="125"/>
      <c r="S149" s="375"/>
      <c r="T149" s="60"/>
      <c r="U149" s="60"/>
      <c r="V149" s="137"/>
      <c r="W149" s="137"/>
      <c r="X149" s="137"/>
      <c r="Y149" s="137"/>
      <c r="Z149" s="137"/>
    </row>
    <row r="150" spans="1:26" ht="12" customHeight="1">
      <c r="A150" s="372"/>
      <c r="B150" s="373"/>
      <c r="C150" s="372"/>
      <c r="D150" s="153"/>
      <c r="E150" s="372"/>
      <c r="F150" s="373"/>
      <c r="G150" s="372"/>
      <c r="H150" s="102"/>
      <c r="I150" s="153"/>
      <c r="J150" s="125"/>
      <c r="K150" s="153"/>
      <c r="L150" s="125"/>
      <c r="M150" s="375"/>
      <c r="N150" s="125"/>
      <c r="O150" s="375"/>
      <c r="P150" s="125"/>
      <c r="Q150" s="209"/>
      <c r="R150" s="125"/>
      <c r="S150" s="375"/>
      <c r="T150" s="60"/>
      <c r="U150" s="60"/>
      <c r="V150" s="137"/>
      <c r="W150" s="137"/>
      <c r="X150" s="137"/>
      <c r="Y150" s="137"/>
      <c r="Z150" s="137"/>
    </row>
    <row r="151" spans="1:26" ht="12" customHeight="1">
      <c r="A151" s="372"/>
      <c r="B151" s="373"/>
      <c r="C151" s="372"/>
      <c r="D151" s="153"/>
      <c r="E151" s="372"/>
      <c r="F151" s="373"/>
      <c r="G151" s="372"/>
      <c r="H151" s="102"/>
      <c r="I151" s="153"/>
      <c r="J151" s="125"/>
      <c r="K151" s="153"/>
      <c r="L151" s="125"/>
      <c r="M151" s="375"/>
      <c r="N151" s="125"/>
      <c r="O151" s="375"/>
      <c r="P151" s="125"/>
      <c r="Q151" s="209"/>
      <c r="R151" s="125"/>
      <c r="S151" s="375"/>
      <c r="T151" s="60"/>
      <c r="U151" s="60"/>
      <c r="V151" s="137"/>
      <c r="W151" s="137"/>
      <c r="X151" s="137"/>
      <c r="Y151" s="137"/>
      <c r="Z151" s="137"/>
    </row>
    <row r="152" spans="1:26" ht="12" customHeight="1">
      <c r="A152" s="372"/>
      <c r="B152" s="373"/>
      <c r="C152" s="372"/>
      <c r="D152" s="153"/>
      <c r="E152" s="372"/>
      <c r="F152" s="373"/>
      <c r="G152" s="372"/>
      <c r="H152" s="102"/>
      <c r="I152" s="153"/>
      <c r="J152" s="125"/>
      <c r="K152" s="153"/>
      <c r="L152" s="125"/>
      <c r="M152" s="375"/>
      <c r="N152" s="125"/>
      <c r="O152" s="375"/>
      <c r="P152" s="125"/>
      <c r="Q152" s="209"/>
      <c r="R152" s="125"/>
      <c r="S152" s="375"/>
      <c r="T152" s="60"/>
      <c r="U152" s="60"/>
      <c r="V152" s="137"/>
      <c r="W152" s="137"/>
      <c r="X152" s="137"/>
      <c r="Y152" s="137"/>
      <c r="Z152" s="137"/>
    </row>
    <row r="153" spans="1:26" ht="12" customHeight="1">
      <c r="A153" s="372"/>
      <c r="B153" s="373"/>
      <c r="C153" s="372"/>
      <c r="D153" s="153"/>
      <c r="E153" s="372"/>
      <c r="F153" s="373"/>
      <c r="G153" s="372"/>
      <c r="H153" s="102"/>
      <c r="I153" s="153"/>
      <c r="J153" s="125"/>
      <c r="K153" s="153"/>
      <c r="L153" s="125"/>
      <c r="M153" s="375"/>
      <c r="N153" s="125"/>
      <c r="O153" s="375"/>
      <c r="P153" s="125"/>
      <c r="Q153" s="209"/>
      <c r="R153" s="125"/>
      <c r="S153" s="375"/>
      <c r="T153" s="60"/>
      <c r="U153" s="60"/>
      <c r="V153" s="137"/>
      <c r="W153" s="137"/>
      <c r="X153" s="137"/>
      <c r="Y153" s="137"/>
      <c r="Z153" s="137"/>
    </row>
    <row r="154" spans="1:26" ht="12" customHeight="1">
      <c r="A154" s="372"/>
      <c r="B154" s="373"/>
      <c r="C154" s="372"/>
      <c r="D154" s="153"/>
      <c r="E154" s="372"/>
      <c r="F154" s="373"/>
      <c r="G154" s="372"/>
      <c r="H154" s="102"/>
      <c r="I154" s="153"/>
      <c r="J154" s="125"/>
      <c r="K154" s="153"/>
      <c r="L154" s="125"/>
      <c r="M154" s="375"/>
      <c r="N154" s="125"/>
      <c r="O154" s="375"/>
      <c r="P154" s="125"/>
      <c r="Q154" s="209"/>
      <c r="R154" s="125"/>
      <c r="S154" s="375"/>
      <c r="T154" s="60"/>
      <c r="U154" s="60"/>
      <c r="V154" s="137"/>
      <c r="W154" s="137"/>
      <c r="X154" s="137"/>
      <c r="Y154" s="137"/>
      <c r="Z154" s="137"/>
    </row>
    <row r="155" spans="1:26" ht="12" customHeight="1">
      <c r="A155" s="372"/>
      <c r="B155" s="373"/>
      <c r="C155" s="372"/>
      <c r="D155" s="153"/>
      <c r="E155" s="372"/>
      <c r="F155" s="373"/>
      <c r="G155" s="372"/>
      <c r="H155" s="102"/>
      <c r="I155" s="153"/>
      <c r="J155" s="125"/>
      <c r="K155" s="153"/>
      <c r="L155" s="125"/>
      <c r="M155" s="375"/>
      <c r="N155" s="125"/>
      <c r="O155" s="375"/>
      <c r="P155" s="125"/>
      <c r="Q155" s="209"/>
      <c r="R155" s="125"/>
      <c r="S155" s="375"/>
      <c r="T155" s="60"/>
      <c r="U155" s="60"/>
      <c r="V155" s="137"/>
      <c r="W155" s="137"/>
      <c r="X155" s="137"/>
      <c r="Y155" s="137"/>
      <c r="Z155" s="137"/>
    </row>
    <row r="156" spans="1:26" ht="12" customHeight="1">
      <c r="A156" s="372"/>
      <c r="B156" s="373"/>
      <c r="C156" s="372"/>
      <c r="D156" s="153"/>
      <c r="E156" s="372"/>
      <c r="F156" s="373"/>
      <c r="G156" s="372"/>
      <c r="H156" s="102"/>
      <c r="I156" s="153"/>
      <c r="J156" s="125"/>
      <c r="K156" s="153"/>
      <c r="L156" s="125"/>
      <c r="M156" s="375"/>
      <c r="N156" s="125"/>
      <c r="O156" s="375"/>
      <c r="P156" s="125"/>
      <c r="Q156" s="209"/>
      <c r="R156" s="125"/>
      <c r="S156" s="375"/>
      <c r="T156" s="60"/>
      <c r="U156" s="60"/>
      <c r="V156" s="137"/>
      <c r="W156" s="137"/>
      <c r="X156" s="137"/>
      <c r="Y156" s="137"/>
      <c r="Z156" s="137"/>
    </row>
    <row r="157" spans="1:26" ht="12" customHeight="1">
      <c r="A157" s="376"/>
      <c r="B157" s="374"/>
      <c r="C157" s="376"/>
      <c r="D157" s="377"/>
      <c r="E157" s="376"/>
      <c r="F157" s="374"/>
      <c r="G157" s="376"/>
      <c r="H157" s="378"/>
      <c r="I157" s="377"/>
      <c r="J157" s="137"/>
      <c r="K157" s="377"/>
      <c r="L157" s="137"/>
      <c r="M157" s="379"/>
      <c r="N157" s="137"/>
      <c r="O157" s="379"/>
      <c r="P157" s="137"/>
      <c r="Q157" s="380"/>
      <c r="R157" s="137"/>
      <c r="S157" s="379"/>
      <c r="T157" s="137"/>
      <c r="U157" s="137"/>
      <c r="V157" s="137"/>
      <c r="W157" s="137"/>
      <c r="X157" s="137"/>
      <c r="Y157" s="137"/>
      <c r="Z157" s="137"/>
    </row>
    <row r="158" spans="1:26" ht="12" customHeight="1">
      <c r="A158" s="376"/>
      <c r="B158" s="374"/>
      <c r="C158" s="376"/>
      <c r="D158" s="377"/>
      <c r="E158" s="376"/>
      <c r="F158" s="374"/>
      <c r="G158" s="376"/>
      <c r="H158" s="378"/>
      <c r="I158" s="377"/>
      <c r="J158" s="137"/>
      <c r="K158" s="377"/>
      <c r="L158" s="137"/>
      <c r="M158" s="379"/>
      <c r="N158" s="137"/>
      <c r="O158" s="379"/>
      <c r="P158" s="137"/>
      <c r="Q158" s="380"/>
      <c r="R158" s="137"/>
      <c r="S158" s="379"/>
      <c r="T158" s="137"/>
      <c r="U158" s="137"/>
      <c r="V158" s="137"/>
      <c r="W158" s="137"/>
      <c r="X158" s="137"/>
      <c r="Y158" s="137"/>
      <c r="Z158" s="137"/>
    </row>
    <row r="159" spans="1:26" ht="12" customHeight="1">
      <c r="A159" s="376"/>
      <c r="B159" s="374"/>
      <c r="C159" s="376"/>
      <c r="D159" s="377"/>
      <c r="E159" s="376"/>
      <c r="F159" s="374"/>
      <c r="G159" s="376"/>
      <c r="H159" s="378"/>
      <c r="I159" s="377"/>
      <c r="J159" s="137"/>
      <c r="K159" s="377"/>
      <c r="L159" s="137"/>
      <c r="M159" s="379"/>
      <c r="N159" s="137"/>
      <c r="O159" s="379"/>
      <c r="P159" s="137"/>
      <c r="Q159" s="380"/>
      <c r="R159" s="137"/>
      <c r="S159" s="379"/>
      <c r="T159" s="137"/>
      <c r="U159" s="137"/>
      <c r="V159" s="137"/>
      <c r="W159" s="137"/>
      <c r="X159" s="137"/>
      <c r="Y159" s="137"/>
      <c r="Z159" s="137"/>
    </row>
    <row r="160" spans="1:26" ht="12" customHeight="1">
      <c r="A160" s="376"/>
      <c r="B160" s="374"/>
      <c r="C160" s="376"/>
      <c r="D160" s="377"/>
      <c r="E160" s="376"/>
      <c r="F160" s="374"/>
      <c r="G160" s="376"/>
      <c r="H160" s="378"/>
      <c r="I160" s="377"/>
      <c r="J160" s="137"/>
      <c r="K160" s="377"/>
      <c r="L160" s="137"/>
      <c r="M160" s="379"/>
      <c r="N160" s="137"/>
      <c r="O160" s="379"/>
      <c r="P160" s="137"/>
      <c r="Q160" s="380"/>
      <c r="R160" s="137"/>
      <c r="S160" s="379"/>
      <c r="T160" s="137"/>
      <c r="U160" s="137"/>
      <c r="V160" s="137"/>
      <c r="W160" s="137"/>
      <c r="X160" s="137"/>
      <c r="Y160" s="137"/>
      <c r="Z160" s="137"/>
    </row>
    <row r="161" spans="1:26" ht="12" customHeight="1">
      <c r="A161" s="376"/>
      <c r="B161" s="374"/>
      <c r="C161" s="376"/>
      <c r="D161" s="377"/>
      <c r="E161" s="376"/>
      <c r="F161" s="374"/>
      <c r="G161" s="376"/>
      <c r="H161" s="378"/>
      <c r="I161" s="377"/>
      <c r="J161" s="137"/>
      <c r="K161" s="377"/>
      <c r="L161" s="137"/>
      <c r="M161" s="379"/>
      <c r="N161" s="137"/>
      <c r="O161" s="379"/>
      <c r="P161" s="137"/>
      <c r="Q161" s="380"/>
      <c r="R161" s="137"/>
      <c r="S161" s="379"/>
      <c r="T161" s="137"/>
      <c r="U161" s="137"/>
      <c r="V161" s="137"/>
      <c r="W161" s="137"/>
      <c r="X161" s="137"/>
      <c r="Y161" s="137"/>
      <c r="Z161" s="137"/>
    </row>
    <row r="162" spans="1:26" ht="12" customHeight="1">
      <c r="A162" s="376"/>
      <c r="B162" s="374"/>
      <c r="C162" s="376"/>
      <c r="D162" s="377"/>
      <c r="E162" s="376"/>
      <c r="F162" s="374"/>
      <c r="G162" s="376"/>
      <c r="H162" s="378"/>
      <c r="I162" s="377"/>
      <c r="J162" s="137"/>
      <c r="K162" s="377"/>
      <c r="L162" s="137"/>
      <c r="M162" s="379"/>
      <c r="N162" s="137"/>
      <c r="O162" s="379"/>
      <c r="P162" s="137"/>
      <c r="Q162" s="380"/>
      <c r="R162" s="137"/>
      <c r="S162" s="379"/>
      <c r="T162" s="137"/>
      <c r="U162" s="137"/>
      <c r="V162" s="137"/>
      <c r="W162" s="137"/>
      <c r="X162" s="137"/>
      <c r="Y162" s="137"/>
      <c r="Z162" s="137"/>
    </row>
    <row r="163" spans="1:26" ht="12" customHeight="1">
      <c r="A163" s="376"/>
      <c r="B163" s="374"/>
      <c r="C163" s="376"/>
      <c r="D163" s="377"/>
      <c r="E163" s="376"/>
      <c r="F163" s="374"/>
      <c r="G163" s="376"/>
      <c r="H163" s="378"/>
      <c r="I163" s="377"/>
      <c r="J163" s="137"/>
      <c r="K163" s="377"/>
      <c r="L163" s="137"/>
      <c r="M163" s="379"/>
      <c r="N163" s="137"/>
      <c r="O163" s="379"/>
      <c r="P163" s="137"/>
      <c r="Q163" s="380"/>
      <c r="R163" s="137"/>
      <c r="S163" s="379"/>
      <c r="T163" s="137"/>
      <c r="U163" s="137"/>
      <c r="V163" s="137"/>
      <c r="W163" s="137"/>
      <c r="X163" s="137"/>
      <c r="Y163" s="137"/>
      <c r="Z163" s="137"/>
    </row>
    <row r="164" spans="1:26" ht="12" customHeight="1">
      <c r="A164" s="376"/>
      <c r="B164" s="374"/>
      <c r="C164" s="376"/>
      <c r="D164" s="377"/>
      <c r="E164" s="376"/>
      <c r="F164" s="374"/>
      <c r="G164" s="376"/>
      <c r="H164" s="378"/>
      <c r="I164" s="377"/>
      <c r="J164" s="137"/>
      <c r="K164" s="377"/>
      <c r="L164" s="137"/>
      <c r="M164" s="379"/>
      <c r="N164" s="137"/>
      <c r="O164" s="379"/>
      <c r="P164" s="137"/>
      <c r="Q164" s="380"/>
      <c r="R164" s="137"/>
      <c r="S164" s="379"/>
      <c r="T164" s="137"/>
      <c r="U164" s="137"/>
      <c r="V164" s="137"/>
      <c r="W164" s="137"/>
      <c r="X164" s="137"/>
      <c r="Y164" s="137"/>
      <c r="Z164" s="137"/>
    </row>
    <row r="165" spans="1:26" ht="12" customHeight="1">
      <c r="A165" s="376"/>
      <c r="B165" s="374"/>
      <c r="C165" s="376"/>
      <c r="D165" s="377"/>
      <c r="E165" s="376"/>
      <c r="F165" s="374"/>
      <c r="G165" s="376"/>
      <c r="H165" s="378"/>
      <c r="I165" s="377"/>
      <c r="J165" s="137"/>
      <c r="K165" s="377"/>
      <c r="L165" s="137"/>
      <c r="M165" s="379"/>
      <c r="N165" s="137"/>
      <c r="O165" s="379"/>
      <c r="P165" s="137"/>
      <c r="Q165" s="380"/>
      <c r="R165" s="137"/>
      <c r="S165" s="379"/>
      <c r="T165" s="137"/>
      <c r="U165" s="137"/>
      <c r="V165" s="137"/>
      <c r="W165" s="137"/>
      <c r="X165" s="137"/>
      <c r="Y165" s="137"/>
      <c r="Z165" s="137"/>
    </row>
    <row r="166" spans="1:26" ht="12" customHeight="1">
      <c r="A166" s="376"/>
      <c r="B166" s="374"/>
      <c r="C166" s="376"/>
      <c r="D166" s="377"/>
      <c r="E166" s="376"/>
      <c r="F166" s="374"/>
      <c r="G166" s="376"/>
      <c r="H166" s="378"/>
      <c r="I166" s="377"/>
      <c r="J166" s="137"/>
      <c r="K166" s="377"/>
      <c r="L166" s="137"/>
      <c r="M166" s="379"/>
      <c r="N166" s="137"/>
      <c r="O166" s="379"/>
      <c r="P166" s="137"/>
      <c r="Q166" s="380"/>
      <c r="R166" s="137"/>
      <c r="S166" s="379"/>
      <c r="T166" s="137"/>
      <c r="U166" s="137"/>
      <c r="V166" s="137"/>
      <c r="W166" s="137"/>
      <c r="X166" s="137"/>
      <c r="Y166" s="137"/>
      <c r="Z166" s="137"/>
    </row>
    <row r="167" spans="1:26" ht="12" customHeight="1">
      <c r="A167" s="376"/>
      <c r="B167" s="374"/>
      <c r="C167" s="376"/>
      <c r="D167" s="377"/>
      <c r="E167" s="376"/>
      <c r="F167" s="374"/>
      <c r="G167" s="376"/>
      <c r="H167" s="378"/>
      <c r="I167" s="377"/>
      <c r="J167" s="137"/>
      <c r="K167" s="377"/>
      <c r="L167" s="137"/>
      <c r="M167" s="379"/>
      <c r="N167" s="137"/>
      <c r="O167" s="379"/>
      <c r="P167" s="137"/>
      <c r="Q167" s="380"/>
      <c r="R167" s="137"/>
      <c r="S167" s="379"/>
      <c r="T167" s="137"/>
      <c r="U167" s="137"/>
      <c r="V167" s="137"/>
      <c r="W167" s="137"/>
      <c r="X167" s="137"/>
      <c r="Y167" s="137"/>
      <c r="Z167" s="137"/>
    </row>
    <row r="168" spans="1:26" ht="12" customHeight="1">
      <c r="A168" s="376"/>
      <c r="B168" s="374"/>
      <c r="C168" s="376"/>
      <c r="D168" s="377"/>
      <c r="E168" s="376"/>
      <c r="F168" s="374"/>
      <c r="G168" s="376"/>
      <c r="H168" s="378"/>
      <c r="I168" s="377"/>
      <c r="J168" s="137"/>
      <c r="K168" s="377"/>
      <c r="L168" s="137"/>
      <c r="M168" s="379"/>
      <c r="N168" s="137"/>
      <c r="O168" s="379"/>
      <c r="P168" s="137"/>
      <c r="Q168" s="380"/>
      <c r="R168" s="137"/>
      <c r="S168" s="379"/>
      <c r="T168" s="137"/>
      <c r="U168" s="137"/>
      <c r="V168" s="137"/>
      <c r="W168" s="137"/>
      <c r="X168" s="137"/>
      <c r="Y168" s="137"/>
      <c r="Z168" s="137"/>
    </row>
    <row r="169" spans="1:26" ht="12" customHeight="1">
      <c r="A169" s="376"/>
      <c r="B169" s="374"/>
      <c r="C169" s="376"/>
      <c r="D169" s="377"/>
      <c r="E169" s="376"/>
      <c r="F169" s="374"/>
      <c r="G169" s="376"/>
      <c r="H169" s="378"/>
      <c r="I169" s="377"/>
      <c r="J169" s="137"/>
      <c r="K169" s="377"/>
      <c r="L169" s="137"/>
      <c r="M169" s="379"/>
      <c r="N169" s="137"/>
      <c r="O169" s="379"/>
      <c r="P169" s="137"/>
      <c r="Q169" s="380"/>
      <c r="R169" s="137"/>
      <c r="S169" s="379"/>
      <c r="T169" s="137"/>
      <c r="U169" s="137"/>
      <c r="V169" s="137"/>
      <c r="W169" s="137"/>
      <c r="X169" s="137"/>
      <c r="Y169" s="137"/>
      <c r="Z169" s="137"/>
    </row>
    <row r="170" spans="1:26" ht="12" customHeight="1">
      <c r="A170" s="376"/>
      <c r="B170" s="374"/>
      <c r="C170" s="376"/>
      <c r="D170" s="377"/>
      <c r="E170" s="376"/>
      <c r="F170" s="374"/>
      <c r="G170" s="376"/>
      <c r="H170" s="378"/>
      <c r="I170" s="377"/>
      <c r="J170" s="137"/>
      <c r="K170" s="377"/>
      <c r="L170" s="137"/>
      <c r="M170" s="379"/>
      <c r="N170" s="137"/>
      <c r="O170" s="379"/>
      <c r="P170" s="137"/>
      <c r="Q170" s="380"/>
      <c r="R170" s="137"/>
      <c r="S170" s="379"/>
      <c r="T170" s="137"/>
      <c r="U170" s="137"/>
      <c r="V170" s="137"/>
      <c r="W170" s="137"/>
      <c r="X170" s="137"/>
      <c r="Y170" s="137"/>
      <c r="Z170" s="137"/>
    </row>
    <row r="171" spans="1:26" ht="12" customHeight="1">
      <c r="A171" s="376"/>
      <c r="B171" s="374"/>
      <c r="C171" s="376"/>
      <c r="D171" s="377"/>
      <c r="E171" s="376"/>
      <c r="F171" s="374"/>
      <c r="G171" s="376"/>
      <c r="H171" s="378"/>
      <c r="I171" s="377"/>
      <c r="J171" s="137"/>
      <c r="K171" s="377"/>
      <c r="L171" s="137"/>
      <c r="M171" s="379"/>
      <c r="N171" s="137"/>
      <c r="O171" s="379"/>
      <c r="P171" s="137"/>
      <c r="Q171" s="380"/>
      <c r="R171" s="137"/>
      <c r="S171" s="379"/>
      <c r="T171" s="137"/>
      <c r="U171" s="137"/>
      <c r="V171" s="137"/>
      <c r="W171" s="137"/>
      <c r="X171" s="137"/>
      <c r="Y171" s="137"/>
      <c r="Z171" s="137"/>
    </row>
    <row r="172" spans="1:26" ht="12" customHeight="1">
      <c r="A172" s="376"/>
      <c r="B172" s="374"/>
      <c r="C172" s="376"/>
      <c r="D172" s="377"/>
      <c r="E172" s="376"/>
      <c r="F172" s="374"/>
      <c r="G172" s="376"/>
      <c r="H172" s="378"/>
      <c r="I172" s="377"/>
      <c r="J172" s="137"/>
      <c r="K172" s="377"/>
      <c r="L172" s="137"/>
      <c r="M172" s="379"/>
      <c r="N172" s="137"/>
      <c r="O172" s="379"/>
      <c r="P172" s="137"/>
      <c r="Q172" s="380"/>
      <c r="R172" s="137"/>
      <c r="S172" s="379"/>
      <c r="T172" s="137"/>
      <c r="U172" s="137"/>
      <c r="V172" s="137"/>
      <c r="W172" s="137"/>
      <c r="X172" s="137"/>
      <c r="Y172" s="137"/>
      <c r="Z172" s="137"/>
    </row>
    <row r="173" spans="1:26" ht="12" customHeight="1">
      <c r="A173" s="376"/>
      <c r="B173" s="374"/>
      <c r="C173" s="376"/>
      <c r="D173" s="377"/>
      <c r="E173" s="376"/>
      <c r="F173" s="374"/>
      <c r="G173" s="376"/>
      <c r="H173" s="378"/>
      <c r="I173" s="377"/>
      <c r="J173" s="137"/>
      <c r="K173" s="377"/>
      <c r="L173" s="137"/>
      <c r="M173" s="379"/>
      <c r="N173" s="137"/>
      <c r="O173" s="379"/>
      <c r="P173" s="137"/>
      <c r="Q173" s="380"/>
      <c r="R173" s="137"/>
      <c r="S173" s="379"/>
      <c r="T173" s="137"/>
      <c r="U173" s="137"/>
      <c r="V173" s="137"/>
      <c r="W173" s="137"/>
      <c r="X173" s="137"/>
      <c r="Y173" s="137"/>
      <c r="Z173" s="137"/>
    </row>
    <row r="174" spans="1:26" ht="12" customHeight="1">
      <c r="A174" s="376"/>
      <c r="B174" s="374"/>
      <c r="C174" s="376"/>
      <c r="D174" s="377"/>
      <c r="E174" s="376"/>
      <c r="F174" s="374"/>
      <c r="G174" s="376"/>
      <c r="H174" s="378"/>
      <c r="I174" s="377"/>
      <c r="J174" s="137"/>
      <c r="K174" s="377"/>
      <c r="L174" s="137"/>
      <c r="M174" s="379"/>
      <c r="N174" s="137"/>
      <c r="O174" s="379"/>
      <c r="P174" s="137"/>
      <c r="Q174" s="380"/>
      <c r="R174" s="137"/>
      <c r="S174" s="379"/>
      <c r="T174" s="137"/>
      <c r="U174" s="137"/>
      <c r="V174" s="137"/>
      <c r="W174" s="137"/>
      <c r="X174" s="137"/>
      <c r="Y174" s="137"/>
      <c r="Z174" s="137"/>
    </row>
    <row r="175" spans="1:26" ht="12" customHeight="1">
      <c r="A175" s="376"/>
      <c r="B175" s="374"/>
      <c r="C175" s="376"/>
      <c r="D175" s="377"/>
      <c r="E175" s="376"/>
      <c r="F175" s="374"/>
      <c r="G175" s="376"/>
      <c r="H175" s="378"/>
      <c r="I175" s="377"/>
      <c r="J175" s="137"/>
      <c r="K175" s="377"/>
      <c r="L175" s="137"/>
      <c r="M175" s="379"/>
      <c r="N175" s="137"/>
      <c r="O175" s="379"/>
      <c r="P175" s="137"/>
      <c r="Q175" s="380"/>
      <c r="R175" s="137"/>
      <c r="S175" s="379"/>
      <c r="T175" s="137"/>
      <c r="U175" s="137"/>
      <c r="V175" s="137"/>
      <c r="W175" s="137"/>
      <c r="X175" s="137"/>
      <c r="Y175" s="137"/>
      <c r="Z175" s="137"/>
    </row>
    <row r="176" spans="1:26" ht="12" customHeight="1">
      <c r="A176" s="376"/>
      <c r="B176" s="374"/>
      <c r="C176" s="376"/>
      <c r="D176" s="377"/>
      <c r="E176" s="376"/>
      <c r="F176" s="374"/>
      <c r="G176" s="376"/>
      <c r="H176" s="378"/>
      <c r="I176" s="377"/>
      <c r="J176" s="137"/>
      <c r="K176" s="377"/>
      <c r="L176" s="137"/>
      <c r="M176" s="379"/>
      <c r="N176" s="137"/>
      <c r="O176" s="379"/>
      <c r="P176" s="137"/>
      <c r="Q176" s="380"/>
      <c r="R176" s="137"/>
      <c r="S176" s="379"/>
      <c r="T176" s="137"/>
      <c r="U176" s="137"/>
      <c r="V176" s="137"/>
      <c r="W176" s="137"/>
      <c r="X176" s="137"/>
      <c r="Y176" s="137"/>
      <c r="Z176" s="137"/>
    </row>
    <row r="177" spans="1:26" ht="12" customHeight="1">
      <c r="A177" s="376"/>
      <c r="B177" s="374"/>
      <c r="C177" s="376"/>
      <c r="D177" s="377"/>
      <c r="E177" s="376"/>
      <c r="F177" s="374"/>
      <c r="G177" s="376"/>
      <c r="H177" s="378"/>
      <c r="I177" s="377"/>
      <c r="J177" s="137"/>
      <c r="K177" s="377"/>
      <c r="L177" s="137"/>
      <c r="M177" s="379"/>
      <c r="N177" s="137"/>
      <c r="O177" s="379"/>
      <c r="P177" s="137"/>
      <c r="Q177" s="380"/>
      <c r="R177" s="137"/>
      <c r="S177" s="379"/>
      <c r="T177" s="137"/>
      <c r="U177" s="137"/>
      <c r="V177" s="137"/>
      <c r="W177" s="137"/>
      <c r="X177" s="137"/>
      <c r="Y177" s="137"/>
      <c r="Z177" s="137"/>
    </row>
    <row r="178" spans="1:26" ht="12" customHeight="1">
      <c r="A178" s="376"/>
      <c r="B178" s="374"/>
      <c r="C178" s="376"/>
      <c r="D178" s="377"/>
      <c r="E178" s="376"/>
      <c r="F178" s="374"/>
      <c r="G178" s="376"/>
      <c r="H178" s="378"/>
      <c r="I178" s="377"/>
      <c r="J178" s="137"/>
      <c r="K178" s="377"/>
      <c r="L178" s="137"/>
      <c r="M178" s="379"/>
      <c r="N178" s="137"/>
      <c r="O178" s="379"/>
      <c r="P178" s="137"/>
      <c r="Q178" s="380"/>
      <c r="R178" s="137"/>
      <c r="S178" s="379"/>
      <c r="T178" s="137"/>
      <c r="U178" s="137"/>
      <c r="V178" s="137"/>
      <c r="W178" s="137"/>
      <c r="X178" s="137"/>
      <c r="Y178" s="137"/>
      <c r="Z178" s="137"/>
    </row>
    <row r="179" spans="1:26" ht="12" customHeight="1">
      <c r="A179" s="376"/>
      <c r="B179" s="374"/>
      <c r="C179" s="376"/>
      <c r="D179" s="377"/>
      <c r="E179" s="376"/>
      <c r="F179" s="374"/>
      <c r="G179" s="376"/>
      <c r="H179" s="378"/>
      <c r="I179" s="377"/>
      <c r="J179" s="137"/>
      <c r="K179" s="377"/>
      <c r="L179" s="137"/>
      <c r="M179" s="379"/>
      <c r="N179" s="137"/>
      <c r="O179" s="379"/>
      <c r="P179" s="137"/>
      <c r="Q179" s="380"/>
      <c r="R179" s="137"/>
      <c r="S179" s="379"/>
      <c r="T179" s="137"/>
      <c r="U179" s="137"/>
      <c r="V179" s="137"/>
      <c r="W179" s="137"/>
      <c r="X179" s="137"/>
      <c r="Y179" s="137"/>
      <c r="Z179" s="137"/>
    </row>
    <row r="180" spans="1:26" ht="12" customHeight="1">
      <c r="A180" s="376"/>
      <c r="B180" s="374"/>
      <c r="C180" s="376"/>
      <c r="D180" s="377"/>
      <c r="E180" s="376"/>
      <c r="F180" s="374"/>
      <c r="G180" s="376"/>
      <c r="H180" s="378"/>
      <c r="I180" s="377"/>
      <c r="J180" s="137"/>
      <c r="K180" s="377"/>
      <c r="L180" s="137"/>
      <c r="M180" s="379"/>
      <c r="N180" s="137"/>
      <c r="O180" s="379"/>
      <c r="P180" s="137"/>
      <c r="Q180" s="380"/>
      <c r="R180" s="137"/>
      <c r="S180" s="379"/>
      <c r="T180" s="137"/>
      <c r="U180" s="137"/>
      <c r="V180" s="137"/>
      <c r="W180" s="137"/>
      <c r="X180" s="137"/>
      <c r="Y180" s="137"/>
      <c r="Z180" s="137"/>
    </row>
    <row r="181" spans="1:26" ht="12" customHeight="1">
      <c r="A181" s="376"/>
      <c r="B181" s="374"/>
      <c r="C181" s="376"/>
      <c r="D181" s="377"/>
      <c r="E181" s="376"/>
      <c r="F181" s="374"/>
      <c r="G181" s="376"/>
      <c r="H181" s="378"/>
      <c r="I181" s="377"/>
      <c r="J181" s="137"/>
      <c r="K181" s="377"/>
      <c r="L181" s="137"/>
      <c r="M181" s="379"/>
      <c r="N181" s="137"/>
      <c r="O181" s="379"/>
      <c r="P181" s="137"/>
      <c r="Q181" s="380"/>
      <c r="R181" s="137"/>
      <c r="S181" s="379"/>
      <c r="T181" s="137"/>
      <c r="U181" s="137"/>
      <c r="V181" s="137"/>
      <c r="W181" s="137"/>
      <c r="X181" s="137"/>
      <c r="Y181" s="137"/>
      <c r="Z181" s="137"/>
    </row>
    <row r="182" spans="1:26" ht="12" customHeight="1">
      <c r="A182" s="376"/>
      <c r="B182" s="374"/>
      <c r="C182" s="376"/>
      <c r="D182" s="377"/>
      <c r="E182" s="376"/>
      <c r="F182" s="374"/>
      <c r="G182" s="376"/>
      <c r="H182" s="378"/>
      <c r="I182" s="377"/>
      <c r="J182" s="137"/>
      <c r="K182" s="377"/>
      <c r="L182" s="137"/>
      <c r="M182" s="379"/>
      <c r="N182" s="137"/>
      <c r="O182" s="379"/>
      <c r="P182" s="137"/>
      <c r="Q182" s="380"/>
      <c r="R182" s="137"/>
      <c r="S182" s="379"/>
      <c r="T182" s="137"/>
      <c r="U182" s="137"/>
      <c r="V182" s="137"/>
      <c r="W182" s="137"/>
      <c r="X182" s="137"/>
      <c r="Y182" s="137"/>
      <c r="Z182" s="137"/>
    </row>
    <row r="183" spans="1:26" ht="12" customHeight="1">
      <c r="A183" s="376"/>
      <c r="B183" s="374"/>
      <c r="C183" s="376"/>
      <c r="D183" s="377"/>
      <c r="E183" s="376"/>
      <c r="F183" s="374"/>
      <c r="G183" s="376"/>
      <c r="H183" s="378"/>
      <c r="I183" s="377"/>
      <c r="J183" s="137"/>
      <c r="K183" s="377"/>
      <c r="L183" s="137"/>
      <c r="M183" s="379"/>
      <c r="N183" s="137"/>
      <c r="O183" s="379"/>
      <c r="P183" s="137"/>
      <c r="Q183" s="380"/>
      <c r="R183" s="137"/>
      <c r="S183" s="379"/>
      <c r="T183" s="137"/>
      <c r="U183" s="137"/>
      <c r="V183" s="137"/>
      <c r="W183" s="137"/>
      <c r="X183" s="137"/>
      <c r="Y183" s="137"/>
      <c r="Z183" s="137"/>
    </row>
    <row r="184" spans="1:26" ht="12" customHeight="1">
      <c r="A184" s="376"/>
      <c r="B184" s="374"/>
      <c r="C184" s="376"/>
      <c r="D184" s="377"/>
      <c r="E184" s="376"/>
      <c r="F184" s="374"/>
      <c r="G184" s="376"/>
      <c r="H184" s="378"/>
      <c r="I184" s="377"/>
      <c r="J184" s="137"/>
      <c r="K184" s="377"/>
      <c r="L184" s="137"/>
      <c r="M184" s="379"/>
      <c r="N184" s="137"/>
      <c r="O184" s="379"/>
      <c r="P184" s="137"/>
      <c r="Q184" s="380"/>
      <c r="R184" s="137"/>
      <c r="S184" s="379"/>
      <c r="T184" s="137"/>
      <c r="U184" s="137"/>
      <c r="V184" s="137"/>
      <c r="W184" s="137"/>
      <c r="X184" s="137"/>
      <c r="Y184" s="137"/>
      <c r="Z184" s="137"/>
    </row>
    <row r="185" spans="1:26" ht="12" customHeight="1">
      <c r="A185" s="376"/>
      <c r="B185" s="374"/>
      <c r="C185" s="376"/>
      <c r="D185" s="377"/>
      <c r="E185" s="376"/>
      <c r="F185" s="374"/>
      <c r="G185" s="376"/>
      <c r="H185" s="378"/>
      <c r="I185" s="377"/>
      <c r="J185" s="137"/>
      <c r="K185" s="377"/>
      <c r="L185" s="137"/>
      <c r="M185" s="379"/>
      <c r="N185" s="137"/>
      <c r="O185" s="379"/>
      <c r="P185" s="137"/>
      <c r="Q185" s="380"/>
      <c r="R185" s="137"/>
      <c r="S185" s="379"/>
      <c r="T185" s="137"/>
      <c r="U185" s="137"/>
      <c r="V185" s="137"/>
      <c r="W185" s="137"/>
      <c r="X185" s="137"/>
      <c r="Y185" s="137"/>
      <c r="Z185" s="137"/>
    </row>
    <row r="186" spans="1:26" ht="12" customHeight="1">
      <c r="A186" s="376"/>
      <c r="B186" s="374"/>
      <c r="C186" s="376"/>
      <c r="D186" s="377"/>
      <c r="E186" s="376"/>
      <c r="F186" s="374"/>
      <c r="G186" s="376"/>
      <c r="H186" s="378"/>
      <c r="I186" s="377"/>
      <c r="J186" s="137"/>
      <c r="K186" s="377"/>
      <c r="L186" s="137"/>
      <c r="M186" s="379"/>
      <c r="N186" s="137"/>
      <c r="O186" s="379"/>
      <c r="P186" s="137"/>
      <c r="Q186" s="380"/>
      <c r="R186" s="137"/>
      <c r="S186" s="379"/>
      <c r="T186" s="137"/>
      <c r="U186" s="137"/>
      <c r="V186" s="137"/>
      <c r="W186" s="137"/>
      <c r="X186" s="137"/>
      <c r="Y186" s="137"/>
      <c r="Z186" s="137"/>
    </row>
    <row r="187" spans="1:26" ht="12" customHeight="1">
      <c r="A187" s="376"/>
      <c r="B187" s="374"/>
      <c r="C187" s="376"/>
      <c r="D187" s="377"/>
      <c r="E187" s="376"/>
      <c r="F187" s="374"/>
      <c r="G187" s="376"/>
      <c r="H187" s="378"/>
      <c r="I187" s="377"/>
      <c r="J187" s="137"/>
      <c r="K187" s="377"/>
      <c r="L187" s="137"/>
      <c r="M187" s="379"/>
      <c r="N187" s="137"/>
      <c r="O187" s="379"/>
      <c r="P187" s="137"/>
      <c r="Q187" s="380"/>
      <c r="R187" s="137"/>
      <c r="S187" s="379"/>
      <c r="T187" s="137"/>
      <c r="U187" s="137"/>
      <c r="V187" s="137"/>
      <c r="W187" s="137"/>
      <c r="X187" s="137"/>
      <c r="Y187" s="137"/>
      <c r="Z187" s="137"/>
    </row>
    <row r="188" spans="1:26" ht="12" customHeight="1">
      <c r="A188" s="376"/>
      <c r="B188" s="374"/>
      <c r="C188" s="376"/>
      <c r="D188" s="377"/>
      <c r="E188" s="376"/>
      <c r="F188" s="374"/>
      <c r="G188" s="376"/>
      <c r="H188" s="378"/>
      <c r="I188" s="377"/>
      <c r="J188" s="137"/>
      <c r="K188" s="377"/>
      <c r="L188" s="137"/>
      <c r="M188" s="379"/>
      <c r="N188" s="137"/>
      <c r="O188" s="379"/>
      <c r="P188" s="137"/>
      <c r="Q188" s="380"/>
      <c r="R188" s="137"/>
      <c r="S188" s="379"/>
      <c r="T188" s="137"/>
      <c r="U188" s="137"/>
      <c r="V188" s="137"/>
      <c r="W188" s="137"/>
      <c r="X188" s="137"/>
      <c r="Y188" s="137"/>
      <c r="Z188" s="137"/>
    </row>
    <row r="189" spans="1:26" ht="12" customHeight="1">
      <c r="A189" s="376"/>
      <c r="B189" s="374"/>
      <c r="C189" s="376"/>
      <c r="D189" s="377"/>
      <c r="E189" s="376"/>
      <c r="F189" s="374"/>
      <c r="G189" s="376"/>
      <c r="H189" s="378"/>
      <c r="I189" s="377"/>
      <c r="J189" s="137"/>
      <c r="K189" s="377"/>
      <c r="L189" s="137"/>
      <c r="M189" s="379"/>
      <c r="N189" s="137"/>
      <c r="O189" s="379"/>
      <c r="P189" s="137"/>
      <c r="Q189" s="380"/>
      <c r="R189" s="137"/>
      <c r="S189" s="379"/>
      <c r="T189" s="137"/>
      <c r="U189" s="137"/>
      <c r="V189" s="137"/>
      <c r="W189" s="137"/>
      <c r="X189" s="137"/>
      <c r="Y189" s="137"/>
      <c r="Z189" s="137"/>
    </row>
    <row r="190" spans="1:26" ht="12" customHeight="1">
      <c r="A190" s="376"/>
      <c r="B190" s="374"/>
      <c r="C190" s="376"/>
      <c r="D190" s="377"/>
      <c r="E190" s="376"/>
      <c r="F190" s="374"/>
      <c r="G190" s="376"/>
      <c r="H190" s="378"/>
      <c r="I190" s="377"/>
      <c r="J190" s="137"/>
      <c r="K190" s="377"/>
      <c r="L190" s="137"/>
      <c r="M190" s="379"/>
      <c r="N190" s="137"/>
      <c r="O190" s="379"/>
      <c r="P190" s="137"/>
      <c r="Q190" s="380"/>
      <c r="R190" s="137"/>
      <c r="S190" s="379"/>
      <c r="T190" s="137"/>
      <c r="U190" s="137"/>
      <c r="V190" s="137"/>
      <c r="W190" s="137"/>
      <c r="X190" s="137"/>
      <c r="Y190" s="137"/>
      <c r="Z190" s="137"/>
    </row>
    <row r="191" spans="1:26" ht="12" customHeight="1">
      <c r="A191" s="376"/>
      <c r="B191" s="374"/>
      <c r="C191" s="376"/>
      <c r="D191" s="377"/>
      <c r="E191" s="376"/>
      <c r="F191" s="374"/>
      <c r="G191" s="376"/>
      <c r="H191" s="378"/>
      <c r="I191" s="377"/>
      <c r="J191" s="137"/>
      <c r="K191" s="377"/>
      <c r="L191" s="137"/>
      <c r="M191" s="379"/>
      <c r="N191" s="137"/>
      <c r="O191" s="379"/>
      <c r="P191" s="137"/>
      <c r="Q191" s="380"/>
      <c r="R191" s="137"/>
      <c r="S191" s="379"/>
      <c r="T191" s="137"/>
      <c r="U191" s="137"/>
      <c r="V191" s="137"/>
      <c r="W191" s="137"/>
      <c r="X191" s="137"/>
      <c r="Y191" s="137"/>
      <c r="Z191" s="137"/>
    </row>
    <row r="192" spans="1:26" ht="12" customHeight="1">
      <c r="A192" s="376"/>
      <c r="B192" s="374"/>
      <c r="C192" s="376"/>
      <c r="D192" s="377"/>
      <c r="E192" s="376"/>
      <c r="F192" s="374"/>
      <c r="G192" s="376"/>
      <c r="H192" s="378"/>
      <c r="I192" s="377"/>
      <c r="J192" s="137"/>
      <c r="K192" s="377"/>
      <c r="L192" s="137"/>
      <c r="M192" s="379"/>
      <c r="N192" s="137"/>
      <c r="O192" s="379"/>
      <c r="P192" s="137"/>
      <c r="Q192" s="380"/>
      <c r="R192" s="137"/>
      <c r="S192" s="379"/>
      <c r="T192" s="137"/>
      <c r="U192" s="137"/>
      <c r="V192" s="137"/>
      <c r="W192" s="137"/>
      <c r="X192" s="137"/>
      <c r="Y192" s="137"/>
      <c r="Z192" s="137"/>
    </row>
    <row r="193" spans="1:26" ht="12" customHeight="1">
      <c r="A193" s="376"/>
      <c r="B193" s="374"/>
      <c r="C193" s="376"/>
      <c r="D193" s="377"/>
      <c r="E193" s="376"/>
      <c r="F193" s="374"/>
      <c r="G193" s="376"/>
      <c r="H193" s="378"/>
      <c r="I193" s="377"/>
      <c r="J193" s="137"/>
      <c r="K193" s="377"/>
      <c r="L193" s="137"/>
      <c r="M193" s="379"/>
      <c r="N193" s="137"/>
      <c r="O193" s="379"/>
      <c r="P193" s="137"/>
      <c r="Q193" s="380"/>
      <c r="R193" s="137"/>
      <c r="S193" s="379"/>
      <c r="T193" s="137"/>
      <c r="U193" s="137"/>
      <c r="V193" s="137"/>
      <c r="W193" s="137"/>
      <c r="X193" s="137"/>
      <c r="Y193" s="137"/>
      <c r="Z193" s="137"/>
    </row>
    <row r="194" spans="1:26" ht="12" customHeight="1">
      <c r="A194" s="376"/>
      <c r="B194" s="374"/>
      <c r="C194" s="376"/>
      <c r="D194" s="377"/>
      <c r="E194" s="376"/>
      <c r="F194" s="374"/>
      <c r="G194" s="376"/>
      <c r="H194" s="378"/>
      <c r="I194" s="377"/>
      <c r="J194" s="137"/>
      <c r="K194" s="377"/>
      <c r="L194" s="137"/>
      <c r="M194" s="379"/>
      <c r="N194" s="137"/>
      <c r="O194" s="379"/>
      <c r="P194" s="137"/>
      <c r="Q194" s="380"/>
      <c r="R194" s="137"/>
      <c r="S194" s="379"/>
      <c r="T194" s="137"/>
      <c r="U194" s="137"/>
      <c r="V194" s="137"/>
      <c r="W194" s="137"/>
      <c r="X194" s="137"/>
      <c r="Y194" s="137"/>
      <c r="Z194" s="137"/>
    </row>
    <row r="195" spans="1:26" ht="12" customHeight="1">
      <c r="A195" s="376"/>
      <c r="B195" s="374"/>
      <c r="C195" s="376"/>
      <c r="D195" s="377"/>
      <c r="E195" s="376"/>
      <c r="F195" s="374"/>
      <c r="G195" s="376"/>
      <c r="H195" s="378"/>
      <c r="I195" s="377"/>
      <c r="J195" s="137"/>
      <c r="K195" s="377"/>
      <c r="L195" s="137"/>
      <c r="M195" s="379"/>
      <c r="N195" s="137"/>
      <c r="O195" s="379"/>
      <c r="P195" s="137"/>
      <c r="Q195" s="380"/>
      <c r="R195" s="137"/>
      <c r="S195" s="379"/>
      <c r="T195" s="137"/>
      <c r="U195" s="137"/>
      <c r="V195" s="137"/>
      <c r="W195" s="137"/>
      <c r="X195" s="137"/>
      <c r="Y195" s="137"/>
      <c r="Z195" s="137"/>
    </row>
    <row r="196" spans="1:26" ht="12" customHeight="1">
      <c r="A196" s="376"/>
      <c r="B196" s="374"/>
      <c r="C196" s="376"/>
      <c r="D196" s="377"/>
      <c r="E196" s="376"/>
      <c r="F196" s="374"/>
      <c r="G196" s="376"/>
      <c r="H196" s="378"/>
      <c r="I196" s="377"/>
      <c r="J196" s="137"/>
      <c r="K196" s="377"/>
      <c r="L196" s="137"/>
      <c r="M196" s="379"/>
      <c r="N196" s="137"/>
      <c r="O196" s="379"/>
      <c r="P196" s="137"/>
      <c r="Q196" s="380"/>
      <c r="R196" s="137"/>
      <c r="S196" s="379"/>
      <c r="T196" s="137"/>
      <c r="U196" s="137"/>
      <c r="V196" s="137"/>
      <c r="W196" s="137"/>
      <c r="X196" s="137"/>
      <c r="Y196" s="137"/>
      <c r="Z196" s="137"/>
    </row>
    <row r="197" spans="1:26" ht="12" customHeight="1">
      <c r="A197" s="376"/>
      <c r="B197" s="374"/>
      <c r="C197" s="376"/>
      <c r="D197" s="377"/>
      <c r="E197" s="376"/>
      <c r="F197" s="374"/>
      <c r="G197" s="376"/>
      <c r="H197" s="378"/>
      <c r="I197" s="377"/>
      <c r="J197" s="137"/>
      <c r="K197" s="377"/>
      <c r="L197" s="137"/>
      <c r="M197" s="379"/>
      <c r="N197" s="137"/>
      <c r="O197" s="379"/>
      <c r="P197" s="137"/>
      <c r="Q197" s="380"/>
      <c r="R197" s="137"/>
      <c r="S197" s="379"/>
      <c r="T197" s="137"/>
      <c r="U197" s="137"/>
      <c r="V197" s="137"/>
      <c r="W197" s="137"/>
      <c r="X197" s="137"/>
      <c r="Y197" s="137"/>
      <c r="Z197" s="137"/>
    </row>
    <row r="198" spans="1:26" ht="12" customHeight="1">
      <c r="A198" s="376"/>
      <c r="B198" s="374"/>
      <c r="C198" s="376"/>
      <c r="D198" s="377"/>
      <c r="E198" s="376"/>
      <c r="F198" s="374"/>
      <c r="G198" s="376"/>
      <c r="H198" s="378"/>
      <c r="I198" s="377"/>
      <c r="J198" s="137"/>
      <c r="K198" s="377"/>
      <c r="L198" s="137"/>
      <c r="M198" s="379"/>
      <c r="N198" s="137"/>
      <c r="O198" s="379"/>
      <c r="P198" s="137"/>
      <c r="Q198" s="380"/>
      <c r="R198" s="137"/>
      <c r="S198" s="379"/>
      <c r="T198" s="137"/>
      <c r="U198" s="137"/>
      <c r="V198" s="137"/>
      <c r="W198" s="137"/>
      <c r="X198" s="137"/>
      <c r="Y198" s="137"/>
      <c r="Z198" s="137"/>
    </row>
    <row r="199" spans="1:26" ht="12" customHeight="1">
      <c r="A199" s="376"/>
      <c r="B199" s="374"/>
      <c r="C199" s="376"/>
      <c r="D199" s="377"/>
      <c r="E199" s="376"/>
      <c r="F199" s="374"/>
      <c r="G199" s="376"/>
      <c r="H199" s="378"/>
      <c r="I199" s="377"/>
      <c r="J199" s="137"/>
      <c r="K199" s="377"/>
      <c r="L199" s="137"/>
      <c r="M199" s="379"/>
      <c r="N199" s="137"/>
      <c r="O199" s="379"/>
      <c r="P199" s="137"/>
      <c r="Q199" s="380"/>
      <c r="R199" s="137"/>
      <c r="S199" s="379"/>
      <c r="T199" s="137"/>
      <c r="U199" s="137"/>
      <c r="V199" s="137"/>
      <c r="W199" s="137"/>
      <c r="X199" s="137"/>
      <c r="Y199" s="137"/>
      <c r="Z199" s="137"/>
    </row>
    <row r="200" spans="1:26" ht="12" customHeight="1">
      <c r="A200" s="376"/>
      <c r="B200" s="374"/>
      <c r="C200" s="376"/>
      <c r="D200" s="377"/>
      <c r="E200" s="376"/>
      <c r="F200" s="374"/>
      <c r="G200" s="376"/>
      <c r="H200" s="378"/>
      <c r="I200" s="377"/>
      <c r="J200" s="137"/>
      <c r="K200" s="377"/>
      <c r="L200" s="137"/>
      <c r="M200" s="379"/>
      <c r="N200" s="137"/>
      <c r="O200" s="379"/>
      <c r="P200" s="137"/>
      <c r="Q200" s="380"/>
      <c r="R200" s="137"/>
      <c r="S200" s="379"/>
      <c r="T200" s="137"/>
      <c r="U200" s="137"/>
      <c r="V200" s="137"/>
      <c r="W200" s="137"/>
      <c r="X200" s="137"/>
      <c r="Y200" s="137"/>
      <c r="Z200" s="137"/>
    </row>
    <row r="201" spans="1:26" ht="12" customHeight="1">
      <c r="A201" s="376"/>
      <c r="B201" s="374"/>
      <c r="C201" s="376"/>
      <c r="D201" s="377"/>
      <c r="E201" s="376"/>
      <c r="F201" s="374"/>
      <c r="G201" s="376"/>
      <c r="H201" s="378"/>
      <c r="I201" s="377"/>
      <c r="J201" s="137"/>
      <c r="K201" s="377"/>
      <c r="L201" s="137"/>
      <c r="M201" s="379"/>
      <c r="N201" s="137"/>
      <c r="O201" s="379"/>
      <c r="P201" s="137"/>
      <c r="Q201" s="380"/>
      <c r="R201" s="137"/>
      <c r="S201" s="379"/>
      <c r="T201" s="137"/>
      <c r="U201" s="137"/>
      <c r="V201" s="137"/>
      <c r="W201" s="137"/>
      <c r="X201" s="137"/>
      <c r="Y201" s="137"/>
      <c r="Z201" s="137"/>
    </row>
    <row r="202" spans="1:26" ht="12" customHeight="1">
      <c r="A202" s="376"/>
      <c r="B202" s="374"/>
      <c r="C202" s="376"/>
      <c r="D202" s="377"/>
      <c r="E202" s="376"/>
      <c r="F202" s="374"/>
      <c r="G202" s="376"/>
      <c r="H202" s="378"/>
      <c r="I202" s="377"/>
      <c r="J202" s="137"/>
      <c r="K202" s="377"/>
      <c r="L202" s="137"/>
      <c r="M202" s="379"/>
      <c r="N202" s="137"/>
      <c r="O202" s="379"/>
      <c r="P202" s="137"/>
      <c r="Q202" s="380"/>
      <c r="R202" s="137"/>
      <c r="S202" s="379"/>
      <c r="T202" s="137"/>
      <c r="U202" s="137"/>
      <c r="V202" s="137"/>
      <c r="W202" s="137"/>
      <c r="X202" s="137"/>
      <c r="Y202" s="137"/>
      <c r="Z202" s="137"/>
    </row>
    <row r="203" spans="1:26" ht="12" customHeight="1">
      <c r="A203" s="376"/>
      <c r="B203" s="374"/>
      <c r="C203" s="376"/>
      <c r="D203" s="377"/>
      <c r="E203" s="376"/>
      <c r="F203" s="374"/>
      <c r="G203" s="376"/>
      <c r="H203" s="378"/>
      <c r="I203" s="377"/>
      <c r="J203" s="137"/>
      <c r="K203" s="377"/>
      <c r="L203" s="137"/>
      <c r="M203" s="379"/>
      <c r="N203" s="137"/>
      <c r="O203" s="379"/>
      <c r="P203" s="137"/>
      <c r="Q203" s="380"/>
      <c r="R203" s="137"/>
      <c r="S203" s="379"/>
      <c r="T203" s="137"/>
      <c r="U203" s="137"/>
      <c r="V203" s="137"/>
      <c r="W203" s="137"/>
      <c r="X203" s="137"/>
      <c r="Y203" s="137"/>
      <c r="Z203" s="137"/>
    </row>
    <row r="204" spans="1:26" ht="12" customHeight="1">
      <c r="A204" s="376"/>
      <c r="B204" s="374"/>
      <c r="C204" s="376"/>
      <c r="D204" s="377"/>
      <c r="E204" s="376"/>
      <c r="F204" s="374"/>
      <c r="G204" s="376"/>
      <c r="H204" s="378"/>
      <c r="I204" s="377"/>
      <c r="J204" s="137"/>
      <c r="K204" s="377"/>
      <c r="L204" s="137"/>
      <c r="M204" s="379"/>
      <c r="N204" s="137"/>
      <c r="O204" s="379"/>
      <c r="P204" s="137"/>
      <c r="Q204" s="380"/>
      <c r="R204" s="137"/>
      <c r="S204" s="379"/>
      <c r="T204" s="137"/>
      <c r="U204" s="137"/>
      <c r="V204" s="137"/>
      <c r="W204" s="137"/>
      <c r="X204" s="137"/>
      <c r="Y204" s="137"/>
      <c r="Z204" s="137"/>
    </row>
    <row r="205" spans="1:26" ht="12" customHeight="1">
      <c r="A205" s="376"/>
      <c r="B205" s="374"/>
      <c r="C205" s="376"/>
      <c r="D205" s="377"/>
      <c r="E205" s="376"/>
      <c r="F205" s="374"/>
      <c r="G205" s="376"/>
      <c r="H205" s="378"/>
      <c r="I205" s="377"/>
      <c r="J205" s="137"/>
      <c r="K205" s="377"/>
      <c r="L205" s="137"/>
      <c r="M205" s="379"/>
      <c r="N205" s="137"/>
      <c r="O205" s="379"/>
      <c r="P205" s="137"/>
      <c r="Q205" s="380"/>
      <c r="R205" s="137"/>
      <c r="S205" s="379"/>
      <c r="T205" s="137"/>
      <c r="U205" s="137"/>
      <c r="V205" s="137"/>
      <c r="W205" s="137"/>
      <c r="X205" s="137"/>
      <c r="Y205" s="137"/>
      <c r="Z205" s="137"/>
    </row>
    <row r="206" spans="1:26" ht="12" customHeight="1">
      <c r="A206" s="376"/>
      <c r="B206" s="374"/>
      <c r="C206" s="376"/>
      <c r="D206" s="377"/>
      <c r="E206" s="376"/>
      <c r="F206" s="374"/>
      <c r="G206" s="376"/>
      <c r="H206" s="378"/>
      <c r="I206" s="377"/>
      <c r="J206" s="137"/>
      <c r="K206" s="377"/>
      <c r="L206" s="137"/>
      <c r="M206" s="379"/>
      <c r="N206" s="137"/>
      <c r="O206" s="379"/>
      <c r="P206" s="137"/>
      <c r="Q206" s="380"/>
      <c r="R206" s="137"/>
      <c r="S206" s="379"/>
      <c r="T206" s="137"/>
      <c r="U206" s="137"/>
      <c r="V206" s="137"/>
      <c r="W206" s="137"/>
      <c r="X206" s="137"/>
      <c r="Y206" s="137"/>
      <c r="Z206" s="137"/>
    </row>
    <row r="207" spans="1:26" ht="12" customHeight="1">
      <c r="A207" s="376"/>
      <c r="B207" s="374"/>
      <c r="C207" s="376"/>
      <c r="D207" s="377"/>
      <c r="E207" s="376"/>
      <c r="F207" s="374"/>
      <c r="G207" s="376"/>
      <c r="H207" s="378"/>
      <c r="I207" s="377"/>
      <c r="J207" s="137"/>
      <c r="K207" s="377"/>
      <c r="L207" s="137"/>
      <c r="M207" s="379"/>
      <c r="N207" s="137"/>
      <c r="O207" s="379"/>
      <c r="P207" s="137"/>
      <c r="Q207" s="380"/>
      <c r="R207" s="137"/>
      <c r="S207" s="379"/>
      <c r="T207" s="137"/>
      <c r="U207" s="137"/>
      <c r="V207" s="137"/>
      <c r="W207" s="137"/>
      <c r="X207" s="137"/>
      <c r="Y207" s="137"/>
      <c r="Z207" s="137"/>
    </row>
    <row r="208" spans="1:26" ht="12" customHeight="1">
      <c r="A208" s="376"/>
      <c r="B208" s="374"/>
      <c r="C208" s="376"/>
      <c r="D208" s="377"/>
      <c r="E208" s="376"/>
      <c r="F208" s="374"/>
      <c r="G208" s="376"/>
      <c r="H208" s="378"/>
      <c r="I208" s="377"/>
      <c r="J208" s="137"/>
      <c r="K208" s="377"/>
      <c r="L208" s="137"/>
      <c r="M208" s="379"/>
      <c r="N208" s="137"/>
      <c r="O208" s="379"/>
      <c r="P208" s="137"/>
      <c r="Q208" s="380"/>
      <c r="R208" s="137"/>
      <c r="S208" s="379"/>
      <c r="T208" s="137"/>
      <c r="U208" s="137"/>
      <c r="V208" s="137"/>
      <c r="W208" s="137"/>
      <c r="X208" s="137"/>
      <c r="Y208" s="137"/>
      <c r="Z208" s="137"/>
    </row>
    <row r="209" spans="1:26" ht="12" customHeight="1">
      <c r="A209" s="376"/>
      <c r="B209" s="374"/>
      <c r="C209" s="376"/>
      <c r="D209" s="377"/>
      <c r="E209" s="376"/>
      <c r="F209" s="374"/>
      <c r="G209" s="376"/>
      <c r="H209" s="378"/>
      <c r="I209" s="377"/>
      <c r="J209" s="137"/>
      <c r="K209" s="377"/>
      <c r="L209" s="137"/>
      <c r="M209" s="379"/>
      <c r="N209" s="137"/>
      <c r="O209" s="379"/>
      <c r="P209" s="137"/>
      <c r="Q209" s="380"/>
      <c r="R209" s="137"/>
      <c r="S209" s="379"/>
      <c r="T209" s="137"/>
      <c r="U209" s="137"/>
      <c r="V209" s="137"/>
      <c r="W209" s="137"/>
      <c r="X209" s="137"/>
      <c r="Y209" s="137"/>
      <c r="Z209" s="137"/>
    </row>
    <row r="210" spans="1:26" ht="12" customHeight="1">
      <c r="A210" s="376"/>
      <c r="B210" s="374"/>
      <c r="C210" s="376"/>
      <c r="D210" s="377"/>
      <c r="E210" s="376"/>
      <c r="F210" s="374"/>
      <c r="G210" s="376"/>
      <c r="H210" s="378"/>
      <c r="I210" s="377"/>
      <c r="J210" s="137"/>
      <c r="K210" s="377"/>
      <c r="L210" s="137"/>
      <c r="M210" s="379"/>
      <c r="N210" s="137"/>
      <c r="O210" s="379"/>
      <c r="P210" s="137"/>
      <c r="Q210" s="380"/>
      <c r="R210" s="137"/>
      <c r="S210" s="379"/>
      <c r="T210" s="137"/>
      <c r="U210" s="137"/>
      <c r="V210" s="137"/>
      <c r="W210" s="137"/>
      <c r="X210" s="137"/>
      <c r="Y210" s="137"/>
      <c r="Z210" s="137"/>
    </row>
    <row r="211" spans="1:26" ht="12" customHeight="1">
      <c r="A211" s="376"/>
      <c r="B211" s="374"/>
      <c r="C211" s="376"/>
      <c r="D211" s="377"/>
      <c r="E211" s="376"/>
      <c r="F211" s="374"/>
      <c r="G211" s="376"/>
      <c r="H211" s="378"/>
      <c r="I211" s="377"/>
      <c r="J211" s="137"/>
      <c r="K211" s="377"/>
      <c r="L211" s="137"/>
      <c r="M211" s="379"/>
      <c r="N211" s="137"/>
      <c r="O211" s="379"/>
      <c r="P211" s="137"/>
      <c r="Q211" s="380"/>
      <c r="R211" s="137"/>
      <c r="S211" s="379"/>
      <c r="T211" s="137"/>
      <c r="U211" s="137"/>
      <c r="V211" s="137"/>
      <c r="W211" s="137"/>
      <c r="X211" s="137"/>
      <c r="Y211" s="137"/>
      <c r="Z211" s="137"/>
    </row>
    <row r="212" spans="1:26" ht="12" customHeight="1">
      <c r="A212" s="376"/>
      <c r="B212" s="374"/>
      <c r="C212" s="376"/>
      <c r="D212" s="377"/>
      <c r="E212" s="376"/>
      <c r="F212" s="374"/>
      <c r="G212" s="376"/>
      <c r="H212" s="378"/>
      <c r="I212" s="377"/>
      <c r="J212" s="137"/>
      <c r="K212" s="377"/>
      <c r="L212" s="137"/>
      <c r="M212" s="379"/>
      <c r="N212" s="137"/>
      <c r="O212" s="379"/>
      <c r="P212" s="137"/>
      <c r="Q212" s="380"/>
      <c r="R212" s="137"/>
      <c r="S212" s="379"/>
      <c r="T212" s="137"/>
      <c r="U212" s="137"/>
      <c r="V212" s="137"/>
      <c r="W212" s="137"/>
      <c r="X212" s="137"/>
      <c r="Y212" s="137"/>
      <c r="Z212" s="137"/>
    </row>
    <row r="213" spans="1:26" ht="12" customHeight="1">
      <c r="A213" s="376"/>
      <c r="B213" s="374"/>
      <c r="C213" s="376"/>
      <c r="D213" s="377"/>
      <c r="E213" s="376"/>
      <c r="F213" s="374"/>
      <c r="G213" s="376"/>
      <c r="H213" s="378"/>
      <c r="I213" s="377"/>
      <c r="J213" s="137"/>
      <c r="K213" s="377"/>
      <c r="L213" s="137"/>
      <c r="M213" s="379"/>
      <c r="N213" s="137"/>
      <c r="O213" s="379"/>
      <c r="P213" s="137"/>
      <c r="Q213" s="380"/>
      <c r="R213" s="137"/>
      <c r="S213" s="379"/>
      <c r="T213" s="137"/>
      <c r="U213" s="137"/>
      <c r="V213" s="137"/>
      <c r="W213" s="137"/>
      <c r="X213" s="137"/>
      <c r="Y213" s="137"/>
      <c r="Z213" s="137"/>
    </row>
    <row r="214" spans="1:26" ht="12" customHeight="1">
      <c r="A214" s="376"/>
      <c r="B214" s="374"/>
      <c r="C214" s="376"/>
      <c r="D214" s="377"/>
      <c r="E214" s="376"/>
      <c r="F214" s="374"/>
      <c r="G214" s="376"/>
      <c r="H214" s="378"/>
      <c r="I214" s="377"/>
      <c r="J214" s="137"/>
      <c r="K214" s="377"/>
      <c r="L214" s="137"/>
      <c r="M214" s="379"/>
      <c r="N214" s="137"/>
      <c r="O214" s="379"/>
      <c r="P214" s="137"/>
      <c r="Q214" s="380"/>
      <c r="R214" s="137"/>
      <c r="S214" s="379"/>
      <c r="T214" s="137"/>
      <c r="U214" s="137"/>
      <c r="V214" s="137"/>
      <c r="W214" s="137"/>
      <c r="X214" s="137"/>
      <c r="Y214" s="137"/>
      <c r="Z214" s="137"/>
    </row>
    <row r="215" spans="1:26" ht="12" customHeight="1">
      <c r="A215" s="376"/>
      <c r="B215" s="374"/>
      <c r="C215" s="376"/>
      <c r="D215" s="377"/>
      <c r="E215" s="376"/>
      <c r="F215" s="374"/>
      <c r="G215" s="376"/>
      <c r="H215" s="378"/>
      <c r="I215" s="377"/>
      <c r="J215" s="137"/>
      <c r="K215" s="377"/>
      <c r="L215" s="137"/>
      <c r="M215" s="379"/>
      <c r="N215" s="137"/>
      <c r="O215" s="379"/>
      <c r="P215" s="137"/>
      <c r="Q215" s="380"/>
      <c r="R215" s="137"/>
      <c r="S215" s="379"/>
      <c r="T215" s="137"/>
      <c r="U215" s="137"/>
      <c r="V215" s="137"/>
      <c r="W215" s="137"/>
      <c r="X215" s="137"/>
      <c r="Y215" s="137"/>
      <c r="Z215" s="137"/>
    </row>
    <row r="216" spans="1:26" ht="12" customHeight="1">
      <c r="A216" s="376"/>
      <c r="B216" s="374"/>
      <c r="C216" s="376"/>
      <c r="D216" s="377"/>
      <c r="E216" s="376"/>
      <c r="F216" s="374"/>
      <c r="G216" s="376"/>
      <c r="H216" s="378"/>
      <c r="I216" s="377"/>
      <c r="J216" s="137"/>
      <c r="K216" s="377"/>
      <c r="L216" s="137"/>
      <c r="M216" s="379"/>
      <c r="N216" s="137"/>
      <c r="O216" s="379"/>
      <c r="P216" s="137"/>
      <c r="Q216" s="380"/>
      <c r="R216" s="137"/>
      <c r="S216" s="379"/>
      <c r="T216" s="137"/>
      <c r="U216" s="137"/>
      <c r="V216" s="137"/>
      <c r="W216" s="137"/>
      <c r="X216" s="137"/>
      <c r="Y216" s="137"/>
      <c r="Z216" s="137"/>
    </row>
    <row r="217" spans="1:26" ht="12" customHeight="1">
      <c r="A217" s="376"/>
      <c r="B217" s="374"/>
      <c r="C217" s="376"/>
      <c r="D217" s="377"/>
      <c r="E217" s="376"/>
      <c r="F217" s="374"/>
      <c r="G217" s="376"/>
      <c r="H217" s="378"/>
      <c r="I217" s="377"/>
      <c r="J217" s="137"/>
      <c r="K217" s="377"/>
      <c r="L217" s="137"/>
      <c r="M217" s="379"/>
      <c r="N217" s="137"/>
      <c r="O217" s="379"/>
      <c r="P217" s="137"/>
      <c r="Q217" s="380"/>
      <c r="R217" s="137"/>
      <c r="S217" s="379"/>
      <c r="T217" s="137"/>
      <c r="U217" s="137"/>
      <c r="V217" s="137"/>
      <c r="W217" s="137"/>
      <c r="X217" s="137"/>
      <c r="Y217" s="137"/>
      <c r="Z217" s="137"/>
    </row>
    <row r="218" spans="1:26" ht="12" customHeight="1">
      <c r="A218" s="376"/>
      <c r="B218" s="374"/>
      <c r="C218" s="376"/>
      <c r="D218" s="377"/>
      <c r="E218" s="376"/>
      <c r="F218" s="374"/>
      <c r="G218" s="376"/>
      <c r="H218" s="378"/>
      <c r="I218" s="377"/>
      <c r="J218" s="137"/>
      <c r="K218" s="377"/>
      <c r="L218" s="137"/>
      <c r="M218" s="379"/>
      <c r="N218" s="137"/>
      <c r="O218" s="379"/>
      <c r="P218" s="137"/>
      <c r="Q218" s="380"/>
      <c r="R218" s="137"/>
      <c r="S218" s="379"/>
      <c r="T218" s="137"/>
      <c r="U218" s="137"/>
      <c r="V218" s="137"/>
      <c r="W218" s="137"/>
      <c r="X218" s="137"/>
      <c r="Y218" s="137"/>
      <c r="Z218" s="137"/>
    </row>
    <row r="219" spans="1:26" ht="12" customHeight="1">
      <c r="A219" s="376"/>
      <c r="B219" s="374"/>
      <c r="C219" s="376"/>
      <c r="D219" s="377"/>
      <c r="E219" s="376"/>
      <c r="F219" s="374"/>
      <c r="G219" s="376"/>
      <c r="H219" s="378"/>
      <c r="I219" s="377"/>
      <c r="J219" s="137"/>
      <c r="K219" s="377"/>
      <c r="L219" s="137"/>
      <c r="M219" s="379"/>
      <c r="N219" s="137"/>
      <c r="O219" s="379"/>
      <c r="P219" s="137"/>
      <c r="Q219" s="380"/>
      <c r="R219" s="137"/>
      <c r="S219" s="379"/>
      <c r="T219" s="137"/>
      <c r="U219" s="137"/>
      <c r="V219" s="137"/>
      <c r="W219" s="137"/>
      <c r="X219" s="137"/>
      <c r="Y219" s="137"/>
      <c r="Z219" s="137"/>
    </row>
    <row r="220" spans="1:26" ht="12" customHeight="1">
      <c r="A220" s="376"/>
      <c r="B220" s="374"/>
      <c r="C220" s="376"/>
      <c r="D220" s="377"/>
      <c r="E220" s="376"/>
      <c r="F220" s="374"/>
      <c r="G220" s="376"/>
      <c r="H220" s="378"/>
      <c r="I220" s="377"/>
      <c r="J220" s="137"/>
      <c r="K220" s="377"/>
      <c r="L220" s="137"/>
      <c r="M220" s="379"/>
      <c r="N220" s="137"/>
      <c r="O220" s="379"/>
      <c r="P220" s="137"/>
      <c r="Q220" s="380"/>
      <c r="R220" s="137"/>
      <c r="S220" s="379"/>
      <c r="T220" s="137"/>
      <c r="U220" s="137"/>
      <c r="V220" s="137"/>
      <c r="W220" s="137"/>
      <c r="X220" s="137"/>
      <c r="Y220" s="137"/>
      <c r="Z220" s="137"/>
    </row>
    <row r="221" spans="1:26" ht="12" customHeight="1">
      <c r="A221" s="376"/>
      <c r="B221" s="374"/>
      <c r="C221" s="376"/>
      <c r="D221" s="377"/>
      <c r="E221" s="376"/>
      <c r="F221" s="374"/>
      <c r="G221" s="376"/>
      <c r="H221" s="378"/>
      <c r="I221" s="377"/>
      <c r="J221" s="137"/>
      <c r="K221" s="377"/>
      <c r="L221" s="137"/>
      <c r="M221" s="379"/>
      <c r="N221" s="137"/>
      <c r="O221" s="379"/>
      <c r="P221" s="137"/>
      <c r="Q221" s="380"/>
      <c r="R221" s="137"/>
      <c r="S221" s="379"/>
      <c r="T221" s="137"/>
      <c r="U221" s="137"/>
      <c r="V221" s="137"/>
      <c r="W221" s="137"/>
      <c r="X221" s="137"/>
      <c r="Y221" s="137"/>
      <c r="Z221" s="137"/>
    </row>
    <row r="222" spans="1:26" ht="12" customHeight="1">
      <c r="A222" s="376"/>
      <c r="B222" s="374"/>
      <c r="C222" s="376"/>
      <c r="D222" s="377"/>
      <c r="E222" s="376"/>
      <c r="F222" s="374"/>
      <c r="G222" s="376"/>
      <c r="H222" s="378"/>
      <c r="I222" s="377"/>
      <c r="J222" s="137"/>
      <c r="K222" s="377"/>
      <c r="L222" s="137"/>
      <c r="M222" s="379"/>
      <c r="N222" s="137"/>
      <c r="O222" s="379"/>
      <c r="P222" s="137"/>
      <c r="Q222" s="380"/>
      <c r="R222" s="137"/>
      <c r="S222" s="379"/>
      <c r="T222" s="137"/>
      <c r="U222" s="137"/>
      <c r="V222" s="137"/>
      <c r="W222" s="137"/>
      <c r="X222" s="137"/>
      <c r="Y222" s="137"/>
      <c r="Z222" s="137"/>
    </row>
    <row r="223" spans="1:26" ht="12" customHeight="1">
      <c r="A223" s="376"/>
      <c r="B223" s="374"/>
      <c r="C223" s="376"/>
      <c r="D223" s="377"/>
      <c r="E223" s="376"/>
      <c r="F223" s="374"/>
      <c r="G223" s="376"/>
      <c r="H223" s="378"/>
      <c r="I223" s="377"/>
      <c r="J223" s="137"/>
      <c r="K223" s="377"/>
      <c r="L223" s="137"/>
      <c r="M223" s="379"/>
      <c r="N223" s="137"/>
      <c r="O223" s="379"/>
      <c r="P223" s="137"/>
      <c r="Q223" s="380"/>
      <c r="R223" s="137"/>
      <c r="S223" s="379"/>
      <c r="T223" s="137"/>
      <c r="U223" s="137"/>
      <c r="V223" s="137"/>
      <c r="W223" s="137"/>
      <c r="X223" s="137"/>
      <c r="Y223" s="137"/>
      <c r="Z223" s="137"/>
    </row>
    <row r="224" spans="1:26" ht="12" customHeight="1">
      <c r="A224" s="376"/>
      <c r="B224" s="374"/>
      <c r="C224" s="376"/>
      <c r="D224" s="377"/>
      <c r="E224" s="376"/>
      <c r="F224" s="374"/>
      <c r="G224" s="376"/>
      <c r="H224" s="378"/>
      <c r="I224" s="377"/>
      <c r="J224" s="137"/>
      <c r="K224" s="377"/>
      <c r="L224" s="137"/>
      <c r="M224" s="379"/>
      <c r="N224" s="137"/>
      <c r="O224" s="379"/>
      <c r="P224" s="137"/>
      <c r="Q224" s="380"/>
      <c r="R224" s="137"/>
      <c r="S224" s="379"/>
      <c r="T224" s="137"/>
      <c r="U224" s="137"/>
      <c r="V224" s="137"/>
      <c r="W224" s="137"/>
      <c r="X224" s="137"/>
      <c r="Y224" s="137"/>
      <c r="Z224" s="137"/>
    </row>
    <row r="225" spans="1:26" ht="12" customHeight="1">
      <c r="A225" s="376"/>
      <c r="B225" s="374"/>
      <c r="C225" s="376"/>
      <c r="D225" s="377"/>
      <c r="E225" s="376"/>
      <c r="F225" s="374"/>
      <c r="G225" s="376"/>
      <c r="H225" s="378"/>
      <c r="I225" s="377"/>
      <c r="J225" s="137"/>
      <c r="K225" s="377"/>
      <c r="L225" s="137"/>
      <c r="M225" s="379"/>
      <c r="N225" s="137"/>
      <c r="O225" s="379"/>
      <c r="P225" s="137"/>
      <c r="Q225" s="380"/>
      <c r="R225" s="137"/>
      <c r="S225" s="379"/>
      <c r="T225" s="137"/>
      <c r="U225" s="137"/>
      <c r="V225" s="137"/>
      <c r="W225" s="137"/>
      <c r="X225" s="137"/>
      <c r="Y225" s="137"/>
      <c r="Z225" s="137"/>
    </row>
    <row r="226" spans="1:26" ht="12" customHeight="1">
      <c r="A226" s="376"/>
      <c r="B226" s="374"/>
      <c r="C226" s="376"/>
      <c r="D226" s="377"/>
      <c r="E226" s="376"/>
      <c r="F226" s="374"/>
      <c r="G226" s="376"/>
      <c r="H226" s="378"/>
      <c r="I226" s="377"/>
      <c r="J226" s="137"/>
      <c r="K226" s="377"/>
      <c r="L226" s="137"/>
      <c r="M226" s="379"/>
      <c r="N226" s="137"/>
      <c r="O226" s="379"/>
      <c r="P226" s="137"/>
      <c r="Q226" s="380"/>
      <c r="R226" s="137"/>
      <c r="S226" s="379"/>
      <c r="T226" s="137"/>
      <c r="U226" s="137"/>
      <c r="V226" s="137"/>
      <c r="W226" s="137"/>
      <c r="X226" s="137"/>
      <c r="Y226" s="137"/>
      <c r="Z226" s="137"/>
    </row>
    <row r="227" spans="1:26" ht="12" customHeight="1">
      <c r="A227" s="376"/>
      <c r="B227" s="374"/>
      <c r="C227" s="376"/>
      <c r="D227" s="377"/>
      <c r="E227" s="376"/>
      <c r="F227" s="374"/>
      <c r="G227" s="376"/>
      <c r="H227" s="378"/>
      <c r="I227" s="377"/>
      <c r="J227" s="137"/>
      <c r="K227" s="377"/>
      <c r="L227" s="137"/>
      <c r="M227" s="379"/>
      <c r="N227" s="137"/>
      <c r="O227" s="379"/>
      <c r="P227" s="137"/>
      <c r="Q227" s="380"/>
      <c r="R227" s="137"/>
      <c r="S227" s="379"/>
      <c r="T227" s="137"/>
      <c r="U227" s="137"/>
      <c r="V227" s="137"/>
      <c r="W227" s="137"/>
      <c r="X227" s="137"/>
      <c r="Y227" s="137"/>
      <c r="Z227" s="137"/>
    </row>
    <row r="228" spans="1:26" ht="12" customHeight="1">
      <c r="A228" s="376"/>
      <c r="B228" s="374"/>
      <c r="C228" s="376"/>
      <c r="D228" s="377"/>
      <c r="E228" s="376"/>
      <c r="F228" s="374"/>
      <c r="G228" s="376"/>
      <c r="H228" s="378"/>
      <c r="I228" s="377"/>
      <c r="J228" s="137"/>
      <c r="K228" s="377"/>
      <c r="L228" s="137"/>
      <c r="M228" s="379"/>
      <c r="N228" s="137"/>
      <c r="O228" s="379"/>
      <c r="P228" s="137"/>
      <c r="Q228" s="380"/>
      <c r="R228" s="137"/>
      <c r="S228" s="379"/>
      <c r="T228" s="137"/>
      <c r="U228" s="137"/>
      <c r="V228" s="137"/>
      <c r="W228" s="137"/>
      <c r="X228" s="137"/>
      <c r="Y228" s="137"/>
      <c r="Z228" s="137"/>
    </row>
    <row r="229" spans="1:26" ht="12" customHeight="1">
      <c r="A229" s="376"/>
      <c r="B229" s="374"/>
      <c r="C229" s="376"/>
      <c r="D229" s="377"/>
      <c r="E229" s="376"/>
      <c r="F229" s="374"/>
      <c r="G229" s="376"/>
      <c r="H229" s="378"/>
      <c r="I229" s="377"/>
      <c r="J229" s="137"/>
      <c r="K229" s="377"/>
      <c r="L229" s="137"/>
      <c r="M229" s="379"/>
      <c r="N229" s="137"/>
      <c r="O229" s="379"/>
      <c r="P229" s="137"/>
      <c r="Q229" s="380"/>
      <c r="R229" s="137"/>
      <c r="S229" s="379"/>
      <c r="T229" s="137"/>
      <c r="U229" s="137"/>
      <c r="V229" s="137"/>
      <c r="W229" s="137"/>
      <c r="X229" s="137"/>
      <c r="Y229" s="137"/>
      <c r="Z229" s="137"/>
    </row>
    <row r="230" spans="1:26" ht="12" customHeight="1">
      <c r="A230" s="376"/>
      <c r="B230" s="374"/>
      <c r="C230" s="376"/>
      <c r="D230" s="377"/>
      <c r="E230" s="376"/>
      <c r="F230" s="374"/>
      <c r="G230" s="376"/>
      <c r="H230" s="378"/>
      <c r="I230" s="377"/>
      <c r="J230" s="137"/>
      <c r="K230" s="377"/>
      <c r="L230" s="137"/>
      <c r="M230" s="379"/>
      <c r="N230" s="137"/>
      <c r="O230" s="379"/>
      <c r="P230" s="137"/>
      <c r="Q230" s="380"/>
      <c r="R230" s="137"/>
      <c r="S230" s="379"/>
      <c r="T230" s="137"/>
      <c r="U230" s="137"/>
      <c r="V230" s="137"/>
      <c r="W230" s="137"/>
      <c r="X230" s="137"/>
      <c r="Y230" s="137"/>
      <c r="Z230" s="137"/>
    </row>
    <row r="231" spans="1:26" ht="12" customHeight="1">
      <c r="A231" s="376"/>
      <c r="B231" s="374"/>
      <c r="C231" s="376"/>
      <c r="D231" s="377"/>
      <c r="E231" s="376"/>
      <c r="F231" s="374"/>
      <c r="G231" s="376"/>
      <c r="H231" s="378"/>
      <c r="I231" s="377"/>
      <c r="J231" s="137"/>
      <c r="K231" s="377"/>
      <c r="L231" s="137"/>
      <c r="M231" s="379"/>
      <c r="N231" s="137"/>
      <c r="O231" s="379"/>
      <c r="P231" s="137"/>
      <c r="Q231" s="380"/>
      <c r="R231" s="137"/>
      <c r="S231" s="379"/>
      <c r="T231" s="137"/>
      <c r="U231" s="137"/>
      <c r="V231" s="137"/>
      <c r="W231" s="137"/>
      <c r="X231" s="137"/>
      <c r="Y231" s="137"/>
      <c r="Z231" s="137"/>
    </row>
    <row r="232" spans="1:26" ht="12" customHeight="1">
      <c r="A232" s="376"/>
      <c r="B232" s="374"/>
      <c r="C232" s="376"/>
      <c r="D232" s="377"/>
      <c r="E232" s="376"/>
      <c r="F232" s="374"/>
      <c r="G232" s="376"/>
      <c r="H232" s="378"/>
      <c r="I232" s="377"/>
      <c r="J232" s="137"/>
      <c r="K232" s="377"/>
      <c r="L232" s="137"/>
      <c r="M232" s="379"/>
      <c r="N232" s="137"/>
      <c r="O232" s="379"/>
      <c r="P232" s="137"/>
      <c r="Q232" s="380"/>
      <c r="R232" s="137"/>
      <c r="S232" s="379"/>
      <c r="T232" s="137"/>
      <c r="U232" s="137"/>
      <c r="V232" s="137"/>
      <c r="W232" s="137"/>
      <c r="X232" s="137"/>
      <c r="Y232" s="137"/>
      <c r="Z232" s="137"/>
    </row>
    <row r="233" spans="1:26" ht="12" customHeight="1">
      <c r="A233" s="376"/>
      <c r="B233" s="374"/>
      <c r="C233" s="376"/>
      <c r="D233" s="377"/>
      <c r="E233" s="376"/>
      <c r="F233" s="374"/>
      <c r="G233" s="376"/>
      <c r="H233" s="378"/>
      <c r="I233" s="377"/>
      <c r="J233" s="137"/>
      <c r="K233" s="377"/>
      <c r="L233" s="137"/>
      <c r="M233" s="379"/>
      <c r="N233" s="137"/>
      <c r="O233" s="379"/>
      <c r="P233" s="137"/>
      <c r="Q233" s="380"/>
      <c r="R233" s="137"/>
      <c r="S233" s="379"/>
      <c r="T233" s="137"/>
      <c r="U233" s="137"/>
      <c r="V233" s="137"/>
      <c r="W233" s="137"/>
      <c r="X233" s="137"/>
      <c r="Y233" s="137"/>
      <c r="Z233" s="137"/>
    </row>
    <row r="234" spans="1:26" ht="12" customHeight="1">
      <c r="A234" s="376"/>
      <c r="B234" s="374"/>
      <c r="C234" s="376"/>
      <c r="D234" s="377"/>
      <c r="E234" s="376"/>
      <c r="F234" s="374"/>
      <c r="G234" s="376"/>
      <c r="H234" s="378"/>
      <c r="I234" s="377"/>
      <c r="J234" s="137"/>
      <c r="K234" s="377"/>
      <c r="L234" s="137"/>
      <c r="M234" s="379"/>
      <c r="N234" s="137"/>
      <c r="O234" s="379"/>
      <c r="P234" s="137"/>
      <c r="Q234" s="380"/>
      <c r="R234" s="137"/>
      <c r="S234" s="379"/>
      <c r="T234" s="137"/>
      <c r="U234" s="137"/>
      <c r="V234" s="137"/>
      <c r="W234" s="137"/>
      <c r="X234" s="137"/>
      <c r="Y234" s="137"/>
      <c r="Z234" s="137"/>
    </row>
    <row r="235" spans="1:26" ht="12" customHeight="1">
      <c r="A235" s="376"/>
      <c r="B235" s="374"/>
      <c r="C235" s="376"/>
      <c r="D235" s="377"/>
      <c r="E235" s="376"/>
      <c r="F235" s="374"/>
      <c r="G235" s="376"/>
      <c r="H235" s="378"/>
      <c r="I235" s="377"/>
      <c r="J235" s="137"/>
      <c r="K235" s="377"/>
      <c r="L235" s="137"/>
      <c r="M235" s="379"/>
      <c r="N235" s="137"/>
      <c r="O235" s="379"/>
      <c r="P235" s="137"/>
      <c r="Q235" s="380"/>
      <c r="R235" s="137"/>
      <c r="S235" s="379"/>
      <c r="T235" s="137"/>
      <c r="U235" s="137"/>
      <c r="V235" s="137"/>
      <c r="W235" s="137"/>
      <c r="X235" s="137"/>
      <c r="Y235" s="137"/>
      <c r="Z235" s="137"/>
    </row>
    <row r="236" spans="1:26" ht="12" customHeight="1">
      <c r="A236" s="376"/>
      <c r="B236" s="374"/>
      <c r="C236" s="376"/>
      <c r="D236" s="377"/>
      <c r="E236" s="376"/>
      <c r="F236" s="374"/>
      <c r="G236" s="376"/>
      <c r="H236" s="378"/>
      <c r="I236" s="377"/>
      <c r="J236" s="137"/>
      <c r="K236" s="377"/>
      <c r="L236" s="137"/>
      <c r="M236" s="379"/>
      <c r="N236" s="137"/>
      <c r="O236" s="379"/>
      <c r="P236" s="137"/>
      <c r="Q236" s="380"/>
      <c r="R236" s="137"/>
      <c r="S236" s="379"/>
      <c r="T236" s="137"/>
      <c r="U236" s="137"/>
      <c r="V236" s="137"/>
      <c r="W236" s="137"/>
      <c r="X236" s="137"/>
      <c r="Y236" s="137"/>
      <c r="Z236" s="137"/>
    </row>
    <row r="237" spans="1:26" ht="12" customHeight="1">
      <c r="A237" s="376"/>
      <c r="B237" s="374"/>
      <c r="C237" s="376"/>
      <c r="D237" s="377"/>
      <c r="E237" s="376"/>
      <c r="F237" s="374"/>
      <c r="G237" s="376"/>
      <c r="H237" s="378"/>
      <c r="I237" s="377"/>
      <c r="J237" s="137"/>
      <c r="K237" s="377"/>
      <c r="L237" s="137"/>
      <c r="M237" s="379"/>
      <c r="N237" s="137"/>
      <c r="O237" s="379"/>
      <c r="P237" s="137"/>
      <c r="Q237" s="380"/>
      <c r="R237" s="137"/>
      <c r="S237" s="379"/>
      <c r="T237" s="137"/>
      <c r="U237" s="137"/>
      <c r="V237" s="137"/>
      <c r="W237" s="137"/>
      <c r="X237" s="137"/>
      <c r="Y237" s="137"/>
      <c r="Z237" s="137"/>
    </row>
    <row r="238" spans="1:26" ht="12" customHeight="1">
      <c r="A238" s="376"/>
      <c r="B238" s="374"/>
      <c r="C238" s="376"/>
      <c r="D238" s="377"/>
      <c r="E238" s="376"/>
      <c r="F238" s="374"/>
      <c r="G238" s="376"/>
      <c r="H238" s="378"/>
      <c r="I238" s="377"/>
      <c r="J238" s="137"/>
      <c r="K238" s="377"/>
      <c r="L238" s="137"/>
      <c r="M238" s="379"/>
      <c r="N238" s="137"/>
      <c r="O238" s="379"/>
      <c r="P238" s="137"/>
      <c r="Q238" s="380"/>
      <c r="R238" s="137"/>
      <c r="S238" s="379"/>
      <c r="T238" s="137"/>
      <c r="U238" s="137"/>
      <c r="V238" s="137"/>
      <c r="W238" s="137"/>
      <c r="X238" s="137"/>
      <c r="Y238" s="137"/>
      <c r="Z238" s="137"/>
    </row>
    <row r="239" spans="1:26" ht="12" customHeight="1">
      <c r="A239" s="376"/>
      <c r="B239" s="374"/>
      <c r="C239" s="376"/>
      <c r="D239" s="377"/>
      <c r="E239" s="376"/>
      <c r="F239" s="374"/>
      <c r="G239" s="376"/>
      <c r="H239" s="378"/>
      <c r="I239" s="377"/>
      <c r="J239" s="137"/>
      <c r="K239" s="377"/>
      <c r="L239" s="137"/>
      <c r="M239" s="379"/>
      <c r="N239" s="137"/>
      <c r="O239" s="379"/>
      <c r="P239" s="137"/>
      <c r="Q239" s="380"/>
      <c r="R239" s="137"/>
      <c r="S239" s="379"/>
      <c r="T239" s="137"/>
      <c r="U239" s="137"/>
      <c r="V239" s="137"/>
      <c r="W239" s="137"/>
      <c r="X239" s="137"/>
      <c r="Y239" s="137"/>
      <c r="Z239" s="137"/>
    </row>
    <row r="240" spans="1:26" ht="12" customHeight="1">
      <c r="A240" s="376"/>
      <c r="B240" s="374"/>
      <c r="C240" s="376"/>
      <c r="D240" s="377"/>
      <c r="E240" s="376"/>
      <c r="F240" s="374"/>
      <c r="G240" s="376"/>
      <c r="H240" s="378"/>
      <c r="I240" s="377"/>
      <c r="J240" s="137"/>
      <c r="K240" s="377"/>
      <c r="L240" s="137"/>
      <c r="M240" s="379"/>
      <c r="N240" s="137"/>
      <c r="O240" s="379"/>
      <c r="P240" s="137"/>
      <c r="Q240" s="380"/>
      <c r="R240" s="137"/>
      <c r="S240" s="379"/>
      <c r="T240" s="137"/>
      <c r="U240" s="137"/>
      <c r="V240" s="137"/>
      <c r="W240" s="137"/>
      <c r="X240" s="137"/>
      <c r="Y240" s="137"/>
      <c r="Z240" s="137"/>
    </row>
    <row r="241" spans="1:26" ht="12" customHeight="1">
      <c r="A241" s="376"/>
      <c r="B241" s="374"/>
      <c r="C241" s="376"/>
      <c r="D241" s="377"/>
      <c r="E241" s="376"/>
      <c r="F241" s="374"/>
      <c r="G241" s="376"/>
      <c r="H241" s="378"/>
      <c r="I241" s="377"/>
      <c r="J241" s="137"/>
      <c r="K241" s="377"/>
      <c r="L241" s="137"/>
      <c r="M241" s="379"/>
      <c r="N241" s="137"/>
      <c r="O241" s="379"/>
      <c r="P241" s="137"/>
      <c r="Q241" s="380"/>
      <c r="R241" s="137"/>
      <c r="S241" s="379"/>
      <c r="T241" s="137"/>
      <c r="U241" s="137"/>
      <c r="V241" s="137"/>
      <c r="W241" s="137"/>
      <c r="X241" s="137"/>
      <c r="Y241" s="137"/>
      <c r="Z241" s="137"/>
    </row>
    <row r="242" spans="1:26" ht="12" customHeight="1">
      <c r="A242" s="376"/>
      <c r="B242" s="374"/>
      <c r="C242" s="376"/>
      <c r="D242" s="377"/>
      <c r="E242" s="376"/>
      <c r="F242" s="374"/>
      <c r="G242" s="376"/>
      <c r="H242" s="378"/>
      <c r="I242" s="377"/>
      <c r="J242" s="137"/>
      <c r="K242" s="377"/>
      <c r="L242" s="137"/>
      <c r="M242" s="379"/>
      <c r="N242" s="137"/>
      <c r="O242" s="379"/>
      <c r="P242" s="137"/>
      <c r="Q242" s="380"/>
      <c r="R242" s="137"/>
      <c r="S242" s="379"/>
      <c r="T242" s="137"/>
      <c r="U242" s="137"/>
      <c r="V242" s="137"/>
      <c r="W242" s="137"/>
      <c r="X242" s="137"/>
      <c r="Y242" s="137"/>
      <c r="Z242" s="137"/>
    </row>
    <row r="243" spans="1:26" ht="12" customHeight="1">
      <c r="A243" s="376"/>
      <c r="B243" s="374"/>
      <c r="C243" s="376"/>
      <c r="D243" s="377"/>
      <c r="E243" s="376"/>
      <c r="F243" s="374"/>
      <c r="G243" s="376"/>
      <c r="H243" s="378"/>
      <c r="I243" s="377"/>
      <c r="J243" s="137"/>
      <c r="K243" s="377"/>
      <c r="L243" s="137"/>
      <c r="M243" s="379"/>
      <c r="N243" s="137"/>
      <c r="O243" s="379"/>
      <c r="P243" s="137"/>
      <c r="Q243" s="380"/>
      <c r="R243" s="137"/>
      <c r="S243" s="379"/>
      <c r="T243" s="137"/>
      <c r="U243" s="137"/>
      <c r="V243" s="137"/>
      <c r="W243" s="137"/>
      <c r="X243" s="137"/>
      <c r="Y243" s="137"/>
      <c r="Z243" s="137"/>
    </row>
    <row r="244" spans="1:26" ht="12" customHeight="1">
      <c r="A244" s="376"/>
      <c r="B244" s="374"/>
      <c r="C244" s="376"/>
      <c r="D244" s="377"/>
      <c r="E244" s="376"/>
      <c r="F244" s="374"/>
      <c r="G244" s="376"/>
      <c r="H244" s="378"/>
      <c r="I244" s="377"/>
      <c r="J244" s="137"/>
      <c r="K244" s="377"/>
      <c r="L244" s="137"/>
      <c r="M244" s="379"/>
      <c r="N244" s="137"/>
      <c r="O244" s="379"/>
      <c r="P244" s="137"/>
      <c r="Q244" s="380"/>
      <c r="R244" s="137"/>
      <c r="S244" s="379"/>
      <c r="T244" s="137"/>
      <c r="U244" s="137"/>
      <c r="V244" s="137"/>
      <c r="W244" s="137"/>
      <c r="X244" s="137"/>
      <c r="Y244" s="137"/>
      <c r="Z244" s="137"/>
    </row>
    <row r="245" spans="1:26" ht="12" customHeight="1">
      <c r="A245" s="376"/>
      <c r="B245" s="374"/>
      <c r="C245" s="376"/>
      <c r="D245" s="377"/>
      <c r="E245" s="376"/>
      <c r="F245" s="374"/>
      <c r="G245" s="376"/>
      <c r="H245" s="378"/>
      <c r="I245" s="377"/>
      <c r="J245" s="137"/>
      <c r="K245" s="377"/>
      <c r="L245" s="137"/>
      <c r="M245" s="379"/>
      <c r="N245" s="137"/>
      <c r="O245" s="379"/>
      <c r="P245" s="137"/>
      <c r="Q245" s="380"/>
      <c r="R245" s="137"/>
      <c r="S245" s="379"/>
      <c r="T245" s="137"/>
      <c r="U245" s="137"/>
      <c r="V245" s="137"/>
      <c r="W245" s="137"/>
      <c r="X245" s="137"/>
      <c r="Y245" s="137"/>
      <c r="Z245" s="137"/>
    </row>
    <row r="246" spans="1:26" ht="12" customHeight="1">
      <c r="A246" s="376"/>
      <c r="B246" s="374"/>
      <c r="C246" s="376"/>
      <c r="D246" s="377"/>
      <c r="E246" s="376"/>
      <c r="F246" s="374"/>
      <c r="G246" s="376"/>
      <c r="H246" s="378"/>
      <c r="I246" s="377"/>
      <c r="J246" s="137"/>
      <c r="K246" s="377"/>
      <c r="L246" s="137"/>
      <c r="M246" s="379"/>
      <c r="N246" s="137"/>
      <c r="O246" s="379"/>
      <c r="P246" s="137"/>
      <c r="Q246" s="380"/>
      <c r="R246" s="137"/>
      <c r="S246" s="379"/>
      <c r="T246" s="137"/>
      <c r="U246" s="137"/>
      <c r="V246" s="137"/>
      <c r="W246" s="137"/>
      <c r="X246" s="137"/>
      <c r="Y246" s="137"/>
      <c r="Z246" s="137"/>
    </row>
    <row r="247" spans="1:26" ht="12" customHeight="1">
      <c r="A247" s="376"/>
      <c r="B247" s="374"/>
      <c r="C247" s="376"/>
      <c r="D247" s="377"/>
      <c r="E247" s="376"/>
      <c r="F247" s="374"/>
      <c r="G247" s="376"/>
      <c r="H247" s="378"/>
      <c r="I247" s="377"/>
      <c r="J247" s="137"/>
      <c r="K247" s="377"/>
      <c r="L247" s="137"/>
      <c r="M247" s="379"/>
      <c r="N247" s="137"/>
      <c r="O247" s="379"/>
      <c r="P247" s="137"/>
      <c r="Q247" s="380"/>
      <c r="R247" s="137"/>
      <c r="S247" s="379"/>
      <c r="T247" s="137"/>
      <c r="U247" s="137"/>
      <c r="V247" s="137"/>
      <c r="W247" s="137"/>
      <c r="X247" s="137"/>
      <c r="Y247" s="137"/>
      <c r="Z247" s="137"/>
    </row>
    <row r="248" spans="1:26" ht="12" customHeight="1">
      <c r="A248" s="376"/>
      <c r="B248" s="374"/>
      <c r="C248" s="376"/>
      <c r="D248" s="377"/>
      <c r="E248" s="376"/>
      <c r="F248" s="374"/>
      <c r="G248" s="376"/>
      <c r="H248" s="378"/>
      <c r="I248" s="377"/>
      <c r="J248" s="137"/>
      <c r="K248" s="377"/>
      <c r="L248" s="137"/>
      <c r="M248" s="379"/>
      <c r="N248" s="137"/>
      <c r="O248" s="379"/>
      <c r="P248" s="137"/>
      <c r="Q248" s="380"/>
      <c r="R248" s="137"/>
      <c r="S248" s="379"/>
      <c r="T248" s="137"/>
      <c r="U248" s="137"/>
      <c r="V248" s="137"/>
      <c r="W248" s="137"/>
      <c r="X248" s="137"/>
      <c r="Y248" s="137"/>
      <c r="Z248" s="137"/>
    </row>
    <row r="249" spans="1:26" ht="12" customHeight="1">
      <c r="A249" s="376"/>
      <c r="B249" s="374"/>
      <c r="C249" s="376"/>
      <c r="D249" s="377"/>
      <c r="E249" s="376"/>
      <c r="F249" s="374"/>
      <c r="G249" s="376"/>
      <c r="H249" s="378"/>
      <c r="I249" s="377"/>
      <c r="J249" s="137"/>
      <c r="K249" s="377"/>
      <c r="L249" s="137"/>
      <c r="M249" s="379"/>
      <c r="N249" s="137"/>
      <c r="O249" s="379"/>
      <c r="P249" s="137"/>
      <c r="Q249" s="380"/>
      <c r="R249" s="137"/>
      <c r="S249" s="379"/>
      <c r="T249" s="137"/>
      <c r="U249" s="137"/>
      <c r="V249" s="137"/>
      <c r="W249" s="137"/>
      <c r="X249" s="137"/>
      <c r="Y249" s="137"/>
      <c r="Z249" s="137"/>
    </row>
    <row r="250" spans="1:26" ht="12" customHeight="1">
      <c r="A250" s="376"/>
      <c r="B250" s="374"/>
      <c r="C250" s="376"/>
      <c r="D250" s="377"/>
      <c r="E250" s="376"/>
      <c r="F250" s="374"/>
      <c r="G250" s="376"/>
      <c r="H250" s="378"/>
      <c r="I250" s="377"/>
      <c r="J250" s="137"/>
      <c r="K250" s="377"/>
      <c r="L250" s="137"/>
      <c r="M250" s="379"/>
      <c r="N250" s="137"/>
      <c r="O250" s="379"/>
      <c r="P250" s="137"/>
      <c r="Q250" s="380"/>
      <c r="R250" s="137"/>
      <c r="S250" s="379"/>
      <c r="T250" s="137"/>
      <c r="U250" s="137"/>
      <c r="V250" s="137"/>
      <c r="W250" s="137"/>
      <c r="X250" s="137"/>
      <c r="Y250" s="137"/>
      <c r="Z250" s="137"/>
    </row>
    <row r="251" spans="1:26" ht="12" customHeight="1">
      <c r="A251" s="376"/>
      <c r="B251" s="374"/>
      <c r="C251" s="376"/>
      <c r="D251" s="377"/>
      <c r="E251" s="376"/>
      <c r="F251" s="374"/>
      <c r="G251" s="376"/>
      <c r="H251" s="378"/>
      <c r="I251" s="377"/>
      <c r="J251" s="137"/>
      <c r="K251" s="377"/>
      <c r="L251" s="137"/>
      <c r="M251" s="379"/>
      <c r="N251" s="137"/>
      <c r="O251" s="379"/>
      <c r="P251" s="137"/>
      <c r="Q251" s="380"/>
      <c r="R251" s="137"/>
      <c r="S251" s="379"/>
      <c r="T251" s="137"/>
      <c r="U251" s="137"/>
      <c r="V251" s="137"/>
      <c r="W251" s="137"/>
      <c r="X251" s="137"/>
      <c r="Y251" s="137"/>
      <c r="Z251" s="137"/>
    </row>
    <row r="252" spans="1:26" ht="12" customHeight="1">
      <c r="A252" s="376"/>
      <c r="B252" s="374"/>
      <c r="C252" s="376"/>
      <c r="D252" s="377"/>
      <c r="E252" s="376"/>
      <c r="F252" s="374"/>
      <c r="G252" s="376"/>
      <c r="H252" s="378"/>
      <c r="I252" s="377"/>
      <c r="J252" s="137"/>
      <c r="K252" s="377"/>
      <c r="L252" s="137"/>
      <c r="M252" s="379"/>
      <c r="N252" s="137"/>
      <c r="O252" s="379"/>
      <c r="P252" s="137"/>
      <c r="Q252" s="380"/>
      <c r="R252" s="137"/>
      <c r="S252" s="379"/>
      <c r="T252" s="137"/>
      <c r="U252" s="137"/>
      <c r="V252" s="137"/>
      <c r="W252" s="137"/>
      <c r="X252" s="137"/>
      <c r="Y252" s="137"/>
      <c r="Z252" s="137"/>
    </row>
    <row r="253" spans="1:26" ht="12" customHeight="1">
      <c r="A253" s="376"/>
      <c r="B253" s="374"/>
      <c r="C253" s="376"/>
      <c r="D253" s="377"/>
      <c r="E253" s="376"/>
      <c r="F253" s="374"/>
      <c r="G253" s="376"/>
      <c r="H253" s="378"/>
      <c r="I253" s="377"/>
      <c r="J253" s="137"/>
      <c r="K253" s="377"/>
      <c r="L253" s="137"/>
      <c r="M253" s="379"/>
      <c r="N253" s="137"/>
      <c r="O253" s="379"/>
      <c r="P253" s="137"/>
      <c r="Q253" s="380"/>
      <c r="R253" s="137"/>
      <c r="S253" s="379"/>
      <c r="T253" s="137"/>
      <c r="U253" s="137"/>
      <c r="V253" s="137"/>
      <c r="W253" s="137"/>
      <c r="X253" s="137"/>
      <c r="Y253" s="137"/>
      <c r="Z253" s="137"/>
    </row>
    <row r="254" spans="1:26" ht="12" customHeight="1">
      <c r="A254" s="376"/>
      <c r="B254" s="374"/>
      <c r="C254" s="376"/>
      <c r="D254" s="377"/>
      <c r="E254" s="376"/>
      <c r="F254" s="374"/>
      <c r="G254" s="376"/>
      <c r="H254" s="378"/>
      <c r="I254" s="377"/>
      <c r="J254" s="137"/>
      <c r="K254" s="377"/>
      <c r="L254" s="137"/>
      <c r="M254" s="379"/>
      <c r="N254" s="137"/>
      <c r="O254" s="379"/>
      <c r="P254" s="137"/>
      <c r="Q254" s="380"/>
      <c r="R254" s="137"/>
      <c r="S254" s="379"/>
      <c r="T254" s="137"/>
      <c r="U254" s="137"/>
      <c r="V254" s="137"/>
      <c r="W254" s="137"/>
      <c r="X254" s="137"/>
      <c r="Y254" s="137"/>
      <c r="Z254" s="137"/>
    </row>
    <row r="255" spans="1:26" ht="12" customHeight="1">
      <c r="A255" s="376"/>
      <c r="B255" s="374"/>
      <c r="C255" s="376"/>
      <c r="D255" s="377"/>
      <c r="E255" s="376"/>
      <c r="F255" s="374"/>
      <c r="G255" s="376"/>
      <c r="H255" s="378"/>
      <c r="I255" s="377"/>
      <c r="J255" s="137"/>
      <c r="K255" s="377"/>
      <c r="L255" s="137"/>
      <c r="M255" s="379"/>
      <c r="N255" s="137"/>
      <c r="O255" s="379"/>
      <c r="P255" s="137"/>
      <c r="Q255" s="380"/>
      <c r="R255" s="137"/>
      <c r="S255" s="379"/>
      <c r="T255" s="137"/>
      <c r="U255" s="137"/>
      <c r="V255" s="137"/>
      <c r="W255" s="137"/>
      <c r="X255" s="137"/>
      <c r="Y255" s="137"/>
      <c r="Z255" s="137"/>
    </row>
    <row r="256" spans="1:26" ht="12" customHeight="1">
      <c r="A256" s="376"/>
      <c r="B256" s="374"/>
      <c r="C256" s="376"/>
      <c r="D256" s="377"/>
      <c r="E256" s="376"/>
      <c r="F256" s="374"/>
      <c r="G256" s="376"/>
      <c r="H256" s="378"/>
      <c r="I256" s="377"/>
      <c r="J256" s="137"/>
      <c r="K256" s="377"/>
      <c r="L256" s="137"/>
      <c r="M256" s="379"/>
      <c r="N256" s="137"/>
      <c r="O256" s="379"/>
      <c r="P256" s="137"/>
      <c r="Q256" s="380"/>
      <c r="R256" s="137"/>
      <c r="S256" s="379"/>
      <c r="T256" s="137"/>
      <c r="U256" s="137"/>
      <c r="V256" s="137"/>
      <c r="W256" s="137"/>
      <c r="X256" s="137"/>
      <c r="Y256" s="137"/>
      <c r="Z256" s="137"/>
    </row>
    <row r="257" spans="1:26" ht="12" customHeight="1">
      <c r="A257" s="376"/>
      <c r="B257" s="374"/>
      <c r="C257" s="376"/>
      <c r="D257" s="377"/>
      <c r="E257" s="376"/>
      <c r="F257" s="374"/>
      <c r="G257" s="376"/>
      <c r="H257" s="378"/>
      <c r="I257" s="377"/>
      <c r="J257" s="137"/>
      <c r="K257" s="377"/>
      <c r="L257" s="137"/>
      <c r="M257" s="379"/>
      <c r="N257" s="137"/>
      <c r="O257" s="379"/>
      <c r="P257" s="137"/>
      <c r="Q257" s="380"/>
      <c r="R257" s="137"/>
      <c r="S257" s="379"/>
      <c r="T257" s="137"/>
      <c r="U257" s="137"/>
      <c r="V257" s="137"/>
      <c r="W257" s="137"/>
      <c r="X257" s="137"/>
      <c r="Y257" s="137"/>
      <c r="Z257" s="137"/>
    </row>
    <row r="258" spans="1:26" ht="12" customHeight="1">
      <c r="A258" s="376"/>
      <c r="B258" s="374"/>
      <c r="C258" s="376"/>
      <c r="D258" s="377"/>
      <c r="E258" s="376"/>
      <c r="F258" s="374"/>
      <c r="G258" s="376"/>
      <c r="H258" s="378"/>
      <c r="I258" s="377"/>
      <c r="J258" s="137"/>
      <c r="K258" s="377"/>
      <c r="L258" s="137"/>
      <c r="M258" s="379"/>
      <c r="N258" s="137"/>
      <c r="O258" s="379"/>
      <c r="P258" s="137"/>
      <c r="Q258" s="380"/>
      <c r="R258" s="137"/>
      <c r="S258" s="379"/>
      <c r="T258" s="137"/>
      <c r="U258" s="137"/>
      <c r="V258" s="137"/>
      <c r="W258" s="137"/>
      <c r="X258" s="137"/>
      <c r="Y258" s="137"/>
      <c r="Z258" s="137"/>
    </row>
    <row r="259" spans="1:26" ht="12" customHeight="1">
      <c r="A259" s="376"/>
      <c r="B259" s="374"/>
      <c r="C259" s="376"/>
      <c r="D259" s="377"/>
      <c r="E259" s="376"/>
      <c r="F259" s="374"/>
      <c r="G259" s="376"/>
      <c r="H259" s="378"/>
      <c r="I259" s="377"/>
      <c r="J259" s="137"/>
      <c r="K259" s="377"/>
      <c r="L259" s="137"/>
      <c r="M259" s="379"/>
      <c r="N259" s="137"/>
      <c r="O259" s="379"/>
      <c r="P259" s="137"/>
      <c r="Q259" s="380"/>
      <c r="R259" s="137"/>
      <c r="S259" s="379"/>
      <c r="T259" s="137"/>
      <c r="U259" s="137"/>
      <c r="V259" s="137"/>
      <c r="W259" s="137"/>
      <c r="X259" s="137"/>
      <c r="Y259" s="137"/>
      <c r="Z259" s="137"/>
    </row>
    <row r="260" spans="1:26" ht="12" customHeight="1">
      <c r="A260" s="376"/>
      <c r="B260" s="374"/>
      <c r="C260" s="376"/>
      <c r="D260" s="377"/>
      <c r="E260" s="376"/>
      <c r="F260" s="374"/>
      <c r="G260" s="376"/>
      <c r="H260" s="378"/>
      <c r="I260" s="377"/>
      <c r="J260" s="137"/>
      <c r="K260" s="377"/>
      <c r="L260" s="137"/>
      <c r="M260" s="379"/>
      <c r="N260" s="137"/>
      <c r="O260" s="379"/>
      <c r="P260" s="137"/>
      <c r="Q260" s="380"/>
      <c r="R260" s="137"/>
      <c r="S260" s="379"/>
      <c r="T260" s="137"/>
      <c r="U260" s="137"/>
      <c r="V260" s="137"/>
      <c r="W260" s="137"/>
      <c r="X260" s="137"/>
      <c r="Y260" s="137"/>
      <c r="Z260" s="137"/>
    </row>
    <row r="261" spans="1:26" ht="12" customHeight="1">
      <c r="A261" s="376"/>
      <c r="B261" s="374"/>
      <c r="C261" s="376"/>
      <c r="D261" s="377"/>
      <c r="E261" s="376"/>
      <c r="F261" s="374"/>
      <c r="G261" s="376"/>
      <c r="H261" s="378"/>
      <c r="I261" s="377"/>
      <c r="J261" s="137"/>
      <c r="K261" s="377"/>
      <c r="L261" s="137"/>
      <c r="M261" s="379"/>
      <c r="N261" s="137"/>
      <c r="O261" s="379"/>
      <c r="P261" s="137"/>
      <c r="Q261" s="380"/>
      <c r="R261" s="137"/>
      <c r="S261" s="379"/>
      <c r="T261" s="137"/>
      <c r="U261" s="137"/>
      <c r="V261" s="137"/>
      <c r="W261" s="137"/>
      <c r="X261" s="137"/>
      <c r="Y261" s="137"/>
      <c r="Z261" s="137"/>
    </row>
    <row r="262" spans="1:26" ht="12" customHeight="1">
      <c r="A262" s="376"/>
      <c r="B262" s="374"/>
      <c r="C262" s="376"/>
      <c r="D262" s="377"/>
      <c r="E262" s="376"/>
      <c r="F262" s="374"/>
      <c r="G262" s="376"/>
      <c r="H262" s="378"/>
      <c r="I262" s="377"/>
      <c r="J262" s="137"/>
      <c r="K262" s="377"/>
      <c r="L262" s="137"/>
      <c r="M262" s="379"/>
      <c r="N262" s="137"/>
      <c r="O262" s="379"/>
      <c r="P262" s="137"/>
      <c r="Q262" s="380"/>
      <c r="R262" s="137"/>
      <c r="S262" s="379"/>
      <c r="T262" s="137"/>
      <c r="U262" s="137"/>
      <c r="V262" s="137"/>
      <c r="W262" s="137"/>
      <c r="X262" s="137"/>
      <c r="Y262" s="137"/>
      <c r="Z262" s="137"/>
    </row>
    <row r="263" spans="1:26" ht="12" customHeight="1">
      <c r="A263" s="376"/>
      <c r="B263" s="374"/>
      <c r="C263" s="376"/>
      <c r="D263" s="377"/>
      <c r="E263" s="376"/>
      <c r="F263" s="374"/>
      <c r="G263" s="376"/>
      <c r="H263" s="378"/>
      <c r="I263" s="377"/>
      <c r="J263" s="137"/>
      <c r="K263" s="377"/>
      <c r="L263" s="137"/>
      <c r="M263" s="379"/>
      <c r="N263" s="137"/>
      <c r="O263" s="379"/>
      <c r="P263" s="137"/>
      <c r="Q263" s="380"/>
      <c r="R263" s="137"/>
      <c r="S263" s="379"/>
      <c r="T263" s="137"/>
      <c r="U263" s="137"/>
      <c r="V263" s="137"/>
      <c r="W263" s="137"/>
      <c r="X263" s="137"/>
      <c r="Y263" s="137"/>
      <c r="Z263" s="137"/>
    </row>
    <row r="264" spans="1:26" ht="12" customHeight="1">
      <c r="A264" s="376"/>
      <c r="B264" s="374"/>
      <c r="C264" s="376"/>
      <c r="D264" s="377"/>
      <c r="E264" s="376"/>
      <c r="F264" s="374"/>
      <c r="G264" s="376"/>
      <c r="H264" s="378"/>
      <c r="I264" s="377"/>
      <c r="J264" s="137"/>
      <c r="K264" s="377"/>
      <c r="L264" s="137"/>
      <c r="M264" s="379"/>
      <c r="N264" s="137"/>
      <c r="O264" s="379"/>
      <c r="P264" s="137"/>
      <c r="Q264" s="380"/>
      <c r="R264" s="137"/>
      <c r="S264" s="379"/>
      <c r="T264" s="137"/>
      <c r="U264" s="137"/>
      <c r="V264" s="137"/>
      <c r="W264" s="137"/>
      <c r="X264" s="137"/>
      <c r="Y264" s="137"/>
      <c r="Z264" s="137"/>
    </row>
    <row r="265" spans="1:26" ht="12" customHeight="1">
      <c r="A265" s="376"/>
      <c r="B265" s="374"/>
      <c r="C265" s="376"/>
      <c r="D265" s="377"/>
      <c r="E265" s="376"/>
      <c r="F265" s="374"/>
      <c r="G265" s="376"/>
      <c r="H265" s="378"/>
      <c r="I265" s="377"/>
      <c r="J265" s="137"/>
      <c r="K265" s="377"/>
      <c r="L265" s="137"/>
      <c r="M265" s="379"/>
      <c r="N265" s="137"/>
      <c r="O265" s="379"/>
      <c r="P265" s="137"/>
      <c r="Q265" s="380"/>
      <c r="R265" s="137"/>
      <c r="S265" s="379"/>
      <c r="T265" s="137"/>
      <c r="U265" s="137"/>
      <c r="V265" s="137"/>
      <c r="W265" s="137"/>
      <c r="X265" s="137"/>
      <c r="Y265" s="137"/>
      <c r="Z265" s="137"/>
    </row>
    <row r="266" spans="1:26" ht="12" customHeight="1">
      <c r="A266" s="376"/>
      <c r="B266" s="374"/>
      <c r="C266" s="376"/>
      <c r="D266" s="377"/>
      <c r="E266" s="376"/>
      <c r="F266" s="374"/>
      <c r="G266" s="376"/>
      <c r="H266" s="378"/>
      <c r="I266" s="377"/>
      <c r="J266" s="137"/>
      <c r="K266" s="377"/>
      <c r="L266" s="137"/>
      <c r="M266" s="379"/>
      <c r="N266" s="137"/>
      <c r="O266" s="379"/>
      <c r="P266" s="137"/>
      <c r="Q266" s="380"/>
      <c r="R266" s="137"/>
      <c r="S266" s="379"/>
      <c r="T266" s="137"/>
      <c r="U266" s="137"/>
      <c r="V266" s="137"/>
      <c r="W266" s="137"/>
      <c r="X266" s="137"/>
      <c r="Y266" s="137"/>
      <c r="Z266" s="137"/>
    </row>
    <row r="267" spans="1:26" ht="12" customHeight="1">
      <c r="A267" s="376"/>
      <c r="B267" s="374"/>
      <c r="C267" s="376"/>
      <c r="D267" s="377"/>
      <c r="E267" s="376"/>
      <c r="F267" s="374"/>
      <c r="G267" s="376"/>
      <c r="H267" s="378"/>
      <c r="I267" s="377"/>
      <c r="J267" s="137"/>
      <c r="K267" s="377"/>
      <c r="L267" s="137"/>
      <c r="M267" s="379"/>
      <c r="N267" s="137"/>
      <c r="O267" s="379"/>
      <c r="P267" s="137"/>
      <c r="Q267" s="379"/>
      <c r="R267" s="137"/>
      <c r="S267" s="379"/>
      <c r="T267" s="137"/>
      <c r="U267" s="137"/>
      <c r="V267" s="137"/>
      <c r="W267" s="137"/>
      <c r="X267" s="137"/>
      <c r="Y267" s="137"/>
      <c r="Z267" s="137"/>
    </row>
    <row r="268" spans="1:26" ht="12" customHeight="1">
      <c r="A268" s="376"/>
      <c r="B268" s="374"/>
      <c r="C268" s="376"/>
      <c r="D268" s="377"/>
      <c r="E268" s="376"/>
      <c r="F268" s="374"/>
      <c r="G268" s="376"/>
      <c r="H268" s="378"/>
      <c r="I268" s="377"/>
      <c r="J268" s="137"/>
      <c r="K268" s="377"/>
      <c r="L268" s="137"/>
      <c r="M268" s="379"/>
      <c r="N268" s="137"/>
      <c r="O268" s="379"/>
      <c r="P268" s="137"/>
      <c r="Q268" s="379"/>
      <c r="R268" s="137"/>
      <c r="S268" s="379"/>
      <c r="T268" s="137"/>
      <c r="U268" s="137"/>
      <c r="V268" s="137"/>
      <c r="W268" s="137"/>
      <c r="X268" s="137"/>
      <c r="Y268" s="137"/>
      <c r="Z268" s="137"/>
    </row>
    <row r="269" spans="1:26" ht="12" customHeight="1">
      <c r="A269" s="376"/>
      <c r="B269" s="374"/>
      <c r="C269" s="376"/>
      <c r="D269" s="377"/>
      <c r="E269" s="376"/>
      <c r="F269" s="374"/>
      <c r="G269" s="376"/>
      <c r="H269" s="378"/>
      <c r="I269" s="377"/>
      <c r="J269" s="137"/>
      <c r="K269" s="377"/>
      <c r="L269" s="137"/>
      <c r="M269" s="379"/>
      <c r="N269" s="137"/>
      <c r="O269" s="379"/>
      <c r="P269" s="137"/>
      <c r="Q269" s="379"/>
      <c r="R269" s="137"/>
      <c r="S269" s="379"/>
      <c r="T269" s="137"/>
      <c r="U269" s="137"/>
      <c r="V269" s="137"/>
      <c r="W269" s="137"/>
      <c r="X269" s="137"/>
      <c r="Y269" s="137"/>
      <c r="Z269" s="137"/>
    </row>
    <row r="270" spans="1:26" ht="12" customHeight="1">
      <c r="A270" s="376"/>
      <c r="B270" s="374"/>
      <c r="C270" s="376"/>
      <c r="D270" s="377"/>
      <c r="E270" s="376"/>
      <c r="F270" s="374"/>
      <c r="G270" s="376"/>
      <c r="H270" s="378"/>
      <c r="I270" s="377"/>
      <c r="J270" s="137"/>
      <c r="K270" s="377"/>
      <c r="L270" s="137"/>
      <c r="M270" s="379"/>
      <c r="N270" s="137"/>
      <c r="O270" s="379"/>
      <c r="P270" s="137"/>
      <c r="Q270" s="379"/>
      <c r="R270" s="137"/>
      <c r="S270" s="379"/>
      <c r="T270" s="137"/>
      <c r="U270" s="137"/>
      <c r="V270" s="137"/>
      <c r="W270" s="137"/>
      <c r="X270" s="137"/>
      <c r="Y270" s="137"/>
      <c r="Z270" s="137"/>
    </row>
    <row r="271" spans="1:26" ht="12" customHeight="1">
      <c r="A271" s="376"/>
      <c r="B271" s="374"/>
      <c r="C271" s="376"/>
      <c r="D271" s="377"/>
      <c r="E271" s="376"/>
      <c r="F271" s="374"/>
      <c r="G271" s="376"/>
      <c r="H271" s="378"/>
      <c r="I271" s="377"/>
      <c r="J271" s="137"/>
      <c r="K271" s="377"/>
      <c r="L271" s="137"/>
      <c r="M271" s="379"/>
      <c r="N271" s="137"/>
      <c r="O271" s="379"/>
      <c r="P271" s="137"/>
      <c r="Q271" s="379"/>
      <c r="R271" s="137"/>
      <c r="S271" s="379"/>
      <c r="T271" s="137"/>
      <c r="U271" s="137"/>
      <c r="V271" s="137"/>
      <c r="W271" s="137"/>
      <c r="X271" s="137"/>
      <c r="Y271" s="137"/>
      <c r="Z271" s="137"/>
    </row>
    <row r="272" spans="1:26" ht="12" customHeight="1">
      <c r="A272" s="376"/>
      <c r="B272" s="374"/>
      <c r="C272" s="376"/>
      <c r="D272" s="377"/>
      <c r="E272" s="376"/>
      <c r="F272" s="374"/>
      <c r="G272" s="376"/>
      <c r="H272" s="378"/>
      <c r="I272" s="377"/>
      <c r="J272" s="137"/>
      <c r="K272" s="377"/>
      <c r="L272" s="137"/>
      <c r="M272" s="379"/>
      <c r="N272" s="137"/>
      <c r="O272" s="379"/>
      <c r="P272" s="137"/>
      <c r="Q272" s="379"/>
      <c r="R272" s="137"/>
      <c r="S272" s="379"/>
      <c r="T272" s="137"/>
      <c r="U272" s="137"/>
      <c r="V272" s="137"/>
      <c r="W272" s="137"/>
      <c r="X272" s="137"/>
      <c r="Y272" s="137"/>
      <c r="Z272" s="137"/>
    </row>
    <row r="273" spans="1:26" ht="12" customHeight="1">
      <c r="A273" s="376"/>
      <c r="B273" s="374"/>
      <c r="C273" s="376"/>
      <c r="D273" s="377"/>
      <c r="E273" s="376"/>
      <c r="F273" s="374"/>
      <c r="G273" s="376"/>
      <c r="H273" s="378"/>
      <c r="I273" s="377"/>
      <c r="J273" s="137"/>
      <c r="K273" s="377"/>
      <c r="L273" s="137"/>
      <c r="M273" s="379"/>
      <c r="N273" s="137"/>
      <c r="O273" s="379"/>
      <c r="P273" s="137"/>
      <c r="Q273" s="379"/>
      <c r="R273" s="137"/>
      <c r="S273" s="379"/>
      <c r="T273" s="137"/>
      <c r="U273" s="137"/>
      <c r="V273" s="137"/>
      <c r="W273" s="137"/>
      <c r="X273" s="137"/>
      <c r="Y273" s="137"/>
      <c r="Z273" s="137"/>
    </row>
    <row r="274" spans="1:26" ht="12" customHeight="1">
      <c r="A274" s="376"/>
      <c r="B274" s="374"/>
      <c r="C274" s="376"/>
      <c r="D274" s="377"/>
      <c r="E274" s="376"/>
      <c r="F274" s="374"/>
      <c r="G274" s="376"/>
      <c r="H274" s="378"/>
      <c r="I274" s="377"/>
      <c r="J274" s="137"/>
      <c r="K274" s="377"/>
      <c r="L274" s="137"/>
      <c r="M274" s="379"/>
      <c r="N274" s="137"/>
      <c r="O274" s="379"/>
      <c r="P274" s="137"/>
      <c r="Q274" s="379"/>
      <c r="R274" s="137"/>
      <c r="S274" s="379"/>
      <c r="T274" s="137"/>
      <c r="U274" s="137"/>
      <c r="V274" s="137"/>
      <c r="W274" s="137"/>
      <c r="X274" s="137"/>
      <c r="Y274" s="137"/>
      <c r="Z274" s="137"/>
    </row>
    <row r="275" spans="1:26" ht="12" customHeight="1">
      <c r="A275" s="376"/>
      <c r="B275" s="374"/>
      <c r="C275" s="376"/>
      <c r="D275" s="377"/>
      <c r="E275" s="376"/>
      <c r="F275" s="374"/>
      <c r="G275" s="376"/>
      <c r="H275" s="378"/>
      <c r="I275" s="377"/>
      <c r="J275" s="137"/>
      <c r="K275" s="377"/>
      <c r="L275" s="137"/>
      <c r="M275" s="379"/>
      <c r="N275" s="137"/>
      <c r="O275" s="379"/>
      <c r="P275" s="137"/>
      <c r="Q275" s="379"/>
      <c r="R275" s="137"/>
      <c r="S275" s="379"/>
      <c r="T275" s="137"/>
      <c r="U275" s="137"/>
      <c r="V275" s="137"/>
      <c r="W275" s="137"/>
      <c r="X275" s="137"/>
      <c r="Y275" s="137"/>
      <c r="Z275" s="137"/>
    </row>
    <row r="276" spans="1:26" ht="12" customHeight="1">
      <c r="A276" s="376"/>
      <c r="B276" s="374"/>
      <c r="C276" s="376"/>
      <c r="D276" s="377"/>
      <c r="E276" s="376"/>
      <c r="F276" s="374"/>
      <c r="G276" s="376"/>
      <c r="H276" s="378"/>
      <c r="I276" s="377"/>
      <c r="J276" s="137"/>
      <c r="K276" s="377"/>
      <c r="L276" s="137"/>
      <c r="M276" s="379"/>
      <c r="N276" s="137"/>
      <c r="O276" s="379"/>
      <c r="P276" s="137"/>
      <c r="Q276" s="379"/>
      <c r="R276" s="137"/>
      <c r="S276" s="379"/>
      <c r="T276" s="137"/>
      <c r="U276" s="137"/>
      <c r="V276" s="137"/>
      <c r="W276" s="137"/>
      <c r="X276" s="137"/>
      <c r="Y276" s="137"/>
      <c r="Z276" s="137"/>
    </row>
    <row r="277" spans="1:26" ht="12" customHeight="1">
      <c r="A277" s="376"/>
      <c r="B277" s="374"/>
      <c r="C277" s="376"/>
      <c r="D277" s="377"/>
      <c r="E277" s="376"/>
      <c r="F277" s="374"/>
      <c r="G277" s="376"/>
      <c r="H277" s="378"/>
      <c r="I277" s="377"/>
      <c r="J277" s="137"/>
      <c r="K277" s="377"/>
      <c r="L277" s="137"/>
      <c r="M277" s="379"/>
      <c r="N277" s="137"/>
      <c r="O277" s="379"/>
      <c r="P277" s="137"/>
      <c r="Q277" s="379"/>
      <c r="R277" s="137"/>
      <c r="S277" s="379"/>
      <c r="T277" s="137"/>
      <c r="U277" s="137"/>
      <c r="V277" s="137"/>
      <c r="W277" s="137"/>
      <c r="X277" s="137"/>
      <c r="Y277" s="137"/>
      <c r="Z277" s="137"/>
    </row>
    <row r="278" spans="1:26" ht="12" customHeight="1">
      <c r="A278" s="376"/>
      <c r="B278" s="374"/>
      <c r="C278" s="376"/>
      <c r="D278" s="377"/>
      <c r="E278" s="376"/>
      <c r="F278" s="374"/>
      <c r="G278" s="376"/>
      <c r="H278" s="378"/>
      <c r="I278" s="377"/>
      <c r="J278" s="137"/>
      <c r="K278" s="377"/>
      <c r="L278" s="137"/>
      <c r="M278" s="379"/>
      <c r="N278" s="137"/>
      <c r="O278" s="379"/>
      <c r="P278" s="137"/>
      <c r="Q278" s="379"/>
      <c r="R278" s="137"/>
      <c r="S278" s="379"/>
      <c r="T278" s="137"/>
      <c r="U278" s="137"/>
      <c r="V278" s="137"/>
      <c r="W278" s="137"/>
      <c r="X278" s="137"/>
      <c r="Y278" s="137"/>
      <c r="Z278" s="137"/>
    </row>
    <row r="279" spans="1:26" ht="12" customHeight="1">
      <c r="A279" s="376"/>
      <c r="B279" s="374"/>
      <c r="C279" s="376"/>
      <c r="D279" s="377"/>
      <c r="E279" s="376"/>
      <c r="F279" s="374"/>
      <c r="G279" s="376"/>
      <c r="H279" s="378"/>
      <c r="I279" s="377"/>
      <c r="J279" s="137"/>
      <c r="K279" s="377"/>
      <c r="L279" s="137"/>
      <c r="M279" s="379"/>
      <c r="N279" s="137"/>
      <c r="O279" s="379"/>
      <c r="P279" s="137"/>
      <c r="Q279" s="379"/>
      <c r="R279" s="137"/>
      <c r="S279" s="379"/>
      <c r="T279" s="137"/>
      <c r="U279" s="137"/>
      <c r="V279" s="137"/>
      <c r="W279" s="137"/>
      <c r="X279" s="137"/>
      <c r="Y279" s="137"/>
      <c r="Z279" s="137"/>
    </row>
    <row r="280" spans="1:26" ht="12" customHeight="1">
      <c r="A280" s="376"/>
      <c r="B280" s="374"/>
      <c r="C280" s="376"/>
      <c r="D280" s="377"/>
      <c r="E280" s="376"/>
      <c r="F280" s="374"/>
      <c r="G280" s="376"/>
      <c r="H280" s="378"/>
      <c r="I280" s="377"/>
      <c r="J280" s="137"/>
      <c r="K280" s="377"/>
      <c r="L280" s="137"/>
      <c r="M280" s="379"/>
      <c r="N280" s="137"/>
      <c r="O280" s="379"/>
      <c r="P280" s="137"/>
      <c r="Q280" s="379"/>
      <c r="R280" s="137"/>
      <c r="S280" s="379"/>
      <c r="T280" s="137"/>
      <c r="U280" s="137"/>
      <c r="V280" s="137"/>
      <c r="W280" s="137"/>
      <c r="X280" s="137"/>
      <c r="Y280" s="137"/>
      <c r="Z280" s="137"/>
    </row>
    <row r="281" spans="1:26" ht="12" customHeight="1">
      <c r="A281" s="376"/>
      <c r="B281" s="374"/>
      <c r="C281" s="376"/>
      <c r="D281" s="377"/>
      <c r="E281" s="376"/>
      <c r="F281" s="374"/>
      <c r="G281" s="376"/>
      <c r="H281" s="378"/>
      <c r="I281" s="377"/>
      <c r="J281" s="137"/>
      <c r="K281" s="377"/>
      <c r="L281" s="137"/>
      <c r="M281" s="379"/>
      <c r="N281" s="137"/>
      <c r="O281" s="379"/>
      <c r="P281" s="137"/>
      <c r="Q281" s="379"/>
      <c r="R281" s="137"/>
      <c r="S281" s="379"/>
      <c r="T281" s="137"/>
      <c r="U281" s="137"/>
      <c r="V281" s="137"/>
      <c r="W281" s="137"/>
      <c r="X281" s="137"/>
      <c r="Y281" s="137"/>
      <c r="Z281" s="137"/>
    </row>
    <row r="282" spans="1:26" ht="15.75" customHeight="1"/>
    <row r="283" spans="1:26" ht="15.75" customHeight="1"/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4:H4"/>
    <mergeCell ref="A5:B5"/>
    <mergeCell ref="C5:D5"/>
    <mergeCell ref="E5:F5"/>
    <mergeCell ref="G5:H5"/>
    <mergeCell ref="A2:S2"/>
    <mergeCell ref="AA3:BI3"/>
    <mergeCell ref="L4:S4"/>
    <mergeCell ref="AA4:AE4"/>
    <mergeCell ref="AG4:AZ4"/>
    <mergeCell ref="BB4:BE5"/>
    <mergeCell ref="BF4:BI5"/>
    <mergeCell ref="L5:M5"/>
    <mergeCell ref="N5:O5"/>
    <mergeCell ref="P5:Q5"/>
    <mergeCell ref="R5:S5"/>
    <mergeCell ref="AA5:AA6"/>
    <mergeCell ref="AB5:AB6"/>
    <mergeCell ref="AC5:AC6"/>
    <mergeCell ref="AD5:AD6"/>
    <mergeCell ref="AE5:AE6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</mergeCells>
  <dataValidations count="1">
    <dataValidation type="list" allowBlank="1" showErrorMessage="1" sqref="BB7:BB81 BF7:BF81" xr:uid="{00000000-0002-0000-0700-000000000000}">
      <formula1>"A,O"</formula1>
    </dataValidation>
  </dataValidations>
  <printOptions horizontalCentered="1"/>
  <pageMargins left="0.2" right="7.0000000000000007E-2" top="0.24" bottom="0.28999999999999998" header="0" footer="0"/>
  <pageSetup paperSize="9" scale="85" orientation="landscape"/>
  <headerFooter>
    <oddFooter>&amp;L&amp;F; &amp;A&amp;CPage &amp;P of &amp;RPrint on &amp;D,&amp;T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99"/>
  </sheetPr>
  <dimension ref="A1:BI1000"/>
  <sheetViews>
    <sheetView workbookViewId="0">
      <pane xSplit="11" ySplit="6" topLeftCell="L37" activePane="bottomRight" state="frozen"/>
      <selection pane="topRight" activeCell="L1" sqref="L1"/>
      <selection pane="bottomLeft" activeCell="A7" sqref="A7"/>
      <selection pane="bottomRight" activeCell="G27" sqref="G27"/>
    </sheetView>
  </sheetViews>
  <sheetFormatPr defaultColWidth="14.42578125" defaultRowHeight="15" customHeight="1"/>
  <cols>
    <col min="1" max="1" width="12.28515625" customWidth="1"/>
    <col min="2" max="2" width="6.5703125" customWidth="1"/>
    <col min="3" max="3" width="12.28515625" customWidth="1"/>
    <col min="4" max="4" width="6.5703125" customWidth="1"/>
    <col min="5" max="5" width="12.28515625" customWidth="1"/>
    <col min="6" max="6" width="6.5703125" customWidth="1"/>
    <col min="7" max="7" width="12.28515625" customWidth="1"/>
    <col min="8" max="8" width="6.5703125" customWidth="1"/>
    <col min="9" max="9" width="2" customWidth="1"/>
    <col min="10" max="10" width="35.140625" customWidth="1"/>
    <col min="11" max="11" width="2" customWidth="1"/>
    <col min="12" max="12" width="12.28515625" customWidth="1"/>
    <col min="13" max="13" width="7.7109375" customWidth="1"/>
    <col min="14" max="14" width="12.28515625" customWidth="1"/>
    <col min="15" max="15" width="6.5703125" customWidth="1"/>
    <col min="16" max="16" width="12.28515625" customWidth="1"/>
    <col min="17" max="17" width="6.5703125" customWidth="1"/>
    <col min="18" max="18" width="12.28515625" customWidth="1"/>
    <col min="19" max="19" width="6.5703125" customWidth="1"/>
    <col min="20" max="20" width="10.42578125" customWidth="1"/>
    <col min="21" max="21" width="4.7109375" customWidth="1"/>
    <col min="22" max="26" width="2.5703125" customWidth="1"/>
  </cols>
  <sheetData>
    <row r="1" spans="1:61" ht="15" customHeight="1">
      <c r="A1" s="67"/>
      <c r="B1" s="67"/>
      <c r="C1" s="67"/>
      <c r="D1" s="67"/>
      <c r="E1" s="67"/>
      <c r="F1" s="67"/>
      <c r="G1" s="308"/>
      <c r="H1" s="67"/>
      <c r="I1" s="67"/>
      <c r="J1" s="67"/>
      <c r="K1" s="67"/>
      <c r="L1" s="67"/>
      <c r="M1" s="309"/>
      <c r="N1" s="310"/>
      <c r="O1" s="309"/>
      <c r="P1" s="310"/>
      <c r="Q1" s="309"/>
      <c r="R1" s="310"/>
      <c r="S1" s="309"/>
      <c r="T1" s="62"/>
      <c r="U1" s="62"/>
      <c r="V1" s="62"/>
      <c r="W1" s="62"/>
      <c r="X1" s="62"/>
      <c r="Y1" s="62"/>
      <c r="Z1" s="62"/>
    </row>
    <row r="2" spans="1:61" ht="15" customHeight="1">
      <c r="A2" s="664" t="s">
        <v>26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665"/>
      <c r="O2" s="665"/>
      <c r="P2" s="665"/>
      <c r="Q2" s="665"/>
      <c r="R2" s="665"/>
      <c r="S2" s="665"/>
      <c r="T2" s="64" t="s">
        <v>506</v>
      </c>
      <c r="U2" s="64">
        <f>PRD</f>
        <v>1</v>
      </c>
      <c r="V2" s="62"/>
      <c r="W2" s="62"/>
      <c r="X2" s="62"/>
      <c r="Y2" s="62"/>
      <c r="Z2" s="62"/>
    </row>
    <row r="3" spans="1:61" ht="15" customHeight="1">
      <c r="A3" s="311"/>
      <c r="B3" s="312"/>
      <c r="C3" s="311"/>
      <c r="D3" s="313"/>
      <c r="E3" s="311"/>
      <c r="F3" s="313"/>
      <c r="G3" s="218"/>
      <c r="H3" s="102"/>
      <c r="I3" s="313"/>
      <c r="J3" s="314" t="s">
        <v>738</v>
      </c>
      <c r="K3" s="313"/>
      <c r="L3" s="315"/>
      <c r="M3" s="316"/>
      <c r="N3" s="315"/>
      <c r="O3" s="316"/>
      <c r="P3" s="67"/>
      <c r="Q3" s="222" t="s">
        <v>614</v>
      </c>
      <c r="R3" s="67"/>
      <c r="S3" s="67"/>
      <c r="T3" s="62"/>
      <c r="U3" s="62"/>
      <c r="V3" s="62"/>
      <c r="W3" s="62"/>
      <c r="X3" s="62"/>
      <c r="Y3" s="62"/>
      <c r="Z3" s="62"/>
      <c r="AA3" s="656" t="s">
        <v>29</v>
      </c>
      <c r="AB3" s="660"/>
      <c r="AC3" s="660"/>
      <c r="AD3" s="660"/>
      <c r="AE3" s="660"/>
      <c r="AF3" s="660"/>
      <c r="AG3" s="660"/>
      <c r="AH3" s="660"/>
      <c r="AI3" s="660"/>
      <c r="AJ3" s="660"/>
      <c r="AK3" s="660"/>
      <c r="AL3" s="660"/>
      <c r="AM3" s="660"/>
      <c r="AN3" s="660"/>
      <c r="AO3" s="660"/>
      <c r="AP3" s="660"/>
      <c r="AQ3" s="660"/>
      <c r="AR3" s="660"/>
      <c r="AS3" s="660"/>
      <c r="AT3" s="660"/>
      <c r="AU3" s="660"/>
      <c r="AV3" s="660"/>
      <c r="AW3" s="660"/>
      <c r="AX3" s="660"/>
      <c r="AY3" s="660"/>
      <c r="AZ3" s="660"/>
      <c r="BA3" s="660"/>
      <c r="BB3" s="660"/>
      <c r="BC3" s="660"/>
      <c r="BD3" s="660"/>
      <c r="BE3" s="660"/>
      <c r="BF3" s="660"/>
      <c r="BG3" s="660"/>
      <c r="BH3" s="660"/>
      <c r="BI3" s="657"/>
    </row>
    <row r="4" spans="1:61" ht="13.5" customHeight="1">
      <c r="A4" s="666" t="s">
        <v>509</v>
      </c>
      <c r="B4" s="667"/>
      <c r="C4" s="667"/>
      <c r="D4" s="667"/>
      <c r="E4" s="667"/>
      <c r="F4" s="667"/>
      <c r="G4" s="667"/>
      <c r="H4" s="668"/>
      <c r="I4" s="317"/>
      <c r="J4" s="225"/>
      <c r="K4" s="317"/>
      <c r="L4" s="669" t="s">
        <v>510</v>
      </c>
      <c r="M4" s="667"/>
      <c r="N4" s="667"/>
      <c r="O4" s="667"/>
      <c r="P4" s="667"/>
      <c r="Q4" s="667"/>
      <c r="R4" s="667"/>
      <c r="S4" s="670"/>
      <c r="T4" s="226"/>
      <c r="U4" s="226"/>
      <c r="V4" s="226"/>
      <c r="W4" s="226"/>
      <c r="X4" s="226"/>
      <c r="Y4" s="226"/>
      <c r="Z4" s="226"/>
      <c r="AA4" s="671" t="s">
        <v>30</v>
      </c>
      <c r="AB4" s="665"/>
      <c r="AC4" s="665"/>
      <c r="AD4" s="665"/>
      <c r="AE4" s="665"/>
      <c r="AF4" s="73"/>
      <c r="AG4" s="671" t="s">
        <v>31</v>
      </c>
      <c r="AH4" s="665"/>
      <c r="AI4" s="665"/>
      <c r="AJ4" s="665"/>
      <c r="AK4" s="665"/>
      <c r="AL4" s="665"/>
      <c r="AM4" s="665"/>
      <c r="AN4" s="665"/>
      <c r="AO4" s="665"/>
      <c r="AP4" s="665"/>
      <c r="AQ4" s="665"/>
      <c r="AR4" s="665"/>
      <c r="AS4" s="665"/>
      <c r="AT4" s="665"/>
      <c r="AU4" s="665"/>
      <c r="AV4" s="665"/>
      <c r="AW4" s="665"/>
      <c r="AX4" s="665"/>
      <c r="AY4" s="665"/>
      <c r="AZ4" s="672"/>
      <c r="BA4" s="74"/>
      <c r="BB4" s="673" t="s">
        <v>32</v>
      </c>
      <c r="BC4" s="674"/>
      <c r="BD4" s="674"/>
      <c r="BE4" s="675"/>
      <c r="BF4" s="673" t="s">
        <v>32</v>
      </c>
      <c r="BG4" s="674"/>
      <c r="BH4" s="674"/>
      <c r="BI4" s="675"/>
    </row>
    <row r="5" spans="1:61" ht="14.25" customHeight="1">
      <c r="A5" s="679" t="s">
        <v>511</v>
      </c>
      <c r="B5" s="662"/>
      <c r="C5" s="661" t="s">
        <v>512</v>
      </c>
      <c r="D5" s="662"/>
      <c r="E5" s="661" t="s">
        <v>513</v>
      </c>
      <c r="F5" s="662"/>
      <c r="G5" s="661" t="s">
        <v>514</v>
      </c>
      <c r="H5" s="662"/>
      <c r="I5" s="318"/>
      <c r="J5" s="229" t="s">
        <v>515</v>
      </c>
      <c r="K5" s="318"/>
      <c r="L5" s="661" t="s">
        <v>514</v>
      </c>
      <c r="M5" s="662"/>
      <c r="N5" s="661" t="s">
        <v>513</v>
      </c>
      <c r="O5" s="662"/>
      <c r="P5" s="661" t="s">
        <v>512</v>
      </c>
      <c r="Q5" s="662"/>
      <c r="R5" s="661" t="s">
        <v>511</v>
      </c>
      <c r="S5" s="663"/>
      <c r="T5" s="319"/>
      <c r="U5" s="319"/>
      <c r="V5" s="319"/>
      <c r="W5" s="319"/>
      <c r="X5" s="319"/>
      <c r="Y5" s="319"/>
      <c r="Z5" s="319"/>
      <c r="AA5" s="658" t="s">
        <v>38</v>
      </c>
      <c r="AB5" s="658" t="s">
        <v>39</v>
      </c>
      <c r="AC5" s="658" t="s">
        <v>40</v>
      </c>
      <c r="AD5" s="658" t="s">
        <v>41</v>
      </c>
      <c r="AE5" s="673" t="s">
        <v>42</v>
      </c>
      <c r="AF5" s="80"/>
      <c r="AG5" s="656" t="s">
        <v>43</v>
      </c>
      <c r="AH5" s="660"/>
      <c r="AI5" s="656" t="s">
        <v>44</v>
      </c>
      <c r="AJ5" s="660"/>
      <c r="AK5" s="656" t="s">
        <v>45</v>
      </c>
      <c r="AL5" s="660"/>
      <c r="AM5" s="656" t="s">
        <v>46</v>
      </c>
      <c r="AN5" s="657"/>
      <c r="AO5" s="680" t="s">
        <v>47</v>
      </c>
      <c r="AP5" s="660"/>
      <c r="AQ5" s="656" t="s">
        <v>48</v>
      </c>
      <c r="AR5" s="657"/>
      <c r="AS5" s="680" t="s">
        <v>49</v>
      </c>
      <c r="AT5" s="660"/>
      <c r="AU5" s="656" t="s">
        <v>50</v>
      </c>
      <c r="AV5" s="657"/>
      <c r="AW5" s="680" t="s">
        <v>51</v>
      </c>
      <c r="AX5" s="657"/>
      <c r="AY5" s="656" t="s">
        <v>52</v>
      </c>
      <c r="AZ5" s="657"/>
      <c r="BA5" s="81"/>
      <c r="BB5" s="676"/>
      <c r="BC5" s="677"/>
      <c r="BD5" s="677"/>
      <c r="BE5" s="678"/>
      <c r="BF5" s="676"/>
      <c r="BG5" s="677"/>
      <c r="BH5" s="677"/>
      <c r="BI5" s="678"/>
    </row>
    <row r="6" spans="1:61" ht="13.5" customHeight="1">
      <c r="A6" s="230" t="s">
        <v>526</v>
      </c>
      <c r="B6" s="231" t="s">
        <v>37</v>
      </c>
      <c r="C6" s="232" t="s">
        <v>526</v>
      </c>
      <c r="D6" s="231" t="s">
        <v>37</v>
      </c>
      <c r="E6" s="232" t="s">
        <v>526</v>
      </c>
      <c r="F6" s="231" t="s">
        <v>37</v>
      </c>
      <c r="G6" s="232" t="s">
        <v>526</v>
      </c>
      <c r="H6" s="231" t="s">
        <v>37</v>
      </c>
      <c r="I6" s="233"/>
      <c r="J6" s="320"/>
      <c r="K6" s="233"/>
      <c r="L6" s="232" t="s">
        <v>526</v>
      </c>
      <c r="M6" s="231" t="s">
        <v>37</v>
      </c>
      <c r="N6" s="232" t="s">
        <v>526</v>
      </c>
      <c r="O6" s="231" t="s">
        <v>37</v>
      </c>
      <c r="P6" s="232" t="s">
        <v>526</v>
      </c>
      <c r="Q6" s="231" t="s">
        <v>37</v>
      </c>
      <c r="R6" s="232" t="s">
        <v>526</v>
      </c>
      <c r="S6" s="236" t="s">
        <v>37</v>
      </c>
      <c r="T6" s="226"/>
      <c r="U6" s="226"/>
      <c r="V6" s="226"/>
      <c r="W6" s="226"/>
      <c r="X6" s="226"/>
      <c r="Y6" s="226"/>
      <c r="Z6" s="226"/>
      <c r="AA6" s="659"/>
      <c r="AB6" s="659"/>
      <c r="AC6" s="659"/>
      <c r="AD6" s="659"/>
      <c r="AE6" s="676"/>
      <c r="AF6" s="84"/>
      <c r="AG6" s="85" t="s">
        <v>56</v>
      </c>
      <c r="AH6" s="86" t="s">
        <v>57</v>
      </c>
      <c r="AI6" s="85" t="s">
        <v>56</v>
      </c>
      <c r="AJ6" s="86" t="s">
        <v>57</v>
      </c>
      <c r="AK6" s="85" t="s">
        <v>56</v>
      </c>
      <c r="AL6" s="86" t="s">
        <v>57</v>
      </c>
      <c r="AM6" s="64" t="s">
        <v>56</v>
      </c>
      <c r="AN6" s="87" t="s">
        <v>57</v>
      </c>
      <c r="AO6" s="88" t="s">
        <v>56</v>
      </c>
      <c r="AP6" s="86" t="s">
        <v>57</v>
      </c>
      <c r="AQ6" s="85" t="s">
        <v>56</v>
      </c>
      <c r="AR6" s="89" t="s">
        <v>57</v>
      </c>
      <c r="AS6" s="88" t="s">
        <v>56</v>
      </c>
      <c r="AT6" s="86" t="s">
        <v>57</v>
      </c>
      <c r="AU6" s="85" t="s">
        <v>56</v>
      </c>
      <c r="AV6" s="89" t="s">
        <v>57</v>
      </c>
      <c r="AW6" s="88" t="s">
        <v>56</v>
      </c>
      <c r="AX6" s="89" t="s">
        <v>57</v>
      </c>
      <c r="AY6" s="85" t="s">
        <v>56</v>
      </c>
      <c r="AZ6" s="89" t="s">
        <v>57</v>
      </c>
      <c r="BA6" s="90"/>
      <c r="BB6" s="64" t="s">
        <v>58</v>
      </c>
      <c r="BC6" s="64" t="s">
        <v>59</v>
      </c>
      <c r="BD6" s="64" t="s">
        <v>60</v>
      </c>
      <c r="BE6" s="91" t="s">
        <v>61</v>
      </c>
      <c r="BF6" s="64" t="s">
        <v>58</v>
      </c>
      <c r="BG6" s="64" t="s">
        <v>59</v>
      </c>
      <c r="BH6" s="64" t="s">
        <v>60</v>
      </c>
      <c r="BI6" s="91" t="s">
        <v>61</v>
      </c>
    </row>
    <row r="7" spans="1:61" ht="12" customHeight="1">
      <c r="A7" s="321"/>
      <c r="B7" s="322"/>
      <c r="C7" s="321"/>
      <c r="D7" s="322"/>
      <c r="E7" s="321"/>
      <c r="F7" s="322"/>
      <c r="G7" s="321"/>
      <c r="H7" s="279"/>
      <c r="I7" s="322"/>
      <c r="J7" s="323" t="s">
        <v>615</v>
      </c>
      <c r="K7" s="322"/>
      <c r="L7" s="324"/>
      <c r="M7" s="325"/>
      <c r="N7" s="324"/>
      <c r="O7" s="262"/>
      <c r="P7" s="324"/>
      <c r="Q7" s="325"/>
      <c r="R7" s="324"/>
      <c r="S7" s="325"/>
      <c r="T7" s="326"/>
      <c r="U7" s="327"/>
      <c r="V7" s="327"/>
      <c r="W7" s="326"/>
      <c r="X7" s="326"/>
      <c r="Y7" s="326"/>
      <c r="Z7" s="326"/>
      <c r="AA7" s="95"/>
      <c r="AB7" s="96"/>
      <c r="AC7" s="96"/>
      <c r="AD7" s="96"/>
      <c r="AE7" s="96"/>
      <c r="AF7" s="97"/>
      <c r="AG7" s="95"/>
      <c r="AH7" s="96"/>
      <c r="AI7" s="95"/>
      <c r="AJ7" s="96"/>
      <c r="AK7" s="95"/>
      <c r="AL7" s="96"/>
      <c r="AM7" s="95"/>
      <c r="AN7" s="98"/>
      <c r="AO7" s="96"/>
      <c r="AP7" s="96"/>
      <c r="AQ7" s="95"/>
      <c r="AR7" s="98"/>
      <c r="AS7" s="96"/>
      <c r="AT7" s="96"/>
      <c r="AU7" s="95"/>
      <c r="AV7" s="98"/>
      <c r="AW7" s="96"/>
      <c r="AX7" s="96"/>
      <c r="AY7" s="95"/>
      <c r="AZ7" s="98"/>
      <c r="BA7" s="99"/>
      <c r="BB7" s="95" t="s">
        <v>616</v>
      </c>
      <c r="BC7" s="100" t="s">
        <v>617</v>
      </c>
      <c r="BD7" s="96" t="s">
        <v>618</v>
      </c>
      <c r="BE7" s="98" t="s">
        <v>619</v>
      </c>
      <c r="BF7" s="95" t="s">
        <v>616</v>
      </c>
      <c r="BG7" s="100" t="s">
        <v>620</v>
      </c>
      <c r="BH7" s="96" t="s">
        <v>618</v>
      </c>
      <c r="BI7" s="98" t="s">
        <v>621</v>
      </c>
    </row>
    <row r="8" spans="1:61" ht="12" customHeight="1">
      <c r="A8" s="254">
        <f t="array" ref="A8">_xll.AC(DB,_xll.ArrayDPT($AA8:$AE8),_xll.ArrayCOA($AG8:$AZ8),YR-1,PRD,_xll.ArrayDIM($BB8:$BE8))</f>
        <v>7234622.9299999997</v>
      </c>
      <c r="B8" s="254">
        <f t="shared" ref="B8:B12" si="0">IF(A8=0,0,(A8*100/A$14))</f>
        <v>99.794519065844113</v>
      </c>
      <c r="C8" s="254">
        <f t="shared" ref="C8:C12" si="1">+E8-G8</f>
        <v>-7896039.9800000004</v>
      </c>
      <c r="D8" s="254">
        <f t="shared" ref="D8:D12" si="2">IF(C8=0,0,(C8*100/C$14))</f>
        <v>99.674431075341033</v>
      </c>
      <c r="E8" s="254">
        <f t="array" ref="E8">_xll.BC(DB,_xll.ArrayDPT($AA8:$AE8),_xll.ArrayCOA($AG8:$AZ8),YR,PRD,RV,_xll.ArrayDIM($BB8:$BE8))</f>
        <v>0</v>
      </c>
      <c r="F8" s="254">
        <f t="shared" ref="F8:F12" si="3">IF(E8=0,0,(E8*100/E$14))</f>
        <v>0</v>
      </c>
      <c r="G8" s="254">
        <f t="array" ref="G8">_xll.AC(DB,_xll.ArrayDPT($AA8:$AE8),_xll.ArrayCOA($AG8:$AZ8),YR,PRD,_xll.ArrayDIM($BB8:$BE8))</f>
        <v>7896039.9800000004</v>
      </c>
      <c r="H8" s="254">
        <f t="shared" ref="H8:H12" si="4">IF(G8=0,0,(G8*100/G$14))</f>
        <v>99.674431075341033</v>
      </c>
      <c r="I8" s="254"/>
      <c r="J8" s="328" t="s">
        <v>622</v>
      </c>
      <c r="K8" s="254"/>
      <c r="L8" s="254">
        <f>_xll.ACC(DB,_xll.ArrayDPT($AA8:$AE8),_xll.ArrayCOA($AG8:$AZ8),YR,PRD,_xll.ArrayDIM($BB8:$BE8))</f>
        <v>7896039.9800000004</v>
      </c>
      <c r="M8" s="237">
        <f t="shared" ref="M8:M12" si="5">IF(L8=0,0,(L8*100/L$14))</f>
        <v>99.674431075341033</v>
      </c>
      <c r="N8" s="254">
        <f t="array" ref="N8">_xll.BCC(DB,_xll.ArrayDPT($AA8:$AE8),_xll.ArrayCOA($AG8:$AZ8),YR,PRD,RV,_xll.ArrayDIM($BB8:$BE8))</f>
        <v>0</v>
      </c>
      <c r="O8" s="237">
        <f t="shared" ref="O8:O12" si="6">IF(N8=0,0,(N8*100/N$14))</f>
        <v>0</v>
      </c>
      <c r="P8" s="237">
        <f t="shared" ref="P8:P12" si="7">+N8-L8</f>
        <v>-7896039.9800000004</v>
      </c>
      <c r="Q8" s="237">
        <f t="shared" ref="Q8:Q12" si="8">IF(P8=0,0,(P8*100/P$14))</f>
        <v>99.674431075341033</v>
      </c>
      <c r="R8" s="254">
        <f t="array" ref="R8">_xll.ACC(DB,_xll.ArrayDPT($AA8:$AE8),_xll.ArrayCOA($AG8:$AZ8),YR-1,PRD,_xll.ArrayDIM($BB8:$BE8))</f>
        <v>7234622.9299999997</v>
      </c>
      <c r="S8" s="237">
        <f t="shared" ref="S8:S12" si="9">IF(R8=0,0,(R8*100/R$14))</f>
        <v>99.794519065844113</v>
      </c>
      <c r="T8" s="328"/>
      <c r="U8" s="328"/>
      <c r="V8" s="328"/>
      <c r="W8" s="328"/>
      <c r="X8" s="328"/>
      <c r="Y8" s="328"/>
      <c r="Z8" s="328"/>
      <c r="AA8" s="95" t="s">
        <v>623</v>
      </c>
      <c r="AB8" s="96"/>
      <c r="AC8" s="96"/>
      <c r="AD8" s="96"/>
      <c r="AE8" s="96"/>
      <c r="AF8" s="97"/>
      <c r="AG8" s="95" t="s">
        <v>624</v>
      </c>
      <c r="AH8" s="96" t="s">
        <v>624</v>
      </c>
      <c r="AI8" s="95"/>
      <c r="AJ8" s="96"/>
      <c r="AK8" s="95"/>
      <c r="AL8" s="96"/>
      <c r="AM8" s="95"/>
      <c r="AN8" s="98"/>
      <c r="AO8" s="96"/>
      <c r="AP8" s="96"/>
      <c r="AQ8" s="95"/>
      <c r="AR8" s="98"/>
      <c r="AS8" s="96"/>
      <c r="AT8" s="96"/>
      <c r="AU8" s="95"/>
      <c r="AV8" s="98"/>
      <c r="AW8" s="96"/>
      <c r="AX8" s="96"/>
      <c r="AY8" s="95"/>
      <c r="AZ8" s="98"/>
      <c r="BA8" s="99"/>
      <c r="BB8" s="95"/>
      <c r="BC8" s="96"/>
      <c r="BD8" s="96"/>
      <c r="BE8" s="98"/>
      <c r="BF8" s="95"/>
      <c r="BG8" s="96"/>
      <c r="BH8" s="96"/>
      <c r="BI8" s="98"/>
    </row>
    <row r="9" spans="1:61" ht="12" customHeight="1">
      <c r="A9" s="254">
        <f t="array" ref="A9">_xll.AC(DB,_xll.ArrayDPT($AA9:$AE9),_xll.ArrayCOA($AG9:$AZ9),YR-1,PRD,_xll.ArrayDIM($BB9:$BE9))</f>
        <v>0</v>
      </c>
      <c r="B9" s="254">
        <f t="shared" si="0"/>
        <v>0</v>
      </c>
      <c r="C9" s="254">
        <f t="shared" si="1"/>
        <v>0</v>
      </c>
      <c r="D9" s="254">
        <f t="shared" si="2"/>
        <v>0</v>
      </c>
      <c r="E9" s="254">
        <f t="array" ref="E9">_xll.BC(DB,_xll.ArrayDPT($AA9:$AE9),_xll.ArrayCOA($AG9:$AZ9),YR,PRD,RV,_xll.ArrayDIM($BB9:$BE9))</f>
        <v>0</v>
      </c>
      <c r="F9" s="254">
        <f t="shared" si="3"/>
        <v>0</v>
      </c>
      <c r="G9" s="254">
        <f t="array" ref="G9">_xll.AC(DB,_xll.ArrayDPT($AA9:$AE9),_xll.ArrayCOA($AG9:$AZ9),YR,PRD,_xll.ArrayDIM($BB9:$BE9))</f>
        <v>0</v>
      </c>
      <c r="H9" s="254">
        <f t="shared" si="4"/>
        <v>0</v>
      </c>
      <c r="I9" s="254"/>
      <c r="J9" s="328" t="s">
        <v>625</v>
      </c>
      <c r="K9" s="254"/>
      <c r="L9" s="254">
        <f t="array" ref="L9">_xll.ACC(DB,_xll.ArrayDPT($AA9:$AE9),_xll.ArrayCOA($AG9:$AZ9),YR,PRD,_xll.ArrayDIM($BB9:$BE9))</f>
        <v>0</v>
      </c>
      <c r="M9" s="237">
        <f t="shared" si="5"/>
        <v>0</v>
      </c>
      <c r="N9" s="254">
        <f t="array" ref="N9">_xll.BCC(DB,_xll.ArrayDPT($AA9:$AE9),_xll.ArrayCOA($AG9:$AZ9),YR,PRD,RV,_xll.ArrayDIM($BB9:$BE9))</f>
        <v>0</v>
      </c>
      <c r="O9" s="237">
        <f t="shared" si="6"/>
        <v>0</v>
      </c>
      <c r="P9" s="237">
        <f t="shared" si="7"/>
        <v>0</v>
      </c>
      <c r="Q9" s="237">
        <f t="shared" si="8"/>
        <v>0</v>
      </c>
      <c r="R9" s="254">
        <f t="array" ref="R9">_xll.ACC(DB,_xll.ArrayDPT($AA9:$AE9),_xll.ArrayCOA($AG9:$AZ9),YR-1,PRD,_xll.ArrayDIM($BB9:$BE9))</f>
        <v>0</v>
      </c>
      <c r="S9" s="237">
        <f t="shared" si="9"/>
        <v>0</v>
      </c>
      <c r="T9" s="328"/>
      <c r="U9" s="328"/>
      <c r="V9" s="328"/>
      <c r="W9" s="328"/>
      <c r="X9" s="328"/>
      <c r="Y9" s="328"/>
      <c r="Z9" s="328"/>
      <c r="AA9" s="95"/>
      <c r="AB9" s="96"/>
      <c r="AC9" s="96"/>
      <c r="AD9" s="96"/>
      <c r="AE9" s="96"/>
      <c r="AF9" s="97"/>
      <c r="AG9" s="95"/>
      <c r="AH9" s="96"/>
      <c r="AI9" s="95"/>
      <c r="AJ9" s="96"/>
      <c r="AK9" s="95"/>
      <c r="AL9" s="96"/>
      <c r="AM9" s="95"/>
      <c r="AN9" s="98"/>
      <c r="AO9" s="96"/>
      <c r="AP9" s="96"/>
      <c r="AQ9" s="95"/>
      <c r="AR9" s="98"/>
      <c r="AS9" s="96"/>
      <c r="AT9" s="96"/>
      <c r="AU9" s="95"/>
      <c r="AV9" s="98"/>
      <c r="AW9" s="96"/>
      <c r="AX9" s="96"/>
      <c r="AY9" s="95"/>
      <c r="AZ9" s="98"/>
      <c r="BA9" s="99"/>
      <c r="BB9" s="95"/>
      <c r="BC9" s="96"/>
      <c r="BD9" s="96"/>
      <c r="BE9" s="98"/>
      <c r="BF9" s="95"/>
      <c r="BG9" s="96"/>
      <c r="BH9" s="96"/>
      <c r="BI9" s="98"/>
    </row>
    <row r="10" spans="1:61" ht="12" customHeight="1">
      <c r="A10" s="254">
        <f t="array" ref="A10">_xll.AC(DB,_xll.ArrayDPT($AA10:$AE10),_xll.ArrayCOA($AG10:$AZ10),YR-1,PRD,_xll.ArrayDIM($BB10:$BE10))</f>
        <v>36402.76</v>
      </c>
      <c r="B10" s="254">
        <f t="shared" si="0"/>
        <v>0.50214032742537795</v>
      </c>
      <c r="C10" s="254">
        <f t="shared" si="1"/>
        <v>-38913.08</v>
      </c>
      <c r="D10" s="254">
        <f t="shared" si="2"/>
        <v>0.49121320563389947</v>
      </c>
      <c r="E10" s="254">
        <f t="array" ref="E10">_xll.BC(DB,_xll.ArrayDPT($AA10:$AE10),_xll.ArrayCOA($AG10:$AZ10),YR,PRD,RV,_xll.ArrayDIM($BB10:$BE10))</f>
        <v>0</v>
      </c>
      <c r="F10" s="254">
        <f t="shared" si="3"/>
        <v>0</v>
      </c>
      <c r="G10" s="254">
        <f t="array" ref="G10">_xll.AC(DB,_xll.ArrayDPT($AA10:$AE10),_xll.ArrayCOA($AG10:$AZ10),YR,PRD,_xll.ArrayDIM($BB10:$BE10))</f>
        <v>38913.08</v>
      </c>
      <c r="H10" s="254">
        <f t="shared" si="4"/>
        <v>0.49121320563389947</v>
      </c>
      <c r="I10" s="254"/>
      <c r="J10" s="328" t="s">
        <v>626</v>
      </c>
      <c r="K10" s="254"/>
      <c r="L10" s="254">
        <f t="array" ref="L10">_xll.ACC(DB,_xll.ArrayDPT($AA10:$AE10),_xll.ArrayCOA($AG10:$AZ10),YR,PRD,_xll.ArrayDIM($BB10:$BE10))</f>
        <v>38913.08</v>
      </c>
      <c r="M10" s="237">
        <f t="shared" si="5"/>
        <v>0.49121320563389947</v>
      </c>
      <c r="N10" s="254">
        <f t="array" ref="N10">_xll.BCC(DB,_xll.ArrayDPT($AA10:$AE10),_xll.ArrayCOA($AG10:$AZ10),YR,PRD,RV,_xll.ArrayDIM($BB10:$BE10))</f>
        <v>0</v>
      </c>
      <c r="O10" s="237">
        <f t="shared" si="6"/>
        <v>0</v>
      </c>
      <c r="P10" s="237">
        <f t="shared" si="7"/>
        <v>-38913.08</v>
      </c>
      <c r="Q10" s="237">
        <f t="shared" si="8"/>
        <v>0.49121320563389947</v>
      </c>
      <c r="R10" s="254">
        <f t="array" ref="R10">_xll.ACC(DB,_xll.ArrayDPT($AA10:$AE10),_xll.ArrayCOA($AG10:$AZ10),YR-1,PRD,_xll.ArrayDIM($BB10:$BE10))</f>
        <v>36402.76</v>
      </c>
      <c r="S10" s="237">
        <f t="shared" si="9"/>
        <v>0.50214032742537795</v>
      </c>
      <c r="T10" s="328"/>
      <c r="U10" s="328"/>
      <c r="V10" s="328"/>
      <c r="W10" s="328"/>
      <c r="X10" s="328"/>
      <c r="Y10" s="328"/>
      <c r="Z10" s="328"/>
      <c r="AA10" s="95" t="s">
        <v>623</v>
      </c>
      <c r="AB10" s="96"/>
      <c r="AC10" s="96"/>
      <c r="AD10" s="96"/>
      <c r="AE10" s="96"/>
      <c r="AF10" s="97"/>
      <c r="AG10" s="95" t="s">
        <v>627</v>
      </c>
      <c r="AH10" s="96" t="s">
        <v>627</v>
      </c>
      <c r="AI10" s="95"/>
      <c r="AJ10" s="96"/>
      <c r="AK10" s="95"/>
      <c r="AL10" s="96"/>
      <c r="AM10" s="95"/>
      <c r="AN10" s="98"/>
      <c r="AO10" s="96"/>
      <c r="AP10" s="96"/>
      <c r="AQ10" s="95"/>
      <c r="AR10" s="98"/>
      <c r="AS10" s="96"/>
      <c r="AT10" s="96"/>
      <c r="AU10" s="95"/>
      <c r="AV10" s="98"/>
      <c r="AW10" s="96"/>
      <c r="AX10" s="96"/>
      <c r="AY10" s="95"/>
      <c r="AZ10" s="98"/>
      <c r="BA10" s="99"/>
      <c r="BB10" s="95"/>
      <c r="BC10" s="96"/>
      <c r="BD10" s="96"/>
      <c r="BE10" s="98"/>
      <c r="BF10" s="95"/>
      <c r="BG10" s="96"/>
      <c r="BH10" s="96"/>
      <c r="BI10" s="98"/>
    </row>
    <row r="11" spans="1:61" ht="12" customHeight="1">
      <c r="A11" s="254">
        <f t="array" ref="A11">_xll.AC(DB,_xll.ArrayDPT($AA11:$AE11),_xll.ArrayCOA($AG11:$AZ11),YR-1,PRD,_xll.ArrayDIM($BB11:$BE11))</f>
        <v>-21506.38</v>
      </c>
      <c r="B11" s="254">
        <f t="shared" si="0"/>
        <v>-0.29665939326948287</v>
      </c>
      <c r="C11" s="254">
        <f t="shared" si="1"/>
        <v>13122.06</v>
      </c>
      <c r="D11" s="254">
        <f t="shared" si="2"/>
        <v>-0.16564428097494124</v>
      </c>
      <c r="E11" s="254">
        <f t="array" ref="E11">_xll.BC(DB,_xll.ArrayDPT($AA11:$AE11),_xll.ArrayCOA($AG11:$AZ11),YR,PRD,RV,_xll.ArrayDIM($BB11:$BE11))</f>
        <v>0</v>
      </c>
      <c r="F11" s="254">
        <f t="shared" si="3"/>
        <v>0</v>
      </c>
      <c r="G11" s="254">
        <f t="array" ref="G11">_xll.AC(DB,_xll.ArrayDPT($AA11:$AE11),_xll.ArrayCOA($AG11:$AZ11),YR,PRD,_xll.ArrayDIM($BB11:$BE11))</f>
        <v>-13122.06</v>
      </c>
      <c r="H11" s="254">
        <f t="shared" si="4"/>
        <v>-0.16564428097494124</v>
      </c>
      <c r="I11" s="254"/>
      <c r="J11" s="328" t="s">
        <v>628</v>
      </c>
      <c r="K11" s="254"/>
      <c r="L11" s="254">
        <f t="array" ref="L11">_xll.ACC(DB,_xll.ArrayDPT($AA11:$AE11),_xll.ArrayCOA($AG11:$AZ11),YR,PRD,_xll.ArrayDIM($BB11:$BE11))</f>
        <v>-13122.06</v>
      </c>
      <c r="M11" s="237">
        <f t="shared" si="5"/>
        <v>-0.16564428097494124</v>
      </c>
      <c r="N11" s="254">
        <f t="array" ref="N11">_xll.BCC(DB,_xll.ArrayDPT($AA11:$AE11),_xll.ArrayCOA($AG11:$AZ11),YR,PRD,RV,_xll.ArrayDIM($BB11:$BE11))</f>
        <v>0</v>
      </c>
      <c r="O11" s="237">
        <f t="shared" si="6"/>
        <v>0</v>
      </c>
      <c r="P11" s="237">
        <f t="shared" si="7"/>
        <v>13122.06</v>
      </c>
      <c r="Q11" s="237">
        <f t="shared" si="8"/>
        <v>-0.16564428097494124</v>
      </c>
      <c r="R11" s="254">
        <f t="array" ref="R11">_xll.ACC(DB,_xll.ArrayDPT($AA11:$AE11),_xll.ArrayCOA($AG11:$AZ11),YR-1,PRD,_xll.ArrayDIM($BB11:$BE11))</f>
        <v>-21506.38</v>
      </c>
      <c r="S11" s="237">
        <f t="shared" si="9"/>
        <v>-0.29665939326948287</v>
      </c>
      <c r="T11" s="328"/>
      <c r="U11" s="328"/>
      <c r="V11" s="328"/>
      <c r="W11" s="328"/>
      <c r="X11" s="328"/>
      <c r="Y11" s="328"/>
      <c r="Z11" s="328"/>
      <c r="AA11" s="95" t="s">
        <v>623</v>
      </c>
      <c r="AB11" s="96"/>
      <c r="AC11" s="96"/>
      <c r="AD11" s="96"/>
      <c r="AE11" s="96"/>
      <c r="AF11" s="97"/>
      <c r="AG11" s="95" t="s">
        <v>629</v>
      </c>
      <c r="AH11" s="96" t="s">
        <v>629</v>
      </c>
      <c r="AI11" s="95"/>
      <c r="AJ11" s="96"/>
      <c r="AK11" s="95"/>
      <c r="AL11" s="96"/>
      <c r="AM11" s="95"/>
      <c r="AN11" s="98"/>
      <c r="AO11" s="96"/>
      <c r="AP11" s="96"/>
      <c r="AQ11" s="95"/>
      <c r="AR11" s="98"/>
      <c r="AS11" s="96"/>
      <c r="AT11" s="96"/>
      <c r="AU11" s="95"/>
      <c r="AV11" s="98"/>
      <c r="AW11" s="96"/>
      <c r="AX11" s="96"/>
      <c r="AY11" s="95"/>
      <c r="AZ11" s="98"/>
      <c r="BA11" s="99"/>
      <c r="BB11" s="95"/>
      <c r="BC11" s="96"/>
      <c r="BD11" s="96"/>
      <c r="BE11" s="98"/>
      <c r="BF11" s="95"/>
      <c r="BG11" s="96"/>
      <c r="BH11" s="96"/>
      <c r="BI11" s="98"/>
    </row>
    <row r="12" spans="1:61" ht="12" hidden="1" customHeight="1">
      <c r="A12" s="254">
        <f t="array" ref="A12">_xll.AC(DB,_xll.ArrayDPT($AA12:$AE12),_xll.ArrayCOA($AG12:$AZ12),YR-1,PRD,_xll.ArrayDIM($BB12:$BE12))</f>
        <v>0</v>
      </c>
      <c r="B12" s="254">
        <f t="shared" si="0"/>
        <v>0</v>
      </c>
      <c r="C12" s="254">
        <f t="shared" si="1"/>
        <v>0</v>
      </c>
      <c r="D12" s="254">
        <f t="shared" si="2"/>
        <v>0</v>
      </c>
      <c r="E12" s="254">
        <f t="array" ref="E12">_xll.BC(DB,_xll.ArrayDPT($AA12:$AE12),_xll.ArrayCOA($AG12:$AZ12),YR,PRD,RV,_xll.ArrayDIM($BB12:$BE12))</f>
        <v>0</v>
      </c>
      <c r="F12" s="254">
        <f t="shared" si="3"/>
        <v>0</v>
      </c>
      <c r="G12" s="254">
        <f t="array" ref="G12">_xll.AC(DB,_xll.ArrayDPT($AA12:$AE12),_xll.ArrayCOA($AG12:$AZ12),YR,PRD,_xll.ArrayDIM($BB12:$BE12))</f>
        <v>0</v>
      </c>
      <c r="H12" s="254">
        <f t="shared" si="4"/>
        <v>0</v>
      </c>
      <c r="I12" s="254"/>
      <c r="J12" s="328" t="s">
        <v>630</v>
      </c>
      <c r="K12" s="254"/>
      <c r="L12" s="254">
        <f t="array" ref="L12">_xll.ACC(DB,_xll.ArrayDPT($AA12:$AE12),_xll.ArrayCOA($AG12:$AZ12),YR,PRD,_xll.ArrayDIM($BB12:$BE12))</f>
        <v>0</v>
      </c>
      <c r="M12" s="237">
        <f t="shared" si="5"/>
        <v>0</v>
      </c>
      <c r="N12" s="254">
        <f t="array" ref="N12">_xll.BCC(DB,_xll.ArrayDPT($AA12:$AE12),_xll.ArrayCOA($AG12:$AZ12),YR,PRD,RV,_xll.ArrayDIM($BB12:$BE12))</f>
        <v>0</v>
      </c>
      <c r="O12" s="237">
        <f t="shared" si="6"/>
        <v>0</v>
      </c>
      <c r="P12" s="237">
        <f t="shared" si="7"/>
        <v>0</v>
      </c>
      <c r="Q12" s="237">
        <f t="shared" si="8"/>
        <v>0</v>
      </c>
      <c r="R12" s="254">
        <f t="array" ref="R12">_xll.ACC(DB,_xll.ArrayDPT($AA12:$AE12),_xll.ArrayCOA($AG12:$AZ12),YR-1,PRD,_xll.ArrayDIM($BB12:$BE12))</f>
        <v>0</v>
      </c>
      <c r="S12" s="237">
        <f t="shared" si="9"/>
        <v>0</v>
      </c>
      <c r="T12" s="328"/>
      <c r="U12" s="328"/>
      <c r="V12" s="328"/>
      <c r="W12" s="328"/>
      <c r="X12" s="328"/>
      <c r="Y12" s="328"/>
      <c r="Z12" s="328"/>
      <c r="AA12" s="95" t="s">
        <v>623</v>
      </c>
      <c r="AB12" s="96"/>
      <c r="AC12" s="96"/>
      <c r="AD12" s="96"/>
      <c r="AE12" s="96"/>
      <c r="AF12" s="97"/>
      <c r="AG12" s="95"/>
      <c r="AH12" s="96"/>
      <c r="AI12" s="95"/>
      <c r="AJ12" s="96"/>
      <c r="AK12" s="95"/>
      <c r="AL12" s="96"/>
      <c r="AM12" s="95"/>
      <c r="AN12" s="98"/>
      <c r="AO12" s="96"/>
      <c r="AP12" s="96"/>
      <c r="AQ12" s="95"/>
      <c r="AR12" s="98"/>
      <c r="AS12" s="96"/>
      <c r="AT12" s="96"/>
      <c r="AU12" s="95"/>
      <c r="AV12" s="98"/>
      <c r="AW12" s="96"/>
      <c r="AX12" s="96"/>
      <c r="AY12" s="95"/>
      <c r="AZ12" s="98"/>
      <c r="BA12" s="99"/>
      <c r="BB12" s="95"/>
      <c r="BC12" s="96"/>
      <c r="BD12" s="96"/>
      <c r="BE12" s="98"/>
      <c r="BF12" s="95"/>
      <c r="BG12" s="96"/>
      <c r="BH12" s="96"/>
      <c r="BI12" s="98"/>
    </row>
    <row r="13" spans="1:61" ht="6" customHeight="1">
      <c r="A13" s="329"/>
      <c r="B13" s="329"/>
      <c r="C13" s="329"/>
      <c r="D13" s="329"/>
      <c r="E13" s="329"/>
      <c r="F13" s="329"/>
      <c r="G13" s="329"/>
      <c r="H13" s="329"/>
      <c r="I13" s="330"/>
      <c r="J13" s="331"/>
      <c r="K13" s="332"/>
      <c r="L13" s="333"/>
      <c r="M13" s="333"/>
      <c r="N13" s="333"/>
      <c r="O13" s="333"/>
      <c r="P13" s="333"/>
      <c r="Q13" s="333"/>
      <c r="R13" s="333"/>
      <c r="S13" s="333"/>
      <c r="T13" s="328"/>
      <c r="U13" s="328"/>
      <c r="V13" s="328"/>
      <c r="W13" s="328"/>
      <c r="X13" s="328"/>
      <c r="Y13" s="328"/>
      <c r="Z13" s="328"/>
      <c r="AA13" s="95"/>
      <c r="AB13" s="96"/>
      <c r="AC13" s="96"/>
      <c r="AD13" s="96"/>
      <c r="AE13" s="96"/>
      <c r="AF13" s="97"/>
      <c r="AG13" s="95"/>
      <c r="AH13" s="96"/>
      <c r="AI13" s="95"/>
      <c r="AJ13" s="96"/>
      <c r="AK13" s="95"/>
      <c r="AL13" s="96"/>
      <c r="AM13" s="95"/>
      <c r="AN13" s="98"/>
      <c r="AO13" s="96"/>
      <c r="AP13" s="96"/>
      <c r="AQ13" s="95"/>
      <c r="AR13" s="98"/>
      <c r="AS13" s="96"/>
      <c r="AT13" s="96"/>
      <c r="AU13" s="95"/>
      <c r="AV13" s="98"/>
      <c r="AW13" s="96"/>
      <c r="AX13" s="96"/>
      <c r="AY13" s="95"/>
      <c r="AZ13" s="98"/>
      <c r="BA13" s="99"/>
      <c r="BB13" s="95"/>
      <c r="BC13" s="96"/>
      <c r="BD13" s="96"/>
      <c r="BE13" s="98"/>
      <c r="BF13" s="95"/>
      <c r="BG13" s="96"/>
      <c r="BH13" s="96"/>
      <c r="BI13" s="98"/>
    </row>
    <row r="14" spans="1:61" ht="12" customHeight="1">
      <c r="A14" s="334">
        <f>SUM(A8:A13)</f>
        <v>7249519.3099999996</v>
      </c>
      <c r="B14" s="334">
        <f>IF(A14=0,0,(A14*100/A$14))</f>
        <v>100</v>
      </c>
      <c r="C14" s="334">
        <f>SUM(C8:C13)</f>
        <v>-7921831.0000000009</v>
      </c>
      <c r="D14" s="334">
        <f>IF(C14=0,0,(C14*100/C$14))</f>
        <v>100</v>
      </c>
      <c r="E14" s="334">
        <f>SUM(E8:E13)</f>
        <v>0</v>
      </c>
      <c r="F14" s="334">
        <f>IF(E14=0,0,(E14*100/E$14))</f>
        <v>0</v>
      </c>
      <c r="G14" s="334">
        <f>SUM(G8:G13)</f>
        <v>7921831.0000000009</v>
      </c>
      <c r="H14" s="334">
        <f>IF(G14=0,0,(G14*100/G$14))</f>
        <v>100</v>
      </c>
      <c r="I14" s="335"/>
      <c r="J14" s="336" t="s">
        <v>631</v>
      </c>
      <c r="K14" s="337"/>
      <c r="L14" s="338">
        <f>SUM(L8:L13)</f>
        <v>7921831.0000000009</v>
      </c>
      <c r="M14" s="338">
        <f>IF(L14=0,0,(L14*100/L$14))</f>
        <v>100</v>
      </c>
      <c r="N14" s="338">
        <f>SUM(N8:N13)</f>
        <v>0</v>
      </c>
      <c r="O14" s="338">
        <f>IF(N14=0,0,(N14*100/N$14))</f>
        <v>0</v>
      </c>
      <c r="P14" s="338">
        <f>SUM(P8:P13)</f>
        <v>-7921831.0000000009</v>
      </c>
      <c r="Q14" s="338">
        <f>IF(P14=0,0,(P14*100/P$14))</f>
        <v>100</v>
      </c>
      <c r="R14" s="338">
        <f>SUM(R8:R13)</f>
        <v>7249519.3099999996</v>
      </c>
      <c r="S14" s="338">
        <f>IF(R14=0,0,(R14*100/R$14))</f>
        <v>100</v>
      </c>
      <c r="T14" s="339"/>
      <c r="U14" s="339"/>
      <c r="V14" s="339"/>
      <c r="W14" s="339"/>
      <c r="X14" s="339"/>
      <c r="Y14" s="339"/>
      <c r="Z14" s="339"/>
      <c r="AA14" s="95"/>
      <c r="AB14" s="96"/>
      <c r="AC14" s="96"/>
      <c r="AD14" s="96"/>
      <c r="AE14" s="96"/>
      <c r="AF14" s="97"/>
      <c r="AG14" s="95"/>
      <c r="AH14" s="96"/>
      <c r="AI14" s="95"/>
      <c r="AJ14" s="96"/>
      <c r="AK14" s="95"/>
      <c r="AL14" s="96"/>
      <c r="AM14" s="95"/>
      <c r="AN14" s="98"/>
      <c r="AO14" s="96"/>
      <c r="AP14" s="96"/>
      <c r="AQ14" s="95"/>
      <c r="AR14" s="98"/>
      <c r="AS14" s="96"/>
      <c r="AT14" s="96"/>
      <c r="AU14" s="95"/>
      <c r="AV14" s="98"/>
      <c r="AW14" s="96"/>
      <c r="AX14" s="96"/>
      <c r="AY14" s="95"/>
      <c r="AZ14" s="98"/>
      <c r="BA14" s="99"/>
      <c r="BB14" s="95"/>
      <c r="BC14" s="96"/>
      <c r="BD14" s="96"/>
      <c r="BE14" s="98"/>
      <c r="BF14" s="95"/>
      <c r="BG14" s="96"/>
      <c r="BH14" s="96"/>
      <c r="BI14" s="98"/>
    </row>
    <row r="15" spans="1:61" ht="12" customHeight="1">
      <c r="A15" s="279"/>
      <c r="B15" s="279"/>
      <c r="C15" s="279"/>
      <c r="D15" s="279"/>
      <c r="E15" s="279"/>
      <c r="F15" s="279"/>
      <c r="G15" s="279"/>
      <c r="H15" s="254"/>
      <c r="I15" s="279"/>
      <c r="J15" s="340" t="s">
        <v>632</v>
      </c>
      <c r="K15" s="279"/>
      <c r="L15" s="262"/>
      <c r="M15" s="237"/>
      <c r="N15" s="262"/>
      <c r="O15" s="262"/>
      <c r="P15" s="262"/>
      <c r="Q15" s="262"/>
      <c r="R15" s="262"/>
      <c r="S15" s="262"/>
      <c r="T15" s="339"/>
      <c r="U15" s="339"/>
      <c r="V15" s="339"/>
      <c r="W15" s="339"/>
      <c r="X15" s="339"/>
      <c r="Y15" s="339"/>
      <c r="Z15" s="339"/>
      <c r="AA15" s="95"/>
      <c r="AB15" s="96"/>
      <c r="AC15" s="96"/>
      <c r="AD15" s="96"/>
      <c r="AE15" s="96"/>
      <c r="AF15" s="97"/>
      <c r="AG15" s="95"/>
      <c r="AH15" s="96"/>
      <c r="AI15" s="95"/>
      <c r="AJ15" s="96"/>
      <c r="AK15" s="95"/>
      <c r="AL15" s="96"/>
      <c r="AM15" s="95"/>
      <c r="AN15" s="98"/>
      <c r="AO15" s="96"/>
      <c r="AP15" s="96"/>
      <c r="AQ15" s="95"/>
      <c r="AR15" s="98"/>
      <c r="AS15" s="96"/>
      <c r="AT15" s="96"/>
      <c r="AU15" s="95"/>
      <c r="AV15" s="98"/>
      <c r="AW15" s="96"/>
      <c r="AX15" s="96"/>
      <c r="AY15" s="95"/>
      <c r="AZ15" s="98"/>
      <c r="BA15" s="99"/>
      <c r="BB15" s="95"/>
      <c r="BC15" s="96"/>
      <c r="BD15" s="96"/>
      <c r="BE15" s="98"/>
      <c r="BF15" s="95"/>
      <c r="BG15" s="96"/>
      <c r="BH15" s="96"/>
      <c r="BI15" s="98"/>
    </row>
    <row r="16" spans="1:61" ht="12" customHeight="1">
      <c r="A16" s="254">
        <f t="array" ref="A16">_xll.AC(DB,_xll.ArrayDPT($AA16:$AE16),_xll.ArrayCOA($AG16:$AZ16),YR-1,PRD,_xll.ArrayDIM($BB16:$BE16))</f>
        <v>0</v>
      </c>
      <c r="B16" s="254">
        <f t="shared" ref="B16:B22" si="10">IF(A16=0,0,(A16*100/A$14))</f>
        <v>0</v>
      </c>
      <c r="C16" s="254">
        <f t="shared" ref="C16:C22" si="11">+E16-G16</f>
        <v>0</v>
      </c>
      <c r="D16" s="254">
        <f t="shared" ref="D16:D22" si="12">IF(C16=0,0,(C16*100/C$14))</f>
        <v>0</v>
      </c>
      <c r="E16" s="254">
        <f t="array" ref="E16">_xll.BC(DB,_xll.ArrayDPT($AA16:$AE16),_xll.ArrayCOA($AG16:$AZ16),YR,PRD,RV,_xll.ArrayDIM($BB16:$BE16))</f>
        <v>0</v>
      </c>
      <c r="F16" s="254">
        <f t="shared" ref="F16:F22" si="13">IF(E16=0,0,(E16*100/E$14))</f>
        <v>0</v>
      </c>
      <c r="G16" s="254">
        <f t="array" ref="G16">_xll.AC(DB,_xll.ArrayDPT($AA16:$AE16),_xll.ArrayCOA($AG16:$AZ16),YR,PRD,_xll.ArrayDIM($BB16:$BE16))</f>
        <v>0</v>
      </c>
      <c r="H16" s="254">
        <f t="shared" ref="H16:H22" si="14">IF(G16=0,0,(G16*100/G$14))</f>
        <v>0</v>
      </c>
      <c r="I16" s="254"/>
      <c r="J16" s="328" t="s">
        <v>636</v>
      </c>
      <c r="K16" s="254"/>
      <c r="L16" s="254">
        <f t="array" ref="L16">_xll.ACC(DB,_xll.ArrayDPT($AA16:$AE16),_xll.ArrayCOA($AG16:$AZ16),YR,PRD,_xll.ArrayDIM($BB16:$BE16))</f>
        <v>0</v>
      </c>
      <c r="M16" s="237">
        <f t="shared" ref="M16:M22" si="15">IF(L16=0,0,(L16*100/L$14))</f>
        <v>0</v>
      </c>
      <c r="N16" s="254">
        <f t="array" ref="N16">_xll.BCC(DB,_xll.ArrayDPT($AA16:$AE16),_xll.ArrayCOA($AG16:$AZ16),YR,PRD,RV,_xll.ArrayDIM($BB16:$BE16))</f>
        <v>0</v>
      </c>
      <c r="O16" s="237">
        <f t="shared" ref="O16:O22" si="16">IF(N16=0,0,(N16*100/N$14))</f>
        <v>0</v>
      </c>
      <c r="P16" s="237">
        <f t="shared" ref="P16:P22" si="17">+N16-L16</f>
        <v>0</v>
      </c>
      <c r="Q16" s="254">
        <f t="shared" ref="Q16:Q22" si="18">IF(P16=0,0,(P16*100/P$14))</f>
        <v>0</v>
      </c>
      <c r="R16" s="254">
        <f t="array" ref="R16">_xll.ACC(DB,_xll.ArrayDPT($AA16:$AE16),_xll.ArrayCOA($AG16:$AZ16),YR-1,PRD,_xll.ArrayDIM($BB16:$BE16))</f>
        <v>0</v>
      </c>
      <c r="S16" s="237">
        <f t="shared" ref="S16:S22" si="19">IF(R16=0,0,(R16*100/R$14))</f>
        <v>0</v>
      </c>
      <c r="T16" s="328"/>
      <c r="U16" s="328"/>
      <c r="V16" s="328"/>
      <c r="W16" s="328"/>
      <c r="X16" s="328"/>
      <c r="Y16" s="328"/>
      <c r="Z16" s="328"/>
      <c r="AA16" s="95" t="s">
        <v>640</v>
      </c>
      <c r="AB16" s="96"/>
      <c r="AC16" s="96"/>
      <c r="AD16" s="96"/>
      <c r="AE16" s="96"/>
      <c r="AF16" s="97"/>
      <c r="AG16" s="95" t="s">
        <v>638</v>
      </c>
      <c r="AH16" s="96" t="s">
        <v>638</v>
      </c>
      <c r="AI16" s="95"/>
      <c r="AJ16" s="96"/>
      <c r="AK16" s="95"/>
      <c r="AL16" s="96"/>
      <c r="AM16" s="95"/>
      <c r="AN16" s="98"/>
      <c r="AO16" s="96"/>
      <c r="AP16" s="96"/>
      <c r="AQ16" s="95"/>
      <c r="AR16" s="98"/>
      <c r="AS16" s="96"/>
      <c r="AT16" s="96"/>
      <c r="AU16" s="95"/>
      <c r="AV16" s="98"/>
      <c r="AW16" s="96"/>
      <c r="AX16" s="96"/>
      <c r="AY16" s="95"/>
      <c r="AZ16" s="98"/>
      <c r="BA16" s="99"/>
      <c r="BB16" s="95"/>
      <c r="BC16" s="96"/>
      <c r="BD16" s="96"/>
      <c r="BE16" s="98"/>
      <c r="BF16" s="95"/>
      <c r="BG16" s="96"/>
      <c r="BH16" s="96"/>
      <c r="BI16" s="98"/>
    </row>
    <row r="17" spans="1:61" ht="12" customHeight="1">
      <c r="A17" s="254">
        <f t="array" ref="A17">_xll.AC(DB,_xll.ArrayDPT($AA17:$AE17),_xll.ArrayCOA($AG17:$AZ17),YR-1,PRD,_xll.ArrayDIM($BB17:$BE17))</f>
        <v>35000</v>
      </c>
      <c r="B17" s="254">
        <f t="shared" si="10"/>
        <v>0.48279063070734829</v>
      </c>
      <c r="C17" s="254">
        <f t="shared" si="11"/>
        <v>-7466.67</v>
      </c>
      <c r="D17" s="254">
        <f t="shared" si="12"/>
        <v>9.4254345996525282E-2</v>
      </c>
      <c r="E17" s="254">
        <f t="array" ref="E17">_xll.BC(DB,_xll.ArrayDPT($AA17:$AE17),_xll.ArrayCOA($AG17:$AZ17),YR,PRD,RV,_xll.ArrayDIM($BB17:$BE17))</f>
        <v>0</v>
      </c>
      <c r="F17" s="254">
        <f t="shared" si="13"/>
        <v>0</v>
      </c>
      <c r="G17" s="254">
        <f t="array" ref="G17">_xll.AC(DB,_xll.ArrayDPT($AA17:$AE17),_xll.ArrayCOA($AG17:$AZ17),YR,PRD,_xll.ArrayDIM($BB17:$BE17))</f>
        <v>7466.67</v>
      </c>
      <c r="H17" s="254">
        <f t="shared" si="14"/>
        <v>9.4254345996525282E-2</v>
      </c>
      <c r="I17" s="254"/>
      <c r="J17" s="328" t="s">
        <v>639</v>
      </c>
      <c r="K17" s="254"/>
      <c r="L17" s="254">
        <f t="array" ref="L17">_xll.ACC(DB,_xll.ArrayDPT($AA17:$AE17),_xll.ArrayCOA($AG17:$AZ17),YR,PRD,_xll.ArrayDIM($BB17:$BE17))</f>
        <v>7466.67</v>
      </c>
      <c r="M17" s="237">
        <f t="shared" si="15"/>
        <v>9.4254345996525282E-2</v>
      </c>
      <c r="N17" s="254">
        <f t="array" ref="N17">_xll.BCC(DB,_xll.ArrayDPT($AA17:$AE17),_xll.ArrayCOA($AG17:$AZ17),YR,PRD,RV,_xll.ArrayDIM($BB17:$BE17))</f>
        <v>0</v>
      </c>
      <c r="O17" s="237">
        <f t="shared" si="16"/>
        <v>0</v>
      </c>
      <c r="P17" s="237">
        <f t="shared" si="17"/>
        <v>-7466.67</v>
      </c>
      <c r="Q17" s="254">
        <f t="shared" si="18"/>
        <v>9.4254345996525282E-2</v>
      </c>
      <c r="R17" s="254">
        <f t="array" ref="R17">_xll.ACC(DB,_xll.ArrayDPT($AA17:$AE17),_xll.ArrayCOA($AG17:$AZ17),YR-1,PRD,_xll.ArrayDIM($BB17:$BE17))</f>
        <v>35000</v>
      </c>
      <c r="S17" s="237">
        <f t="shared" si="19"/>
        <v>0.48279063070734829</v>
      </c>
      <c r="T17" s="328"/>
      <c r="U17" s="328"/>
      <c r="V17" s="328"/>
      <c r="W17" s="328"/>
      <c r="X17" s="328"/>
      <c r="Y17" s="328"/>
      <c r="Z17" s="328"/>
      <c r="AA17" s="95" t="s">
        <v>640</v>
      </c>
      <c r="AB17" s="96"/>
      <c r="AC17" s="96"/>
      <c r="AD17" s="96"/>
      <c r="AE17" s="96"/>
      <c r="AF17" s="97"/>
      <c r="AG17" s="95" t="s">
        <v>641</v>
      </c>
      <c r="AH17" s="96" t="s">
        <v>641</v>
      </c>
      <c r="AI17" s="95"/>
      <c r="AJ17" s="96"/>
      <c r="AK17" s="95"/>
      <c r="AL17" s="96"/>
      <c r="AM17" s="95"/>
      <c r="AN17" s="98"/>
      <c r="AO17" s="96"/>
      <c r="AP17" s="96"/>
      <c r="AQ17" s="95"/>
      <c r="AR17" s="98"/>
      <c r="AS17" s="96"/>
      <c r="AT17" s="96"/>
      <c r="AU17" s="95"/>
      <c r="AV17" s="98"/>
      <c r="AW17" s="96"/>
      <c r="AX17" s="96"/>
      <c r="AY17" s="95"/>
      <c r="AZ17" s="98"/>
      <c r="BA17" s="99"/>
      <c r="BB17" s="95"/>
      <c r="BC17" s="96"/>
      <c r="BD17" s="96"/>
      <c r="BE17" s="98"/>
      <c r="BF17" s="95"/>
      <c r="BG17" s="96"/>
      <c r="BH17" s="96"/>
      <c r="BI17" s="98"/>
    </row>
    <row r="18" spans="1:61" ht="12" customHeight="1">
      <c r="A18" s="254">
        <f t="array" ref="A18">_xll.AC(DB,_xll.ArrayDPT($AA18:$AE18),_xll.ArrayCOA($AG18:$AZ18),YR-1,PRD,_xll.ArrayDIM($BB18:$BE18))</f>
        <v>0</v>
      </c>
      <c r="B18" s="254">
        <f t="shared" si="10"/>
        <v>0</v>
      </c>
      <c r="C18" s="254">
        <f t="shared" si="11"/>
        <v>0</v>
      </c>
      <c r="D18" s="254">
        <f t="shared" si="12"/>
        <v>0</v>
      </c>
      <c r="E18" s="254">
        <f t="array" ref="E18">_xll.BC(DB,_xll.ArrayDPT($AA18:$AE18),_xll.ArrayCOA($AG18:$AZ18),YR,PRD,RV,_xll.ArrayDIM($BB18:$BE18))</f>
        <v>0</v>
      </c>
      <c r="F18" s="254">
        <f t="shared" si="13"/>
        <v>0</v>
      </c>
      <c r="G18" s="254">
        <f t="array" ref="G18">_xll.AC(DB,_xll.ArrayDPT($AA18:$AE18),_xll.ArrayCOA($AG18:$AZ18),YR,PRD,_xll.ArrayDIM($BB18:$BE18))</f>
        <v>0</v>
      </c>
      <c r="H18" s="254">
        <f t="shared" si="14"/>
        <v>0</v>
      </c>
      <c r="I18" s="254"/>
      <c r="J18" s="328" t="s">
        <v>642</v>
      </c>
      <c r="K18" s="254"/>
      <c r="L18" s="254">
        <f t="array" ref="L18">_xll.ACC(DB,_xll.ArrayDPT($AA18:$AE18),_xll.ArrayCOA($AG18:$AZ18),YR,PRD,_xll.ArrayDIM($BB18:$BE18))</f>
        <v>0</v>
      </c>
      <c r="M18" s="237">
        <f t="shared" si="15"/>
        <v>0</v>
      </c>
      <c r="N18" s="254">
        <f t="array" ref="N18">_xll.BCC(DB,_xll.ArrayDPT($AA18:$AE18),_xll.ArrayCOA($AG18:$AZ18),YR,PRD,RV,_xll.ArrayDIM($BB18:$BE18))</f>
        <v>0</v>
      </c>
      <c r="O18" s="237">
        <f t="shared" si="16"/>
        <v>0</v>
      </c>
      <c r="P18" s="237">
        <f t="shared" si="17"/>
        <v>0</v>
      </c>
      <c r="Q18" s="254">
        <f t="shared" si="18"/>
        <v>0</v>
      </c>
      <c r="R18" s="254">
        <f t="array" ref="R18">_xll.ACC(DB,_xll.ArrayDPT($AA18:$AE18),_xll.ArrayCOA($AG18:$AZ18),YR-1,PRD,_xll.ArrayDIM($BB18:$BE18))</f>
        <v>0</v>
      </c>
      <c r="S18" s="237">
        <f t="shared" si="19"/>
        <v>0</v>
      </c>
      <c r="T18" s="328"/>
      <c r="U18" s="328"/>
      <c r="V18" s="328"/>
      <c r="W18" s="328"/>
      <c r="X18" s="328"/>
      <c r="Y18" s="328"/>
      <c r="Z18" s="328"/>
      <c r="AA18" s="95" t="s">
        <v>640</v>
      </c>
      <c r="AB18" s="96"/>
      <c r="AC18" s="96"/>
      <c r="AD18" s="96"/>
      <c r="AE18" s="96"/>
      <c r="AF18" s="97"/>
      <c r="AG18" s="95" t="s">
        <v>643</v>
      </c>
      <c r="AH18" s="96" t="s">
        <v>643</v>
      </c>
      <c r="AI18" s="95"/>
      <c r="AJ18" s="96"/>
      <c r="AK18" s="95"/>
      <c r="AL18" s="96"/>
      <c r="AM18" s="95"/>
      <c r="AN18" s="98"/>
      <c r="AO18" s="96"/>
      <c r="AP18" s="96"/>
      <c r="AQ18" s="95"/>
      <c r="AR18" s="98"/>
      <c r="AS18" s="96"/>
      <c r="AT18" s="96"/>
      <c r="AU18" s="95"/>
      <c r="AV18" s="98"/>
      <c r="AW18" s="96"/>
      <c r="AX18" s="96"/>
      <c r="AY18" s="95"/>
      <c r="AZ18" s="98"/>
      <c r="BA18" s="99"/>
      <c r="BB18" s="95"/>
      <c r="BC18" s="96"/>
      <c r="BD18" s="96"/>
      <c r="BE18" s="98"/>
      <c r="BF18" s="95"/>
      <c r="BG18" s="96"/>
      <c r="BH18" s="96"/>
      <c r="BI18" s="98"/>
    </row>
    <row r="19" spans="1:61" ht="12" customHeight="1">
      <c r="A19" s="254">
        <f t="array" ref="A19">_xll.AC(DB,_xll.ArrayDPT($AA19:$AE19),_xll.ArrayCOA($AG19:$AZ19),YR-1,PRD,_xll.ArrayDIM($BB19:$BE19))</f>
        <v>0</v>
      </c>
      <c r="B19" s="254">
        <f t="shared" si="10"/>
        <v>0</v>
      </c>
      <c r="C19" s="254">
        <f t="shared" si="11"/>
        <v>-373</v>
      </c>
      <c r="D19" s="254">
        <f t="shared" si="12"/>
        <v>4.7085074145106097E-3</v>
      </c>
      <c r="E19" s="254">
        <f t="array" ref="E19">_xll.BC(DB,_xll.ArrayDPT($AA19:$AE19),_xll.ArrayCOA($AG19:$AZ19),YR,PRD,RV,_xll.ArrayDIM($BB19:$BE19))</f>
        <v>0</v>
      </c>
      <c r="F19" s="254">
        <f t="shared" si="13"/>
        <v>0</v>
      </c>
      <c r="G19" s="254">
        <f t="array" ref="G19">_xll.AC(DB,_xll.ArrayDPT($AA19:$AE19),_xll.ArrayCOA($AG19:$AZ19),YR,PRD,_xll.ArrayDIM($BB19:$BE19))</f>
        <v>373</v>
      </c>
      <c r="H19" s="254">
        <f t="shared" si="14"/>
        <v>4.7085074145106097E-3</v>
      </c>
      <c r="I19" s="254"/>
      <c r="J19" s="328" t="s">
        <v>646</v>
      </c>
      <c r="K19" s="254"/>
      <c r="L19" s="254">
        <f t="array" ref="L19">_xll.ACC(DB,_xll.ArrayDPT($AA19:$AE19),_xll.ArrayCOA($AG19:$AZ19),YR,PRD,_xll.ArrayDIM($BB19:$BE19))</f>
        <v>373</v>
      </c>
      <c r="M19" s="237">
        <f t="shared" si="15"/>
        <v>4.7085074145106097E-3</v>
      </c>
      <c r="N19" s="254">
        <f t="array" ref="N19">_xll.BCC(DB,_xll.ArrayDPT($AA19:$AE19),_xll.ArrayCOA($AG19:$AZ19),YR,PRD,RV,_xll.ArrayDIM($BB19:$BE19))</f>
        <v>0</v>
      </c>
      <c r="O19" s="237">
        <f t="shared" si="16"/>
        <v>0</v>
      </c>
      <c r="P19" s="237">
        <f t="shared" si="17"/>
        <v>-373</v>
      </c>
      <c r="Q19" s="254">
        <f t="shared" si="18"/>
        <v>4.7085074145106097E-3</v>
      </c>
      <c r="R19" s="254">
        <f t="array" ref="R19">_xll.ACC(DB,_xll.ArrayDPT($AA19:$AE19),_xll.ArrayCOA($AG19:$AZ19),YR-1,PRD,_xll.ArrayDIM($BB19:$BE19))</f>
        <v>0</v>
      </c>
      <c r="S19" s="237">
        <f t="shared" si="19"/>
        <v>0</v>
      </c>
      <c r="T19" s="328"/>
      <c r="U19" s="328"/>
      <c r="V19" s="328"/>
      <c r="W19" s="328"/>
      <c r="X19" s="328"/>
      <c r="Y19" s="328"/>
      <c r="Z19" s="328"/>
      <c r="AA19" s="95" t="s">
        <v>640</v>
      </c>
      <c r="AB19" s="96"/>
      <c r="AC19" s="96"/>
      <c r="AD19" s="96"/>
      <c r="AE19" s="96"/>
      <c r="AF19" s="97"/>
      <c r="AG19" s="95" t="s">
        <v>647</v>
      </c>
      <c r="AH19" s="96" t="s">
        <v>647</v>
      </c>
      <c r="AI19" s="95"/>
      <c r="AJ19" s="96"/>
      <c r="AK19" s="95"/>
      <c r="AL19" s="96"/>
      <c r="AM19" s="95"/>
      <c r="AN19" s="98"/>
      <c r="AO19" s="96"/>
      <c r="AP19" s="96"/>
      <c r="AQ19" s="95"/>
      <c r="AR19" s="98"/>
      <c r="AS19" s="96"/>
      <c r="AT19" s="96"/>
      <c r="AU19" s="95"/>
      <c r="AV19" s="98"/>
      <c r="AW19" s="96"/>
      <c r="AX19" s="96"/>
      <c r="AY19" s="95"/>
      <c r="AZ19" s="98"/>
      <c r="BA19" s="99"/>
      <c r="BB19" s="95"/>
      <c r="BC19" s="96"/>
      <c r="BD19" s="96"/>
      <c r="BE19" s="98"/>
      <c r="BF19" s="95"/>
      <c r="BG19" s="96"/>
      <c r="BH19" s="96"/>
      <c r="BI19" s="98"/>
    </row>
    <row r="20" spans="1:61" ht="12" customHeight="1">
      <c r="A20" s="254">
        <f t="array" ref="A20">_xll.AC(DB,_xll.ArrayDPT($AA20:$AE20),_xll.ArrayCOA($AG20:$AZ20),YR-1,PRD,_xll.ArrayDIM($BB20:$BE20))</f>
        <v>0</v>
      </c>
      <c r="B20" s="254">
        <f t="shared" si="10"/>
        <v>0</v>
      </c>
      <c r="C20" s="254">
        <f t="shared" si="11"/>
        <v>0</v>
      </c>
      <c r="D20" s="254">
        <f t="shared" si="12"/>
        <v>0</v>
      </c>
      <c r="E20" s="254">
        <f t="array" ref="E20">_xll.BC(DB,_xll.ArrayDPT($AA20:$AE20),_xll.ArrayCOA($AG20:$AZ20),YR,PRD,RV,_xll.ArrayDIM($BB20:$BE20))</f>
        <v>0</v>
      </c>
      <c r="F20" s="254">
        <f t="shared" si="13"/>
        <v>0</v>
      </c>
      <c r="G20" s="254">
        <f t="array" ref="G20">_xll.AC(DB,_xll.ArrayDPT($AA20:$AE20),_xll.ArrayCOA($AG20:$AZ20),YR,PRD,_xll.ArrayDIM($BB20:$BE20))</f>
        <v>0</v>
      </c>
      <c r="H20" s="254">
        <f t="shared" si="14"/>
        <v>0</v>
      </c>
      <c r="I20" s="254"/>
      <c r="J20" s="328" t="s">
        <v>648</v>
      </c>
      <c r="K20" s="254"/>
      <c r="L20" s="254">
        <f t="array" ref="L20">_xll.ACC(DB,_xll.ArrayDPT($AA20:$AE20),_xll.ArrayCOA($AG20:$AZ20),YR,PRD,_xll.ArrayDIM($BB20:$BE20))</f>
        <v>0</v>
      </c>
      <c r="M20" s="237">
        <f t="shared" si="15"/>
        <v>0</v>
      </c>
      <c r="N20" s="254">
        <f t="array" ref="N20">_xll.BCC(DB,_xll.ArrayDPT($AA20:$AE20),_xll.ArrayCOA($AG20:$AZ20),YR,PRD,RV,_xll.ArrayDIM($BB20:$BE20))</f>
        <v>0</v>
      </c>
      <c r="O20" s="237">
        <f t="shared" si="16"/>
        <v>0</v>
      </c>
      <c r="P20" s="237">
        <f t="shared" si="17"/>
        <v>0</v>
      </c>
      <c r="Q20" s="254">
        <f t="shared" si="18"/>
        <v>0</v>
      </c>
      <c r="R20" s="254">
        <f t="array" ref="R20">_xll.ACC(DB,_xll.ArrayDPT($AA20:$AE20),_xll.ArrayCOA($AG20:$AZ20),YR-1,PRD,_xll.ArrayDIM($BB20:$BE20))</f>
        <v>0</v>
      </c>
      <c r="S20" s="237">
        <f t="shared" si="19"/>
        <v>0</v>
      </c>
      <c r="T20" s="328"/>
      <c r="U20" s="328"/>
      <c r="V20" s="328"/>
      <c r="W20" s="328"/>
      <c r="X20" s="328"/>
      <c r="Y20" s="328"/>
      <c r="Z20" s="328"/>
      <c r="AA20" s="95" t="s">
        <v>640</v>
      </c>
      <c r="AB20" s="96"/>
      <c r="AC20" s="96"/>
      <c r="AD20" s="96"/>
      <c r="AE20" s="96"/>
      <c r="AF20" s="97"/>
      <c r="AG20" s="95" t="s">
        <v>649</v>
      </c>
      <c r="AH20" s="96" t="s">
        <v>649</v>
      </c>
      <c r="AI20" s="95"/>
      <c r="AJ20" s="96"/>
      <c r="AK20" s="95"/>
      <c r="AL20" s="96"/>
      <c r="AM20" s="95"/>
      <c r="AN20" s="98"/>
      <c r="AO20" s="96"/>
      <c r="AP20" s="96"/>
      <c r="AQ20" s="95"/>
      <c r="AR20" s="98"/>
      <c r="AS20" s="96"/>
      <c r="AT20" s="96"/>
      <c r="AU20" s="95"/>
      <c r="AV20" s="98"/>
      <c r="AW20" s="96"/>
      <c r="AX20" s="96"/>
      <c r="AY20" s="95"/>
      <c r="AZ20" s="98"/>
      <c r="BA20" s="99"/>
      <c r="BB20" s="95"/>
      <c r="BC20" s="96"/>
      <c r="BD20" s="96"/>
      <c r="BE20" s="98"/>
      <c r="BF20" s="95"/>
      <c r="BG20" s="96"/>
      <c r="BH20" s="96"/>
      <c r="BI20" s="98"/>
    </row>
    <row r="21" spans="1:61" ht="12" customHeight="1">
      <c r="A21" s="254">
        <f t="array" ref="A21">_xll.AC(DB,_xll.ArrayDPT($AA21:$AE21),_xll.ArrayCOA($AG21:$AZ21),YR-1,PRD,_xll.ArrayDIM($BB21:$BE21))</f>
        <v>0</v>
      </c>
      <c r="B21" s="254">
        <f t="shared" si="10"/>
        <v>0</v>
      </c>
      <c r="C21" s="254">
        <f t="shared" si="11"/>
        <v>0</v>
      </c>
      <c r="D21" s="254">
        <f t="shared" si="12"/>
        <v>0</v>
      </c>
      <c r="E21" s="254">
        <f t="array" ref="E21">_xll.BC(DB,_xll.ArrayDPT($AA21:$AE21),_xll.ArrayCOA($AG21:$AZ21),YR,PRD,RV,_xll.ArrayDIM($BB21:$BE21))</f>
        <v>0</v>
      </c>
      <c r="F21" s="254">
        <f t="shared" si="13"/>
        <v>0</v>
      </c>
      <c r="G21" s="254">
        <f t="array" ref="G21">_xll.AC(DB,_xll.ArrayDPT($AA21:$AE21),_xll.ArrayCOA($AG21:$AZ21),YR,PRD,_xll.ArrayDIM($BB21:$BE21))</f>
        <v>0</v>
      </c>
      <c r="H21" s="254">
        <f t="shared" si="14"/>
        <v>0</v>
      </c>
      <c r="I21" s="254"/>
      <c r="J21" s="328" t="s">
        <v>650</v>
      </c>
      <c r="K21" s="254"/>
      <c r="L21" s="254">
        <f t="array" ref="L21">_xll.ACC(DB,_xll.ArrayDPT($AA21:$AE21),_xll.ArrayCOA($AG21:$AZ21),YR,PRD,_xll.ArrayDIM($BB21:$BE21))</f>
        <v>0</v>
      </c>
      <c r="M21" s="237">
        <f t="shared" si="15"/>
        <v>0</v>
      </c>
      <c r="N21" s="254">
        <f t="array" ref="N21">_xll.BCC(DB,_xll.ArrayDPT($AA21:$AE21),_xll.ArrayCOA($AG21:$AZ21),YR,PRD,RV,_xll.ArrayDIM($BB21:$BE21))</f>
        <v>0</v>
      </c>
      <c r="O21" s="237">
        <f t="shared" si="16"/>
        <v>0</v>
      </c>
      <c r="P21" s="237">
        <f t="shared" si="17"/>
        <v>0</v>
      </c>
      <c r="Q21" s="254">
        <f t="shared" si="18"/>
        <v>0</v>
      </c>
      <c r="R21" s="254">
        <f t="array" ref="R21">_xll.ACC(DB,_xll.ArrayDPT($AA21:$AE21),_xll.ArrayCOA($AG21:$AZ21),YR-1,PRD,_xll.ArrayDIM($BB21:$BE21))</f>
        <v>0</v>
      </c>
      <c r="S21" s="237">
        <f t="shared" si="19"/>
        <v>0</v>
      </c>
      <c r="T21" s="328"/>
      <c r="U21" s="328"/>
      <c r="V21" s="328"/>
      <c r="W21" s="328"/>
      <c r="X21" s="328"/>
      <c r="Y21" s="328"/>
      <c r="Z21" s="328"/>
      <c r="AA21" s="95" t="s">
        <v>640</v>
      </c>
      <c r="AB21" s="96"/>
      <c r="AC21" s="96"/>
      <c r="AD21" s="96"/>
      <c r="AE21" s="96"/>
      <c r="AF21" s="97"/>
      <c r="AG21" s="95" t="s">
        <v>651</v>
      </c>
      <c r="AH21" s="96" t="s">
        <v>651</v>
      </c>
      <c r="AI21" s="95"/>
      <c r="AJ21" s="96"/>
      <c r="AK21" s="95"/>
      <c r="AL21" s="96"/>
      <c r="AM21" s="95"/>
      <c r="AN21" s="98"/>
      <c r="AO21" s="96"/>
      <c r="AP21" s="96"/>
      <c r="AQ21" s="95"/>
      <c r="AR21" s="98"/>
      <c r="AS21" s="96"/>
      <c r="AT21" s="96"/>
      <c r="AU21" s="95"/>
      <c r="AV21" s="98"/>
      <c r="AW21" s="96"/>
      <c r="AX21" s="96"/>
      <c r="AY21" s="95"/>
      <c r="AZ21" s="98"/>
      <c r="BA21" s="99"/>
      <c r="BB21" s="95"/>
      <c r="BC21" s="96"/>
      <c r="BD21" s="96"/>
      <c r="BE21" s="98"/>
      <c r="BF21" s="95"/>
      <c r="BG21" s="96"/>
      <c r="BH21" s="96"/>
      <c r="BI21" s="98"/>
    </row>
    <row r="22" spans="1:61" ht="12" customHeight="1">
      <c r="A22" s="254">
        <f t="array" ref="A22">_xll.AC(DB,_xll.ArrayDPT($AA22:$AE22),_xll.ArrayCOA($AG22:$AZ22),YR-1,PRD,_xll.ArrayDIM($BB22:$BE22))</f>
        <v>0</v>
      </c>
      <c r="B22" s="254">
        <f t="shared" si="10"/>
        <v>0</v>
      </c>
      <c r="C22" s="254">
        <f t="shared" si="11"/>
        <v>0</v>
      </c>
      <c r="D22" s="254">
        <f t="shared" si="12"/>
        <v>0</v>
      </c>
      <c r="E22" s="254">
        <f t="array" ref="E22">_xll.BC(DB,_xll.ArrayDPT($AA22:$AE22),_xll.ArrayCOA($AG22:$AZ22),YR,PRD,RV,_xll.ArrayDIM($BB22:$BE22))</f>
        <v>0</v>
      </c>
      <c r="F22" s="254">
        <f t="shared" si="13"/>
        <v>0</v>
      </c>
      <c r="G22" s="254">
        <f t="array" ref="G22">_xll.AC(DB,_xll.ArrayDPT($AA22:$AE22),_xll.ArrayCOA($AG22:$AZ22),YR,PRD,_xll.ArrayDIM($BB22:$BE22))</f>
        <v>0</v>
      </c>
      <c r="H22" s="254">
        <f t="shared" si="14"/>
        <v>0</v>
      </c>
      <c r="I22" s="254"/>
      <c r="J22" s="328" t="s">
        <v>652</v>
      </c>
      <c r="K22" s="254"/>
      <c r="L22" s="254">
        <f t="array" ref="L22">_xll.ACC(DB,_xll.ArrayDPT($AA22:$AE22),_xll.ArrayCOA($AG22:$AZ22),YR,PRD,_xll.ArrayDIM($BB22:$BE22))</f>
        <v>0</v>
      </c>
      <c r="M22" s="237">
        <f t="shared" si="15"/>
        <v>0</v>
      </c>
      <c r="N22" s="254">
        <f t="array" ref="N22">_xll.BCC(DB,_xll.ArrayDPT($AA22:$AE22),_xll.ArrayCOA($AG22:$AZ22),YR,PRD,RV,_xll.ArrayDIM($BB22:$BE22))</f>
        <v>0</v>
      </c>
      <c r="O22" s="237">
        <f t="shared" si="16"/>
        <v>0</v>
      </c>
      <c r="P22" s="237">
        <f t="shared" si="17"/>
        <v>0</v>
      </c>
      <c r="Q22" s="254">
        <f t="shared" si="18"/>
        <v>0</v>
      </c>
      <c r="R22" s="254">
        <f t="array" ref="R22">_xll.ACC(DB,_xll.ArrayDPT($AA22:$AE22),_xll.ArrayCOA($AG22:$AZ22),YR-1,PRD,_xll.ArrayDIM($BB22:$BE22))</f>
        <v>0</v>
      </c>
      <c r="S22" s="237">
        <f t="shared" si="19"/>
        <v>0</v>
      </c>
      <c r="T22" s="328"/>
      <c r="U22" s="328"/>
      <c r="V22" s="328"/>
      <c r="W22" s="328"/>
      <c r="X22" s="328"/>
      <c r="Y22" s="328"/>
      <c r="Z22" s="328"/>
      <c r="AA22" s="95" t="s">
        <v>640</v>
      </c>
      <c r="AB22" s="96"/>
      <c r="AC22" s="96"/>
      <c r="AD22" s="96"/>
      <c r="AE22" s="96"/>
      <c r="AF22" s="97"/>
      <c r="AG22" s="95" t="s">
        <v>579</v>
      </c>
      <c r="AH22" s="96" t="s">
        <v>579</v>
      </c>
      <c r="AI22" s="95"/>
      <c r="AJ22" s="96"/>
      <c r="AK22" s="95"/>
      <c r="AL22" s="96"/>
      <c r="AM22" s="95"/>
      <c r="AN22" s="98"/>
      <c r="AO22" s="96"/>
      <c r="AP22" s="96"/>
      <c r="AQ22" s="95"/>
      <c r="AR22" s="98"/>
      <c r="AS22" s="96"/>
      <c r="AT22" s="96"/>
      <c r="AU22" s="95"/>
      <c r="AV22" s="98"/>
      <c r="AW22" s="96"/>
      <c r="AX22" s="96"/>
      <c r="AY22" s="95"/>
      <c r="AZ22" s="98"/>
      <c r="BA22" s="99"/>
      <c r="BB22" s="95"/>
      <c r="BC22" s="96"/>
      <c r="BD22" s="96"/>
      <c r="BE22" s="98"/>
      <c r="BF22" s="95"/>
      <c r="BG22" s="96"/>
      <c r="BH22" s="96"/>
      <c r="BI22" s="98"/>
    </row>
    <row r="23" spans="1:61" ht="6" customHeight="1">
      <c r="A23" s="329"/>
      <c r="B23" s="329"/>
      <c r="C23" s="329"/>
      <c r="D23" s="329"/>
      <c r="E23" s="329"/>
      <c r="F23" s="329"/>
      <c r="G23" s="329"/>
      <c r="H23" s="329"/>
      <c r="I23" s="330"/>
      <c r="J23" s="331"/>
      <c r="K23" s="332"/>
      <c r="L23" s="333"/>
      <c r="M23" s="329"/>
      <c r="N23" s="333"/>
      <c r="O23" s="329"/>
      <c r="P23" s="333"/>
      <c r="Q23" s="329"/>
      <c r="R23" s="333"/>
      <c r="S23" s="329"/>
      <c r="T23" s="328"/>
      <c r="U23" s="328"/>
      <c r="V23" s="328"/>
      <c r="W23" s="328"/>
      <c r="X23" s="328"/>
      <c r="Y23" s="328"/>
      <c r="Z23" s="328"/>
      <c r="AA23" s="95"/>
      <c r="AB23" s="96"/>
      <c r="AC23" s="96"/>
      <c r="AD23" s="96"/>
      <c r="AE23" s="96"/>
      <c r="AF23" s="97"/>
      <c r="AG23" s="95"/>
      <c r="AH23" s="96"/>
      <c r="AI23" s="95"/>
      <c r="AJ23" s="96"/>
      <c r="AK23" s="95"/>
      <c r="AL23" s="96"/>
      <c r="AM23" s="95"/>
      <c r="AN23" s="98"/>
      <c r="AO23" s="96"/>
      <c r="AP23" s="96"/>
      <c r="AQ23" s="95"/>
      <c r="AR23" s="98"/>
      <c r="AS23" s="96"/>
      <c r="AT23" s="96"/>
      <c r="AU23" s="95"/>
      <c r="AV23" s="98"/>
      <c r="AW23" s="96"/>
      <c r="AX23" s="96"/>
      <c r="AY23" s="95"/>
      <c r="AZ23" s="98"/>
      <c r="BA23" s="99"/>
      <c r="BB23" s="95"/>
      <c r="BC23" s="96"/>
      <c r="BD23" s="96"/>
      <c r="BE23" s="98"/>
      <c r="BF23" s="95"/>
      <c r="BG23" s="96"/>
      <c r="BH23" s="96"/>
      <c r="BI23" s="98"/>
    </row>
    <row r="24" spans="1:61" ht="12" customHeight="1">
      <c r="A24" s="334">
        <f>SUM(A16:A23)</f>
        <v>35000</v>
      </c>
      <c r="B24" s="334">
        <f>IF(A24=0,0,(A24*100/A$14))</f>
        <v>0.48279063070734829</v>
      </c>
      <c r="C24" s="334">
        <f>SUM(C16:C23)</f>
        <v>-7839.67</v>
      </c>
      <c r="D24" s="334">
        <f>IF(C24=0,0,(C24*100/C$14))</f>
        <v>9.8962853411035903E-2</v>
      </c>
      <c r="E24" s="334">
        <f>SUM(E16:E23)</f>
        <v>0</v>
      </c>
      <c r="F24" s="334">
        <f>IF(E24=0,0,(E24*100/E$14))</f>
        <v>0</v>
      </c>
      <c r="G24" s="334">
        <f>SUM(G16:G23)</f>
        <v>7839.67</v>
      </c>
      <c r="H24" s="334">
        <f>IF(G24=0,0,(G24*100/G$14))</f>
        <v>9.8962853411035903E-2</v>
      </c>
      <c r="I24" s="335"/>
      <c r="J24" s="336" t="s">
        <v>543</v>
      </c>
      <c r="K24" s="337"/>
      <c r="L24" s="338">
        <f>SUM(L16:L23)</f>
        <v>7839.67</v>
      </c>
      <c r="M24" s="334">
        <f>IF(L24=0,0,(L24*100/L$14))</f>
        <v>9.8962853411035903E-2</v>
      </c>
      <c r="N24" s="338">
        <f>SUM(N16:N23)</f>
        <v>0</v>
      </c>
      <c r="O24" s="334">
        <f>IF(N24=0,0,(N24*100/N$14))</f>
        <v>0</v>
      </c>
      <c r="P24" s="338">
        <f>SUM(P16:P23)</f>
        <v>-7839.67</v>
      </c>
      <c r="Q24" s="334">
        <f>IF(P24=0,0,(P24*100/P$14))</f>
        <v>9.8962853411035903E-2</v>
      </c>
      <c r="R24" s="338">
        <f>SUM(R16:R23)</f>
        <v>35000</v>
      </c>
      <c r="S24" s="334">
        <f>IF(R24=0,0,(R24*100/R$14))</f>
        <v>0.48279063070734829</v>
      </c>
      <c r="T24" s="328"/>
      <c r="U24" s="328"/>
      <c r="V24" s="328"/>
      <c r="W24" s="328"/>
      <c r="X24" s="328"/>
      <c r="Y24" s="328"/>
      <c r="Z24" s="328"/>
      <c r="AA24" s="95"/>
      <c r="AB24" s="96"/>
      <c r="AC24" s="96"/>
      <c r="AD24" s="96"/>
      <c r="AE24" s="96"/>
      <c r="AF24" s="97"/>
      <c r="AG24" s="95"/>
      <c r="AH24" s="96"/>
      <c r="AI24" s="95"/>
      <c r="AJ24" s="96"/>
      <c r="AK24" s="95"/>
      <c r="AL24" s="96"/>
      <c r="AM24" s="95"/>
      <c r="AN24" s="98"/>
      <c r="AO24" s="96"/>
      <c r="AP24" s="96"/>
      <c r="AQ24" s="95"/>
      <c r="AR24" s="98"/>
      <c r="AS24" s="96"/>
      <c r="AT24" s="96"/>
      <c r="AU24" s="95"/>
      <c r="AV24" s="98"/>
      <c r="AW24" s="96"/>
      <c r="AX24" s="96"/>
      <c r="AY24" s="95"/>
      <c r="AZ24" s="98"/>
      <c r="BA24" s="99"/>
      <c r="BB24" s="95"/>
      <c r="BC24" s="96"/>
      <c r="BD24" s="96"/>
      <c r="BE24" s="98"/>
      <c r="BF24" s="95"/>
      <c r="BG24" s="96"/>
      <c r="BH24" s="96"/>
      <c r="BI24" s="98"/>
    </row>
    <row r="25" spans="1:61" ht="12" customHeight="1">
      <c r="A25" s="254"/>
      <c r="B25" s="254"/>
      <c r="C25" s="254"/>
      <c r="D25" s="254"/>
      <c r="E25" s="254"/>
      <c r="F25" s="254"/>
      <c r="G25" s="254"/>
      <c r="H25" s="254"/>
      <c r="I25" s="254"/>
      <c r="J25" s="340" t="s">
        <v>653</v>
      </c>
      <c r="K25" s="254"/>
      <c r="L25" s="237"/>
      <c r="M25" s="237"/>
      <c r="N25" s="237"/>
      <c r="O25" s="237"/>
      <c r="P25" s="237"/>
      <c r="Q25" s="237"/>
      <c r="R25" s="237"/>
      <c r="S25" s="237"/>
      <c r="T25" s="328"/>
      <c r="U25" s="328"/>
      <c r="V25" s="328"/>
      <c r="W25" s="328"/>
      <c r="X25" s="328"/>
      <c r="Y25" s="328"/>
      <c r="Z25" s="328"/>
      <c r="AA25" s="95"/>
      <c r="AB25" s="96"/>
      <c r="AC25" s="96"/>
      <c r="AD25" s="96"/>
      <c r="AE25" s="96"/>
      <c r="AF25" s="97"/>
      <c r="AG25" s="95"/>
      <c r="AH25" s="96"/>
      <c r="AI25" s="95"/>
      <c r="AJ25" s="96"/>
      <c r="AK25" s="95"/>
      <c r="AL25" s="96"/>
      <c r="AM25" s="95"/>
      <c r="AN25" s="98"/>
      <c r="AO25" s="96"/>
      <c r="AP25" s="96"/>
      <c r="AQ25" s="95"/>
      <c r="AR25" s="98"/>
      <c r="AS25" s="96"/>
      <c r="AT25" s="96"/>
      <c r="AU25" s="95"/>
      <c r="AV25" s="98"/>
      <c r="AW25" s="96"/>
      <c r="AX25" s="96"/>
      <c r="AY25" s="95"/>
      <c r="AZ25" s="98"/>
      <c r="BA25" s="99"/>
      <c r="BB25" s="95"/>
      <c r="BC25" s="96"/>
      <c r="BD25" s="96"/>
      <c r="BE25" s="98"/>
      <c r="BF25" s="95"/>
      <c r="BG25" s="96"/>
      <c r="BH25" s="96"/>
      <c r="BI25" s="98"/>
    </row>
    <row r="26" spans="1:61" ht="12" customHeight="1">
      <c r="A26" s="254">
        <f t="array" ref="A26">_xll.AC(DB,_xll.ArrayDPT($AA26:$AE26),_xll.ArrayCOA($AG26:$AZ26),YR-1,PRD,_xll.ArrayDIM($BB26:$BE26))</f>
        <v>254484.17</v>
      </c>
      <c r="B26" s="254">
        <f t="shared" ref="B26:B67" si="20">IF(A26=0,0,(A26*100/A$14))</f>
        <v>3.5103592268381725</v>
      </c>
      <c r="C26" s="254">
        <f t="shared" ref="C26:C67" si="21">+E26-G26</f>
        <v>-608078.65</v>
      </c>
      <c r="D26" s="254">
        <f t="shared" ref="D26:D67" si="22">IF(C26=0,0,(C26*100/C$14))</f>
        <v>7.6759861451222564</v>
      </c>
      <c r="E26" s="254">
        <f t="array" ref="E26">_xll.BC(DB,_xll.ArrayDPT($AA26:$AE26),_xll.ArrayCOA($AG26:$AZ26),YR,PRD,RV,_xll.ArrayDIM($BB26:$BE26))</f>
        <v>0</v>
      </c>
      <c r="F26" s="254">
        <f t="shared" ref="F26:F67" si="23">IF(E26=0,0,(E26*100/E$14))</f>
        <v>0</v>
      </c>
      <c r="G26" s="254">
        <f t="array" ref="G26">_xll.AC(DB,_xll.ArrayDPT($AA26:$AE26),_xll.ArrayCOA($AG26:$AZ26),YR,PRD,_xll.ArrayDIM($BB26:$BE26))</f>
        <v>608078.65</v>
      </c>
      <c r="H26" s="254">
        <f t="shared" ref="H26:H67" si="24">IF(G26=0,0,(G26*100/G$14))</f>
        <v>7.6759861451222564</v>
      </c>
      <c r="I26" s="254"/>
      <c r="J26" s="328" t="s">
        <v>654</v>
      </c>
      <c r="K26" s="254"/>
      <c r="L26" s="254">
        <f t="array" ref="L26">_xll.ACC(DB,_xll.ArrayDPT($AA26:$AE26),_xll.ArrayCOA($AG26:$AZ26),YR,PRD,_xll.ArrayDIM($BB26:$BE26))</f>
        <v>608078.65</v>
      </c>
      <c r="M26" s="237">
        <f t="shared" ref="M26:M67" si="25">IF(L26=0,0,(L26*100/L$14))</f>
        <v>7.6759861451222564</v>
      </c>
      <c r="N26" s="254">
        <f t="array" ref="N26">_xll.BCC(DB,_xll.ArrayDPT($AA26:$AE26),_xll.ArrayCOA($AG26:$AZ26),YR,PRD,RV,_xll.ArrayDIM($BB26:$BE26))</f>
        <v>0</v>
      </c>
      <c r="O26" s="237">
        <f t="shared" ref="O26:O67" si="26">IF(N26=0,0,(N26*100/N$14))</f>
        <v>0</v>
      </c>
      <c r="P26" s="237">
        <f t="shared" ref="P26:P67" si="27">+N26-L26</f>
        <v>-608078.65</v>
      </c>
      <c r="Q26" s="237">
        <f t="shared" ref="Q26:Q67" si="28">IF(P26=0,0,(P26*100/P$14))</f>
        <v>7.6759861451222564</v>
      </c>
      <c r="R26" s="254">
        <f t="array" ref="R26">_xll.ACC(DB,_xll.ArrayDPT($AA26:$AE26),_xll.ArrayCOA($AG26:$AZ26),YR-1,PRD,_xll.ArrayDIM($BB26:$BE26))</f>
        <v>254484.17</v>
      </c>
      <c r="S26" s="237">
        <f t="shared" ref="S26:S65" si="29">IF(R26=0,0,(R26*100/R$14))</f>
        <v>3.5103592268381725</v>
      </c>
      <c r="T26" s="328"/>
      <c r="U26" s="328"/>
      <c r="V26" s="328"/>
      <c r="W26" s="328"/>
      <c r="X26" s="328"/>
      <c r="Y26" s="328"/>
      <c r="Z26" s="328"/>
      <c r="AA26" s="95" t="s">
        <v>640</v>
      </c>
      <c r="AB26" s="96"/>
      <c r="AC26" s="96"/>
      <c r="AD26" s="96"/>
      <c r="AE26" s="96"/>
      <c r="AF26" s="97"/>
      <c r="AG26" s="95" t="s">
        <v>655</v>
      </c>
      <c r="AH26" s="96" t="s">
        <v>655</v>
      </c>
      <c r="AI26" s="95"/>
      <c r="AJ26" s="96"/>
      <c r="AK26" s="95"/>
      <c r="AL26" s="96"/>
      <c r="AM26" s="95"/>
      <c r="AN26" s="98"/>
      <c r="AO26" s="96"/>
      <c r="AP26" s="96"/>
      <c r="AQ26" s="95"/>
      <c r="AR26" s="98"/>
      <c r="AS26" s="96"/>
      <c r="AT26" s="96"/>
      <c r="AU26" s="95"/>
      <c r="AV26" s="98"/>
      <c r="AW26" s="96"/>
      <c r="AX26" s="96"/>
      <c r="AY26" s="95"/>
      <c r="AZ26" s="98"/>
      <c r="BA26" s="99"/>
      <c r="BB26" s="95"/>
      <c r="BC26" s="96"/>
      <c r="BD26" s="96"/>
      <c r="BE26" s="98"/>
      <c r="BF26" s="95"/>
      <c r="BG26" s="96"/>
      <c r="BH26" s="96"/>
      <c r="BI26" s="98"/>
    </row>
    <row r="27" spans="1:61" ht="12" customHeight="1">
      <c r="A27" s="254">
        <f t="array" ref="A27">_xll.AC(DB,_xll.ArrayDPT($AA27:$AE27),_xll.ArrayCOA($AG27:$AZ27),YR-1,PRD,_xll.ArrayDIM($BB27:$BE27))</f>
        <v>269564.86</v>
      </c>
      <c r="B27" s="254">
        <f t="shared" si="20"/>
        <v>3.7183825364553726</v>
      </c>
      <c r="C27" s="254">
        <f t="shared" si="21"/>
        <v>-165220.04999999999</v>
      </c>
      <c r="D27" s="254">
        <f t="shared" si="22"/>
        <v>2.0856295722541915</v>
      </c>
      <c r="E27" s="254">
        <f t="array" ref="E27">_xll.BC(DB,_xll.ArrayDPT($AA27:$AE27),_xll.ArrayCOA($AG27:$AZ27),YR,PRD,RV,_xll.ArrayDIM($BB27:$BE27))</f>
        <v>0</v>
      </c>
      <c r="F27" s="254">
        <f t="shared" si="23"/>
        <v>0</v>
      </c>
      <c r="G27" s="254">
        <f t="array" ref="G27">_xll.AC(DB,_xll.ArrayDPT($AA27:$AE27),_xll.ArrayCOA($AG27:$AZ27),YR,PRD,_xll.ArrayDIM($BB27:$BE27))</f>
        <v>165220.04999999999</v>
      </c>
      <c r="H27" s="254">
        <f t="shared" si="24"/>
        <v>2.0856295722541915</v>
      </c>
      <c r="I27" s="254"/>
      <c r="J27" s="328" t="s">
        <v>658</v>
      </c>
      <c r="K27" s="254"/>
      <c r="L27" s="254">
        <f t="array" ref="L27">_xll.ACC(DB,_xll.ArrayDPT($AA27:$AE27),_xll.ArrayCOA($AG27:$AZ27),YR,PRD,_xll.ArrayDIM($BB27:$BE27))</f>
        <v>165220.04999999999</v>
      </c>
      <c r="M27" s="237">
        <f t="shared" si="25"/>
        <v>2.0856295722541915</v>
      </c>
      <c r="N27" s="254">
        <f t="array" ref="N27">_xll.BCC(DB,_xll.ArrayDPT($AA27:$AE27),_xll.ArrayCOA($AG27:$AZ27),YR,PRD,RV,_xll.ArrayDIM($BB27:$BE27))</f>
        <v>0</v>
      </c>
      <c r="O27" s="237">
        <f t="shared" si="26"/>
        <v>0</v>
      </c>
      <c r="P27" s="237">
        <f t="shared" si="27"/>
        <v>-165220.04999999999</v>
      </c>
      <c r="Q27" s="237">
        <f t="shared" si="28"/>
        <v>2.0856295722541915</v>
      </c>
      <c r="R27" s="254">
        <f t="array" ref="R27">_xll.ACC(DB,_xll.ArrayDPT($AA27:$AE27),_xll.ArrayCOA($AG27:$AZ27),YR-1,PRD,_xll.ArrayDIM($BB27:$BE27))</f>
        <v>269564.86</v>
      </c>
      <c r="S27" s="237">
        <f t="shared" si="29"/>
        <v>3.7183825364553726</v>
      </c>
      <c r="T27" s="328"/>
      <c r="U27" s="328"/>
      <c r="V27" s="328"/>
      <c r="W27" s="328"/>
      <c r="X27" s="328"/>
      <c r="Y27" s="328"/>
      <c r="Z27" s="328"/>
      <c r="AA27" s="95" t="s">
        <v>640</v>
      </c>
      <c r="AB27" s="96"/>
      <c r="AC27" s="96"/>
      <c r="AD27" s="96"/>
      <c r="AE27" s="96"/>
      <c r="AF27" s="97"/>
      <c r="AG27" s="95" t="s">
        <v>659</v>
      </c>
      <c r="AH27" s="96" t="s">
        <v>659</v>
      </c>
      <c r="AI27" s="95"/>
      <c r="AJ27" s="96"/>
      <c r="AK27" s="95"/>
      <c r="AL27" s="96"/>
      <c r="AM27" s="95"/>
      <c r="AN27" s="98"/>
      <c r="AO27" s="96"/>
      <c r="AP27" s="96"/>
      <c r="AQ27" s="95"/>
      <c r="AR27" s="98"/>
      <c r="AS27" s="96"/>
      <c r="AT27" s="96"/>
      <c r="AU27" s="95"/>
      <c r="AV27" s="98"/>
      <c r="AW27" s="96"/>
      <c r="AX27" s="96"/>
      <c r="AY27" s="95"/>
      <c r="AZ27" s="98"/>
      <c r="BA27" s="99"/>
      <c r="BB27" s="95"/>
      <c r="BC27" s="96"/>
      <c r="BD27" s="96"/>
      <c r="BE27" s="98"/>
      <c r="BF27" s="95"/>
      <c r="BG27" s="96"/>
      <c r="BH27" s="96"/>
      <c r="BI27" s="98"/>
    </row>
    <row r="28" spans="1:61" ht="12" customHeight="1">
      <c r="A28" s="254">
        <f t="array" ref="A28">_xll.AC(DB,_xll.ArrayDPT($AA28:$AE28),_xll.ArrayCOA($AG28:$AZ28),YR-1,PRD,_xll.ArrayDIM($BB28:$BE28))</f>
        <v>0</v>
      </c>
      <c r="B28" s="254">
        <f t="shared" si="20"/>
        <v>0</v>
      </c>
      <c r="C28" s="254">
        <f t="shared" si="21"/>
        <v>0</v>
      </c>
      <c r="D28" s="254">
        <f t="shared" si="22"/>
        <v>0</v>
      </c>
      <c r="E28" s="254">
        <f t="array" ref="E28">_xll.BC(DB,_xll.ArrayDPT($AA28:$AE28),_xll.ArrayCOA($AG28:$AZ28),YR,PRD,RV,_xll.ArrayDIM($BB28:$BE28))</f>
        <v>0</v>
      </c>
      <c r="F28" s="254">
        <f t="shared" si="23"/>
        <v>0</v>
      </c>
      <c r="G28" s="254">
        <f t="array" ref="G28">_xll.AC(DB,_xll.ArrayDPT($AA28:$AE28),_xll.ArrayCOA($AG28:$AZ28),YR,PRD,_xll.ArrayDIM($BB28:$BE28))</f>
        <v>0</v>
      </c>
      <c r="H28" s="254">
        <f t="shared" si="24"/>
        <v>0</v>
      </c>
      <c r="I28" s="254"/>
      <c r="J28" s="328" t="s">
        <v>660</v>
      </c>
      <c r="K28" s="254"/>
      <c r="L28" s="254">
        <f t="array" ref="L28">_xll.ACC(DB,_xll.ArrayDPT($AA28:$AE28),_xll.ArrayCOA($AG28:$AZ28),YR,PRD,_xll.ArrayDIM($BB28:$BE28))</f>
        <v>0</v>
      </c>
      <c r="M28" s="237">
        <f t="shared" si="25"/>
        <v>0</v>
      </c>
      <c r="N28" s="254">
        <f t="array" ref="N28">_xll.BCC(DB,_xll.ArrayDPT($AA28:$AE28),_xll.ArrayCOA($AG28:$AZ28),YR,PRD,RV,_xll.ArrayDIM($BB28:$BE28))</f>
        <v>0</v>
      </c>
      <c r="O28" s="237">
        <f t="shared" si="26"/>
        <v>0</v>
      </c>
      <c r="P28" s="237">
        <f t="shared" si="27"/>
        <v>0</v>
      </c>
      <c r="Q28" s="237">
        <f t="shared" si="28"/>
        <v>0</v>
      </c>
      <c r="R28" s="254">
        <f t="array" ref="R28">_xll.ACC(DB,_xll.ArrayDPT($AA28:$AE28),_xll.ArrayCOA($AG28:$AZ28),YR-1,PRD,_xll.ArrayDIM($BB28:$BE28))</f>
        <v>0</v>
      </c>
      <c r="S28" s="237">
        <f t="shared" si="29"/>
        <v>0</v>
      </c>
      <c r="T28" s="328"/>
      <c r="U28" s="328"/>
      <c r="V28" s="328"/>
      <c r="W28" s="328"/>
      <c r="X28" s="328"/>
      <c r="Y28" s="328"/>
      <c r="Z28" s="328"/>
      <c r="AA28" s="95" t="s">
        <v>640</v>
      </c>
      <c r="AB28" s="96"/>
      <c r="AC28" s="96"/>
      <c r="AD28" s="96"/>
      <c r="AE28" s="96"/>
      <c r="AF28" s="97"/>
      <c r="AG28" s="95" t="s">
        <v>580</v>
      </c>
      <c r="AH28" s="96" t="s">
        <v>580</v>
      </c>
      <c r="AI28" s="95"/>
      <c r="AJ28" s="96"/>
      <c r="AK28" s="95"/>
      <c r="AL28" s="96"/>
      <c r="AM28" s="95"/>
      <c r="AN28" s="98"/>
      <c r="AO28" s="96"/>
      <c r="AP28" s="96"/>
      <c r="AQ28" s="95"/>
      <c r="AR28" s="98"/>
      <c r="AS28" s="96"/>
      <c r="AT28" s="96"/>
      <c r="AU28" s="95"/>
      <c r="AV28" s="98"/>
      <c r="AW28" s="96"/>
      <c r="AX28" s="96"/>
      <c r="AY28" s="95"/>
      <c r="AZ28" s="98"/>
      <c r="BA28" s="99"/>
      <c r="BB28" s="95"/>
      <c r="BC28" s="96"/>
      <c r="BD28" s="96"/>
      <c r="BE28" s="98"/>
      <c r="BF28" s="95"/>
      <c r="BG28" s="96"/>
      <c r="BH28" s="96"/>
      <c r="BI28" s="98"/>
    </row>
    <row r="29" spans="1:61" ht="12" customHeight="1">
      <c r="A29" s="254">
        <f t="array" ref="A29">_xll.AC(DB,_xll.ArrayDPT($AA29:$AE29),_xll.ArrayCOA($AG29:$AZ29),YR-1,PRD,_xll.ArrayDIM($BB29:$BE29))</f>
        <v>0</v>
      </c>
      <c r="B29" s="254">
        <f t="shared" si="20"/>
        <v>0</v>
      </c>
      <c r="C29" s="254">
        <f t="shared" si="21"/>
        <v>0</v>
      </c>
      <c r="D29" s="254">
        <f t="shared" si="22"/>
        <v>0</v>
      </c>
      <c r="E29" s="254">
        <f t="array" ref="E29">_xll.BC(DB,_xll.ArrayDPT($AA29:$AE29),_xll.ArrayCOA($AG29:$AZ29),YR,PRD,RV,_xll.ArrayDIM($BB29:$BE29))</f>
        <v>0</v>
      </c>
      <c r="F29" s="254">
        <f t="shared" si="23"/>
        <v>0</v>
      </c>
      <c r="G29" s="254">
        <f t="array" ref="G29">_xll.AC(DB,_xll.ArrayDPT($AA29:$AE29),_xll.ArrayCOA($AG29:$AZ29),YR,PRD,_xll.ArrayDIM($BB29:$BE29))</f>
        <v>0</v>
      </c>
      <c r="H29" s="254">
        <f t="shared" si="24"/>
        <v>0</v>
      </c>
      <c r="I29" s="254"/>
      <c r="J29" s="328" t="s">
        <v>661</v>
      </c>
      <c r="K29" s="254"/>
      <c r="L29" s="254">
        <f t="array" ref="L29">_xll.ACC(DB,_xll.ArrayDPT($AA29:$AE29),_xll.ArrayCOA($AG29:$AZ29),YR,PRD,_xll.ArrayDIM($BB29:$BE29))</f>
        <v>0</v>
      </c>
      <c r="M29" s="237">
        <f t="shared" si="25"/>
        <v>0</v>
      </c>
      <c r="N29" s="254">
        <f t="array" ref="N29">_xll.BCC(DB,_xll.ArrayDPT($AA29:$AE29),_xll.ArrayCOA($AG29:$AZ29),YR,PRD,RV,_xll.ArrayDIM($BB29:$BE29))</f>
        <v>0</v>
      </c>
      <c r="O29" s="237">
        <f t="shared" si="26"/>
        <v>0</v>
      </c>
      <c r="P29" s="237">
        <f t="shared" si="27"/>
        <v>0</v>
      </c>
      <c r="Q29" s="237">
        <f t="shared" si="28"/>
        <v>0</v>
      </c>
      <c r="R29" s="254">
        <f t="array" ref="R29">_xll.ACC(DB,_xll.ArrayDPT($AA29:$AE29),_xll.ArrayCOA($AG29:$AZ29),YR-1,PRD,_xll.ArrayDIM($BB29:$BE29))</f>
        <v>0</v>
      </c>
      <c r="S29" s="237">
        <f t="shared" si="29"/>
        <v>0</v>
      </c>
      <c r="T29" s="328"/>
      <c r="U29" s="328"/>
      <c r="V29" s="328"/>
      <c r="W29" s="328"/>
      <c r="X29" s="328"/>
      <c r="Y29" s="328"/>
      <c r="Z29" s="328"/>
      <c r="AA29" s="95" t="s">
        <v>640</v>
      </c>
      <c r="AB29" s="96"/>
      <c r="AC29" s="96"/>
      <c r="AD29" s="96"/>
      <c r="AE29" s="96"/>
      <c r="AF29" s="97"/>
      <c r="AG29" s="95" t="s">
        <v>662</v>
      </c>
      <c r="AH29" s="96" t="s">
        <v>662</v>
      </c>
      <c r="AI29" s="95"/>
      <c r="AJ29" s="96"/>
      <c r="AK29" s="95"/>
      <c r="AL29" s="96"/>
      <c r="AM29" s="95"/>
      <c r="AN29" s="98"/>
      <c r="AO29" s="96"/>
      <c r="AP29" s="96"/>
      <c r="AQ29" s="95"/>
      <c r="AR29" s="98"/>
      <c r="AS29" s="96"/>
      <c r="AT29" s="96"/>
      <c r="AU29" s="95"/>
      <c r="AV29" s="98"/>
      <c r="AW29" s="96"/>
      <c r="AX29" s="96"/>
      <c r="AY29" s="95"/>
      <c r="AZ29" s="98"/>
      <c r="BA29" s="99"/>
      <c r="BB29" s="95"/>
      <c r="BC29" s="96"/>
      <c r="BD29" s="96"/>
      <c r="BE29" s="98"/>
      <c r="BF29" s="95"/>
      <c r="BG29" s="96"/>
      <c r="BH29" s="96"/>
      <c r="BI29" s="98"/>
    </row>
    <row r="30" spans="1:61" ht="12" customHeight="1">
      <c r="A30" s="254">
        <f t="array" ref="A30">_xll.AC(DB,_xll.ArrayDPT($AA30:$AE30),_xll.ArrayCOA($AG30:$AZ30),YR-1,PRD,_xll.ArrayDIM($BB30:$BE30))</f>
        <v>0</v>
      </c>
      <c r="B30" s="254">
        <f t="shared" si="20"/>
        <v>0</v>
      </c>
      <c r="C30" s="254">
        <f t="shared" si="21"/>
        <v>0</v>
      </c>
      <c r="D30" s="254">
        <f t="shared" si="22"/>
        <v>0</v>
      </c>
      <c r="E30" s="254">
        <f t="array" ref="E30">_xll.BC(DB,_xll.ArrayDPT($AA30:$AE30),_xll.ArrayCOA($AG30:$AZ30),YR,PRD,RV,_xll.ArrayDIM($BB30:$BE30))</f>
        <v>0</v>
      </c>
      <c r="F30" s="254">
        <f t="shared" si="23"/>
        <v>0</v>
      </c>
      <c r="G30" s="254">
        <f t="array" ref="G30">_xll.AC(DB,_xll.ArrayDPT($AA30:$AE30),_xll.ArrayCOA($AG30:$AZ30),YR,PRD,_xll.ArrayDIM($BB30:$BE30))</f>
        <v>0</v>
      </c>
      <c r="H30" s="254">
        <f t="shared" si="24"/>
        <v>0</v>
      </c>
      <c r="I30" s="254"/>
      <c r="J30" s="328" t="s">
        <v>663</v>
      </c>
      <c r="K30" s="254"/>
      <c r="L30" s="254">
        <f t="array" ref="L30">_xll.ACC(DB,_xll.ArrayDPT($AA30:$AE30),_xll.ArrayCOA($AG30:$AZ30),YR,PRD,_xll.ArrayDIM($BB30:$BE30))</f>
        <v>0</v>
      </c>
      <c r="M30" s="237">
        <f t="shared" si="25"/>
        <v>0</v>
      </c>
      <c r="N30" s="254">
        <f t="array" ref="N30">_xll.BCC(DB,_xll.ArrayDPT($AA30:$AE30),_xll.ArrayCOA($AG30:$AZ30),YR,PRD,RV,_xll.ArrayDIM($BB30:$BE30))</f>
        <v>0</v>
      </c>
      <c r="O30" s="237">
        <f t="shared" si="26"/>
        <v>0</v>
      </c>
      <c r="P30" s="237">
        <f t="shared" si="27"/>
        <v>0</v>
      </c>
      <c r="Q30" s="237">
        <f t="shared" si="28"/>
        <v>0</v>
      </c>
      <c r="R30" s="254">
        <f t="array" ref="R30">_xll.ACC(DB,_xll.ArrayDPT($AA30:$AE30),_xll.ArrayCOA($AG30:$AZ30),YR-1,PRD,_xll.ArrayDIM($BB30:$BE30))</f>
        <v>0</v>
      </c>
      <c r="S30" s="237">
        <f t="shared" si="29"/>
        <v>0</v>
      </c>
      <c r="T30" s="328"/>
      <c r="U30" s="328"/>
      <c r="V30" s="328"/>
      <c r="W30" s="328"/>
      <c r="X30" s="328"/>
      <c r="Y30" s="328"/>
      <c r="Z30" s="328"/>
      <c r="AA30" s="95" t="s">
        <v>640</v>
      </c>
      <c r="AB30" s="96"/>
      <c r="AC30" s="96"/>
      <c r="AD30" s="96"/>
      <c r="AE30" s="96"/>
      <c r="AF30" s="97"/>
      <c r="AG30" s="95" t="s">
        <v>664</v>
      </c>
      <c r="AH30" s="96" t="s">
        <v>664</v>
      </c>
      <c r="AI30" s="95"/>
      <c r="AJ30" s="96"/>
      <c r="AK30" s="95"/>
      <c r="AL30" s="96"/>
      <c r="AM30" s="95"/>
      <c r="AN30" s="98"/>
      <c r="AO30" s="96"/>
      <c r="AP30" s="96"/>
      <c r="AQ30" s="95"/>
      <c r="AR30" s="98"/>
      <c r="AS30" s="96"/>
      <c r="AT30" s="96"/>
      <c r="AU30" s="95"/>
      <c r="AV30" s="98"/>
      <c r="AW30" s="96"/>
      <c r="AX30" s="96"/>
      <c r="AY30" s="95"/>
      <c r="AZ30" s="98"/>
      <c r="BA30" s="99"/>
      <c r="BB30" s="95"/>
      <c r="BC30" s="96"/>
      <c r="BD30" s="96"/>
      <c r="BE30" s="98"/>
      <c r="BF30" s="95"/>
      <c r="BG30" s="96"/>
      <c r="BH30" s="96"/>
      <c r="BI30" s="98"/>
    </row>
    <row r="31" spans="1:61" ht="12" customHeight="1">
      <c r="A31" s="254">
        <f t="array" ref="A31">_xll.AC(DB,_xll.ArrayDPT($AA31:$AE31),_xll.ArrayCOA($AG31:$AZ31),YR-1,PRD,_xll.ArrayDIM($BB31:$BE31))</f>
        <v>0</v>
      </c>
      <c r="B31" s="254">
        <f t="shared" si="20"/>
        <v>0</v>
      </c>
      <c r="C31" s="254">
        <f t="shared" si="21"/>
        <v>0</v>
      </c>
      <c r="D31" s="254">
        <f t="shared" si="22"/>
        <v>0</v>
      </c>
      <c r="E31" s="254">
        <f t="array" ref="E31">_xll.BC(DB,_xll.ArrayDPT($AA31:$AE31),_xll.ArrayCOA($AG31:$AZ31),YR,PRD,RV,_xll.ArrayDIM($BB31:$BE31))</f>
        <v>0</v>
      </c>
      <c r="F31" s="254">
        <f t="shared" si="23"/>
        <v>0</v>
      </c>
      <c r="G31" s="254">
        <f t="array" ref="G31">_xll.AC(DB,_xll.ArrayDPT($AA31:$AE31),_xll.ArrayCOA($AG31:$AZ31),YR,PRD,_xll.ArrayDIM($BB31:$BE31))</f>
        <v>0</v>
      </c>
      <c r="H31" s="254">
        <f t="shared" si="24"/>
        <v>0</v>
      </c>
      <c r="I31" s="254"/>
      <c r="J31" s="328" t="s">
        <v>665</v>
      </c>
      <c r="K31" s="254"/>
      <c r="L31" s="254">
        <f t="array" ref="L31">_xll.ACC(DB,_xll.ArrayDPT($AA31:$AE31),_xll.ArrayCOA($AG31:$AZ31),YR,PRD,_xll.ArrayDIM($BB31:$BE31))</f>
        <v>0</v>
      </c>
      <c r="M31" s="237">
        <f t="shared" si="25"/>
        <v>0</v>
      </c>
      <c r="N31" s="254">
        <f t="array" ref="N31">_xll.BCC(DB,_xll.ArrayDPT($AA31:$AE31),_xll.ArrayCOA($AG31:$AZ31),YR,PRD,RV,_xll.ArrayDIM($BB31:$BE31))</f>
        <v>0</v>
      </c>
      <c r="O31" s="237">
        <f t="shared" si="26"/>
        <v>0</v>
      </c>
      <c r="P31" s="237">
        <f t="shared" si="27"/>
        <v>0</v>
      </c>
      <c r="Q31" s="237">
        <f t="shared" si="28"/>
        <v>0</v>
      </c>
      <c r="R31" s="254">
        <f t="array" ref="R31">_xll.ACC(DB,_xll.ArrayDPT($AA31:$AE31),_xll.ArrayCOA($AG31:$AZ31),YR-1,PRD,_xll.ArrayDIM($BB31:$BE31))</f>
        <v>0</v>
      </c>
      <c r="S31" s="237">
        <f t="shared" si="29"/>
        <v>0</v>
      </c>
      <c r="T31" s="328"/>
      <c r="U31" s="328"/>
      <c r="V31" s="328"/>
      <c r="W31" s="328"/>
      <c r="X31" s="328"/>
      <c r="Y31" s="328"/>
      <c r="Z31" s="328"/>
      <c r="AA31" s="95" t="s">
        <v>640</v>
      </c>
      <c r="AB31" s="96"/>
      <c r="AC31" s="96"/>
      <c r="AD31" s="96"/>
      <c r="AE31" s="96"/>
      <c r="AF31" s="97"/>
      <c r="AG31" s="95" t="s">
        <v>666</v>
      </c>
      <c r="AH31" s="96" t="s">
        <v>666</v>
      </c>
      <c r="AI31" s="95"/>
      <c r="AJ31" s="96"/>
      <c r="AK31" s="95"/>
      <c r="AL31" s="96"/>
      <c r="AM31" s="95"/>
      <c r="AN31" s="98"/>
      <c r="AO31" s="96"/>
      <c r="AP31" s="96"/>
      <c r="AQ31" s="95"/>
      <c r="AR31" s="98"/>
      <c r="AS31" s="96"/>
      <c r="AT31" s="96"/>
      <c r="AU31" s="95"/>
      <c r="AV31" s="98"/>
      <c r="AW31" s="96"/>
      <c r="AX31" s="96"/>
      <c r="AY31" s="95"/>
      <c r="AZ31" s="98"/>
      <c r="BA31" s="99"/>
      <c r="BB31" s="95"/>
      <c r="BC31" s="96"/>
      <c r="BD31" s="96"/>
      <c r="BE31" s="98"/>
      <c r="BF31" s="95"/>
      <c r="BG31" s="96"/>
      <c r="BH31" s="96"/>
      <c r="BI31" s="98"/>
    </row>
    <row r="32" spans="1:61" ht="12" customHeight="1">
      <c r="A32" s="254">
        <f t="array" ref="A32">_xll.AC(DB,_xll.ArrayDPT($AA32:$AE32),_xll.ArrayCOA($AG32:$AZ32),YR-1,PRD,_xll.ArrayDIM($BB32:$BE32))</f>
        <v>0</v>
      </c>
      <c r="B32" s="254">
        <f t="shared" si="20"/>
        <v>0</v>
      </c>
      <c r="C32" s="254">
        <f t="shared" si="21"/>
        <v>0</v>
      </c>
      <c r="D32" s="254">
        <f t="shared" si="22"/>
        <v>0</v>
      </c>
      <c r="E32" s="254">
        <f t="array" ref="E32">_xll.BC(DB,_xll.ArrayDPT($AA32:$AE32),_xll.ArrayCOA($AG32:$AZ32),YR,PRD,RV,_xll.ArrayDIM($BB32:$BE32))</f>
        <v>0</v>
      </c>
      <c r="F32" s="254">
        <f t="shared" si="23"/>
        <v>0</v>
      </c>
      <c r="G32" s="254">
        <f t="array" ref="G32">_xll.AC(DB,_xll.ArrayDPT($AA32:$AE32),_xll.ArrayCOA($AG32:$AZ32),YR,PRD,_xll.ArrayDIM($BB32:$BE32))</f>
        <v>0</v>
      </c>
      <c r="H32" s="254">
        <f t="shared" si="24"/>
        <v>0</v>
      </c>
      <c r="I32" s="254"/>
      <c r="J32" s="328" t="s">
        <v>667</v>
      </c>
      <c r="K32" s="254"/>
      <c r="L32" s="254">
        <f t="array" ref="L32">_xll.ACC(DB,_xll.ArrayDPT($AA32:$AE32),_xll.ArrayCOA($AG32:$AZ32),YR,PRD,_xll.ArrayDIM($BB32:$BE32))</f>
        <v>0</v>
      </c>
      <c r="M32" s="237">
        <f t="shared" si="25"/>
        <v>0</v>
      </c>
      <c r="N32" s="254">
        <f t="array" ref="N32">_xll.BCC(DB,_xll.ArrayDPT($AA32:$AE32),_xll.ArrayCOA($AG32:$AZ32),YR,PRD,RV,_xll.ArrayDIM($BB32:$BE32))</f>
        <v>0</v>
      </c>
      <c r="O32" s="237">
        <f t="shared" si="26"/>
        <v>0</v>
      </c>
      <c r="P32" s="237">
        <f t="shared" si="27"/>
        <v>0</v>
      </c>
      <c r="Q32" s="237">
        <f t="shared" si="28"/>
        <v>0</v>
      </c>
      <c r="R32" s="254">
        <f t="array" ref="R32">_xll.ACC(DB,_xll.ArrayDPT($AA32:$AE32),_xll.ArrayCOA($AG32:$AZ32),YR-1,PRD,_xll.ArrayDIM($BB32:$BE32))</f>
        <v>0</v>
      </c>
      <c r="S32" s="237">
        <f t="shared" si="29"/>
        <v>0</v>
      </c>
      <c r="T32" s="328"/>
      <c r="U32" s="328"/>
      <c r="V32" s="328"/>
      <c r="W32" s="328"/>
      <c r="X32" s="328"/>
      <c r="Y32" s="328"/>
      <c r="Z32" s="328"/>
      <c r="AA32" s="95" t="s">
        <v>640</v>
      </c>
      <c r="AB32" s="96"/>
      <c r="AC32" s="96"/>
      <c r="AD32" s="96"/>
      <c r="AE32" s="96"/>
      <c r="AF32" s="97"/>
      <c r="AG32" s="95" t="s">
        <v>668</v>
      </c>
      <c r="AH32" s="96" t="s">
        <v>668</v>
      </c>
      <c r="AI32" s="95"/>
      <c r="AJ32" s="96"/>
      <c r="AK32" s="95"/>
      <c r="AL32" s="96"/>
      <c r="AM32" s="95"/>
      <c r="AN32" s="98"/>
      <c r="AO32" s="96"/>
      <c r="AP32" s="96"/>
      <c r="AQ32" s="95"/>
      <c r="AR32" s="98"/>
      <c r="AS32" s="96"/>
      <c r="AT32" s="96"/>
      <c r="AU32" s="95"/>
      <c r="AV32" s="98"/>
      <c r="AW32" s="96"/>
      <c r="AX32" s="96"/>
      <c r="AY32" s="95"/>
      <c r="AZ32" s="98"/>
      <c r="BA32" s="99"/>
      <c r="BB32" s="95"/>
      <c r="BC32" s="96"/>
      <c r="BD32" s="96"/>
      <c r="BE32" s="98"/>
      <c r="BF32" s="95"/>
      <c r="BG32" s="96"/>
      <c r="BH32" s="96"/>
      <c r="BI32" s="98"/>
    </row>
    <row r="33" spans="1:61" ht="12" customHeight="1">
      <c r="A33" s="254">
        <f t="array" ref="A33">_xll.AC(DB,_xll.ArrayDPT($AA33:$AE33),_xll.ArrayCOA($AG33:$AZ33),YR-1,PRD,_xll.ArrayDIM($BB33:$BE33))</f>
        <v>0</v>
      </c>
      <c r="B33" s="254">
        <f t="shared" si="20"/>
        <v>0</v>
      </c>
      <c r="C33" s="254">
        <f t="shared" si="21"/>
        <v>0</v>
      </c>
      <c r="D33" s="254">
        <f t="shared" si="22"/>
        <v>0</v>
      </c>
      <c r="E33" s="254">
        <f t="array" ref="E33">_xll.BC(DB,_xll.ArrayDPT($AA33:$AE33),_xll.ArrayCOA($AG33:$AZ33),YR,PRD,RV,_xll.ArrayDIM($BB33:$BE33))</f>
        <v>0</v>
      </c>
      <c r="F33" s="254">
        <f t="shared" si="23"/>
        <v>0</v>
      </c>
      <c r="G33" s="254">
        <f t="array" ref="G33">_xll.AC(DB,_xll.ArrayDPT($AA33:$AE33),_xll.ArrayCOA($AG33:$AZ33),YR,PRD,_xll.ArrayDIM($BB33:$BE33))</f>
        <v>0</v>
      </c>
      <c r="H33" s="254">
        <f t="shared" si="24"/>
        <v>0</v>
      </c>
      <c r="I33" s="254"/>
      <c r="J33" s="328" t="s">
        <v>669</v>
      </c>
      <c r="K33" s="254"/>
      <c r="L33" s="254">
        <f t="array" ref="L33">_xll.ACC(DB,_xll.ArrayDPT($AA33:$AE33),_xll.ArrayCOA($AG33:$AZ33),YR,PRD,_xll.ArrayDIM($BB33:$BE33))</f>
        <v>0</v>
      </c>
      <c r="M33" s="237">
        <f t="shared" si="25"/>
        <v>0</v>
      </c>
      <c r="N33" s="254">
        <f t="array" ref="N33">_xll.BCC(DB,_xll.ArrayDPT($AA33:$AE33),_xll.ArrayCOA($AG33:$AZ33),YR,PRD,RV,_xll.ArrayDIM($BB33:$BE33))</f>
        <v>0</v>
      </c>
      <c r="O33" s="237">
        <f t="shared" si="26"/>
        <v>0</v>
      </c>
      <c r="P33" s="237">
        <f t="shared" si="27"/>
        <v>0</v>
      </c>
      <c r="Q33" s="237">
        <f t="shared" si="28"/>
        <v>0</v>
      </c>
      <c r="R33" s="254">
        <f t="array" ref="R33">_xll.ACC(DB,_xll.ArrayDPT($AA33:$AE33),_xll.ArrayCOA($AG33:$AZ33),YR-1,PRD,_xll.ArrayDIM($BB33:$BE33))</f>
        <v>0</v>
      </c>
      <c r="S33" s="237">
        <f t="shared" si="29"/>
        <v>0</v>
      </c>
      <c r="T33" s="328"/>
      <c r="U33" s="328"/>
      <c r="V33" s="328"/>
      <c r="W33" s="328"/>
      <c r="X33" s="328"/>
      <c r="Y33" s="328"/>
      <c r="Z33" s="328"/>
      <c r="AA33" s="95"/>
      <c r="AB33" s="96"/>
      <c r="AC33" s="96"/>
      <c r="AD33" s="96"/>
      <c r="AE33" s="96"/>
      <c r="AF33" s="97"/>
      <c r="AG33" s="95"/>
      <c r="AH33" s="96"/>
      <c r="AI33" s="95"/>
      <c r="AJ33" s="96"/>
      <c r="AK33" s="95"/>
      <c r="AL33" s="96"/>
      <c r="AM33" s="95"/>
      <c r="AN33" s="98"/>
      <c r="AO33" s="96"/>
      <c r="AP33" s="96"/>
      <c r="AQ33" s="95"/>
      <c r="AR33" s="98"/>
      <c r="AS33" s="96"/>
      <c r="AT33" s="96"/>
      <c r="AU33" s="95"/>
      <c r="AV33" s="98"/>
      <c r="AW33" s="96"/>
      <c r="AX33" s="96"/>
      <c r="AY33" s="95"/>
      <c r="AZ33" s="98"/>
      <c r="BA33" s="99"/>
      <c r="BB33" s="95"/>
      <c r="BC33" s="96"/>
      <c r="BD33" s="96"/>
      <c r="BE33" s="98"/>
      <c r="BF33" s="95"/>
      <c r="BG33" s="96"/>
      <c r="BH33" s="96"/>
      <c r="BI33" s="98"/>
    </row>
    <row r="34" spans="1:61" ht="12" customHeight="1">
      <c r="A34" s="254">
        <f t="array" ref="A34">_xll.AC(DB,_xll.ArrayDPT($AA34:$AE34),_xll.ArrayCOA($AG34:$AZ34),YR-1,PRD,_xll.ArrayDIM($BB34:$BE34))</f>
        <v>0</v>
      </c>
      <c r="B34" s="254">
        <f t="shared" si="20"/>
        <v>0</v>
      </c>
      <c r="C34" s="254">
        <f t="shared" si="21"/>
        <v>0</v>
      </c>
      <c r="D34" s="254">
        <f t="shared" si="22"/>
        <v>0</v>
      </c>
      <c r="E34" s="254">
        <f t="array" ref="E34">_xll.BC(DB,_xll.ArrayDPT($AA34:$AE34),_xll.ArrayCOA($AG34:$AZ34),YR,PRD,RV,_xll.ArrayDIM($BB34:$BE34))</f>
        <v>0</v>
      </c>
      <c r="F34" s="254">
        <f t="shared" si="23"/>
        <v>0</v>
      </c>
      <c r="G34" s="254">
        <f t="array" ref="G34">_xll.AC(DB,_xll.ArrayDPT($AA34:$AE34),_xll.ArrayCOA($AG34:$AZ34),YR,PRD,_xll.ArrayDIM($BB34:$BE34))</f>
        <v>0</v>
      </c>
      <c r="H34" s="254">
        <f t="shared" si="24"/>
        <v>0</v>
      </c>
      <c r="I34" s="254"/>
      <c r="J34" s="328" t="s">
        <v>670</v>
      </c>
      <c r="K34" s="254"/>
      <c r="L34" s="254">
        <f t="array" ref="L34">_xll.ACC(DB,_xll.ArrayDPT($AA34:$AE34),_xll.ArrayCOA($AG34:$AZ34),YR,PRD,_xll.ArrayDIM($BB34:$BE34))</f>
        <v>0</v>
      </c>
      <c r="M34" s="237">
        <f t="shared" si="25"/>
        <v>0</v>
      </c>
      <c r="N34" s="254">
        <f t="array" ref="N34">_xll.BCC(DB,_xll.ArrayDPT($AA34:$AE34),_xll.ArrayCOA($AG34:$AZ34),YR,PRD,RV,_xll.ArrayDIM($BB34:$BE34))</f>
        <v>0</v>
      </c>
      <c r="O34" s="237">
        <f t="shared" si="26"/>
        <v>0</v>
      </c>
      <c r="P34" s="237">
        <f t="shared" si="27"/>
        <v>0</v>
      </c>
      <c r="Q34" s="237">
        <f t="shared" si="28"/>
        <v>0</v>
      </c>
      <c r="R34" s="254">
        <f t="array" ref="R34">_xll.ACC(DB,_xll.ArrayDPT($AA34:$AE34),_xll.ArrayCOA($AG34:$AZ34),YR-1,PRD,_xll.ArrayDIM($BB34:$BE34))</f>
        <v>0</v>
      </c>
      <c r="S34" s="237">
        <f t="shared" si="29"/>
        <v>0</v>
      </c>
      <c r="T34" s="328"/>
      <c r="U34" s="328"/>
      <c r="V34" s="328"/>
      <c r="W34" s="328"/>
      <c r="X34" s="328"/>
      <c r="Y34" s="328"/>
      <c r="Z34" s="328"/>
      <c r="AA34" s="95"/>
      <c r="AB34" s="96"/>
      <c r="AC34" s="96"/>
      <c r="AD34" s="96"/>
      <c r="AE34" s="96"/>
      <c r="AF34" s="97"/>
      <c r="AG34" s="95"/>
      <c r="AH34" s="96"/>
      <c r="AI34" s="95"/>
      <c r="AJ34" s="96"/>
      <c r="AK34" s="95"/>
      <c r="AL34" s="96"/>
      <c r="AM34" s="95"/>
      <c r="AN34" s="98"/>
      <c r="AO34" s="96"/>
      <c r="AP34" s="96"/>
      <c r="AQ34" s="95"/>
      <c r="AR34" s="98"/>
      <c r="AS34" s="96"/>
      <c r="AT34" s="96"/>
      <c r="AU34" s="95"/>
      <c r="AV34" s="98"/>
      <c r="AW34" s="96"/>
      <c r="AX34" s="96"/>
      <c r="AY34" s="95"/>
      <c r="AZ34" s="98"/>
      <c r="BA34" s="99"/>
      <c r="BB34" s="95"/>
      <c r="BC34" s="96"/>
      <c r="BD34" s="96"/>
      <c r="BE34" s="98"/>
      <c r="BF34" s="95"/>
      <c r="BG34" s="96"/>
      <c r="BH34" s="96"/>
      <c r="BI34" s="98"/>
    </row>
    <row r="35" spans="1:61" ht="12" customHeight="1">
      <c r="A35" s="254">
        <f t="array" ref="A35">_xll.AC(DB,_xll.ArrayDPT($AA35:$AE35),_xll.ArrayCOA($AG35:$AZ35),YR-1,PRD,_xll.ArrayDIM($BB35:$BE35))</f>
        <v>0</v>
      </c>
      <c r="B35" s="254">
        <f t="shared" si="20"/>
        <v>0</v>
      </c>
      <c r="C35" s="254">
        <f t="shared" si="21"/>
        <v>0</v>
      </c>
      <c r="D35" s="254">
        <f t="shared" si="22"/>
        <v>0</v>
      </c>
      <c r="E35" s="254">
        <f t="array" ref="E35">_xll.BC(DB,_xll.ArrayDPT($AA35:$AE35),_xll.ArrayCOA($AG35:$AZ35),YR,PRD,RV,_xll.ArrayDIM($BB35:$BE35))</f>
        <v>0</v>
      </c>
      <c r="F35" s="254">
        <f t="shared" si="23"/>
        <v>0</v>
      </c>
      <c r="G35" s="254">
        <f t="array" ref="G35">_xll.AC(DB,_xll.ArrayDPT($AA35:$AE35),_xll.ArrayCOA($AG35:$AZ35),YR,PRD,_xll.ArrayDIM($BB35:$BE35))</f>
        <v>0</v>
      </c>
      <c r="H35" s="254">
        <f t="shared" si="24"/>
        <v>0</v>
      </c>
      <c r="I35" s="254"/>
      <c r="J35" s="328" t="s">
        <v>671</v>
      </c>
      <c r="K35" s="254"/>
      <c r="L35" s="254">
        <f t="array" ref="L35">_xll.ACC(DB,_xll.ArrayDPT($AA35:$AE35),_xll.ArrayCOA($AG35:$AZ35),YR,PRD,_xll.ArrayDIM($BB35:$BE35))</f>
        <v>0</v>
      </c>
      <c r="M35" s="237">
        <f t="shared" si="25"/>
        <v>0</v>
      </c>
      <c r="N35" s="254">
        <f t="array" ref="N35">_xll.BCC(DB,_xll.ArrayDPT($AA35:$AE35),_xll.ArrayCOA($AG35:$AZ35),YR,PRD,RV,_xll.ArrayDIM($BB35:$BE35))</f>
        <v>0</v>
      </c>
      <c r="O35" s="237">
        <f t="shared" si="26"/>
        <v>0</v>
      </c>
      <c r="P35" s="237">
        <f t="shared" si="27"/>
        <v>0</v>
      </c>
      <c r="Q35" s="237">
        <f t="shared" si="28"/>
        <v>0</v>
      </c>
      <c r="R35" s="254">
        <f t="array" ref="R35">_xll.ACC(DB,_xll.ArrayDPT($AA35:$AE35),_xll.ArrayCOA($AG35:$AZ35),YR-1,PRD,_xll.ArrayDIM($BB35:$BE35))</f>
        <v>0</v>
      </c>
      <c r="S35" s="237">
        <f t="shared" si="29"/>
        <v>0</v>
      </c>
      <c r="T35" s="328"/>
      <c r="U35" s="328"/>
      <c r="V35" s="328"/>
      <c r="W35" s="328"/>
      <c r="X35" s="328"/>
      <c r="Y35" s="328"/>
      <c r="Z35" s="328"/>
      <c r="AA35" s="95"/>
      <c r="AB35" s="96"/>
      <c r="AC35" s="96"/>
      <c r="AD35" s="96"/>
      <c r="AE35" s="96"/>
      <c r="AF35" s="97"/>
      <c r="AG35" s="95"/>
      <c r="AH35" s="96"/>
      <c r="AI35" s="95"/>
      <c r="AJ35" s="96"/>
      <c r="AK35" s="95"/>
      <c r="AL35" s="96"/>
      <c r="AM35" s="95"/>
      <c r="AN35" s="98"/>
      <c r="AO35" s="96"/>
      <c r="AP35" s="96"/>
      <c r="AQ35" s="95"/>
      <c r="AR35" s="98"/>
      <c r="AS35" s="96"/>
      <c r="AT35" s="96"/>
      <c r="AU35" s="95"/>
      <c r="AV35" s="98"/>
      <c r="AW35" s="96"/>
      <c r="AX35" s="96"/>
      <c r="AY35" s="95"/>
      <c r="AZ35" s="98"/>
      <c r="BA35" s="99"/>
      <c r="BB35" s="95"/>
      <c r="BC35" s="96"/>
      <c r="BD35" s="96"/>
      <c r="BE35" s="98"/>
      <c r="BF35" s="95"/>
      <c r="BG35" s="96"/>
      <c r="BH35" s="96"/>
      <c r="BI35" s="98"/>
    </row>
    <row r="36" spans="1:61" ht="12" customHeight="1">
      <c r="A36" s="254">
        <f t="array" ref="A36">_xll.AC(DB,_xll.ArrayDPT($AA36:$AE36),_xll.ArrayCOA($AG36:$AZ36),YR-1,PRD,_xll.ArrayDIM($BB36:$BE36))</f>
        <v>0</v>
      </c>
      <c r="B36" s="254">
        <f t="shared" si="20"/>
        <v>0</v>
      </c>
      <c r="C36" s="254">
        <f t="shared" si="21"/>
        <v>0</v>
      </c>
      <c r="D36" s="254">
        <f t="shared" si="22"/>
        <v>0</v>
      </c>
      <c r="E36" s="254">
        <f t="array" ref="E36">_xll.BC(DB,_xll.ArrayDPT($AA36:$AE36),_xll.ArrayCOA($AG36:$AZ36),YR,PRD,RV,_xll.ArrayDIM($BB36:$BE36))</f>
        <v>0</v>
      </c>
      <c r="F36" s="254">
        <f t="shared" si="23"/>
        <v>0</v>
      </c>
      <c r="G36" s="254">
        <f t="array" ref="G36">_xll.AC(DB,_xll.ArrayDPT($AA36:$AE36),_xll.ArrayCOA($AG36:$AZ36),YR,PRD,_xll.ArrayDIM($BB36:$BE36))</f>
        <v>0</v>
      </c>
      <c r="H36" s="254">
        <f t="shared" si="24"/>
        <v>0</v>
      </c>
      <c r="I36" s="254"/>
      <c r="J36" s="328" t="s">
        <v>672</v>
      </c>
      <c r="K36" s="254"/>
      <c r="L36" s="254">
        <f t="array" ref="L36">_xll.ACC(DB,_xll.ArrayDPT($AA36:$AE36),_xll.ArrayCOA($AG36:$AZ36),YR,PRD,_xll.ArrayDIM($BB36:$BE36))</f>
        <v>0</v>
      </c>
      <c r="M36" s="237">
        <f t="shared" si="25"/>
        <v>0</v>
      </c>
      <c r="N36" s="254">
        <f t="array" ref="N36">_xll.BCC(DB,_xll.ArrayDPT($AA36:$AE36),_xll.ArrayCOA($AG36:$AZ36),YR,PRD,RV,_xll.ArrayDIM($BB36:$BE36))</f>
        <v>0</v>
      </c>
      <c r="O36" s="237">
        <f t="shared" si="26"/>
        <v>0</v>
      </c>
      <c r="P36" s="237">
        <f t="shared" si="27"/>
        <v>0</v>
      </c>
      <c r="Q36" s="237">
        <f t="shared" si="28"/>
        <v>0</v>
      </c>
      <c r="R36" s="254">
        <f t="array" ref="R36">_xll.ACC(DB,_xll.ArrayDPT($AA36:$AE36),_xll.ArrayCOA($AG36:$AZ36),YR-1,PRD,_xll.ArrayDIM($BB36:$BE36))</f>
        <v>0</v>
      </c>
      <c r="S36" s="237">
        <f t="shared" si="29"/>
        <v>0</v>
      </c>
      <c r="T36" s="328"/>
      <c r="U36" s="328"/>
      <c r="V36" s="328"/>
      <c r="W36" s="328"/>
      <c r="X36" s="328"/>
      <c r="Y36" s="328"/>
      <c r="Z36" s="328"/>
      <c r="AA36" s="95" t="s">
        <v>640</v>
      </c>
      <c r="AB36" s="96"/>
      <c r="AC36" s="96"/>
      <c r="AD36" s="96"/>
      <c r="AE36" s="96"/>
      <c r="AF36" s="97"/>
      <c r="AG36" s="95" t="s">
        <v>673</v>
      </c>
      <c r="AH36" s="96" t="s">
        <v>673</v>
      </c>
      <c r="AI36" s="95"/>
      <c r="AJ36" s="96"/>
      <c r="AK36" s="95"/>
      <c r="AL36" s="96"/>
      <c r="AM36" s="95"/>
      <c r="AN36" s="98"/>
      <c r="AO36" s="96"/>
      <c r="AP36" s="96"/>
      <c r="AQ36" s="95"/>
      <c r="AR36" s="98"/>
      <c r="AS36" s="96"/>
      <c r="AT36" s="96"/>
      <c r="AU36" s="95"/>
      <c r="AV36" s="98"/>
      <c r="AW36" s="96"/>
      <c r="AX36" s="96"/>
      <c r="AY36" s="95"/>
      <c r="AZ36" s="98"/>
      <c r="BA36" s="99"/>
      <c r="BB36" s="95"/>
      <c r="BC36" s="96"/>
      <c r="BD36" s="96"/>
      <c r="BE36" s="98"/>
      <c r="BF36" s="95"/>
      <c r="BG36" s="96"/>
      <c r="BH36" s="96"/>
      <c r="BI36" s="98"/>
    </row>
    <row r="37" spans="1:61" ht="12" customHeight="1">
      <c r="A37" s="254">
        <f t="array" ref="A37">_xll.AC(DB,_xll.ArrayDPT($AA37:$AE37),_xll.ArrayCOA($AG37:$AZ37),YR-1,PRD,_xll.ArrayDIM($BB37:$BE37))</f>
        <v>0</v>
      </c>
      <c r="B37" s="254">
        <f t="shared" si="20"/>
        <v>0</v>
      </c>
      <c r="C37" s="254">
        <f t="shared" si="21"/>
        <v>0</v>
      </c>
      <c r="D37" s="254">
        <f t="shared" si="22"/>
        <v>0</v>
      </c>
      <c r="E37" s="254">
        <f t="array" ref="E37">_xll.BC(DB,_xll.ArrayDPT($AA37:$AE37),_xll.ArrayCOA($AG37:$AZ37),YR,PRD,RV,_xll.ArrayDIM($BB37:$BE37))</f>
        <v>0</v>
      </c>
      <c r="F37" s="254">
        <f t="shared" si="23"/>
        <v>0</v>
      </c>
      <c r="G37" s="254">
        <f t="array" ref="G37">_xll.AC(DB,_xll.ArrayDPT($AA37:$AE37),_xll.ArrayCOA($AG37:$AZ37),YR,PRD,_xll.ArrayDIM($BB37:$BE37))</f>
        <v>0</v>
      </c>
      <c r="H37" s="254">
        <f t="shared" si="24"/>
        <v>0</v>
      </c>
      <c r="I37" s="254"/>
      <c r="J37" s="328" t="s">
        <v>674</v>
      </c>
      <c r="K37" s="254"/>
      <c r="L37" s="254">
        <f t="array" ref="L37">_xll.ACC(DB,_xll.ArrayDPT($AA37:$AE37),_xll.ArrayCOA($AG37:$AZ37),YR,PRD,_xll.ArrayDIM($BB37:$BE37))</f>
        <v>0</v>
      </c>
      <c r="M37" s="237">
        <f t="shared" si="25"/>
        <v>0</v>
      </c>
      <c r="N37" s="254">
        <f t="array" ref="N37">_xll.BCC(DB,_xll.ArrayDPT($AA37:$AE37),_xll.ArrayCOA($AG37:$AZ37),YR,PRD,RV,_xll.ArrayDIM($BB37:$BE37))</f>
        <v>0</v>
      </c>
      <c r="O37" s="237">
        <f t="shared" si="26"/>
        <v>0</v>
      </c>
      <c r="P37" s="237">
        <f t="shared" si="27"/>
        <v>0</v>
      </c>
      <c r="Q37" s="237">
        <f t="shared" si="28"/>
        <v>0</v>
      </c>
      <c r="R37" s="254">
        <f t="array" ref="R37">_xll.ACC(DB,_xll.ArrayDPT($AA37:$AE37),_xll.ArrayCOA($AG37:$AZ37),YR-1,PRD,_xll.ArrayDIM($BB37:$BE37))</f>
        <v>0</v>
      </c>
      <c r="S37" s="237">
        <f t="shared" si="29"/>
        <v>0</v>
      </c>
      <c r="T37" s="328"/>
      <c r="U37" s="328"/>
      <c r="V37" s="328"/>
      <c r="W37" s="328"/>
      <c r="X37" s="328"/>
      <c r="Y37" s="328"/>
      <c r="Z37" s="328"/>
      <c r="AA37" s="95"/>
      <c r="AB37" s="96"/>
      <c r="AC37" s="96"/>
      <c r="AD37" s="96"/>
      <c r="AE37" s="96"/>
      <c r="AF37" s="97"/>
      <c r="AG37" s="95"/>
      <c r="AH37" s="96"/>
      <c r="AI37" s="95"/>
      <c r="AJ37" s="96"/>
      <c r="AK37" s="95"/>
      <c r="AL37" s="96"/>
      <c r="AM37" s="95"/>
      <c r="AN37" s="98"/>
      <c r="AO37" s="96"/>
      <c r="AP37" s="96"/>
      <c r="AQ37" s="95"/>
      <c r="AR37" s="98"/>
      <c r="AS37" s="96"/>
      <c r="AT37" s="96"/>
      <c r="AU37" s="95"/>
      <c r="AV37" s="98"/>
      <c r="AW37" s="96"/>
      <c r="AX37" s="96"/>
      <c r="AY37" s="95"/>
      <c r="AZ37" s="98"/>
      <c r="BA37" s="99"/>
      <c r="BB37" s="95"/>
      <c r="BC37" s="96"/>
      <c r="BD37" s="96"/>
      <c r="BE37" s="98"/>
      <c r="BF37" s="95"/>
      <c r="BG37" s="96"/>
      <c r="BH37" s="96"/>
      <c r="BI37" s="98"/>
    </row>
    <row r="38" spans="1:61" ht="12" customHeight="1">
      <c r="A38" s="254">
        <f t="array" ref="A38">_xll.AC(DB,_xll.ArrayDPT($AA38:$AE38),_xll.ArrayCOA($AG38:$AZ38),YR-1,PRD,_xll.ArrayDIM($BB38:$BE38))</f>
        <v>0</v>
      </c>
      <c r="B38" s="254">
        <f t="shared" si="20"/>
        <v>0</v>
      </c>
      <c r="C38" s="254">
        <f t="shared" si="21"/>
        <v>0</v>
      </c>
      <c r="D38" s="254">
        <f t="shared" si="22"/>
        <v>0</v>
      </c>
      <c r="E38" s="254">
        <f t="array" ref="E38">_xll.BC(DB,_xll.ArrayDPT($AA38:$AE38),_xll.ArrayCOA($AG38:$AZ38),YR,PRD,RV,_xll.ArrayDIM($BB38:$BE38))</f>
        <v>0</v>
      </c>
      <c r="F38" s="254">
        <f t="shared" si="23"/>
        <v>0</v>
      </c>
      <c r="G38" s="254">
        <f t="array" ref="G38">_xll.AC(DB,_xll.ArrayDPT($AA38:$AE38),_xll.ArrayCOA($AG38:$AZ38),YR,PRD,_xll.ArrayDIM($BB38:$BE38))</f>
        <v>0</v>
      </c>
      <c r="H38" s="254">
        <f t="shared" si="24"/>
        <v>0</v>
      </c>
      <c r="I38" s="254"/>
      <c r="J38" s="328" t="s">
        <v>675</v>
      </c>
      <c r="K38" s="254"/>
      <c r="L38" s="254">
        <f t="array" ref="L38">_xll.ACC(DB,_xll.ArrayDPT($AA38:$AE38),_xll.ArrayCOA($AG38:$AZ38),YR,PRD,_xll.ArrayDIM($BB38:$BE38))</f>
        <v>0</v>
      </c>
      <c r="M38" s="237">
        <f t="shared" si="25"/>
        <v>0</v>
      </c>
      <c r="N38" s="254">
        <f t="array" ref="N38">_xll.BCC(DB,_xll.ArrayDPT($AA38:$AE38),_xll.ArrayCOA($AG38:$AZ38),YR,PRD,RV,_xll.ArrayDIM($BB38:$BE38))</f>
        <v>0</v>
      </c>
      <c r="O38" s="237">
        <f t="shared" si="26"/>
        <v>0</v>
      </c>
      <c r="P38" s="237">
        <f t="shared" si="27"/>
        <v>0</v>
      </c>
      <c r="Q38" s="237">
        <f t="shared" si="28"/>
        <v>0</v>
      </c>
      <c r="R38" s="254">
        <f t="array" ref="R38">_xll.ACC(DB,_xll.ArrayDPT($AA38:$AE38),_xll.ArrayCOA($AG38:$AZ38),YR-1,PRD,_xll.ArrayDIM($BB38:$BE38))</f>
        <v>0</v>
      </c>
      <c r="S38" s="237">
        <f t="shared" si="29"/>
        <v>0</v>
      </c>
      <c r="T38" s="328"/>
      <c r="U38" s="328"/>
      <c r="V38" s="328"/>
      <c r="W38" s="328"/>
      <c r="X38" s="328"/>
      <c r="Y38" s="328"/>
      <c r="Z38" s="328"/>
      <c r="AA38" s="95"/>
      <c r="AB38" s="96"/>
      <c r="AC38" s="96"/>
      <c r="AD38" s="96"/>
      <c r="AE38" s="96"/>
      <c r="AF38" s="97"/>
      <c r="AG38" s="95"/>
      <c r="AH38" s="96"/>
      <c r="AI38" s="95"/>
      <c r="AJ38" s="96"/>
      <c r="AK38" s="95"/>
      <c r="AL38" s="96"/>
      <c r="AM38" s="95"/>
      <c r="AN38" s="98"/>
      <c r="AO38" s="96"/>
      <c r="AP38" s="96"/>
      <c r="AQ38" s="95"/>
      <c r="AR38" s="98"/>
      <c r="AS38" s="96"/>
      <c r="AT38" s="96"/>
      <c r="AU38" s="95"/>
      <c r="AV38" s="98"/>
      <c r="AW38" s="96"/>
      <c r="AX38" s="96"/>
      <c r="AY38" s="95"/>
      <c r="AZ38" s="98"/>
      <c r="BA38" s="99"/>
      <c r="BB38" s="95"/>
      <c r="BC38" s="96"/>
      <c r="BD38" s="96"/>
      <c r="BE38" s="98"/>
      <c r="BF38" s="95"/>
      <c r="BG38" s="96"/>
      <c r="BH38" s="96"/>
      <c r="BI38" s="98"/>
    </row>
    <row r="39" spans="1:61" ht="12" customHeight="1">
      <c r="A39" s="254">
        <f t="array" ref="A39">_xll.AC(DB,_xll.ArrayDPT($AA39:$AE39),_xll.ArrayCOA($AG39:$AZ39),YR-1,PRD,_xll.ArrayDIM($BB39:$BE39))</f>
        <v>0</v>
      </c>
      <c r="B39" s="254">
        <f t="shared" si="20"/>
        <v>0</v>
      </c>
      <c r="C39" s="254">
        <f t="shared" si="21"/>
        <v>0</v>
      </c>
      <c r="D39" s="254">
        <f t="shared" si="22"/>
        <v>0</v>
      </c>
      <c r="E39" s="254">
        <f t="array" ref="E39">_xll.BC(DB,_xll.ArrayDPT($AA39:$AE39),_xll.ArrayCOA($AG39:$AZ39),YR,PRD,RV,_xll.ArrayDIM($BB39:$BE39))</f>
        <v>0</v>
      </c>
      <c r="F39" s="254">
        <f t="shared" si="23"/>
        <v>0</v>
      </c>
      <c r="G39" s="254">
        <f t="array" ref="G39">_xll.AC(DB,_xll.ArrayDPT($AA39:$AE39),_xll.ArrayCOA($AG39:$AZ39),YR,PRD,_xll.ArrayDIM($BB39:$BE39))</f>
        <v>0</v>
      </c>
      <c r="H39" s="254">
        <f t="shared" si="24"/>
        <v>0</v>
      </c>
      <c r="I39" s="254"/>
      <c r="J39" s="328" t="s">
        <v>676</v>
      </c>
      <c r="K39" s="254"/>
      <c r="L39" s="254">
        <f t="array" ref="L39">_xll.ACC(DB,_xll.ArrayDPT($AA39:$AE39),_xll.ArrayCOA($AG39:$AZ39),YR,PRD,_xll.ArrayDIM($BB39:$BE39))</f>
        <v>0</v>
      </c>
      <c r="M39" s="237">
        <f t="shared" si="25"/>
        <v>0</v>
      </c>
      <c r="N39" s="254">
        <f t="array" ref="N39">_xll.BCC(DB,_xll.ArrayDPT($AA39:$AE39),_xll.ArrayCOA($AG39:$AZ39),YR,PRD,RV,_xll.ArrayDIM($BB39:$BE39))</f>
        <v>0</v>
      </c>
      <c r="O39" s="237">
        <f t="shared" si="26"/>
        <v>0</v>
      </c>
      <c r="P39" s="237">
        <f t="shared" si="27"/>
        <v>0</v>
      </c>
      <c r="Q39" s="237">
        <f t="shared" si="28"/>
        <v>0</v>
      </c>
      <c r="R39" s="254">
        <f t="array" ref="R39">_xll.ACC(DB,_xll.ArrayDPT($AA39:$AE39),_xll.ArrayCOA($AG39:$AZ39),YR-1,PRD,_xll.ArrayDIM($BB39:$BE39))</f>
        <v>0</v>
      </c>
      <c r="S39" s="237">
        <f t="shared" si="29"/>
        <v>0</v>
      </c>
      <c r="T39" s="328"/>
      <c r="U39" s="328"/>
      <c r="V39" s="328"/>
      <c r="W39" s="328"/>
      <c r="X39" s="328"/>
      <c r="Y39" s="328"/>
      <c r="Z39" s="328"/>
      <c r="AA39" s="95"/>
      <c r="AB39" s="96"/>
      <c r="AC39" s="96"/>
      <c r="AD39" s="96"/>
      <c r="AE39" s="96"/>
      <c r="AF39" s="97"/>
      <c r="AG39" s="95"/>
      <c r="AH39" s="96"/>
      <c r="AI39" s="95"/>
      <c r="AJ39" s="96"/>
      <c r="AK39" s="95"/>
      <c r="AL39" s="96"/>
      <c r="AM39" s="95"/>
      <c r="AN39" s="98"/>
      <c r="AO39" s="96"/>
      <c r="AP39" s="96"/>
      <c r="AQ39" s="95"/>
      <c r="AR39" s="98"/>
      <c r="AS39" s="96"/>
      <c r="AT39" s="96"/>
      <c r="AU39" s="95"/>
      <c r="AV39" s="98"/>
      <c r="AW39" s="96"/>
      <c r="AX39" s="96"/>
      <c r="AY39" s="95"/>
      <c r="AZ39" s="98"/>
      <c r="BA39" s="99"/>
      <c r="BB39" s="95"/>
      <c r="BC39" s="96"/>
      <c r="BD39" s="96"/>
      <c r="BE39" s="98"/>
      <c r="BF39" s="95"/>
      <c r="BG39" s="96"/>
      <c r="BH39" s="96"/>
      <c r="BI39" s="98"/>
    </row>
    <row r="40" spans="1:61" ht="12" customHeight="1">
      <c r="A40" s="254">
        <f t="array" ref="A40">_xll.AC(DB,_xll.ArrayDPT($AA40:$AE40),_xll.ArrayCOA($AG40:$AZ40),YR-1,PRD,_xll.ArrayDIM($BB40:$BE40))</f>
        <v>0</v>
      </c>
      <c r="B40" s="254">
        <f t="shared" si="20"/>
        <v>0</v>
      </c>
      <c r="C40" s="254">
        <f t="shared" si="21"/>
        <v>0</v>
      </c>
      <c r="D40" s="254">
        <f t="shared" si="22"/>
        <v>0</v>
      </c>
      <c r="E40" s="254">
        <f t="array" ref="E40">_xll.BC(DB,_xll.ArrayDPT($AA40:$AE40),_xll.ArrayCOA($AG40:$AZ40),YR,PRD,RV,_xll.ArrayDIM($BB40:$BE40))</f>
        <v>0</v>
      </c>
      <c r="F40" s="254">
        <f t="shared" si="23"/>
        <v>0</v>
      </c>
      <c r="G40" s="254">
        <f t="array" ref="G40">_xll.AC(DB,_xll.ArrayDPT($AA40:$AE40),_xll.ArrayCOA($AG40:$AZ40),YR,PRD,_xll.ArrayDIM($BB40:$BE40))</f>
        <v>0</v>
      </c>
      <c r="H40" s="254">
        <f t="shared" si="24"/>
        <v>0</v>
      </c>
      <c r="I40" s="254"/>
      <c r="J40" s="328" t="s">
        <v>677</v>
      </c>
      <c r="K40" s="254"/>
      <c r="L40" s="254">
        <f t="array" ref="L40">_xll.ACC(DB,_xll.ArrayDPT($AA40:$AE40),_xll.ArrayCOA($AG40:$AZ40),YR,PRD,_xll.ArrayDIM($BB40:$BE40))</f>
        <v>0</v>
      </c>
      <c r="M40" s="237">
        <f t="shared" si="25"/>
        <v>0</v>
      </c>
      <c r="N40" s="254">
        <f t="array" ref="N40">_xll.BCC(DB,_xll.ArrayDPT($AA40:$AE40),_xll.ArrayCOA($AG40:$AZ40),YR,PRD,RV,_xll.ArrayDIM($BB40:$BE40))</f>
        <v>0</v>
      </c>
      <c r="O40" s="237">
        <f t="shared" si="26"/>
        <v>0</v>
      </c>
      <c r="P40" s="237">
        <f t="shared" si="27"/>
        <v>0</v>
      </c>
      <c r="Q40" s="237">
        <f t="shared" si="28"/>
        <v>0</v>
      </c>
      <c r="R40" s="254">
        <f t="array" ref="R40">_xll.ACC(DB,_xll.ArrayDPT($AA40:$AE40),_xll.ArrayCOA($AG40:$AZ40),YR-1,PRD,_xll.ArrayDIM($BB40:$BE40))</f>
        <v>0</v>
      </c>
      <c r="S40" s="237">
        <f t="shared" si="29"/>
        <v>0</v>
      </c>
      <c r="T40" s="328"/>
      <c r="U40" s="328"/>
      <c r="V40" s="328"/>
      <c r="W40" s="328"/>
      <c r="X40" s="328"/>
      <c r="Y40" s="328"/>
      <c r="Z40" s="328"/>
      <c r="AA40" s="95"/>
      <c r="AB40" s="96"/>
      <c r="AC40" s="96"/>
      <c r="AD40" s="96"/>
      <c r="AE40" s="96"/>
      <c r="AF40" s="97"/>
      <c r="AG40" s="95"/>
      <c r="AH40" s="96"/>
      <c r="AI40" s="95"/>
      <c r="AJ40" s="96"/>
      <c r="AK40" s="95"/>
      <c r="AL40" s="96"/>
      <c r="AM40" s="95"/>
      <c r="AN40" s="98"/>
      <c r="AO40" s="96"/>
      <c r="AP40" s="96"/>
      <c r="AQ40" s="95"/>
      <c r="AR40" s="98"/>
      <c r="AS40" s="96"/>
      <c r="AT40" s="96"/>
      <c r="AU40" s="95"/>
      <c r="AV40" s="98"/>
      <c r="AW40" s="96"/>
      <c r="AX40" s="96"/>
      <c r="AY40" s="95"/>
      <c r="AZ40" s="98"/>
      <c r="BA40" s="99"/>
      <c r="BB40" s="95"/>
      <c r="BC40" s="96"/>
      <c r="BD40" s="96"/>
      <c r="BE40" s="98"/>
      <c r="BF40" s="95"/>
      <c r="BG40" s="96"/>
      <c r="BH40" s="96"/>
      <c r="BI40" s="98"/>
    </row>
    <row r="41" spans="1:61" ht="12" customHeight="1">
      <c r="A41" s="254">
        <f t="array" ref="A41">_xll.AC(DB,_xll.ArrayDPT($AA41:$AE41),_xll.ArrayCOA($AG41:$AZ41),YR-1,PRD,_xll.ArrayDIM($BB41:$BE41))</f>
        <v>0</v>
      </c>
      <c r="B41" s="254">
        <f t="shared" si="20"/>
        <v>0</v>
      </c>
      <c r="C41" s="254">
        <f t="shared" si="21"/>
        <v>0</v>
      </c>
      <c r="D41" s="254">
        <f t="shared" si="22"/>
        <v>0</v>
      </c>
      <c r="E41" s="254">
        <f t="array" ref="E41">_xll.BC(DB,_xll.ArrayDPT($AA41:$AE41),_xll.ArrayCOA($AG41:$AZ41),YR,PRD,RV,_xll.ArrayDIM($BB41:$BE41))</f>
        <v>0</v>
      </c>
      <c r="F41" s="254">
        <f t="shared" si="23"/>
        <v>0</v>
      </c>
      <c r="G41" s="254">
        <f t="array" ref="G41">_xll.AC(DB,_xll.ArrayDPT($AA41:$AE41),_xll.ArrayCOA($AG41:$AZ41),YR,PRD,_xll.ArrayDIM($BB41:$BE41))</f>
        <v>0</v>
      </c>
      <c r="H41" s="254">
        <f t="shared" si="24"/>
        <v>0</v>
      </c>
      <c r="I41" s="254"/>
      <c r="J41" s="328" t="s">
        <v>678</v>
      </c>
      <c r="K41" s="254"/>
      <c r="L41" s="254">
        <f t="array" ref="L41">_xll.ACC(DB,_xll.ArrayDPT($AA41:$AE41),_xll.ArrayCOA($AG41:$AZ41),YR,PRD,_xll.ArrayDIM($BB41:$BE41))</f>
        <v>0</v>
      </c>
      <c r="M41" s="237">
        <f t="shared" si="25"/>
        <v>0</v>
      </c>
      <c r="N41" s="254">
        <f t="array" ref="N41">_xll.BCC(DB,_xll.ArrayDPT($AA41:$AE41),_xll.ArrayCOA($AG41:$AZ41),YR,PRD,RV,_xll.ArrayDIM($BB41:$BE41))</f>
        <v>0</v>
      </c>
      <c r="O41" s="237">
        <f t="shared" si="26"/>
        <v>0</v>
      </c>
      <c r="P41" s="237">
        <f t="shared" si="27"/>
        <v>0</v>
      </c>
      <c r="Q41" s="237">
        <f t="shared" si="28"/>
        <v>0</v>
      </c>
      <c r="R41" s="254">
        <f t="array" ref="R41">_xll.ACC(DB,_xll.ArrayDPT($AA41:$AE41),_xll.ArrayCOA($AG41:$AZ41),YR-1,PRD,_xll.ArrayDIM($BB41:$BE41))</f>
        <v>0</v>
      </c>
      <c r="S41" s="237">
        <f t="shared" si="29"/>
        <v>0</v>
      </c>
      <c r="T41" s="328"/>
      <c r="U41" s="328"/>
      <c r="V41" s="328"/>
      <c r="W41" s="328"/>
      <c r="X41" s="328"/>
      <c r="Y41" s="328"/>
      <c r="Z41" s="328"/>
      <c r="AA41" s="95" t="s">
        <v>640</v>
      </c>
      <c r="AB41" s="96"/>
      <c r="AC41" s="96"/>
      <c r="AD41" s="96"/>
      <c r="AE41" s="96"/>
      <c r="AF41" s="97"/>
      <c r="AG41" s="95" t="s">
        <v>679</v>
      </c>
      <c r="AH41" s="96" t="s">
        <v>679</v>
      </c>
      <c r="AI41" s="95"/>
      <c r="AJ41" s="96"/>
      <c r="AK41" s="95"/>
      <c r="AL41" s="96"/>
      <c r="AM41" s="95"/>
      <c r="AN41" s="98"/>
      <c r="AO41" s="96"/>
      <c r="AP41" s="96"/>
      <c r="AQ41" s="95"/>
      <c r="AR41" s="98"/>
      <c r="AS41" s="96"/>
      <c r="AT41" s="96"/>
      <c r="AU41" s="95"/>
      <c r="AV41" s="98"/>
      <c r="AW41" s="96"/>
      <c r="AX41" s="96"/>
      <c r="AY41" s="95"/>
      <c r="AZ41" s="98"/>
      <c r="BA41" s="99"/>
      <c r="BB41" s="95"/>
      <c r="BC41" s="96"/>
      <c r="BD41" s="96"/>
      <c r="BE41" s="98"/>
      <c r="BF41" s="95"/>
      <c r="BG41" s="96"/>
      <c r="BH41" s="96"/>
      <c r="BI41" s="98"/>
    </row>
    <row r="42" spans="1:61" ht="12" customHeight="1">
      <c r="A42" s="254">
        <f t="array" ref="A42">_xll.AC(DB,_xll.ArrayDPT($AA42:$AE42),_xll.ArrayCOA($AG42:$AZ42),YR-1,PRD,_xll.ArrayDIM($BB42:$BE42))</f>
        <v>0</v>
      </c>
      <c r="B42" s="254">
        <f t="shared" si="20"/>
        <v>0</v>
      </c>
      <c r="C42" s="254">
        <f t="shared" si="21"/>
        <v>0</v>
      </c>
      <c r="D42" s="254">
        <f t="shared" si="22"/>
        <v>0</v>
      </c>
      <c r="E42" s="254">
        <f t="array" ref="E42">_xll.BC(DB,_xll.ArrayDPT($AA42:$AE42),_xll.ArrayCOA($AG42:$AZ42),YR,PRD,RV,_xll.ArrayDIM($BB42:$BE42))</f>
        <v>0</v>
      </c>
      <c r="F42" s="254">
        <f t="shared" si="23"/>
        <v>0</v>
      </c>
      <c r="G42" s="254">
        <f t="array" ref="G42">_xll.AC(DB,_xll.ArrayDPT($AA42:$AE42),_xll.ArrayCOA($AG42:$AZ42),YR,PRD,_xll.ArrayDIM($BB42:$BE42))</f>
        <v>0</v>
      </c>
      <c r="H42" s="254">
        <f t="shared" si="24"/>
        <v>0</v>
      </c>
      <c r="I42" s="254"/>
      <c r="J42" s="328" t="s">
        <v>680</v>
      </c>
      <c r="K42" s="254"/>
      <c r="L42" s="254">
        <f t="array" ref="L42">_xll.ACC(DB,_xll.ArrayDPT($AA42:$AE42),_xll.ArrayCOA($AG42:$AZ42),YR,PRD,_xll.ArrayDIM($BB42:$BE42))</f>
        <v>0</v>
      </c>
      <c r="M42" s="237">
        <f t="shared" si="25"/>
        <v>0</v>
      </c>
      <c r="N42" s="254">
        <f t="array" ref="N42">_xll.BCC(DB,_xll.ArrayDPT($AA42:$AE42),_xll.ArrayCOA($AG42:$AZ42),YR,PRD,RV,_xll.ArrayDIM($BB42:$BE42))</f>
        <v>0</v>
      </c>
      <c r="O42" s="237">
        <f t="shared" si="26"/>
        <v>0</v>
      </c>
      <c r="P42" s="237">
        <f t="shared" si="27"/>
        <v>0</v>
      </c>
      <c r="Q42" s="237">
        <f t="shared" si="28"/>
        <v>0</v>
      </c>
      <c r="R42" s="254">
        <f t="array" ref="R42">_xll.ACC(DB,_xll.ArrayDPT($AA42:$AE42),_xll.ArrayCOA($AG42:$AZ42),YR-1,PRD,_xll.ArrayDIM($BB42:$BE42))</f>
        <v>0</v>
      </c>
      <c r="S42" s="237">
        <f t="shared" si="29"/>
        <v>0</v>
      </c>
      <c r="T42" s="328"/>
      <c r="U42" s="328"/>
      <c r="V42" s="328"/>
      <c r="W42" s="328"/>
      <c r="X42" s="328"/>
      <c r="Y42" s="328"/>
      <c r="Z42" s="328"/>
      <c r="AA42" s="95" t="s">
        <v>640</v>
      </c>
      <c r="AB42" s="96"/>
      <c r="AC42" s="96"/>
      <c r="AD42" s="96"/>
      <c r="AE42" s="96"/>
      <c r="AF42" s="97"/>
      <c r="AG42" s="95" t="s">
        <v>681</v>
      </c>
      <c r="AH42" s="96" t="s">
        <v>681</v>
      </c>
      <c r="AI42" s="95"/>
      <c r="AJ42" s="96"/>
      <c r="AK42" s="95"/>
      <c r="AL42" s="96"/>
      <c r="AM42" s="95"/>
      <c r="AN42" s="98"/>
      <c r="AO42" s="96"/>
      <c r="AP42" s="96"/>
      <c r="AQ42" s="95"/>
      <c r="AR42" s="98"/>
      <c r="AS42" s="96"/>
      <c r="AT42" s="96"/>
      <c r="AU42" s="95"/>
      <c r="AV42" s="98"/>
      <c r="AW42" s="96"/>
      <c r="AX42" s="96"/>
      <c r="AY42" s="95"/>
      <c r="AZ42" s="98"/>
      <c r="BA42" s="99"/>
      <c r="BB42" s="95"/>
      <c r="BC42" s="96"/>
      <c r="BD42" s="96"/>
      <c r="BE42" s="98"/>
      <c r="BF42" s="95"/>
      <c r="BG42" s="96"/>
      <c r="BH42" s="96"/>
      <c r="BI42" s="98"/>
    </row>
    <row r="43" spans="1:61" ht="12" customHeight="1">
      <c r="A43" s="254">
        <f t="array" ref="A43">_xll.AC(DB,_xll.ArrayDPT($AA43:$AE43),_xll.ArrayCOA($AG43:$AZ43),YR-1,PRD,_xll.ArrayDIM($BB43:$BE43))</f>
        <v>0</v>
      </c>
      <c r="B43" s="254">
        <f t="shared" si="20"/>
        <v>0</v>
      </c>
      <c r="C43" s="254">
        <f t="shared" si="21"/>
        <v>0</v>
      </c>
      <c r="D43" s="254">
        <f t="shared" si="22"/>
        <v>0</v>
      </c>
      <c r="E43" s="254">
        <f t="array" ref="E43">_xll.BC(DB,_xll.ArrayDPT($AA43:$AE43),_xll.ArrayCOA($AG43:$AZ43),YR,PRD,RV,_xll.ArrayDIM($BB43:$BE43))</f>
        <v>0</v>
      </c>
      <c r="F43" s="254">
        <f t="shared" si="23"/>
        <v>0</v>
      </c>
      <c r="G43" s="254">
        <f t="array" ref="G43">_xll.AC(DB,_xll.ArrayDPT($AA43:$AE43),_xll.ArrayCOA($AG43:$AZ43),YR,PRD,_xll.ArrayDIM($BB43:$BE43))</f>
        <v>0</v>
      </c>
      <c r="H43" s="254">
        <f t="shared" si="24"/>
        <v>0</v>
      </c>
      <c r="I43" s="254"/>
      <c r="J43" s="328" t="s">
        <v>682</v>
      </c>
      <c r="K43" s="254"/>
      <c r="L43" s="254">
        <f t="array" ref="L43">_xll.ACC(DB,_xll.ArrayDPT($AA43:$AE43),_xll.ArrayCOA($AG43:$AZ43),YR,PRD,_xll.ArrayDIM($BB43:$BE43))</f>
        <v>0</v>
      </c>
      <c r="M43" s="237">
        <f t="shared" si="25"/>
        <v>0</v>
      </c>
      <c r="N43" s="254">
        <f t="array" ref="N43">_xll.BCC(DB,_xll.ArrayDPT($AA43:$AE43),_xll.ArrayCOA($AG43:$AZ43),YR,PRD,RV,_xll.ArrayDIM($BB43:$BE43))</f>
        <v>0</v>
      </c>
      <c r="O43" s="237">
        <f t="shared" si="26"/>
        <v>0</v>
      </c>
      <c r="P43" s="237">
        <f t="shared" si="27"/>
        <v>0</v>
      </c>
      <c r="Q43" s="237">
        <f t="shared" si="28"/>
        <v>0</v>
      </c>
      <c r="R43" s="254">
        <f t="array" ref="R43">_xll.ACC(DB,_xll.ArrayDPT($AA43:$AE43),_xll.ArrayCOA($AG43:$AZ43),YR-1,PRD,_xll.ArrayDIM($BB43:$BE43))</f>
        <v>0</v>
      </c>
      <c r="S43" s="237">
        <f t="shared" si="29"/>
        <v>0</v>
      </c>
      <c r="T43" s="328"/>
      <c r="U43" s="328"/>
      <c r="V43" s="328"/>
      <c r="W43" s="328"/>
      <c r="X43" s="328"/>
      <c r="Y43" s="328"/>
      <c r="Z43" s="328"/>
      <c r="AA43" s="95" t="s">
        <v>640</v>
      </c>
      <c r="AB43" s="96"/>
      <c r="AC43" s="96"/>
      <c r="AD43" s="96"/>
      <c r="AE43" s="96"/>
      <c r="AF43" s="97"/>
      <c r="AG43" s="95" t="s">
        <v>683</v>
      </c>
      <c r="AH43" s="96" t="s">
        <v>683</v>
      </c>
      <c r="AI43" s="95"/>
      <c r="AJ43" s="96"/>
      <c r="AK43" s="95"/>
      <c r="AL43" s="96"/>
      <c r="AM43" s="95"/>
      <c r="AN43" s="98"/>
      <c r="AO43" s="96"/>
      <c r="AP43" s="96"/>
      <c r="AQ43" s="95"/>
      <c r="AR43" s="98"/>
      <c r="AS43" s="96"/>
      <c r="AT43" s="96"/>
      <c r="AU43" s="95"/>
      <c r="AV43" s="98"/>
      <c r="AW43" s="96"/>
      <c r="AX43" s="96"/>
      <c r="AY43" s="95"/>
      <c r="AZ43" s="98"/>
      <c r="BA43" s="99"/>
      <c r="BB43" s="95"/>
      <c r="BC43" s="96"/>
      <c r="BD43" s="96"/>
      <c r="BE43" s="98"/>
      <c r="BF43" s="95"/>
      <c r="BG43" s="96"/>
      <c r="BH43" s="96"/>
      <c r="BI43" s="98"/>
    </row>
    <row r="44" spans="1:61" ht="12" customHeight="1">
      <c r="A44" s="254">
        <f t="array" ref="A44">_xll.AC(DB,_xll.ArrayDPT($AA44:$AE44),_xll.ArrayCOA($AG44:$AZ44),YR-1,PRD,_xll.ArrayDIM($BB44:$BE44))</f>
        <v>0</v>
      </c>
      <c r="B44" s="254">
        <f t="shared" si="20"/>
        <v>0</v>
      </c>
      <c r="C44" s="254">
        <f t="shared" si="21"/>
        <v>-120</v>
      </c>
      <c r="D44" s="254">
        <f t="shared" si="22"/>
        <v>1.5148013129792845E-3</v>
      </c>
      <c r="E44" s="254">
        <f t="array" ref="E44">_xll.BC(DB,_xll.ArrayDPT($AA44:$AE44),_xll.ArrayCOA($AG44:$AZ44),YR,PRD,RV,_xll.ArrayDIM($BB44:$BE44))</f>
        <v>0</v>
      </c>
      <c r="F44" s="254">
        <f t="shared" si="23"/>
        <v>0</v>
      </c>
      <c r="G44" s="254">
        <f t="array" ref="G44">_xll.AC(DB,_xll.ArrayDPT($AA44:$AE44),_xll.ArrayCOA($AG44:$AZ44),YR,PRD,_xll.ArrayDIM($BB44:$BE44))</f>
        <v>120</v>
      </c>
      <c r="H44" s="254">
        <f t="shared" si="24"/>
        <v>1.5148013129792845E-3</v>
      </c>
      <c r="I44" s="254"/>
      <c r="J44" s="328" t="s">
        <v>684</v>
      </c>
      <c r="K44" s="254"/>
      <c r="L44" s="254">
        <f t="array" ref="L44">_xll.ACC(DB,_xll.ArrayDPT($AA44:$AE44),_xll.ArrayCOA($AG44:$AZ44),YR,PRD,_xll.ArrayDIM($BB44:$BE44))</f>
        <v>120</v>
      </c>
      <c r="M44" s="237">
        <f t="shared" si="25"/>
        <v>1.5148013129792845E-3</v>
      </c>
      <c r="N44" s="254">
        <f t="array" ref="N44">_xll.BCC(DB,_xll.ArrayDPT($AA44:$AE44),_xll.ArrayCOA($AG44:$AZ44),YR,PRD,RV,_xll.ArrayDIM($BB44:$BE44))</f>
        <v>0</v>
      </c>
      <c r="O44" s="237">
        <f t="shared" si="26"/>
        <v>0</v>
      </c>
      <c r="P44" s="237">
        <f t="shared" si="27"/>
        <v>-120</v>
      </c>
      <c r="Q44" s="237">
        <f t="shared" si="28"/>
        <v>1.5148013129792845E-3</v>
      </c>
      <c r="R44" s="254">
        <f t="array" ref="R44">_xll.ACC(DB,_xll.ArrayDPT($AA44:$AE44),_xll.ArrayCOA($AG44:$AZ44),YR-1,PRD,_xll.ArrayDIM($BB44:$BE44))</f>
        <v>0</v>
      </c>
      <c r="S44" s="237">
        <f t="shared" si="29"/>
        <v>0</v>
      </c>
      <c r="T44" s="328"/>
      <c r="U44" s="328"/>
      <c r="V44" s="328"/>
      <c r="W44" s="328"/>
      <c r="X44" s="328"/>
      <c r="Y44" s="328"/>
      <c r="Z44" s="328"/>
      <c r="AA44" s="95" t="s">
        <v>640</v>
      </c>
      <c r="AB44" s="96"/>
      <c r="AC44" s="96"/>
      <c r="AD44" s="96"/>
      <c r="AE44" s="96"/>
      <c r="AF44" s="97"/>
      <c r="AG44" s="95" t="s">
        <v>685</v>
      </c>
      <c r="AH44" s="96" t="s">
        <v>685</v>
      </c>
      <c r="AI44" s="95"/>
      <c r="AJ44" s="96"/>
      <c r="AK44" s="95"/>
      <c r="AL44" s="96"/>
      <c r="AM44" s="95"/>
      <c r="AN44" s="98"/>
      <c r="AO44" s="96"/>
      <c r="AP44" s="96"/>
      <c r="AQ44" s="95"/>
      <c r="AR44" s="98"/>
      <c r="AS44" s="96"/>
      <c r="AT44" s="96"/>
      <c r="AU44" s="95"/>
      <c r="AV44" s="98"/>
      <c r="AW44" s="96"/>
      <c r="AX44" s="96"/>
      <c r="AY44" s="95"/>
      <c r="AZ44" s="98"/>
      <c r="BA44" s="99"/>
      <c r="BB44" s="95"/>
      <c r="BC44" s="96"/>
      <c r="BD44" s="96"/>
      <c r="BE44" s="98"/>
      <c r="BF44" s="95"/>
      <c r="BG44" s="96"/>
      <c r="BH44" s="96"/>
      <c r="BI44" s="98"/>
    </row>
    <row r="45" spans="1:61" ht="12" customHeight="1">
      <c r="A45" s="254">
        <f t="array" ref="A45">_xll.AC(DB,_xll.ArrayDPT($AA45:$AE45),_xll.ArrayCOA($AG45:$AZ45),YR-1,PRD,_xll.ArrayDIM($BB45:$BE45))</f>
        <v>0</v>
      </c>
      <c r="B45" s="254">
        <f t="shared" si="20"/>
        <v>0</v>
      </c>
      <c r="C45" s="254">
        <f t="shared" si="21"/>
        <v>0</v>
      </c>
      <c r="D45" s="254">
        <f t="shared" si="22"/>
        <v>0</v>
      </c>
      <c r="E45" s="254">
        <f t="array" ref="E45">_xll.BC(DB,_xll.ArrayDPT($AA45:$AE45),_xll.ArrayCOA($AG45:$AZ45),YR,PRD,RV,_xll.ArrayDIM($BB45:$BE45))</f>
        <v>0</v>
      </c>
      <c r="F45" s="254">
        <f t="shared" si="23"/>
        <v>0</v>
      </c>
      <c r="G45" s="254">
        <f t="array" ref="G45">_xll.AC(DB,_xll.ArrayDPT($AA45:$AE45),_xll.ArrayCOA($AG45:$AZ45),YR,PRD,_xll.ArrayDIM($BB45:$BE45))</f>
        <v>0</v>
      </c>
      <c r="H45" s="254">
        <f t="shared" si="24"/>
        <v>0</v>
      </c>
      <c r="I45" s="254"/>
      <c r="J45" s="328" t="s">
        <v>686</v>
      </c>
      <c r="K45" s="254"/>
      <c r="L45" s="254">
        <f t="array" ref="L45">_xll.ACC(DB,_xll.ArrayDPT($AA45:$AE45),_xll.ArrayCOA($AG45:$AZ45),YR,PRD,_xll.ArrayDIM($BB45:$BE45))</f>
        <v>0</v>
      </c>
      <c r="M45" s="237">
        <f t="shared" si="25"/>
        <v>0</v>
      </c>
      <c r="N45" s="254">
        <f t="array" ref="N45">_xll.BCC(DB,_xll.ArrayDPT($AA45:$AE45),_xll.ArrayCOA($AG45:$AZ45),YR,PRD,RV,_xll.ArrayDIM($BB45:$BE45))</f>
        <v>0</v>
      </c>
      <c r="O45" s="237">
        <f t="shared" si="26"/>
        <v>0</v>
      </c>
      <c r="P45" s="237">
        <f t="shared" si="27"/>
        <v>0</v>
      </c>
      <c r="Q45" s="237">
        <f t="shared" si="28"/>
        <v>0</v>
      </c>
      <c r="R45" s="254">
        <f t="array" ref="R45">_xll.ACC(DB,_xll.ArrayDPT($AA45:$AE45),_xll.ArrayCOA($AG45:$AZ45),YR-1,PRD,_xll.ArrayDIM($BB45:$BE45))</f>
        <v>0</v>
      </c>
      <c r="S45" s="237">
        <f t="shared" si="29"/>
        <v>0</v>
      </c>
      <c r="T45" s="328"/>
      <c r="U45" s="328"/>
      <c r="V45" s="328"/>
      <c r="W45" s="328"/>
      <c r="X45" s="328"/>
      <c r="Y45" s="328"/>
      <c r="Z45" s="328"/>
      <c r="AA45" s="95"/>
      <c r="AB45" s="96"/>
      <c r="AC45" s="96"/>
      <c r="AD45" s="96"/>
      <c r="AE45" s="96"/>
      <c r="AF45" s="97"/>
      <c r="AG45" s="95"/>
      <c r="AH45" s="96"/>
      <c r="AI45" s="95"/>
      <c r="AJ45" s="96"/>
      <c r="AK45" s="95"/>
      <c r="AL45" s="96"/>
      <c r="AM45" s="95"/>
      <c r="AN45" s="98"/>
      <c r="AO45" s="96"/>
      <c r="AP45" s="96"/>
      <c r="AQ45" s="95"/>
      <c r="AR45" s="98"/>
      <c r="AS45" s="96"/>
      <c r="AT45" s="96"/>
      <c r="AU45" s="95"/>
      <c r="AV45" s="98"/>
      <c r="AW45" s="96"/>
      <c r="AX45" s="96"/>
      <c r="AY45" s="95"/>
      <c r="AZ45" s="98"/>
      <c r="BA45" s="99"/>
      <c r="BB45" s="95"/>
      <c r="BC45" s="96"/>
      <c r="BD45" s="96"/>
      <c r="BE45" s="98"/>
      <c r="BF45" s="95"/>
      <c r="BG45" s="96"/>
      <c r="BH45" s="96"/>
      <c r="BI45" s="98"/>
    </row>
    <row r="46" spans="1:61" ht="12" customHeight="1">
      <c r="A46" s="254">
        <f t="array" ref="A46">_xll.AC(DB,_xll.ArrayDPT($AA46:$AE46),_xll.ArrayCOA($AG46:$AZ46),YR-1,PRD,_xll.ArrayDIM($BB46:$BE46))</f>
        <v>0</v>
      </c>
      <c r="B46" s="254">
        <f t="shared" si="20"/>
        <v>0</v>
      </c>
      <c r="C46" s="254">
        <f t="shared" si="21"/>
        <v>0</v>
      </c>
      <c r="D46" s="254">
        <f t="shared" si="22"/>
        <v>0</v>
      </c>
      <c r="E46" s="254">
        <f t="array" ref="E46">_xll.BC(DB,_xll.ArrayDPT($AA46:$AE46),_xll.ArrayCOA($AG46:$AZ46),YR,PRD,RV,_xll.ArrayDIM($BB46:$BE46))</f>
        <v>0</v>
      </c>
      <c r="F46" s="254">
        <f t="shared" si="23"/>
        <v>0</v>
      </c>
      <c r="G46" s="254">
        <f t="array" ref="G46">_xll.AC(DB,_xll.ArrayDPT($AA46:$AE46),_xll.ArrayCOA($AG46:$AZ46),YR,PRD,_xll.ArrayDIM($BB46:$BE46))</f>
        <v>0</v>
      </c>
      <c r="H46" s="254">
        <f t="shared" si="24"/>
        <v>0</v>
      </c>
      <c r="I46" s="254"/>
      <c r="J46" s="328" t="s">
        <v>687</v>
      </c>
      <c r="K46" s="254"/>
      <c r="L46" s="254">
        <f t="array" ref="L46">_xll.ACC(DB,_xll.ArrayDPT($AA46:$AE46),_xll.ArrayCOA($AG46:$AZ46),YR,PRD,_xll.ArrayDIM($BB46:$BE46))</f>
        <v>0</v>
      </c>
      <c r="M46" s="237">
        <f t="shared" si="25"/>
        <v>0</v>
      </c>
      <c r="N46" s="254">
        <f t="array" ref="N46">_xll.BCC(DB,_xll.ArrayDPT($AA46:$AE46),_xll.ArrayCOA($AG46:$AZ46),YR,PRD,RV,_xll.ArrayDIM($BB46:$BE46))</f>
        <v>0</v>
      </c>
      <c r="O46" s="237">
        <f t="shared" si="26"/>
        <v>0</v>
      </c>
      <c r="P46" s="237">
        <f t="shared" si="27"/>
        <v>0</v>
      </c>
      <c r="Q46" s="237">
        <f t="shared" si="28"/>
        <v>0</v>
      </c>
      <c r="R46" s="254">
        <f t="array" ref="R46">_xll.ACC(DB,_xll.ArrayDPT($AA46:$AE46),_xll.ArrayCOA($AG46:$AZ46),YR-1,PRD,_xll.ArrayDIM($BB46:$BE46))</f>
        <v>0</v>
      </c>
      <c r="S46" s="237">
        <f t="shared" si="29"/>
        <v>0</v>
      </c>
      <c r="T46" s="328"/>
      <c r="U46" s="328"/>
      <c r="V46" s="328"/>
      <c r="W46" s="328"/>
      <c r="X46" s="328"/>
      <c r="Y46" s="328"/>
      <c r="Z46" s="328"/>
      <c r="AA46" s="95" t="s">
        <v>640</v>
      </c>
      <c r="AB46" s="96"/>
      <c r="AC46" s="96"/>
      <c r="AD46" s="96"/>
      <c r="AE46" s="96"/>
      <c r="AF46" s="97"/>
      <c r="AG46" s="95" t="s">
        <v>688</v>
      </c>
      <c r="AH46" s="96" t="s">
        <v>688</v>
      </c>
      <c r="AI46" s="95"/>
      <c r="AJ46" s="96"/>
      <c r="AK46" s="95"/>
      <c r="AL46" s="96"/>
      <c r="AM46" s="95"/>
      <c r="AN46" s="98"/>
      <c r="AO46" s="96"/>
      <c r="AP46" s="96"/>
      <c r="AQ46" s="95"/>
      <c r="AR46" s="98"/>
      <c r="AS46" s="96"/>
      <c r="AT46" s="96"/>
      <c r="AU46" s="95"/>
      <c r="AV46" s="98"/>
      <c r="AW46" s="96"/>
      <c r="AX46" s="96"/>
      <c r="AY46" s="95"/>
      <c r="AZ46" s="98"/>
      <c r="BA46" s="99"/>
      <c r="BB46" s="95"/>
      <c r="BC46" s="96"/>
      <c r="BD46" s="96"/>
      <c r="BE46" s="98"/>
      <c r="BF46" s="95"/>
      <c r="BG46" s="96"/>
      <c r="BH46" s="96"/>
      <c r="BI46" s="98"/>
    </row>
    <row r="47" spans="1:61" ht="12" customHeight="1">
      <c r="A47" s="254">
        <f t="array" ref="A47">_xll.AC(DB,_xll.ArrayDPT($AA47:$AE47),_xll.ArrayCOA($AG47:$AZ47),YR-1,PRD,_xll.ArrayDIM($BB47:$BE47))</f>
        <v>0</v>
      </c>
      <c r="B47" s="254">
        <f t="shared" si="20"/>
        <v>0</v>
      </c>
      <c r="C47" s="254">
        <f t="shared" si="21"/>
        <v>0</v>
      </c>
      <c r="D47" s="254">
        <f t="shared" si="22"/>
        <v>0</v>
      </c>
      <c r="E47" s="254">
        <f t="array" ref="E47">_xll.BC(DB,_xll.ArrayDPT($AA47:$AE47),_xll.ArrayCOA($AG47:$AZ47),YR,PRD,RV,_xll.ArrayDIM($BB47:$BE47))</f>
        <v>0</v>
      </c>
      <c r="F47" s="254">
        <f t="shared" si="23"/>
        <v>0</v>
      </c>
      <c r="G47" s="254">
        <f t="array" ref="G47">_xll.AC(DB,_xll.ArrayDPT($AA47:$AE47),_xll.ArrayCOA($AG47:$AZ47),YR,PRD,_xll.ArrayDIM($BB47:$BE47))</f>
        <v>0</v>
      </c>
      <c r="H47" s="254">
        <f t="shared" si="24"/>
        <v>0</v>
      </c>
      <c r="I47" s="254"/>
      <c r="J47" s="328" t="s">
        <v>689</v>
      </c>
      <c r="K47" s="254"/>
      <c r="L47" s="254">
        <f t="array" ref="L47">_xll.ACC(DB,_xll.ArrayDPT($AA47:$AE47),_xll.ArrayCOA($AG47:$AZ47),YR,PRD,_xll.ArrayDIM($BB47:$BE47))</f>
        <v>0</v>
      </c>
      <c r="M47" s="237">
        <f t="shared" si="25"/>
        <v>0</v>
      </c>
      <c r="N47" s="254">
        <f t="array" ref="N47">_xll.BCC(DB,_xll.ArrayDPT($AA47:$AE47),_xll.ArrayCOA($AG47:$AZ47),YR,PRD,RV,_xll.ArrayDIM($BB47:$BE47))</f>
        <v>0</v>
      </c>
      <c r="O47" s="237">
        <f t="shared" si="26"/>
        <v>0</v>
      </c>
      <c r="P47" s="237">
        <f t="shared" si="27"/>
        <v>0</v>
      </c>
      <c r="Q47" s="237">
        <f t="shared" si="28"/>
        <v>0</v>
      </c>
      <c r="R47" s="254">
        <f t="array" ref="R47">_xll.ACC(DB,_xll.ArrayDPT($AA47:$AE47),_xll.ArrayCOA($AG47:$AZ47),YR-1,PRD,_xll.ArrayDIM($BB47:$BE47))</f>
        <v>0</v>
      </c>
      <c r="S47" s="237">
        <f t="shared" si="29"/>
        <v>0</v>
      </c>
      <c r="T47" s="328"/>
      <c r="U47" s="328"/>
      <c r="V47" s="328"/>
      <c r="W47" s="328"/>
      <c r="X47" s="328"/>
      <c r="Y47" s="328"/>
      <c r="Z47" s="328"/>
      <c r="AA47" s="95" t="s">
        <v>640</v>
      </c>
      <c r="AB47" s="96"/>
      <c r="AC47" s="96"/>
      <c r="AD47" s="96"/>
      <c r="AE47" s="96"/>
      <c r="AF47" s="97"/>
      <c r="AG47" s="95" t="s">
        <v>690</v>
      </c>
      <c r="AH47" s="96" t="s">
        <v>690</v>
      </c>
      <c r="AI47" s="95"/>
      <c r="AJ47" s="96"/>
      <c r="AK47" s="95"/>
      <c r="AL47" s="96"/>
      <c r="AM47" s="95"/>
      <c r="AN47" s="98"/>
      <c r="AO47" s="96"/>
      <c r="AP47" s="96"/>
      <c r="AQ47" s="95"/>
      <c r="AR47" s="98"/>
      <c r="AS47" s="96"/>
      <c r="AT47" s="96"/>
      <c r="AU47" s="95"/>
      <c r="AV47" s="98"/>
      <c r="AW47" s="96"/>
      <c r="AX47" s="96"/>
      <c r="AY47" s="95"/>
      <c r="AZ47" s="98"/>
      <c r="BA47" s="99"/>
      <c r="BB47" s="95"/>
      <c r="BC47" s="96"/>
      <c r="BD47" s="96"/>
      <c r="BE47" s="98"/>
      <c r="BF47" s="95"/>
      <c r="BG47" s="96"/>
      <c r="BH47" s="96"/>
      <c r="BI47" s="98"/>
    </row>
    <row r="48" spans="1:61" ht="12" customHeight="1">
      <c r="A48" s="254">
        <f t="array" ref="A48">_xll.AC(DB,_xll.ArrayDPT($AA48:$AE48),_xll.ArrayCOA($AG48:$AZ48),YR-1,PRD,_xll.ArrayDIM($BB48:$BE48))</f>
        <v>0</v>
      </c>
      <c r="B48" s="254">
        <f t="shared" si="20"/>
        <v>0</v>
      </c>
      <c r="C48" s="254">
        <f t="shared" si="21"/>
        <v>0</v>
      </c>
      <c r="D48" s="254">
        <f t="shared" si="22"/>
        <v>0</v>
      </c>
      <c r="E48" s="254">
        <f t="array" ref="E48">_xll.BC(DB,_xll.ArrayDPT($AA48:$AE48),_xll.ArrayCOA($AG48:$AZ48),YR,PRD,RV,_xll.ArrayDIM($BB48:$BE48))</f>
        <v>0</v>
      </c>
      <c r="F48" s="254">
        <f t="shared" si="23"/>
        <v>0</v>
      </c>
      <c r="G48" s="254">
        <f t="array" ref="G48">_xll.AC(DB,_xll.ArrayDPT($AA48:$AE48),_xll.ArrayCOA($AG48:$AZ48),YR,PRD,_xll.ArrayDIM($BB48:$BE48))</f>
        <v>0</v>
      </c>
      <c r="H48" s="254">
        <f t="shared" si="24"/>
        <v>0</v>
      </c>
      <c r="I48" s="254"/>
      <c r="J48" s="328" t="s">
        <v>691</v>
      </c>
      <c r="K48" s="254"/>
      <c r="L48" s="254">
        <f t="array" ref="L48">_xll.ACC(DB,_xll.ArrayDPT($AA48:$AE48),_xll.ArrayCOA($AG48:$AZ48),YR,PRD,_xll.ArrayDIM($BB48:$BE48))</f>
        <v>0</v>
      </c>
      <c r="M48" s="237">
        <f t="shared" si="25"/>
        <v>0</v>
      </c>
      <c r="N48" s="254">
        <f t="array" ref="N48">_xll.BCC(DB,_xll.ArrayDPT($AA48:$AE48),_xll.ArrayCOA($AG48:$AZ48),YR,PRD,RV,_xll.ArrayDIM($BB48:$BE48))</f>
        <v>0</v>
      </c>
      <c r="O48" s="237">
        <f t="shared" si="26"/>
        <v>0</v>
      </c>
      <c r="P48" s="237">
        <f t="shared" si="27"/>
        <v>0</v>
      </c>
      <c r="Q48" s="237">
        <f t="shared" si="28"/>
        <v>0</v>
      </c>
      <c r="R48" s="254">
        <f t="array" ref="R48">_xll.ACC(DB,_xll.ArrayDPT($AA48:$AE48),_xll.ArrayCOA($AG48:$AZ48),YR-1,PRD,_xll.ArrayDIM($BB48:$BE48))</f>
        <v>0</v>
      </c>
      <c r="S48" s="237">
        <f t="shared" si="29"/>
        <v>0</v>
      </c>
      <c r="T48" s="328"/>
      <c r="U48" s="328"/>
      <c r="V48" s="328"/>
      <c r="W48" s="328"/>
      <c r="X48" s="328"/>
      <c r="Y48" s="328"/>
      <c r="Z48" s="328"/>
      <c r="AA48" s="95" t="s">
        <v>640</v>
      </c>
      <c r="AB48" s="96"/>
      <c r="AC48" s="96"/>
      <c r="AD48" s="96"/>
      <c r="AE48" s="96"/>
      <c r="AF48" s="97"/>
      <c r="AG48" s="95" t="s">
        <v>692</v>
      </c>
      <c r="AH48" s="96" t="s">
        <v>692</v>
      </c>
      <c r="AI48" s="95"/>
      <c r="AJ48" s="96"/>
      <c r="AK48" s="95"/>
      <c r="AL48" s="96"/>
      <c r="AM48" s="95"/>
      <c r="AN48" s="98"/>
      <c r="AO48" s="96"/>
      <c r="AP48" s="96"/>
      <c r="AQ48" s="95"/>
      <c r="AR48" s="98"/>
      <c r="AS48" s="96"/>
      <c r="AT48" s="96"/>
      <c r="AU48" s="95"/>
      <c r="AV48" s="98"/>
      <c r="AW48" s="96"/>
      <c r="AX48" s="96"/>
      <c r="AY48" s="95"/>
      <c r="AZ48" s="98"/>
      <c r="BA48" s="99"/>
      <c r="BB48" s="95"/>
      <c r="BC48" s="96"/>
      <c r="BD48" s="96"/>
      <c r="BE48" s="98"/>
      <c r="BF48" s="95"/>
      <c r="BG48" s="96"/>
      <c r="BH48" s="96"/>
      <c r="BI48" s="98"/>
    </row>
    <row r="49" spans="1:61" ht="12" customHeight="1">
      <c r="A49" s="254">
        <f t="array" ref="A49">_xll.AC(DB,_xll.ArrayDPT($AA49:$AE49),_xll.ArrayCOA($AG49:$AZ49),YR-1,PRD,_xll.ArrayDIM($BB49:$BE49))</f>
        <v>0</v>
      </c>
      <c r="B49" s="254">
        <f t="shared" si="20"/>
        <v>0</v>
      </c>
      <c r="C49" s="254">
        <f t="shared" si="21"/>
        <v>0</v>
      </c>
      <c r="D49" s="254">
        <f t="shared" si="22"/>
        <v>0</v>
      </c>
      <c r="E49" s="254">
        <f t="array" ref="E49">_xll.BC(DB,_xll.ArrayDPT($AA49:$AE49),_xll.ArrayCOA($AG49:$AZ49),YR,PRD,RV,_xll.ArrayDIM($BB49:$BE49))</f>
        <v>0</v>
      </c>
      <c r="F49" s="254">
        <f t="shared" si="23"/>
        <v>0</v>
      </c>
      <c r="G49" s="254">
        <f t="array" ref="G49">_xll.AC(DB,_xll.ArrayDPT($AA49:$AE49),_xll.ArrayCOA($AG49:$AZ49),YR,PRD,_xll.ArrayDIM($BB49:$BE49))</f>
        <v>0</v>
      </c>
      <c r="H49" s="254">
        <f t="shared" si="24"/>
        <v>0</v>
      </c>
      <c r="I49" s="254"/>
      <c r="J49" s="328" t="s">
        <v>693</v>
      </c>
      <c r="K49" s="254"/>
      <c r="L49" s="254">
        <f t="array" ref="L49">_xll.ACC(DB,_xll.ArrayDPT($AA49:$AE49),_xll.ArrayCOA($AG49:$AZ49),YR,PRD,_xll.ArrayDIM($BB49:$BE49))</f>
        <v>0</v>
      </c>
      <c r="M49" s="237">
        <f t="shared" si="25"/>
        <v>0</v>
      </c>
      <c r="N49" s="254">
        <f t="array" ref="N49">_xll.BCC(DB,_xll.ArrayDPT($AA49:$AE49),_xll.ArrayCOA($AG49:$AZ49),YR,PRD,RV,_xll.ArrayDIM($BB49:$BE49))</f>
        <v>0</v>
      </c>
      <c r="O49" s="237">
        <f t="shared" si="26"/>
        <v>0</v>
      </c>
      <c r="P49" s="237">
        <f t="shared" si="27"/>
        <v>0</v>
      </c>
      <c r="Q49" s="237">
        <f t="shared" si="28"/>
        <v>0</v>
      </c>
      <c r="R49" s="254">
        <f t="array" ref="R49">_xll.ACC(DB,_xll.ArrayDPT($AA49:$AE49),_xll.ArrayCOA($AG49:$AZ49),YR-1,PRD,_xll.ArrayDIM($BB49:$BE49))</f>
        <v>0</v>
      </c>
      <c r="S49" s="237">
        <f t="shared" si="29"/>
        <v>0</v>
      </c>
      <c r="T49" s="328"/>
      <c r="U49" s="328"/>
      <c r="V49" s="328"/>
      <c r="W49" s="328"/>
      <c r="X49" s="328"/>
      <c r="Y49" s="328"/>
      <c r="Z49" s="328"/>
      <c r="AA49" s="95" t="s">
        <v>640</v>
      </c>
      <c r="AB49" s="96"/>
      <c r="AC49" s="96"/>
      <c r="AD49" s="96"/>
      <c r="AE49" s="96"/>
      <c r="AF49" s="97"/>
      <c r="AG49" s="95" t="s">
        <v>694</v>
      </c>
      <c r="AH49" s="96" t="s">
        <v>694</v>
      </c>
      <c r="AI49" s="95"/>
      <c r="AJ49" s="96"/>
      <c r="AK49" s="95"/>
      <c r="AL49" s="96"/>
      <c r="AM49" s="95"/>
      <c r="AN49" s="98"/>
      <c r="AO49" s="96"/>
      <c r="AP49" s="96"/>
      <c r="AQ49" s="95"/>
      <c r="AR49" s="98"/>
      <c r="AS49" s="96"/>
      <c r="AT49" s="96"/>
      <c r="AU49" s="95"/>
      <c r="AV49" s="98"/>
      <c r="AW49" s="96"/>
      <c r="AX49" s="96"/>
      <c r="AY49" s="95"/>
      <c r="AZ49" s="98"/>
      <c r="BA49" s="99"/>
      <c r="BB49" s="95"/>
      <c r="BC49" s="96"/>
      <c r="BD49" s="96"/>
      <c r="BE49" s="98"/>
      <c r="BF49" s="95"/>
      <c r="BG49" s="96"/>
      <c r="BH49" s="96"/>
      <c r="BI49" s="98"/>
    </row>
    <row r="50" spans="1:61" ht="12" customHeight="1">
      <c r="A50" s="254">
        <f t="array" ref="A50">_xll.AC(DB,_xll.ArrayDPT($AA50:$AE50),_xll.ArrayCOA($AG50:$AZ50),YR-1,PRD,_xll.ArrayDIM($BB50:$BE50))</f>
        <v>0</v>
      </c>
      <c r="B50" s="254">
        <f t="shared" si="20"/>
        <v>0</v>
      </c>
      <c r="C50" s="254">
        <f t="shared" si="21"/>
        <v>0</v>
      </c>
      <c r="D50" s="254">
        <f t="shared" si="22"/>
        <v>0</v>
      </c>
      <c r="E50" s="254">
        <f t="array" ref="E50">_xll.BC(DB,_xll.ArrayDPT($AA50:$AE50),_xll.ArrayCOA($AG50:$AZ50),YR,PRD,RV,_xll.ArrayDIM($BB50:$BE50))</f>
        <v>0</v>
      </c>
      <c r="F50" s="254">
        <f t="shared" si="23"/>
        <v>0</v>
      </c>
      <c r="G50" s="254">
        <f t="array" ref="G50">_xll.AC(DB,_xll.ArrayDPT($AA50:$AE50),_xll.ArrayCOA($AG50:$AZ50),YR,PRD,_xll.ArrayDIM($BB50:$BE50))</f>
        <v>0</v>
      </c>
      <c r="H50" s="254">
        <f t="shared" si="24"/>
        <v>0</v>
      </c>
      <c r="I50" s="254"/>
      <c r="J50" s="328" t="s">
        <v>695</v>
      </c>
      <c r="K50" s="254"/>
      <c r="L50" s="254">
        <f t="array" ref="L50">_xll.ACC(DB,_xll.ArrayDPT($AA50:$AE50),_xll.ArrayCOA($AG50:$AZ50),YR,PRD,_xll.ArrayDIM($BB50:$BE50))</f>
        <v>0</v>
      </c>
      <c r="M50" s="237">
        <f t="shared" si="25"/>
        <v>0</v>
      </c>
      <c r="N50" s="254">
        <f t="array" ref="N50">_xll.BCC(DB,_xll.ArrayDPT($AA50:$AE50),_xll.ArrayCOA($AG50:$AZ50),YR,PRD,RV,_xll.ArrayDIM($BB50:$BE50))</f>
        <v>0</v>
      </c>
      <c r="O50" s="237">
        <f t="shared" si="26"/>
        <v>0</v>
      </c>
      <c r="P50" s="237">
        <f t="shared" si="27"/>
        <v>0</v>
      </c>
      <c r="Q50" s="237">
        <f t="shared" si="28"/>
        <v>0</v>
      </c>
      <c r="R50" s="254">
        <f t="array" ref="R50">_xll.ACC(DB,_xll.ArrayDPT($AA50:$AE50),_xll.ArrayCOA($AG50:$AZ50),YR-1,PRD,_xll.ArrayDIM($BB50:$BE50))</f>
        <v>0</v>
      </c>
      <c r="S50" s="237">
        <f t="shared" si="29"/>
        <v>0</v>
      </c>
      <c r="T50" s="328"/>
      <c r="U50" s="328"/>
      <c r="V50" s="328"/>
      <c r="W50" s="328"/>
      <c r="X50" s="328"/>
      <c r="Y50" s="328"/>
      <c r="Z50" s="328"/>
      <c r="AA50" s="95" t="s">
        <v>640</v>
      </c>
      <c r="AB50" s="96"/>
      <c r="AC50" s="96"/>
      <c r="AD50" s="96"/>
      <c r="AE50" s="96"/>
      <c r="AF50" s="97"/>
      <c r="AG50" s="95" t="s">
        <v>696</v>
      </c>
      <c r="AH50" s="96" t="s">
        <v>696</v>
      </c>
      <c r="AI50" s="95"/>
      <c r="AJ50" s="96"/>
      <c r="AK50" s="95"/>
      <c r="AL50" s="96"/>
      <c r="AM50" s="95"/>
      <c r="AN50" s="98"/>
      <c r="AO50" s="96"/>
      <c r="AP50" s="96"/>
      <c r="AQ50" s="95"/>
      <c r="AR50" s="98"/>
      <c r="AS50" s="96"/>
      <c r="AT50" s="96"/>
      <c r="AU50" s="95"/>
      <c r="AV50" s="98"/>
      <c r="AW50" s="96"/>
      <c r="AX50" s="96"/>
      <c r="AY50" s="95"/>
      <c r="AZ50" s="98"/>
      <c r="BA50" s="99"/>
      <c r="BB50" s="95"/>
      <c r="BC50" s="96"/>
      <c r="BD50" s="96"/>
      <c r="BE50" s="98"/>
      <c r="BF50" s="95"/>
      <c r="BG50" s="96"/>
      <c r="BH50" s="96"/>
      <c r="BI50" s="98"/>
    </row>
    <row r="51" spans="1:61" ht="12" customHeight="1">
      <c r="A51" s="254">
        <f t="array" ref="A51">_xll.AC(DB,_xll.ArrayDPT($AA51:$AE51),_xll.ArrayCOA($AG51:$AZ51),YR-1,PRD,_xll.ArrayDIM($BB51:$BE51))</f>
        <v>0</v>
      </c>
      <c r="B51" s="254">
        <f t="shared" si="20"/>
        <v>0</v>
      </c>
      <c r="C51" s="254">
        <f t="shared" si="21"/>
        <v>0</v>
      </c>
      <c r="D51" s="254">
        <f t="shared" si="22"/>
        <v>0</v>
      </c>
      <c r="E51" s="254">
        <f t="array" ref="E51">_xll.BC(DB,_xll.ArrayDPT($AA51:$AE51),_xll.ArrayCOA($AG51:$AZ51),YR,PRD,RV,_xll.ArrayDIM($BB51:$BE51))</f>
        <v>0</v>
      </c>
      <c r="F51" s="254">
        <f t="shared" si="23"/>
        <v>0</v>
      </c>
      <c r="G51" s="254">
        <f t="array" ref="G51">_xll.AC(DB,_xll.ArrayDPT($AA51:$AE51),_xll.ArrayCOA($AG51:$AZ51),YR,PRD,_xll.ArrayDIM($BB51:$BE51))</f>
        <v>0</v>
      </c>
      <c r="H51" s="254">
        <f t="shared" si="24"/>
        <v>0</v>
      </c>
      <c r="I51" s="254"/>
      <c r="J51" s="328" t="s">
        <v>697</v>
      </c>
      <c r="K51" s="254"/>
      <c r="L51" s="254">
        <f t="array" ref="L51">_xll.ACC(DB,_xll.ArrayDPT($AA51:$AE51),_xll.ArrayCOA($AG51:$AZ51),YR,PRD,_xll.ArrayDIM($BB51:$BE51))</f>
        <v>0</v>
      </c>
      <c r="M51" s="237">
        <f t="shared" si="25"/>
        <v>0</v>
      </c>
      <c r="N51" s="254">
        <f t="array" ref="N51">_xll.BCC(DB,_xll.ArrayDPT($AA51:$AE51),_xll.ArrayCOA($AG51:$AZ51),YR,PRD,RV,_xll.ArrayDIM($BB51:$BE51))</f>
        <v>0</v>
      </c>
      <c r="O51" s="237">
        <f t="shared" si="26"/>
        <v>0</v>
      </c>
      <c r="P51" s="237">
        <f t="shared" si="27"/>
        <v>0</v>
      </c>
      <c r="Q51" s="237">
        <f t="shared" si="28"/>
        <v>0</v>
      </c>
      <c r="R51" s="254">
        <f t="array" ref="R51">_xll.ACC(DB,_xll.ArrayDPT($AA51:$AE51),_xll.ArrayCOA($AG51:$AZ51),YR-1,PRD,_xll.ArrayDIM($BB51:$BE51))</f>
        <v>0</v>
      </c>
      <c r="S51" s="237">
        <f t="shared" si="29"/>
        <v>0</v>
      </c>
      <c r="T51" s="328"/>
      <c r="U51" s="328"/>
      <c r="V51" s="328"/>
      <c r="W51" s="328"/>
      <c r="X51" s="328"/>
      <c r="Y51" s="328"/>
      <c r="Z51" s="328"/>
      <c r="AA51" s="95" t="s">
        <v>640</v>
      </c>
      <c r="AB51" s="96"/>
      <c r="AC51" s="96"/>
      <c r="AD51" s="96"/>
      <c r="AE51" s="96"/>
      <c r="AF51" s="97"/>
      <c r="AG51" s="95" t="s">
        <v>698</v>
      </c>
      <c r="AH51" s="96" t="s">
        <v>698</v>
      </c>
      <c r="AI51" s="95"/>
      <c r="AJ51" s="96"/>
      <c r="AK51" s="95"/>
      <c r="AL51" s="96"/>
      <c r="AM51" s="95"/>
      <c r="AN51" s="98"/>
      <c r="AO51" s="96"/>
      <c r="AP51" s="96"/>
      <c r="AQ51" s="95"/>
      <c r="AR51" s="98"/>
      <c r="AS51" s="96"/>
      <c r="AT51" s="96"/>
      <c r="AU51" s="95"/>
      <c r="AV51" s="98"/>
      <c r="AW51" s="96"/>
      <c r="AX51" s="96"/>
      <c r="AY51" s="95"/>
      <c r="AZ51" s="98"/>
      <c r="BA51" s="99"/>
      <c r="BB51" s="95"/>
      <c r="BC51" s="96"/>
      <c r="BD51" s="96"/>
      <c r="BE51" s="98"/>
      <c r="BF51" s="95"/>
      <c r="BG51" s="96"/>
      <c r="BH51" s="96"/>
      <c r="BI51" s="98"/>
    </row>
    <row r="52" spans="1:61" ht="12" customHeight="1">
      <c r="A52" s="254">
        <f t="array" ref="A52">_xll.AC(DB,_xll.ArrayDPT($AA52:$AE52),_xll.ArrayCOA($AG52:$AZ52),YR-1,PRD,_xll.ArrayDIM($BB52:$BE52))</f>
        <v>0</v>
      </c>
      <c r="B52" s="254">
        <f t="shared" si="20"/>
        <v>0</v>
      </c>
      <c r="C52" s="254">
        <f t="shared" si="21"/>
        <v>0</v>
      </c>
      <c r="D52" s="254">
        <f t="shared" si="22"/>
        <v>0</v>
      </c>
      <c r="E52" s="254">
        <f t="array" ref="E52">_xll.BC(DB,_xll.ArrayDPT($AA52:$AE52),_xll.ArrayCOA($AG52:$AZ52),YR,PRD,RV,_xll.ArrayDIM($BB52:$BE52))</f>
        <v>0</v>
      </c>
      <c r="F52" s="254">
        <f t="shared" si="23"/>
        <v>0</v>
      </c>
      <c r="G52" s="254">
        <f t="array" ref="G52">_xll.AC(DB,_xll.ArrayDPT($AA52:$AE52),_xll.ArrayCOA($AG52:$AZ52),YR,PRD,_xll.ArrayDIM($BB52:$BE52))</f>
        <v>0</v>
      </c>
      <c r="H52" s="254">
        <f t="shared" si="24"/>
        <v>0</v>
      </c>
      <c r="I52" s="254"/>
      <c r="J52" s="328" t="s">
        <v>699</v>
      </c>
      <c r="K52" s="254"/>
      <c r="L52" s="254">
        <f t="array" ref="L52">_xll.ACC(DB,_xll.ArrayDPT($AA52:$AE52),_xll.ArrayCOA($AG52:$AZ52),YR,PRD,_xll.ArrayDIM($BB52:$BE52))</f>
        <v>0</v>
      </c>
      <c r="M52" s="237">
        <f t="shared" si="25"/>
        <v>0</v>
      </c>
      <c r="N52" s="254">
        <f t="array" ref="N52">_xll.BCC(DB,_xll.ArrayDPT($AA52:$AE52),_xll.ArrayCOA($AG52:$AZ52),YR,PRD,RV,_xll.ArrayDIM($BB52:$BE52))</f>
        <v>0</v>
      </c>
      <c r="O52" s="237">
        <f t="shared" si="26"/>
        <v>0</v>
      </c>
      <c r="P52" s="237">
        <f t="shared" si="27"/>
        <v>0</v>
      </c>
      <c r="Q52" s="237">
        <f t="shared" si="28"/>
        <v>0</v>
      </c>
      <c r="R52" s="254">
        <f t="array" ref="R52">_xll.ACC(DB,_xll.ArrayDPT($AA52:$AE52),_xll.ArrayCOA($AG52:$AZ52),YR-1,PRD,_xll.ArrayDIM($BB52:$BE52))</f>
        <v>0</v>
      </c>
      <c r="S52" s="237">
        <f t="shared" si="29"/>
        <v>0</v>
      </c>
      <c r="T52" s="328"/>
      <c r="U52" s="328"/>
      <c r="V52" s="328"/>
      <c r="W52" s="328"/>
      <c r="X52" s="328"/>
      <c r="Y52" s="328"/>
      <c r="Z52" s="328"/>
      <c r="AA52" s="95"/>
      <c r="AB52" s="96"/>
      <c r="AC52" s="96"/>
      <c r="AD52" s="96"/>
      <c r="AE52" s="96"/>
      <c r="AF52" s="97"/>
      <c r="AG52" s="95"/>
      <c r="AH52" s="96"/>
      <c r="AI52" s="95"/>
      <c r="AJ52" s="96"/>
      <c r="AK52" s="95"/>
      <c r="AL52" s="96"/>
      <c r="AM52" s="95"/>
      <c r="AN52" s="98"/>
      <c r="AO52" s="96"/>
      <c r="AP52" s="96"/>
      <c r="AQ52" s="95"/>
      <c r="AR52" s="98"/>
      <c r="AS52" s="96"/>
      <c r="AT52" s="96"/>
      <c r="AU52" s="95"/>
      <c r="AV52" s="98"/>
      <c r="AW52" s="96"/>
      <c r="AX52" s="96"/>
      <c r="AY52" s="95"/>
      <c r="AZ52" s="98"/>
      <c r="BA52" s="99"/>
      <c r="BB52" s="95"/>
      <c r="BC52" s="96"/>
      <c r="BD52" s="96"/>
      <c r="BE52" s="98"/>
      <c r="BF52" s="95"/>
      <c r="BG52" s="96"/>
      <c r="BH52" s="96"/>
      <c r="BI52" s="98"/>
    </row>
    <row r="53" spans="1:61" ht="12" customHeight="1">
      <c r="A53" s="254">
        <f t="array" ref="A53">_xll.AC(DB,_xll.ArrayDPT($AA53:$AE53),_xll.ArrayCOA($AG53:$AZ53),YR-1,PRD,_xll.ArrayDIM($BB53:$BE53))</f>
        <v>0</v>
      </c>
      <c r="B53" s="254">
        <f t="shared" si="20"/>
        <v>0</v>
      </c>
      <c r="C53" s="254">
        <f t="shared" si="21"/>
        <v>0</v>
      </c>
      <c r="D53" s="254">
        <f t="shared" si="22"/>
        <v>0</v>
      </c>
      <c r="E53" s="254">
        <f t="array" ref="E53">_xll.BC(DB,_xll.ArrayDPT($AA53:$AE53),_xll.ArrayCOA($AG53:$AZ53),YR,PRD,RV,_xll.ArrayDIM($BB53:$BE53))</f>
        <v>0</v>
      </c>
      <c r="F53" s="254">
        <f t="shared" si="23"/>
        <v>0</v>
      </c>
      <c r="G53" s="254">
        <f t="array" ref="G53">_xll.AC(DB,_xll.ArrayDPT($AA53:$AE53),_xll.ArrayCOA($AG53:$AZ53),YR,PRD,_xll.ArrayDIM($BB53:$BE53))</f>
        <v>0</v>
      </c>
      <c r="H53" s="254">
        <f t="shared" si="24"/>
        <v>0</v>
      </c>
      <c r="I53" s="254"/>
      <c r="J53" s="328" t="s">
        <v>700</v>
      </c>
      <c r="K53" s="254"/>
      <c r="L53" s="254">
        <f t="array" ref="L53">_xll.ACC(DB,_xll.ArrayDPT($AA53:$AE53),_xll.ArrayCOA($AG53:$AZ53),YR,PRD,_xll.ArrayDIM($BB53:$BE53))</f>
        <v>0</v>
      </c>
      <c r="M53" s="237">
        <f t="shared" si="25"/>
        <v>0</v>
      </c>
      <c r="N53" s="254">
        <f t="array" ref="N53">_xll.BCC(DB,_xll.ArrayDPT($AA53:$AE53),_xll.ArrayCOA($AG53:$AZ53),YR,PRD,RV,_xll.ArrayDIM($BB53:$BE53))</f>
        <v>0</v>
      </c>
      <c r="O53" s="237">
        <f t="shared" si="26"/>
        <v>0</v>
      </c>
      <c r="P53" s="237">
        <f t="shared" si="27"/>
        <v>0</v>
      </c>
      <c r="Q53" s="237">
        <f t="shared" si="28"/>
        <v>0</v>
      </c>
      <c r="R53" s="254">
        <f t="array" ref="R53">_xll.ACC(DB,_xll.ArrayDPT($AA53:$AE53),_xll.ArrayCOA($AG53:$AZ53),YR-1,PRD,_xll.ArrayDIM($BB53:$BE53))</f>
        <v>0</v>
      </c>
      <c r="S53" s="237">
        <f t="shared" si="29"/>
        <v>0</v>
      </c>
      <c r="T53" s="328"/>
      <c r="U53" s="328"/>
      <c r="V53" s="328"/>
      <c r="W53" s="328"/>
      <c r="X53" s="328"/>
      <c r="Y53" s="328"/>
      <c r="Z53" s="328"/>
      <c r="AA53" s="95"/>
      <c r="AB53" s="96"/>
      <c r="AC53" s="96"/>
      <c r="AD53" s="96"/>
      <c r="AE53" s="96"/>
      <c r="AF53" s="97"/>
      <c r="AG53" s="95"/>
      <c r="AH53" s="96"/>
      <c r="AI53" s="95"/>
      <c r="AJ53" s="96"/>
      <c r="AK53" s="95"/>
      <c r="AL53" s="96"/>
      <c r="AM53" s="95"/>
      <c r="AN53" s="98"/>
      <c r="AO53" s="96"/>
      <c r="AP53" s="96"/>
      <c r="AQ53" s="95"/>
      <c r="AR53" s="98"/>
      <c r="AS53" s="96"/>
      <c r="AT53" s="96"/>
      <c r="AU53" s="95"/>
      <c r="AV53" s="98"/>
      <c r="AW53" s="96"/>
      <c r="AX53" s="96"/>
      <c r="AY53" s="95"/>
      <c r="AZ53" s="98"/>
      <c r="BA53" s="99"/>
      <c r="BB53" s="95"/>
      <c r="BC53" s="96"/>
      <c r="BD53" s="96"/>
      <c r="BE53" s="98"/>
      <c r="BF53" s="95"/>
      <c r="BG53" s="96"/>
      <c r="BH53" s="96"/>
      <c r="BI53" s="98"/>
    </row>
    <row r="54" spans="1:61" ht="12" customHeight="1">
      <c r="A54" s="254">
        <f t="array" ref="A54">_xll.AC(DB,_xll.ArrayDPT($AA54:$AE54),_xll.ArrayCOA($AG54:$AZ54),YR-1,PRD,_xll.ArrayDIM($BB54:$BE54))</f>
        <v>0</v>
      </c>
      <c r="B54" s="254">
        <f t="shared" si="20"/>
        <v>0</v>
      </c>
      <c r="C54" s="254">
        <f t="shared" si="21"/>
        <v>0</v>
      </c>
      <c r="D54" s="254">
        <f t="shared" si="22"/>
        <v>0</v>
      </c>
      <c r="E54" s="254">
        <f t="array" ref="E54">_xll.BC(DB,_xll.ArrayDPT($AA54:$AE54),_xll.ArrayCOA($AG54:$AZ54),YR,PRD,RV,_xll.ArrayDIM($BB54:$BE54))</f>
        <v>0</v>
      </c>
      <c r="F54" s="254">
        <f t="shared" si="23"/>
        <v>0</v>
      </c>
      <c r="G54" s="254">
        <f t="array" ref="G54">_xll.AC(DB,_xll.ArrayDPT($AA54:$AE54),_xll.ArrayCOA($AG54:$AZ54),YR,PRD,_xll.ArrayDIM($BB54:$BE54))</f>
        <v>0</v>
      </c>
      <c r="H54" s="254">
        <f t="shared" si="24"/>
        <v>0</v>
      </c>
      <c r="I54" s="254"/>
      <c r="J54" s="328" t="s">
        <v>701</v>
      </c>
      <c r="K54" s="254"/>
      <c r="L54" s="254">
        <f t="array" ref="L54">_xll.ACC(DB,_xll.ArrayDPT($AA54:$AE54),_xll.ArrayCOA($AG54:$AZ54),YR,PRD,_xll.ArrayDIM($BB54:$BE54))</f>
        <v>0</v>
      </c>
      <c r="M54" s="237">
        <f t="shared" si="25"/>
        <v>0</v>
      </c>
      <c r="N54" s="254">
        <f t="array" ref="N54">_xll.BCC(DB,_xll.ArrayDPT($AA54:$AE54),_xll.ArrayCOA($AG54:$AZ54),YR,PRD,RV,_xll.ArrayDIM($BB54:$BE54))</f>
        <v>0</v>
      </c>
      <c r="O54" s="237">
        <f t="shared" si="26"/>
        <v>0</v>
      </c>
      <c r="P54" s="237">
        <f t="shared" si="27"/>
        <v>0</v>
      </c>
      <c r="Q54" s="237">
        <f t="shared" si="28"/>
        <v>0</v>
      </c>
      <c r="R54" s="254">
        <f t="array" ref="R54">_xll.ACC(DB,_xll.ArrayDPT($AA54:$AE54),_xll.ArrayCOA($AG54:$AZ54),YR-1,PRD,_xll.ArrayDIM($BB54:$BE54))</f>
        <v>0</v>
      </c>
      <c r="S54" s="237">
        <f t="shared" si="29"/>
        <v>0</v>
      </c>
      <c r="T54" s="328"/>
      <c r="U54" s="328"/>
      <c r="V54" s="328"/>
      <c r="W54" s="328"/>
      <c r="X54" s="328"/>
      <c r="Y54" s="328"/>
      <c r="Z54" s="328"/>
      <c r="AA54" s="95" t="s">
        <v>640</v>
      </c>
      <c r="AB54" s="96"/>
      <c r="AC54" s="96"/>
      <c r="AD54" s="96"/>
      <c r="AE54" s="96"/>
      <c r="AF54" s="97"/>
      <c r="AG54" s="95" t="s">
        <v>702</v>
      </c>
      <c r="AH54" s="96" t="s">
        <v>702</v>
      </c>
      <c r="AI54" s="95"/>
      <c r="AJ54" s="96"/>
      <c r="AK54" s="95"/>
      <c r="AL54" s="96"/>
      <c r="AM54" s="95"/>
      <c r="AN54" s="98"/>
      <c r="AO54" s="96"/>
      <c r="AP54" s="96"/>
      <c r="AQ54" s="95"/>
      <c r="AR54" s="98"/>
      <c r="AS54" s="96"/>
      <c r="AT54" s="96"/>
      <c r="AU54" s="95"/>
      <c r="AV54" s="98"/>
      <c r="AW54" s="96"/>
      <c r="AX54" s="96"/>
      <c r="AY54" s="95"/>
      <c r="AZ54" s="98"/>
      <c r="BA54" s="99"/>
      <c r="BB54" s="95"/>
      <c r="BC54" s="96"/>
      <c r="BD54" s="96"/>
      <c r="BE54" s="98"/>
      <c r="BF54" s="95"/>
      <c r="BG54" s="96"/>
      <c r="BH54" s="96"/>
      <c r="BI54" s="98"/>
    </row>
    <row r="55" spans="1:61" ht="12" customHeight="1">
      <c r="A55" s="254">
        <f t="array" ref="A55">_xll.AC(DB,_xll.ArrayDPT($AA55:$AE55),_xll.ArrayCOA($AG55:$AZ55),YR-1,PRD,_xll.ArrayDIM($BB55:$BE55))</f>
        <v>0</v>
      </c>
      <c r="B55" s="254">
        <f t="shared" si="20"/>
        <v>0</v>
      </c>
      <c r="C55" s="254">
        <f t="shared" si="21"/>
        <v>0</v>
      </c>
      <c r="D55" s="254">
        <f t="shared" si="22"/>
        <v>0</v>
      </c>
      <c r="E55" s="254">
        <f t="array" ref="E55">_xll.BC(DB,_xll.ArrayDPT($AA55:$AE55),_xll.ArrayCOA($AG55:$AZ55),YR,PRD,RV,_xll.ArrayDIM($BB55:$BE55))</f>
        <v>0</v>
      </c>
      <c r="F55" s="254">
        <f t="shared" si="23"/>
        <v>0</v>
      </c>
      <c r="G55" s="254">
        <f t="array" ref="G55">_xll.AC(DB,_xll.ArrayDPT($AA55:$AE55),_xll.ArrayCOA($AG55:$AZ55),YR,PRD,_xll.ArrayDIM($BB55:$BE55))</f>
        <v>0</v>
      </c>
      <c r="H55" s="254">
        <f t="shared" si="24"/>
        <v>0</v>
      </c>
      <c r="I55" s="254"/>
      <c r="J55" s="328" t="s">
        <v>703</v>
      </c>
      <c r="K55" s="254"/>
      <c r="L55" s="254">
        <f t="array" ref="L55">_xll.ACC(DB,_xll.ArrayDPT($AA55:$AE55),_xll.ArrayCOA($AG55:$AZ55),YR,PRD,_xll.ArrayDIM($BB55:$BE55))</f>
        <v>0</v>
      </c>
      <c r="M55" s="237">
        <f t="shared" si="25"/>
        <v>0</v>
      </c>
      <c r="N55" s="254">
        <f t="array" ref="N55">_xll.BCC(DB,_xll.ArrayDPT($AA55:$AE55),_xll.ArrayCOA($AG55:$AZ55),YR,PRD,RV,_xll.ArrayDIM($BB55:$BE55))</f>
        <v>0</v>
      </c>
      <c r="O55" s="237">
        <f t="shared" si="26"/>
        <v>0</v>
      </c>
      <c r="P55" s="237">
        <f t="shared" si="27"/>
        <v>0</v>
      </c>
      <c r="Q55" s="237">
        <f t="shared" si="28"/>
        <v>0</v>
      </c>
      <c r="R55" s="254">
        <f t="array" ref="R55">_xll.ACC(DB,_xll.ArrayDPT($AA55:$AE55),_xll.ArrayCOA($AG55:$AZ55),YR-1,PRD,_xll.ArrayDIM($BB55:$BE55))</f>
        <v>0</v>
      </c>
      <c r="S55" s="237">
        <f t="shared" si="29"/>
        <v>0</v>
      </c>
      <c r="T55" s="328"/>
      <c r="U55" s="328"/>
      <c r="V55" s="328"/>
      <c r="W55" s="328"/>
      <c r="X55" s="328"/>
      <c r="Y55" s="328"/>
      <c r="Z55" s="328"/>
      <c r="AA55" s="95" t="s">
        <v>640</v>
      </c>
      <c r="AB55" s="96"/>
      <c r="AC55" s="96"/>
      <c r="AD55" s="96"/>
      <c r="AE55" s="96"/>
      <c r="AF55" s="97"/>
      <c r="AG55" s="95" t="s">
        <v>578</v>
      </c>
      <c r="AH55" s="96" t="s">
        <v>578</v>
      </c>
      <c r="AI55" s="95"/>
      <c r="AJ55" s="96"/>
      <c r="AK55" s="95"/>
      <c r="AL55" s="96"/>
      <c r="AM55" s="95"/>
      <c r="AN55" s="98"/>
      <c r="AO55" s="96"/>
      <c r="AP55" s="96"/>
      <c r="AQ55" s="95"/>
      <c r="AR55" s="98"/>
      <c r="AS55" s="96"/>
      <c r="AT55" s="96"/>
      <c r="AU55" s="95"/>
      <c r="AV55" s="98"/>
      <c r="AW55" s="96"/>
      <c r="AX55" s="96"/>
      <c r="AY55" s="95"/>
      <c r="AZ55" s="98"/>
      <c r="BA55" s="99"/>
      <c r="BB55" s="95"/>
      <c r="BC55" s="96"/>
      <c r="BD55" s="96"/>
      <c r="BE55" s="98"/>
      <c r="BF55" s="95"/>
      <c r="BG55" s="96"/>
      <c r="BH55" s="96"/>
      <c r="BI55" s="98"/>
    </row>
    <row r="56" spans="1:61" ht="12" customHeight="1">
      <c r="A56" s="254">
        <f t="array" ref="A56">_xll.AC(DB,_xll.ArrayDPT($AA56:$AE56),_xll.ArrayCOA($AG56:$AZ56),YR-1,PRD,_xll.ArrayDIM($BB56:$BE56))</f>
        <v>0</v>
      </c>
      <c r="B56" s="254">
        <f t="shared" si="20"/>
        <v>0</v>
      </c>
      <c r="C56" s="254">
        <f t="shared" si="21"/>
        <v>0</v>
      </c>
      <c r="D56" s="254">
        <f t="shared" si="22"/>
        <v>0</v>
      </c>
      <c r="E56" s="254">
        <f t="array" ref="E56">_xll.BC(DB,_xll.ArrayDPT($AA56:$AE56),_xll.ArrayCOA($AG56:$AZ56),YR,PRD,RV,_xll.ArrayDIM($BB56:$BE56))</f>
        <v>0</v>
      </c>
      <c r="F56" s="254">
        <f t="shared" si="23"/>
        <v>0</v>
      </c>
      <c r="G56" s="254">
        <f t="array" ref="G56">_xll.AC(DB,_xll.ArrayDPT($AA56:$AE56),_xll.ArrayCOA($AG56:$AZ56),YR,PRD,_xll.ArrayDIM($BB56:$BE56))</f>
        <v>0</v>
      </c>
      <c r="H56" s="254">
        <f t="shared" si="24"/>
        <v>0</v>
      </c>
      <c r="I56" s="254"/>
      <c r="J56" s="328" t="s">
        <v>704</v>
      </c>
      <c r="K56" s="254"/>
      <c r="L56" s="254">
        <f t="array" ref="L56">_xll.ACC(DB,_xll.ArrayDPT($AA56:$AE56),_xll.ArrayCOA($AG56:$AZ56),YR,PRD,_xll.ArrayDIM($BB56:$BE56))</f>
        <v>0</v>
      </c>
      <c r="M56" s="237">
        <f t="shared" si="25"/>
        <v>0</v>
      </c>
      <c r="N56" s="254">
        <f t="array" ref="N56">_xll.BCC(DB,_xll.ArrayDPT($AA56:$AE56),_xll.ArrayCOA($AG56:$AZ56),YR,PRD,RV,_xll.ArrayDIM($BB56:$BE56))</f>
        <v>0</v>
      </c>
      <c r="O56" s="237">
        <f t="shared" si="26"/>
        <v>0</v>
      </c>
      <c r="P56" s="237">
        <f t="shared" si="27"/>
        <v>0</v>
      </c>
      <c r="Q56" s="237">
        <f t="shared" si="28"/>
        <v>0</v>
      </c>
      <c r="R56" s="254">
        <f t="array" ref="R56">_xll.ACC(DB,_xll.ArrayDPT($AA56:$AE56),_xll.ArrayCOA($AG56:$AZ56),YR-1,PRD,_xll.ArrayDIM($BB56:$BE56))</f>
        <v>0</v>
      </c>
      <c r="S56" s="237">
        <f t="shared" si="29"/>
        <v>0</v>
      </c>
      <c r="T56" s="328"/>
      <c r="U56" s="328"/>
      <c r="V56" s="328"/>
      <c r="W56" s="328"/>
      <c r="X56" s="328"/>
      <c r="Y56" s="328"/>
      <c r="Z56" s="328"/>
      <c r="AA56" s="95"/>
      <c r="AB56" s="96"/>
      <c r="AC56" s="96"/>
      <c r="AD56" s="96"/>
      <c r="AE56" s="96"/>
      <c r="AF56" s="97"/>
      <c r="AG56" s="95"/>
      <c r="AH56" s="96"/>
      <c r="AI56" s="95"/>
      <c r="AJ56" s="96"/>
      <c r="AK56" s="95"/>
      <c r="AL56" s="96"/>
      <c r="AM56" s="95"/>
      <c r="AN56" s="98"/>
      <c r="AO56" s="96"/>
      <c r="AP56" s="96"/>
      <c r="AQ56" s="95"/>
      <c r="AR56" s="98"/>
      <c r="AS56" s="96"/>
      <c r="AT56" s="96"/>
      <c r="AU56" s="95"/>
      <c r="AV56" s="98"/>
      <c r="AW56" s="96"/>
      <c r="AX56" s="96"/>
      <c r="AY56" s="95"/>
      <c r="AZ56" s="98"/>
      <c r="BA56" s="99"/>
      <c r="BB56" s="95"/>
      <c r="BC56" s="96"/>
      <c r="BD56" s="96"/>
      <c r="BE56" s="98"/>
      <c r="BF56" s="95"/>
      <c r="BG56" s="96"/>
      <c r="BH56" s="96"/>
      <c r="BI56" s="98"/>
    </row>
    <row r="57" spans="1:61" ht="12" customHeight="1">
      <c r="A57" s="254">
        <f t="array" ref="A57">_xll.AC(DB,_xll.ArrayDPT($AA57:$AE57),_xll.ArrayCOA($AG57:$AZ57),YR-1,PRD,_xll.ArrayDIM($BB57:$BE57))</f>
        <v>0</v>
      </c>
      <c r="B57" s="254">
        <f t="shared" si="20"/>
        <v>0</v>
      </c>
      <c r="C57" s="254">
        <f t="shared" si="21"/>
        <v>0</v>
      </c>
      <c r="D57" s="254">
        <f t="shared" si="22"/>
        <v>0</v>
      </c>
      <c r="E57" s="254">
        <f t="array" ref="E57">_xll.BC(DB,_xll.ArrayDPT($AA57:$AE57),_xll.ArrayCOA($AG57:$AZ57),YR,PRD,RV,_xll.ArrayDIM($BB57:$BE57))</f>
        <v>0</v>
      </c>
      <c r="F57" s="254">
        <f t="shared" si="23"/>
        <v>0</v>
      </c>
      <c r="G57" s="254">
        <f t="array" ref="G57">_xll.AC(DB,_xll.ArrayDPT($AA57:$AE57),_xll.ArrayCOA($AG57:$AZ57),YR,PRD,_xll.ArrayDIM($BB57:$BE57))</f>
        <v>0</v>
      </c>
      <c r="H57" s="254">
        <f t="shared" si="24"/>
        <v>0</v>
      </c>
      <c r="I57" s="254"/>
      <c r="J57" s="328" t="s">
        <v>705</v>
      </c>
      <c r="K57" s="254"/>
      <c r="L57" s="254">
        <f t="array" ref="L57">_xll.ACC(DB,_xll.ArrayDPT($AA57:$AE57),_xll.ArrayCOA($AG57:$AZ57),YR,PRD,_xll.ArrayDIM($BB57:$BE57))</f>
        <v>0</v>
      </c>
      <c r="M57" s="237">
        <f t="shared" si="25"/>
        <v>0</v>
      </c>
      <c r="N57" s="254">
        <f t="array" ref="N57">_xll.BCC(DB,_xll.ArrayDPT($AA57:$AE57),_xll.ArrayCOA($AG57:$AZ57),YR,PRD,RV,_xll.ArrayDIM($BB57:$BE57))</f>
        <v>0</v>
      </c>
      <c r="O57" s="237">
        <f t="shared" si="26"/>
        <v>0</v>
      </c>
      <c r="P57" s="237">
        <f t="shared" si="27"/>
        <v>0</v>
      </c>
      <c r="Q57" s="237">
        <f t="shared" si="28"/>
        <v>0</v>
      </c>
      <c r="R57" s="254">
        <f t="array" ref="R57">_xll.ACC(DB,_xll.ArrayDPT($AA57:$AE57),_xll.ArrayCOA($AG57:$AZ57),YR-1,PRD,_xll.ArrayDIM($BB57:$BE57))</f>
        <v>0</v>
      </c>
      <c r="S57" s="237">
        <f t="shared" si="29"/>
        <v>0</v>
      </c>
      <c r="T57" s="328"/>
      <c r="U57" s="328"/>
      <c r="V57" s="328"/>
      <c r="W57" s="328"/>
      <c r="X57" s="328"/>
      <c r="Y57" s="328"/>
      <c r="Z57" s="328"/>
      <c r="AA57" s="95" t="s">
        <v>640</v>
      </c>
      <c r="AB57" s="96"/>
      <c r="AC57" s="96"/>
      <c r="AD57" s="96"/>
      <c r="AE57" s="96"/>
      <c r="AF57" s="97"/>
      <c r="AG57" s="95" t="s">
        <v>706</v>
      </c>
      <c r="AH57" s="96" t="s">
        <v>706</v>
      </c>
      <c r="AI57" s="95"/>
      <c r="AJ57" s="96"/>
      <c r="AK57" s="95"/>
      <c r="AL57" s="96"/>
      <c r="AM57" s="95"/>
      <c r="AN57" s="98"/>
      <c r="AO57" s="96"/>
      <c r="AP57" s="96"/>
      <c r="AQ57" s="95"/>
      <c r="AR57" s="98"/>
      <c r="AS57" s="96"/>
      <c r="AT57" s="96"/>
      <c r="AU57" s="95"/>
      <c r="AV57" s="98"/>
      <c r="AW57" s="96"/>
      <c r="AX57" s="96"/>
      <c r="AY57" s="95"/>
      <c r="AZ57" s="98"/>
      <c r="BA57" s="99"/>
      <c r="BB57" s="95"/>
      <c r="BC57" s="96"/>
      <c r="BD57" s="96"/>
      <c r="BE57" s="98"/>
      <c r="BF57" s="95"/>
      <c r="BG57" s="96"/>
      <c r="BH57" s="96"/>
      <c r="BI57" s="98"/>
    </row>
    <row r="58" spans="1:61" ht="12" customHeight="1">
      <c r="A58" s="254">
        <f t="array" ref="A58">_xll.AC(DB,_xll.ArrayDPT($AA58:$AE58),_xll.ArrayCOA($AG58:$AZ58),YR-1,PRD,_xll.ArrayDIM($BB58:$BE58))</f>
        <v>0</v>
      </c>
      <c r="B58" s="254">
        <f t="shared" si="20"/>
        <v>0</v>
      </c>
      <c r="C58" s="254">
        <f t="shared" si="21"/>
        <v>0</v>
      </c>
      <c r="D58" s="254">
        <f t="shared" si="22"/>
        <v>0</v>
      </c>
      <c r="E58" s="254">
        <f t="array" ref="E58">_xll.BC(DB,_xll.ArrayDPT($AA58:$AE58),_xll.ArrayCOA($AG58:$AZ58),YR,PRD,RV,_xll.ArrayDIM($BB58:$BE58))</f>
        <v>0</v>
      </c>
      <c r="F58" s="254">
        <f t="shared" si="23"/>
        <v>0</v>
      </c>
      <c r="G58" s="254">
        <f t="array" ref="G58">_xll.AC(DB,_xll.ArrayDPT($AA58:$AE58),_xll.ArrayCOA($AG58:$AZ58),YR,PRD,_xll.ArrayDIM($BB58:$BE58))</f>
        <v>0</v>
      </c>
      <c r="H58" s="254">
        <f t="shared" si="24"/>
        <v>0</v>
      </c>
      <c r="I58" s="254"/>
      <c r="J58" s="328" t="s">
        <v>707</v>
      </c>
      <c r="K58" s="254"/>
      <c r="L58" s="254">
        <f t="array" ref="L58">_xll.ACC(DB,_xll.ArrayDPT($AA58:$AE58),_xll.ArrayCOA($AG58:$AZ58),YR,PRD,_xll.ArrayDIM($BB58:$BE58))</f>
        <v>0</v>
      </c>
      <c r="M58" s="237">
        <f t="shared" si="25"/>
        <v>0</v>
      </c>
      <c r="N58" s="254">
        <f t="array" ref="N58">_xll.BCC(DB,_xll.ArrayDPT($AA58:$AE58),_xll.ArrayCOA($AG58:$AZ58),YR,PRD,RV,_xll.ArrayDIM($BB58:$BE58))</f>
        <v>0</v>
      </c>
      <c r="O58" s="237">
        <f t="shared" si="26"/>
        <v>0</v>
      </c>
      <c r="P58" s="237">
        <f t="shared" si="27"/>
        <v>0</v>
      </c>
      <c r="Q58" s="237">
        <f t="shared" si="28"/>
        <v>0</v>
      </c>
      <c r="R58" s="254">
        <f t="array" ref="R58">_xll.ACC(DB,_xll.ArrayDPT($AA58:$AE58),_xll.ArrayCOA($AG58:$AZ58),YR-1,PRD,_xll.ArrayDIM($BB58:$BE58))</f>
        <v>0</v>
      </c>
      <c r="S58" s="237">
        <f t="shared" si="29"/>
        <v>0</v>
      </c>
      <c r="T58" s="328"/>
      <c r="U58" s="328"/>
      <c r="V58" s="328"/>
      <c r="W58" s="328"/>
      <c r="X58" s="328"/>
      <c r="Y58" s="328"/>
      <c r="Z58" s="328"/>
      <c r="AA58" s="95" t="s">
        <v>640</v>
      </c>
      <c r="AB58" s="96"/>
      <c r="AC58" s="96"/>
      <c r="AD58" s="96"/>
      <c r="AE58" s="96"/>
      <c r="AF58" s="97"/>
      <c r="AG58" s="95" t="s">
        <v>708</v>
      </c>
      <c r="AH58" s="96" t="s">
        <v>708</v>
      </c>
      <c r="AI58" s="95"/>
      <c r="AJ58" s="96"/>
      <c r="AK58" s="95"/>
      <c r="AL58" s="96"/>
      <c r="AM58" s="95"/>
      <c r="AN58" s="98"/>
      <c r="AO58" s="96"/>
      <c r="AP58" s="96"/>
      <c r="AQ58" s="95"/>
      <c r="AR58" s="98"/>
      <c r="AS58" s="96"/>
      <c r="AT58" s="96"/>
      <c r="AU58" s="95"/>
      <c r="AV58" s="98"/>
      <c r="AW58" s="96"/>
      <c r="AX58" s="96"/>
      <c r="AY58" s="95"/>
      <c r="AZ58" s="98"/>
      <c r="BA58" s="99"/>
      <c r="BB58" s="95"/>
      <c r="BC58" s="96"/>
      <c r="BD58" s="96"/>
      <c r="BE58" s="98"/>
      <c r="BF58" s="95"/>
      <c r="BG58" s="96"/>
      <c r="BH58" s="96"/>
      <c r="BI58" s="98"/>
    </row>
    <row r="59" spans="1:61" ht="12" customHeight="1">
      <c r="A59" s="254">
        <f t="array" ref="A59">_xll.AC(DB,_xll.ArrayDPT($AA59:$AE59),_xll.ArrayCOA($AG59:$AZ59),YR-1,PRD,_xll.ArrayDIM($BB59:$BE59))</f>
        <v>0</v>
      </c>
      <c r="B59" s="254">
        <f t="shared" si="20"/>
        <v>0</v>
      </c>
      <c r="C59" s="254">
        <f t="shared" si="21"/>
        <v>0</v>
      </c>
      <c r="D59" s="254">
        <f t="shared" si="22"/>
        <v>0</v>
      </c>
      <c r="E59" s="254">
        <f t="array" ref="E59">_xll.BC(DB,_xll.ArrayDPT($AA59:$AE59),_xll.ArrayCOA($AG59:$AZ59),YR,PRD,RV,_xll.ArrayDIM($BB59:$BE59))</f>
        <v>0</v>
      </c>
      <c r="F59" s="254">
        <f t="shared" si="23"/>
        <v>0</v>
      </c>
      <c r="G59" s="254">
        <f t="array" ref="G59">_xll.AC(DB,_xll.ArrayDPT($AA59:$AE59),_xll.ArrayCOA($AG59:$AZ59),YR,PRD,_xll.ArrayDIM($BB59:$BE59))</f>
        <v>0</v>
      </c>
      <c r="H59" s="254">
        <f t="shared" si="24"/>
        <v>0</v>
      </c>
      <c r="I59" s="254"/>
      <c r="J59" s="328" t="s">
        <v>709</v>
      </c>
      <c r="K59" s="254"/>
      <c r="L59" s="254">
        <f t="array" ref="L59">_xll.ACC(DB,_xll.ArrayDPT($AA59:$AE59),_xll.ArrayCOA($AG59:$AZ59),YR,PRD,_xll.ArrayDIM($BB59:$BE59))</f>
        <v>0</v>
      </c>
      <c r="M59" s="237">
        <f t="shared" si="25"/>
        <v>0</v>
      </c>
      <c r="N59" s="254">
        <f t="array" ref="N59">_xll.BCC(DB,_xll.ArrayDPT($AA59:$AE59),_xll.ArrayCOA($AG59:$AZ59),YR,PRD,RV,_xll.ArrayDIM($BB59:$BE59))</f>
        <v>0</v>
      </c>
      <c r="O59" s="237">
        <f t="shared" si="26"/>
        <v>0</v>
      </c>
      <c r="P59" s="237">
        <f t="shared" si="27"/>
        <v>0</v>
      </c>
      <c r="Q59" s="237">
        <f t="shared" si="28"/>
        <v>0</v>
      </c>
      <c r="R59" s="254">
        <f t="array" ref="R59">_xll.ACC(DB,_xll.ArrayDPT($AA59:$AE59),_xll.ArrayCOA($AG59:$AZ59),YR-1,PRD,_xll.ArrayDIM($BB59:$BE59))</f>
        <v>0</v>
      </c>
      <c r="S59" s="237">
        <f t="shared" si="29"/>
        <v>0</v>
      </c>
      <c r="T59" s="328"/>
      <c r="U59" s="328"/>
      <c r="V59" s="328"/>
      <c r="W59" s="328"/>
      <c r="X59" s="328"/>
      <c r="Y59" s="328"/>
      <c r="Z59" s="328"/>
      <c r="AA59" s="95" t="s">
        <v>640</v>
      </c>
      <c r="AB59" s="96"/>
      <c r="AC59" s="96"/>
      <c r="AD59" s="96"/>
      <c r="AE59" s="96"/>
      <c r="AF59" s="97"/>
      <c r="AG59" s="95" t="s">
        <v>710</v>
      </c>
      <c r="AH59" s="96" t="s">
        <v>710</v>
      </c>
      <c r="AI59" s="95"/>
      <c r="AJ59" s="96"/>
      <c r="AK59" s="95"/>
      <c r="AL59" s="96"/>
      <c r="AM59" s="95"/>
      <c r="AN59" s="98"/>
      <c r="AO59" s="96"/>
      <c r="AP59" s="96"/>
      <c r="AQ59" s="95"/>
      <c r="AR59" s="98"/>
      <c r="AS59" s="96"/>
      <c r="AT59" s="96"/>
      <c r="AU59" s="95"/>
      <c r="AV59" s="98"/>
      <c r="AW59" s="96"/>
      <c r="AX59" s="96"/>
      <c r="AY59" s="95"/>
      <c r="AZ59" s="98"/>
      <c r="BA59" s="99"/>
      <c r="BB59" s="95"/>
      <c r="BC59" s="96"/>
      <c r="BD59" s="96"/>
      <c r="BE59" s="98"/>
      <c r="BF59" s="95"/>
      <c r="BG59" s="96"/>
      <c r="BH59" s="96"/>
      <c r="BI59" s="98"/>
    </row>
    <row r="60" spans="1:61" ht="12" customHeight="1">
      <c r="A60" s="254">
        <f t="array" ref="A60">_xll.AC(DB,_xll.ArrayDPT($AA60:$AE60),_xll.ArrayCOA($AG60:$AZ60),YR-1,PRD,_xll.ArrayDIM($BB60:$BE60))</f>
        <v>0</v>
      </c>
      <c r="B60" s="254">
        <f t="shared" si="20"/>
        <v>0</v>
      </c>
      <c r="C60" s="254">
        <f t="shared" si="21"/>
        <v>0</v>
      </c>
      <c r="D60" s="254">
        <f t="shared" si="22"/>
        <v>0</v>
      </c>
      <c r="E60" s="254">
        <f t="array" ref="E60">_xll.BC(DB,_xll.ArrayDPT($AA60:$AE60),_xll.ArrayCOA($AG60:$AZ60),YR,PRD,RV,_xll.ArrayDIM($BB60:$BE60))</f>
        <v>0</v>
      </c>
      <c r="F60" s="254">
        <f t="shared" si="23"/>
        <v>0</v>
      </c>
      <c r="G60" s="254">
        <f t="array" ref="G60">_xll.AC(DB,_xll.ArrayDPT($AA60:$AE60),_xll.ArrayCOA($AG60:$AZ60),YR,PRD,_xll.ArrayDIM($BB60:$BE60))</f>
        <v>0</v>
      </c>
      <c r="H60" s="254">
        <f t="shared" si="24"/>
        <v>0</v>
      </c>
      <c r="I60" s="254"/>
      <c r="J60" s="328" t="s">
        <v>711</v>
      </c>
      <c r="K60" s="254"/>
      <c r="L60" s="254">
        <f t="array" ref="L60">_xll.ACC(DB,_xll.ArrayDPT($AA60:$AE60),_xll.ArrayCOA($AG60:$AZ60),YR,PRD,_xll.ArrayDIM($BB60:$BE60))</f>
        <v>0</v>
      </c>
      <c r="M60" s="237">
        <f t="shared" si="25"/>
        <v>0</v>
      </c>
      <c r="N60" s="254">
        <f t="array" ref="N60">_xll.BCC(DB,_xll.ArrayDPT($AA60:$AE60),_xll.ArrayCOA($AG60:$AZ60),YR,PRD,RV,_xll.ArrayDIM($BB60:$BE60))</f>
        <v>0</v>
      </c>
      <c r="O60" s="237">
        <f t="shared" si="26"/>
        <v>0</v>
      </c>
      <c r="P60" s="237">
        <f t="shared" si="27"/>
        <v>0</v>
      </c>
      <c r="Q60" s="237">
        <f t="shared" si="28"/>
        <v>0</v>
      </c>
      <c r="R60" s="254">
        <f t="array" ref="R60">_xll.ACC(DB,_xll.ArrayDPT($AA60:$AE60),_xll.ArrayCOA($AG60:$AZ60),YR-1,PRD,_xll.ArrayDIM($BB60:$BE60))</f>
        <v>0</v>
      </c>
      <c r="S60" s="237">
        <f t="shared" si="29"/>
        <v>0</v>
      </c>
      <c r="T60" s="328"/>
      <c r="U60" s="328"/>
      <c r="V60" s="328"/>
      <c r="W60" s="328"/>
      <c r="X60" s="328"/>
      <c r="Y60" s="328"/>
      <c r="Z60" s="328"/>
      <c r="AA60" s="95" t="s">
        <v>640</v>
      </c>
      <c r="AB60" s="96"/>
      <c r="AC60" s="96"/>
      <c r="AD60" s="96"/>
      <c r="AE60" s="96"/>
      <c r="AF60" s="97"/>
      <c r="AG60" s="95" t="s">
        <v>712</v>
      </c>
      <c r="AH60" s="96" t="s">
        <v>712</v>
      </c>
      <c r="AI60" s="95"/>
      <c r="AJ60" s="96"/>
      <c r="AK60" s="95"/>
      <c r="AL60" s="96"/>
      <c r="AM60" s="95"/>
      <c r="AN60" s="98"/>
      <c r="AO60" s="96"/>
      <c r="AP60" s="96"/>
      <c r="AQ60" s="95"/>
      <c r="AR60" s="98"/>
      <c r="AS60" s="96"/>
      <c r="AT60" s="96"/>
      <c r="AU60" s="95"/>
      <c r="AV60" s="98"/>
      <c r="AW60" s="96"/>
      <c r="AX60" s="96"/>
      <c r="AY60" s="95"/>
      <c r="AZ60" s="98"/>
      <c r="BA60" s="99"/>
      <c r="BB60" s="95"/>
      <c r="BC60" s="96"/>
      <c r="BD60" s="96"/>
      <c r="BE60" s="98"/>
      <c r="BF60" s="95"/>
      <c r="BG60" s="96"/>
      <c r="BH60" s="96"/>
      <c r="BI60" s="98"/>
    </row>
    <row r="61" spans="1:61" ht="12" customHeight="1">
      <c r="A61" s="254">
        <f t="array" ref="A61">_xll.AC(DB,_xll.ArrayDPT($AA61:$AE61),_xll.ArrayCOA($AG61:$AZ61),YR-1,PRD,_xll.ArrayDIM($BB61:$BE61))</f>
        <v>0</v>
      </c>
      <c r="B61" s="254">
        <f t="shared" si="20"/>
        <v>0</v>
      </c>
      <c r="C61" s="254">
        <f t="shared" si="21"/>
        <v>0</v>
      </c>
      <c r="D61" s="254">
        <f t="shared" si="22"/>
        <v>0</v>
      </c>
      <c r="E61" s="254">
        <f t="array" ref="E61">_xll.BC(DB,_xll.ArrayDPT($AA61:$AE61),_xll.ArrayCOA($AG61:$AZ61),YR,PRD,RV,_xll.ArrayDIM($BB61:$BE61))</f>
        <v>0</v>
      </c>
      <c r="F61" s="254">
        <f t="shared" si="23"/>
        <v>0</v>
      </c>
      <c r="G61" s="254">
        <f t="array" ref="G61">_xll.AC(DB,_xll.ArrayDPT($AA61:$AE61),_xll.ArrayCOA($AG61:$AZ61),YR,PRD,_xll.ArrayDIM($BB61:$BE61))</f>
        <v>0</v>
      </c>
      <c r="H61" s="254">
        <f t="shared" si="24"/>
        <v>0</v>
      </c>
      <c r="I61" s="254"/>
      <c r="J61" s="328" t="s">
        <v>713</v>
      </c>
      <c r="K61" s="254"/>
      <c r="L61" s="254">
        <f t="array" ref="L61">_xll.ACC(DB,_xll.ArrayDPT($AA61:$AE61),_xll.ArrayCOA($AG61:$AZ61),YR,PRD,_xll.ArrayDIM($BB61:$BE61))</f>
        <v>0</v>
      </c>
      <c r="M61" s="237">
        <f t="shared" si="25"/>
        <v>0</v>
      </c>
      <c r="N61" s="254">
        <f t="array" ref="N61">_xll.BCC(DB,_xll.ArrayDPT($AA61:$AE61),_xll.ArrayCOA($AG61:$AZ61),YR,PRD,RV,_xll.ArrayDIM($BB61:$BE61))</f>
        <v>0</v>
      </c>
      <c r="O61" s="237">
        <f t="shared" si="26"/>
        <v>0</v>
      </c>
      <c r="P61" s="237">
        <f t="shared" si="27"/>
        <v>0</v>
      </c>
      <c r="Q61" s="237">
        <f t="shared" si="28"/>
        <v>0</v>
      </c>
      <c r="R61" s="254">
        <f t="array" ref="R61">_xll.ACC(DB,_xll.ArrayDPT($AA61:$AE61),_xll.ArrayCOA($AG61:$AZ61),YR-1,PRD,_xll.ArrayDIM($BB61:$BE61))</f>
        <v>0</v>
      </c>
      <c r="S61" s="237">
        <f t="shared" si="29"/>
        <v>0</v>
      </c>
      <c r="T61" s="328"/>
      <c r="U61" s="328"/>
      <c r="V61" s="328"/>
      <c r="W61" s="328"/>
      <c r="X61" s="328"/>
      <c r="Y61" s="328"/>
      <c r="Z61" s="328"/>
      <c r="AA61" s="95"/>
      <c r="AB61" s="96"/>
      <c r="AC61" s="96"/>
      <c r="AD61" s="96"/>
      <c r="AE61" s="96"/>
      <c r="AF61" s="97"/>
      <c r="AG61" s="95"/>
      <c r="AH61" s="96"/>
      <c r="AI61" s="95"/>
      <c r="AJ61" s="96"/>
      <c r="AK61" s="95"/>
      <c r="AL61" s="96"/>
      <c r="AM61" s="95"/>
      <c r="AN61" s="98"/>
      <c r="AO61" s="96"/>
      <c r="AP61" s="96"/>
      <c r="AQ61" s="95"/>
      <c r="AR61" s="98"/>
      <c r="AS61" s="96"/>
      <c r="AT61" s="96"/>
      <c r="AU61" s="95"/>
      <c r="AV61" s="98"/>
      <c r="AW61" s="96"/>
      <c r="AX61" s="96"/>
      <c r="AY61" s="95"/>
      <c r="AZ61" s="98"/>
      <c r="BA61" s="99"/>
      <c r="BB61" s="95"/>
      <c r="BC61" s="96"/>
      <c r="BD61" s="96"/>
      <c r="BE61" s="98"/>
      <c r="BF61" s="95"/>
      <c r="BG61" s="96"/>
      <c r="BH61" s="96"/>
      <c r="BI61" s="98"/>
    </row>
    <row r="62" spans="1:61" ht="12" customHeight="1">
      <c r="A62" s="254">
        <f t="array" ref="A62">_xll.AC(DB,_xll.ArrayDPT($AA62:$AE62),_xll.ArrayCOA($AG62:$AZ62),YR-1,PRD,_xll.ArrayDIM($BB62:$BE62))</f>
        <v>0</v>
      </c>
      <c r="B62" s="254">
        <f t="shared" si="20"/>
        <v>0</v>
      </c>
      <c r="C62" s="254">
        <f t="shared" si="21"/>
        <v>0</v>
      </c>
      <c r="D62" s="254">
        <f t="shared" si="22"/>
        <v>0</v>
      </c>
      <c r="E62" s="254">
        <f t="array" ref="E62">_xll.BC(DB,_xll.ArrayDPT($AA62:$AE62),_xll.ArrayCOA($AG62:$AZ62),YR,PRD,RV,_xll.ArrayDIM($BB62:$BE62))</f>
        <v>0</v>
      </c>
      <c r="F62" s="254">
        <f t="shared" si="23"/>
        <v>0</v>
      </c>
      <c r="G62" s="254">
        <f t="array" ref="G62">_xll.AC(DB,_xll.ArrayDPT($AA62:$AE62),_xll.ArrayCOA($AG62:$AZ62),YR,PRD,_xll.ArrayDIM($BB62:$BE62))</f>
        <v>0</v>
      </c>
      <c r="H62" s="254">
        <f t="shared" si="24"/>
        <v>0</v>
      </c>
      <c r="I62" s="254"/>
      <c r="J62" s="328" t="s">
        <v>714</v>
      </c>
      <c r="K62" s="254"/>
      <c r="L62" s="254">
        <f t="array" ref="L62">_xll.ACC(DB,_xll.ArrayDPT($AA62:$AE62),_xll.ArrayCOA($AG62:$AZ62),YR,PRD,_xll.ArrayDIM($BB62:$BE62))</f>
        <v>0</v>
      </c>
      <c r="M62" s="237">
        <f t="shared" si="25"/>
        <v>0</v>
      </c>
      <c r="N62" s="254">
        <f t="array" ref="N62">_xll.BCC(DB,_xll.ArrayDPT($AA62:$AE62),_xll.ArrayCOA($AG62:$AZ62),YR,PRD,RV,_xll.ArrayDIM($BB62:$BE62))</f>
        <v>0</v>
      </c>
      <c r="O62" s="237">
        <f t="shared" si="26"/>
        <v>0</v>
      </c>
      <c r="P62" s="237">
        <f t="shared" si="27"/>
        <v>0</v>
      </c>
      <c r="Q62" s="237">
        <f t="shared" si="28"/>
        <v>0</v>
      </c>
      <c r="R62" s="254">
        <f t="array" ref="R62">_xll.ACC(DB,_xll.ArrayDPT($AA62:$AE62),_xll.ArrayCOA($AG62:$AZ62),YR-1,PRD,_xll.ArrayDIM($BB62:$BE62))</f>
        <v>0</v>
      </c>
      <c r="S62" s="237">
        <f t="shared" si="29"/>
        <v>0</v>
      </c>
      <c r="T62" s="328"/>
      <c r="U62" s="328"/>
      <c r="V62" s="328"/>
      <c r="W62" s="328"/>
      <c r="X62" s="328"/>
      <c r="Y62" s="328"/>
      <c r="Z62" s="328"/>
      <c r="AA62" s="95" t="s">
        <v>640</v>
      </c>
      <c r="AB62" s="96"/>
      <c r="AC62" s="96"/>
      <c r="AD62" s="96"/>
      <c r="AE62" s="96"/>
      <c r="AF62" s="97"/>
      <c r="AG62" s="95" t="s">
        <v>715</v>
      </c>
      <c r="AH62" s="96" t="s">
        <v>715</v>
      </c>
      <c r="AI62" s="95" t="s">
        <v>716</v>
      </c>
      <c r="AJ62" s="96" t="s">
        <v>716</v>
      </c>
      <c r="AK62" s="95"/>
      <c r="AL62" s="96"/>
      <c r="AM62" s="95"/>
      <c r="AN62" s="98"/>
      <c r="AO62" s="96"/>
      <c r="AP62" s="96"/>
      <c r="AQ62" s="95"/>
      <c r="AR62" s="98"/>
      <c r="AS62" s="96"/>
      <c r="AT62" s="96"/>
      <c r="AU62" s="95"/>
      <c r="AV62" s="98"/>
      <c r="AW62" s="96"/>
      <c r="AX62" s="96"/>
      <c r="AY62" s="95"/>
      <c r="AZ62" s="98"/>
      <c r="BA62" s="99"/>
      <c r="BB62" s="95"/>
      <c r="BC62" s="96"/>
      <c r="BD62" s="96"/>
      <c r="BE62" s="98"/>
      <c r="BF62" s="95"/>
      <c r="BG62" s="96"/>
      <c r="BH62" s="96"/>
      <c r="BI62" s="98"/>
    </row>
    <row r="63" spans="1:61" ht="12" customHeight="1">
      <c r="A63" s="254">
        <f t="array" ref="A63">_xll.AC(DB,_xll.ArrayDPT($AA63:$AE63),_xll.ArrayCOA($AG63:$AZ63),YR-1,PRD,_xll.ArrayDIM($BB63:$BE63))</f>
        <v>0</v>
      </c>
      <c r="B63" s="254">
        <f t="shared" si="20"/>
        <v>0</v>
      </c>
      <c r="C63" s="254">
        <f t="shared" si="21"/>
        <v>-43</v>
      </c>
      <c r="D63" s="254">
        <f t="shared" si="22"/>
        <v>5.4280380381757697E-4</v>
      </c>
      <c r="E63" s="254">
        <f t="array" ref="E63">_xll.BC(DB,_xll.ArrayDPT($AA63:$AE63),_xll.ArrayCOA($AG63:$AZ63),YR,PRD,RV,_xll.ArrayDIM($BB63:$BE63))</f>
        <v>0</v>
      </c>
      <c r="F63" s="254">
        <f t="shared" si="23"/>
        <v>0</v>
      </c>
      <c r="G63" s="254">
        <f t="array" ref="G63">_xll.AC(DB,_xll.ArrayDPT($AA63:$AE63),_xll.ArrayCOA($AG63:$AZ63),YR,PRD,_xll.ArrayDIM($BB63:$BE63))</f>
        <v>43</v>
      </c>
      <c r="H63" s="254">
        <f t="shared" si="24"/>
        <v>5.4280380381757697E-4</v>
      </c>
      <c r="I63" s="254"/>
      <c r="J63" s="328" t="s">
        <v>717</v>
      </c>
      <c r="K63" s="254"/>
      <c r="L63" s="254">
        <f t="array" ref="L63">_xll.ACC(DB,_xll.ArrayDPT($AA63:$AE63),_xll.ArrayCOA($AG63:$AZ63),YR,PRD,_xll.ArrayDIM($BB63:$BE63))</f>
        <v>43</v>
      </c>
      <c r="M63" s="237">
        <f t="shared" si="25"/>
        <v>5.4280380381757697E-4</v>
      </c>
      <c r="N63" s="254">
        <f t="array" ref="N63">_xll.BCC(DB,_xll.ArrayDPT($AA63:$AE63),_xll.ArrayCOA($AG63:$AZ63),YR,PRD,RV,_xll.ArrayDIM($BB63:$BE63))</f>
        <v>0</v>
      </c>
      <c r="O63" s="237">
        <f t="shared" si="26"/>
        <v>0</v>
      </c>
      <c r="P63" s="237">
        <f t="shared" si="27"/>
        <v>-43</v>
      </c>
      <c r="Q63" s="237">
        <f t="shared" si="28"/>
        <v>5.4280380381757697E-4</v>
      </c>
      <c r="R63" s="254">
        <f t="array" ref="R63">_xll.ACC(DB,_xll.ArrayDPT($AA63:$AE63),_xll.ArrayCOA($AG63:$AZ63),YR-1,PRD,_xll.ArrayDIM($BB63:$BE63))</f>
        <v>0</v>
      </c>
      <c r="S63" s="237">
        <f t="shared" si="29"/>
        <v>0</v>
      </c>
      <c r="T63" s="328"/>
      <c r="U63" s="328"/>
      <c r="V63" s="328"/>
      <c r="W63" s="328"/>
      <c r="X63" s="328"/>
      <c r="Y63" s="328"/>
      <c r="Z63" s="328"/>
      <c r="AA63" s="95" t="s">
        <v>640</v>
      </c>
      <c r="AB63" s="96"/>
      <c r="AC63" s="96"/>
      <c r="AD63" s="96"/>
      <c r="AE63" s="96"/>
      <c r="AF63" s="97"/>
      <c r="AG63" s="95" t="s">
        <v>718</v>
      </c>
      <c r="AH63" s="96" t="s">
        <v>718</v>
      </c>
      <c r="AI63" s="95"/>
      <c r="AJ63" s="96"/>
      <c r="AK63" s="95"/>
      <c r="AL63" s="96"/>
      <c r="AM63" s="95"/>
      <c r="AN63" s="98"/>
      <c r="AO63" s="96"/>
      <c r="AP63" s="96"/>
      <c r="AQ63" s="95"/>
      <c r="AR63" s="98"/>
      <c r="AS63" s="96"/>
      <c r="AT63" s="96"/>
      <c r="AU63" s="95"/>
      <c r="AV63" s="98"/>
      <c r="AW63" s="96"/>
      <c r="AX63" s="96"/>
      <c r="AY63" s="95"/>
      <c r="AZ63" s="98"/>
      <c r="BA63" s="99"/>
      <c r="BB63" s="95"/>
      <c r="BC63" s="96"/>
      <c r="BD63" s="96"/>
      <c r="BE63" s="98"/>
      <c r="BF63" s="95"/>
      <c r="BG63" s="96"/>
      <c r="BH63" s="96"/>
      <c r="BI63" s="98"/>
    </row>
    <row r="64" spans="1:61" ht="12" customHeight="1">
      <c r="A64" s="254">
        <f t="array" ref="A64">_xll.AC(DB,_xll.ArrayDPT($AA64:$AE64),_xll.ArrayCOA($AG64:$AZ64),YR-1,PRD,_xll.ArrayDIM($BB64:$BE64))</f>
        <v>0</v>
      </c>
      <c r="B64" s="254">
        <f t="shared" si="20"/>
        <v>0</v>
      </c>
      <c r="C64" s="254">
        <f t="shared" si="21"/>
        <v>0</v>
      </c>
      <c r="D64" s="254">
        <f t="shared" si="22"/>
        <v>0</v>
      </c>
      <c r="E64" s="254">
        <f t="array" ref="E64">_xll.BC(DB,_xll.ArrayDPT($AA64:$AE64),_xll.ArrayCOA($AG64:$AZ64),YR,PRD,RV,_xll.ArrayDIM($BB64:$BE64))</f>
        <v>0</v>
      </c>
      <c r="F64" s="254">
        <f t="shared" si="23"/>
        <v>0</v>
      </c>
      <c r="G64" s="254">
        <f t="array" ref="G64">_xll.AC(DB,_xll.ArrayDPT($AA64:$AE64),_xll.ArrayCOA($AG64:$AZ64),YR,PRD,_xll.ArrayDIM($BB64:$BE64))</f>
        <v>0</v>
      </c>
      <c r="H64" s="254">
        <f t="shared" si="24"/>
        <v>0</v>
      </c>
      <c r="I64" s="254"/>
      <c r="J64" s="328" t="s">
        <v>719</v>
      </c>
      <c r="K64" s="254"/>
      <c r="L64" s="254">
        <f t="array" ref="L64">_xll.ACC(DB,_xll.ArrayDPT($AA64:$AE64),_xll.ArrayCOA($AG64:$AZ64),YR,PRD,_xll.ArrayDIM($BB64:$BE64))</f>
        <v>0</v>
      </c>
      <c r="M64" s="237">
        <f t="shared" si="25"/>
        <v>0</v>
      </c>
      <c r="N64" s="254">
        <f t="array" ref="N64">_xll.BCC(DB,_xll.ArrayDPT($AA64:$AE64),_xll.ArrayCOA($AG64:$AZ64),YR,PRD,RV,_xll.ArrayDIM($BB64:$BE64))</f>
        <v>0</v>
      </c>
      <c r="O64" s="237">
        <f t="shared" si="26"/>
        <v>0</v>
      </c>
      <c r="P64" s="237">
        <f t="shared" si="27"/>
        <v>0</v>
      </c>
      <c r="Q64" s="237">
        <f t="shared" si="28"/>
        <v>0</v>
      </c>
      <c r="R64" s="254">
        <f t="array" ref="R64">_xll.ACC(DB,_xll.ArrayDPT($AA64:$AE64),_xll.ArrayCOA($AG64:$AZ64),YR-1,PRD,_xll.ArrayDIM($BB64:$BE64))</f>
        <v>0</v>
      </c>
      <c r="S64" s="237">
        <f t="shared" si="29"/>
        <v>0</v>
      </c>
      <c r="T64" s="328"/>
      <c r="U64" s="328"/>
      <c r="V64" s="328"/>
      <c r="W64" s="328"/>
      <c r="X64" s="328"/>
      <c r="Y64" s="328"/>
      <c r="Z64" s="328"/>
      <c r="AA64" s="95" t="s">
        <v>640</v>
      </c>
      <c r="AB64" s="96"/>
      <c r="AC64" s="96"/>
      <c r="AD64" s="96"/>
      <c r="AE64" s="96"/>
      <c r="AF64" s="97"/>
      <c r="AG64" s="95" t="s">
        <v>720</v>
      </c>
      <c r="AH64" s="96" t="s">
        <v>720</v>
      </c>
      <c r="AI64" s="95"/>
      <c r="AJ64" s="96"/>
      <c r="AK64" s="95"/>
      <c r="AL64" s="96"/>
      <c r="AM64" s="95"/>
      <c r="AN64" s="98"/>
      <c r="AO64" s="96"/>
      <c r="AP64" s="96"/>
      <c r="AQ64" s="95"/>
      <c r="AR64" s="98"/>
      <c r="AS64" s="96"/>
      <c r="AT64" s="96"/>
      <c r="AU64" s="95"/>
      <c r="AV64" s="98"/>
      <c r="AW64" s="96"/>
      <c r="AX64" s="96"/>
      <c r="AY64" s="95"/>
      <c r="AZ64" s="98"/>
      <c r="BA64" s="99"/>
      <c r="BB64" s="95"/>
      <c r="BC64" s="96"/>
      <c r="BD64" s="96"/>
      <c r="BE64" s="98"/>
      <c r="BF64" s="95"/>
      <c r="BG64" s="96"/>
      <c r="BH64" s="96"/>
      <c r="BI64" s="98"/>
    </row>
    <row r="65" spans="1:61" ht="12" customHeight="1">
      <c r="A65" s="254">
        <f t="array" ref="A65">_xll.AC(DB,_xll.ArrayDPT($AA65:$AE65),_xll.ArrayCOA($AG65:$AZ65),YR-1,PRD,_xll.ArrayDIM($BB65:$BE65))</f>
        <v>0</v>
      </c>
      <c r="B65" s="254">
        <f t="shared" si="20"/>
        <v>0</v>
      </c>
      <c r="C65" s="254">
        <f t="shared" si="21"/>
        <v>-229.59</v>
      </c>
      <c r="D65" s="254">
        <f t="shared" si="22"/>
        <v>2.8981936120576163E-3</v>
      </c>
      <c r="E65" s="254">
        <f t="array" ref="E65">_xll.BC(DB,_xll.ArrayDPT($AA65:$AE65),_xll.ArrayCOA($AG65:$AZ65),YR,PRD,RV,_xll.ArrayDIM($BB65:$BE65))</f>
        <v>0</v>
      </c>
      <c r="F65" s="254">
        <f t="shared" si="23"/>
        <v>0</v>
      </c>
      <c r="G65" s="254">
        <f t="array" ref="G65">_xll.AC(DB,_xll.ArrayDPT($AA65:$AE65),_xll.ArrayCOA($AG65:$AZ65),YR,PRD,_xll.ArrayDIM($BB65:$BE65))</f>
        <v>229.59</v>
      </c>
      <c r="H65" s="254">
        <f t="shared" si="24"/>
        <v>2.8981936120576163E-3</v>
      </c>
      <c r="I65" s="254"/>
      <c r="J65" s="328" t="s">
        <v>721</v>
      </c>
      <c r="K65" s="254"/>
      <c r="L65" s="254">
        <f t="array" ref="L65">_xll.ACC(DB,_xll.ArrayDPT($AA65:$AE65),_xll.ArrayCOA($AG65:$AZ65),YR,PRD,_xll.ArrayDIM($BB65:$BE65))</f>
        <v>229.59</v>
      </c>
      <c r="M65" s="237">
        <f t="shared" si="25"/>
        <v>2.8981936120576163E-3</v>
      </c>
      <c r="N65" s="254">
        <f t="array" ref="N65">_xll.BCC(DB,_xll.ArrayDPT($AA65:$AE65),_xll.ArrayCOA($AG65:$AZ65),YR,PRD,RV,_xll.ArrayDIM($BB65:$BE65))</f>
        <v>0</v>
      </c>
      <c r="O65" s="237">
        <f t="shared" si="26"/>
        <v>0</v>
      </c>
      <c r="P65" s="237">
        <f t="shared" si="27"/>
        <v>-229.59</v>
      </c>
      <c r="Q65" s="237">
        <f t="shared" si="28"/>
        <v>2.8981936120576163E-3</v>
      </c>
      <c r="R65" s="254">
        <f t="array" ref="R65">_xll.ACC(DB,_xll.ArrayDPT($AA65:$AE65),_xll.ArrayCOA($AG65:$AZ65),YR-1,PRD,_xll.ArrayDIM($BB65:$BE65))</f>
        <v>0</v>
      </c>
      <c r="S65" s="237">
        <f t="shared" si="29"/>
        <v>0</v>
      </c>
      <c r="T65" s="328"/>
      <c r="U65" s="328"/>
      <c r="V65" s="328"/>
      <c r="W65" s="328"/>
      <c r="X65" s="328"/>
      <c r="Y65" s="328"/>
      <c r="Z65" s="328"/>
      <c r="AA65" s="95" t="s">
        <v>640</v>
      </c>
      <c r="AB65" s="96"/>
      <c r="AC65" s="96"/>
      <c r="AD65" s="96"/>
      <c r="AE65" s="96"/>
      <c r="AF65" s="97"/>
      <c r="AG65" s="95" t="s">
        <v>722</v>
      </c>
      <c r="AH65" s="96" t="s">
        <v>722</v>
      </c>
      <c r="AI65" s="95"/>
      <c r="AJ65" s="96"/>
      <c r="AK65" s="95"/>
      <c r="AL65" s="96"/>
      <c r="AM65" s="95"/>
      <c r="AN65" s="98"/>
      <c r="AO65" s="96"/>
      <c r="AP65" s="96"/>
      <c r="AQ65" s="95"/>
      <c r="AR65" s="98"/>
      <c r="AS65" s="96"/>
      <c r="AT65" s="96"/>
      <c r="AU65" s="95"/>
      <c r="AV65" s="98"/>
      <c r="AW65" s="96"/>
      <c r="AX65" s="96"/>
      <c r="AY65" s="95"/>
      <c r="AZ65" s="98"/>
      <c r="BA65" s="99"/>
      <c r="BB65" s="95"/>
      <c r="BC65" s="96"/>
      <c r="BD65" s="96"/>
      <c r="BE65" s="98"/>
      <c r="BF65" s="95"/>
      <c r="BG65" s="96"/>
      <c r="BH65" s="96"/>
      <c r="BI65" s="98"/>
    </row>
    <row r="66" spans="1:61" ht="12" customHeight="1">
      <c r="A66" s="254">
        <f t="array" ref="A66">_xll.AC(DB,_xll.ArrayDPT($AA66:$AE66),_xll.ArrayCOA($AG66:$AZ66),YR-1,PRD,_xll.ArrayDIM($BB66:$BE66))</f>
        <v>0</v>
      </c>
      <c r="B66" s="254">
        <f t="shared" si="20"/>
        <v>0</v>
      </c>
      <c r="C66" s="254">
        <f t="shared" si="21"/>
        <v>0</v>
      </c>
      <c r="D66" s="254">
        <f t="shared" si="22"/>
        <v>0</v>
      </c>
      <c r="E66" s="254">
        <f t="array" ref="E66">_xll.BC(DB,_xll.ArrayDPT($AA66:$AE66),_xll.ArrayCOA($AG66:$AZ66),YR,PRD,RV,_xll.ArrayDIM($BB66:$BE66))</f>
        <v>0</v>
      </c>
      <c r="F66" s="254">
        <f t="shared" si="23"/>
        <v>0</v>
      </c>
      <c r="G66" s="254">
        <f t="array" ref="G66">_xll.AC(DB,_xll.ArrayDPT($AA66:$AE66),_xll.ArrayCOA($AG66:$AZ66),YR,PRD,_xll.ArrayDIM($BB66:$BE66))</f>
        <v>0</v>
      </c>
      <c r="H66" s="254">
        <f t="shared" si="24"/>
        <v>0</v>
      </c>
      <c r="I66" s="254"/>
      <c r="J66" s="328" t="s">
        <v>723</v>
      </c>
      <c r="K66" s="254"/>
      <c r="L66" s="254">
        <f t="array" ref="L66">_xll.ACC(DB,_xll.ArrayDPT($AA66:$AE66),_xll.ArrayCOA($AG66:$AZ66),YR,PRD,_xll.ArrayDIM($BB66:$BE66))</f>
        <v>0</v>
      </c>
      <c r="M66" s="237">
        <f t="shared" si="25"/>
        <v>0</v>
      </c>
      <c r="N66" s="254">
        <f t="array" ref="N66">_xll.BCC(DB,_xll.ArrayDPT($AA66:$AE66),_xll.ArrayCOA($AG66:$AZ66),YR,PRD,RV,_xll.ArrayDIM($BB66:$BE66))</f>
        <v>0</v>
      </c>
      <c r="O66" s="237">
        <f t="shared" si="26"/>
        <v>0</v>
      </c>
      <c r="P66" s="237">
        <f t="shared" si="27"/>
        <v>0</v>
      </c>
      <c r="Q66" s="237">
        <f t="shared" si="28"/>
        <v>0</v>
      </c>
      <c r="R66" s="254">
        <f t="array" ref="R66">_xll.ACC(DB,_xll.ArrayDPT($AA66:$AE66),_xll.ArrayCOA($AG66:$AZ66),YR-1,PRD,_xll.ArrayDIM($BB66:$BE66))</f>
        <v>0</v>
      </c>
      <c r="S66" s="237"/>
      <c r="T66" s="328"/>
      <c r="U66" s="328"/>
      <c r="V66" s="328"/>
      <c r="W66" s="328"/>
      <c r="X66" s="328"/>
      <c r="Y66" s="328"/>
      <c r="Z66" s="328"/>
      <c r="AA66" s="95" t="s">
        <v>640</v>
      </c>
      <c r="AB66" s="96"/>
      <c r="AC66" s="96"/>
      <c r="AD66" s="96"/>
      <c r="AE66" s="96"/>
      <c r="AF66" s="97"/>
      <c r="AG66" s="95" t="s">
        <v>724</v>
      </c>
      <c r="AH66" s="96" t="s">
        <v>724</v>
      </c>
      <c r="AI66" s="95"/>
      <c r="AJ66" s="96"/>
      <c r="AK66" s="95"/>
      <c r="AL66" s="96"/>
      <c r="AM66" s="95"/>
      <c r="AN66" s="98"/>
      <c r="AO66" s="96"/>
      <c r="AP66" s="96"/>
      <c r="AQ66" s="95"/>
      <c r="AR66" s="98"/>
      <c r="AS66" s="96"/>
      <c r="AT66" s="96"/>
      <c r="AU66" s="95"/>
      <c r="AV66" s="98"/>
      <c r="AW66" s="96"/>
      <c r="AX66" s="96"/>
      <c r="AY66" s="95"/>
      <c r="AZ66" s="98"/>
      <c r="BA66" s="99"/>
      <c r="BB66" s="95"/>
      <c r="BC66" s="96"/>
      <c r="BD66" s="96"/>
      <c r="BE66" s="98"/>
      <c r="BF66" s="95"/>
      <c r="BG66" s="96"/>
      <c r="BH66" s="96"/>
      <c r="BI66" s="98"/>
    </row>
    <row r="67" spans="1:61" ht="12" customHeight="1">
      <c r="A67" s="254">
        <f t="array" ref="A67">_xll.AC(DB,_xll.ArrayDPT($AA67:$AE67),_xll.ArrayCOA($AG67:$AZ67),YR-1,PRD,_xll.ArrayDIM($BB67:$BE67))</f>
        <v>0</v>
      </c>
      <c r="B67" s="254">
        <f t="shared" si="20"/>
        <v>0</v>
      </c>
      <c r="C67" s="254">
        <f t="shared" si="21"/>
        <v>0</v>
      </c>
      <c r="D67" s="254">
        <f t="shared" si="22"/>
        <v>0</v>
      </c>
      <c r="E67" s="254">
        <f t="array" ref="E67">_xll.BC(DB,_xll.ArrayDPT($AA67:$AE67),_xll.ArrayCOA($AG67:$AZ67),YR,PRD,RV,_xll.ArrayDIM($BB67:$BE67))</f>
        <v>0</v>
      </c>
      <c r="F67" s="254">
        <f t="shared" si="23"/>
        <v>0</v>
      </c>
      <c r="G67" s="254">
        <f t="array" ref="G67">_xll.AC(DB,_xll.ArrayDPT($AA67:$AE67),_xll.ArrayCOA($AG67:$AZ67),YR,PRD,_xll.ArrayDIM($BB67:$BE67))</f>
        <v>0</v>
      </c>
      <c r="H67" s="254">
        <f t="shared" si="24"/>
        <v>0</v>
      </c>
      <c r="I67" s="254"/>
      <c r="J67" s="328" t="s">
        <v>725</v>
      </c>
      <c r="K67" s="254"/>
      <c r="L67" s="254">
        <f t="array" ref="L67">_xll.ACC(DB,_xll.ArrayDPT($AA67:$AE67),_xll.ArrayCOA($AG67:$AZ67),YR,PRD,_xll.ArrayDIM($BB67:$BE67))</f>
        <v>0</v>
      </c>
      <c r="M67" s="237">
        <f t="shared" si="25"/>
        <v>0</v>
      </c>
      <c r="N67" s="254">
        <f t="array" ref="N67">_xll.BCC(DB,_xll.ArrayDPT($AA67:$AE67),_xll.ArrayCOA($AG67:$AZ67),YR,PRD,RV,_xll.ArrayDIM($BB67:$BE67))</f>
        <v>0</v>
      </c>
      <c r="O67" s="237">
        <f t="shared" si="26"/>
        <v>0</v>
      </c>
      <c r="P67" s="237">
        <f t="shared" si="27"/>
        <v>0</v>
      </c>
      <c r="Q67" s="237">
        <f t="shared" si="28"/>
        <v>0</v>
      </c>
      <c r="R67" s="254">
        <f t="array" ref="R67">_xll.ACC(DB,_xll.ArrayDPT($AA67:$AE67),_xll.ArrayCOA($AG67:$AZ67),YR-1,PRD,_xll.ArrayDIM($BB67:$BE67))</f>
        <v>0</v>
      </c>
      <c r="S67" s="237">
        <f>IF(R67=0,0,(R67*100/R$14))</f>
        <v>0</v>
      </c>
      <c r="T67" s="328"/>
      <c r="U67" s="328"/>
      <c r="V67" s="328"/>
      <c r="W67" s="328"/>
      <c r="X67" s="328"/>
      <c r="Y67" s="328"/>
      <c r="Z67" s="328"/>
      <c r="AA67" s="95" t="s">
        <v>640</v>
      </c>
      <c r="AB67" s="96"/>
      <c r="AC67" s="96"/>
      <c r="AD67" s="96"/>
      <c r="AE67" s="96"/>
      <c r="AF67" s="97"/>
      <c r="AG67" s="95" t="s">
        <v>726</v>
      </c>
      <c r="AH67" s="96" t="s">
        <v>726</v>
      </c>
      <c r="AI67" s="95"/>
      <c r="AJ67" s="96"/>
      <c r="AK67" s="95"/>
      <c r="AL67" s="96"/>
      <c r="AM67" s="95"/>
      <c r="AN67" s="98"/>
      <c r="AO67" s="96"/>
      <c r="AP67" s="96"/>
      <c r="AQ67" s="95"/>
      <c r="AR67" s="98"/>
      <c r="AS67" s="96"/>
      <c r="AT67" s="96"/>
      <c r="AU67" s="95"/>
      <c r="AV67" s="98"/>
      <c r="AW67" s="96"/>
      <c r="AX67" s="96"/>
      <c r="AY67" s="95"/>
      <c r="AZ67" s="98"/>
      <c r="BA67" s="99"/>
      <c r="BB67" s="95"/>
      <c r="BC67" s="96"/>
      <c r="BD67" s="96"/>
      <c r="BE67" s="98"/>
      <c r="BF67" s="95"/>
      <c r="BG67" s="96"/>
      <c r="BH67" s="96"/>
      <c r="BI67" s="98"/>
    </row>
    <row r="68" spans="1:61" ht="6" customHeight="1">
      <c r="A68" s="341"/>
      <c r="B68" s="341"/>
      <c r="C68" s="341"/>
      <c r="D68" s="341"/>
      <c r="E68" s="341"/>
      <c r="F68" s="341"/>
      <c r="G68" s="341"/>
      <c r="H68" s="341"/>
      <c r="I68" s="341"/>
      <c r="J68" s="341"/>
      <c r="K68" s="341"/>
      <c r="L68" s="341"/>
      <c r="M68" s="341"/>
      <c r="N68" s="341"/>
      <c r="O68" s="341"/>
      <c r="P68" s="341"/>
      <c r="Q68" s="341"/>
      <c r="R68" s="341"/>
      <c r="S68" s="341"/>
      <c r="T68" s="328"/>
      <c r="U68" s="328"/>
      <c r="V68" s="328"/>
      <c r="W68" s="328"/>
      <c r="X68" s="328"/>
      <c r="Y68" s="328"/>
      <c r="Z68" s="328"/>
      <c r="AA68" s="95"/>
      <c r="AB68" s="96"/>
      <c r="AC68" s="96"/>
      <c r="AD68" s="96"/>
      <c r="AE68" s="96"/>
      <c r="AF68" s="97"/>
      <c r="AG68" s="95"/>
      <c r="AH68" s="96"/>
      <c r="AI68" s="95"/>
      <c r="AJ68" s="96"/>
      <c r="AK68" s="95"/>
      <c r="AL68" s="96"/>
      <c r="AM68" s="95"/>
      <c r="AN68" s="98"/>
      <c r="AO68" s="96"/>
      <c r="AP68" s="96"/>
      <c r="AQ68" s="95"/>
      <c r="AR68" s="98"/>
      <c r="AS68" s="96"/>
      <c r="AT68" s="96"/>
      <c r="AU68" s="95"/>
      <c r="AV68" s="98"/>
      <c r="AW68" s="96"/>
      <c r="AX68" s="96"/>
      <c r="AY68" s="95"/>
      <c r="AZ68" s="98"/>
      <c r="BA68" s="99"/>
      <c r="BB68" s="95"/>
      <c r="BC68" s="96"/>
      <c r="BD68" s="96"/>
      <c r="BE68" s="98"/>
      <c r="BF68" s="95"/>
      <c r="BG68" s="96"/>
      <c r="BH68" s="96"/>
      <c r="BI68" s="98"/>
    </row>
    <row r="69" spans="1:61" ht="12" customHeight="1">
      <c r="A69" s="334">
        <f>SUM(A26:A68)</f>
        <v>524049.03</v>
      </c>
      <c r="B69" s="334">
        <f t="shared" ref="B69:B71" si="30">IF(A69=0,0,(A69*100/A$14))</f>
        <v>7.2287417632935451</v>
      </c>
      <c r="C69" s="334">
        <f>SUM(C26:C68)</f>
        <v>-773691.28999999992</v>
      </c>
      <c r="D69" s="334">
        <f t="shared" ref="D69:D71" si="31">IF(C69=0,0,(C69*100/C$14))</f>
        <v>9.7665715161053015</v>
      </c>
      <c r="E69" s="334">
        <f>SUM(E26:E68)</f>
        <v>0</v>
      </c>
      <c r="F69" s="334">
        <f t="shared" ref="F69:F71" si="32">IF(E69=0,0,(E69*100/E$14))</f>
        <v>0</v>
      </c>
      <c r="G69" s="334">
        <f>SUM(G26:G68)</f>
        <v>773691.28999999992</v>
      </c>
      <c r="H69" s="334">
        <f t="shared" ref="H69:H71" si="33">IF(G69=0,0,(G69*100/G$14))</f>
        <v>9.7665715161053015</v>
      </c>
      <c r="I69" s="334"/>
      <c r="J69" s="342" t="s">
        <v>727</v>
      </c>
      <c r="K69" s="334"/>
      <c r="L69" s="338">
        <f>SUM(L26:L68)</f>
        <v>773691.28999999992</v>
      </c>
      <c r="M69" s="338">
        <f t="shared" ref="M69:M71" si="34">IF(L69=0,0,(L69*100/L$14))</f>
        <v>9.7665715161053015</v>
      </c>
      <c r="N69" s="338">
        <f>SUM(N26:N68)</f>
        <v>0</v>
      </c>
      <c r="O69" s="338">
        <f t="shared" ref="O69:O71" si="35">IF(N69=0,0,(N69*100/N$14))</f>
        <v>0</v>
      </c>
      <c r="P69" s="338">
        <f>SUM(P26:P68)</f>
        <v>-773691.28999999992</v>
      </c>
      <c r="Q69" s="338">
        <f t="shared" ref="Q69:Q71" si="36">IF(P69=0,0,(P69*100/P$14))</f>
        <v>9.7665715161053015</v>
      </c>
      <c r="R69" s="338">
        <f>SUM(R26:R68)</f>
        <v>524049.03</v>
      </c>
      <c r="S69" s="338">
        <f t="shared" ref="S69:S71" si="37">IF(R69=0,0,(R69*100/R$14))</f>
        <v>7.2287417632935451</v>
      </c>
      <c r="T69" s="339"/>
      <c r="U69" s="339"/>
      <c r="V69" s="339"/>
      <c r="W69" s="339"/>
      <c r="X69" s="339"/>
      <c r="Y69" s="339"/>
      <c r="Z69" s="339"/>
      <c r="AA69" s="95"/>
      <c r="AB69" s="96"/>
      <c r="AC69" s="96"/>
      <c r="AD69" s="96"/>
      <c r="AE69" s="96"/>
      <c r="AF69" s="97"/>
      <c r="AG69" s="95"/>
      <c r="AH69" s="96"/>
      <c r="AI69" s="95"/>
      <c r="AJ69" s="96"/>
      <c r="AK69" s="95"/>
      <c r="AL69" s="96"/>
      <c r="AM69" s="95"/>
      <c r="AN69" s="98"/>
      <c r="AO69" s="96"/>
      <c r="AP69" s="96"/>
      <c r="AQ69" s="95"/>
      <c r="AR69" s="98"/>
      <c r="AS69" s="96"/>
      <c r="AT69" s="96"/>
      <c r="AU69" s="95"/>
      <c r="AV69" s="98"/>
      <c r="AW69" s="96"/>
      <c r="AX69" s="96"/>
      <c r="AY69" s="95"/>
      <c r="AZ69" s="98"/>
      <c r="BA69" s="99"/>
      <c r="BB69" s="95"/>
      <c r="BC69" s="96"/>
      <c r="BD69" s="96"/>
      <c r="BE69" s="98"/>
      <c r="BF69" s="95"/>
      <c r="BG69" s="96"/>
      <c r="BH69" s="96"/>
      <c r="BI69" s="98"/>
    </row>
    <row r="70" spans="1:61" ht="12" customHeight="1">
      <c r="A70" s="343">
        <f>+A24+A69</f>
        <v>559049.03</v>
      </c>
      <c r="B70" s="344">
        <f t="shared" si="30"/>
        <v>7.7115323940008933</v>
      </c>
      <c r="C70" s="343">
        <f>+C24+C69</f>
        <v>-781530.96</v>
      </c>
      <c r="D70" s="344">
        <f t="shared" si="31"/>
        <v>9.8655343695163396</v>
      </c>
      <c r="E70" s="343">
        <f>+E24+E69</f>
        <v>0</v>
      </c>
      <c r="F70" s="344">
        <f t="shared" si="32"/>
        <v>0</v>
      </c>
      <c r="G70" s="343">
        <f>+G24+G69</f>
        <v>781530.96</v>
      </c>
      <c r="H70" s="344">
        <f t="shared" si="33"/>
        <v>9.8655343695163396</v>
      </c>
      <c r="I70" s="345"/>
      <c r="J70" s="346" t="s">
        <v>728</v>
      </c>
      <c r="K70" s="345"/>
      <c r="L70" s="343">
        <f>+L24+L69</f>
        <v>781530.96</v>
      </c>
      <c r="M70" s="347">
        <f t="shared" si="34"/>
        <v>9.8655343695163396</v>
      </c>
      <c r="N70" s="343">
        <f>+N24+N69</f>
        <v>0</v>
      </c>
      <c r="O70" s="347">
        <f t="shared" si="35"/>
        <v>0</v>
      </c>
      <c r="P70" s="343">
        <f>+P24+P69</f>
        <v>-781530.96</v>
      </c>
      <c r="Q70" s="347">
        <f t="shared" si="36"/>
        <v>9.8655343695163396</v>
      </c>
      <c r="R70" s="343">
        <f>+R24+R69</f>
        <v>559049.03</v>
      </c>
      <c r="S70" s="348">
        <f t="shared" si="37"/>
        <v>7.7115323940008933</v>
      </c>
      <c r="T70" s="349"/>
      <c r="U70" s="349"/>
      <c r="V70" s="349"/>
      <c r="W70" s="349"/>
      <c r="X70" s="349"/>
      <c r="Y70" s="349"/>
      <c r="Z70" s="349"/>
      <c r="AA70" s="95"/>
      <c r="AB70" s="96"/>
      <c r="AC70" s="96"/>
      <c r="AD70" s="96"/>
      <c r="AE70" s="96"/>
      <c r="AF70" s="97"/>
      <c r="AG70" s="95"/>
      <c r="AH70" s="96"/>
      <c r="AI70" s="95"/>
      <c r="AJ70" s="96"/>
      <c r="AK70" s="95"/>
      <c r="AL70" s="96"/>
      <c r="AM70" s="95"/>
      <c r="AN70" s="98"/>
      <c r="AO70" s="96"/>
      <c r="AP70" s="96"/>
      <c r="AQ70" s="95"/>
      <c r="AR70" s="98"/>
      <c r="AS70" s="96"/>
      <c r="AT70" s="96"/>
      <c r="AU70" s="95"/>
      <c r="AV70" s="98"/>
      <c r="AW70" s="96"/>
      <c r="AX70" s="96"/>
      <c r="AY70" s="95"/>
      <c r="AZ70" s="98"/>
      <c r="BA70" s="99"/>
      <c r="BB70" s="95"/>
      <c r="BC70" s="96"/>
      <c r="BD70" s="96"/>
      <c r="BE70" s="98"/>
      <c r="BF70" s="95"/>
      <c r="BG70" s="96"/>
      <c r="BH70" s="96"/>
      <c r="BI70" s="98"/>
    </row>
    <row r="71" spans="1:61" ht="12" customHeight="1">
      <c r="A71" s="350">
        <f>+A14-A70</f>
        <v>6690470.2799999993</v>
      </c>
      <c r="B71" s="350">
        <f t="shared" si="30"/>
        <v>92.288467605999102</v>
      </c>
      <c r="C71" s="350">
        <f>+C14-C70</f>
        <v>-7140300.040000001</v>
      </c>
      <c r="D71" s="350">
        <f t="shared" si="31"/>
        <v>90.13446563048366</v>
      </c>
      <c r="E71" s="350">
        <f>+E14-E70</f>
        <v>0</v>
      </c>
      <c r="F71" s="350">
        <f t="shared" si="32"/>
        <v>0</v>
      </c>
      <c r="G71" s="351">
        <f>+G14-G70</f>
        <v>7140300.040000001</v>
      </c>
      <c r="H71" s="350">
        <f t="shared" si="33"/>
        <v>90.13446563048366</v>
      </c>
      <c r="I71" s="352"/>
      <c r="J71" s="353" t="s">
        <v>729</v>
      </c>
      <c r="K71" s="352"/>
      <c r="L71" s="354">
        <f>+L14-L70</f>
        <v>7140300.040000001</v>
      </c>
      <c r="M71" s="354">
        <f t="shared" si="34"/>
        <v>90.13446563048366</v>
      </c>
      <c r="N71" s="354">
        <f>+N14-N70</f>
        <v>0</v>
      </c>
      <c r="O71" s="354">
        <f t="shared" si="35"/>
        <v>0</v>
      </c>
      <c r="P71" s="354">
        <f>+P14-P70</f>
        <v>-7140300.040000001</v>
      </c>
      <c r="Q71" s="354">
        <f t="shared" si="36"/>
        <v>90.13446563048366</v>
      </c>
      <c r="R71" s="354">
        <f>+R14-R70</f>
        <v>6690470.2799999993</v>
      </c>
      <c r="S71" s="355">
        <f t="shared" si="37"/>
        <v>92.288467605999102</v>
      </c>
      <c r="T71" s="349"/>
      <c r="U71" s="349"/>
      <c r="V71" s="349"/>
      <c r="W71" s="349"/>
      <c r="X71" s="349"/>
      <c r="Y71" s="349"/>
      <c r="Z71" s="349"/>
      <c r="AA71" s="95"/>
      <c r="AB71" s="96"/>
      <c r="AC71" s="96"/>
      <c r="AD71" s="96"/>
      <c r="AE71" s="96"/>
      <c r="AF71" s="97"/>
      <c r="AG71" s="95"/>
      <c r="AH71" s="96"/>
      <c r="AI71" s="95"/>
      <c r="AJ71" s="96"/>
      <c r="AK71" s="95"/>
      <c r="AL71" s="96"/>
      <c r="AM71" s="95"/>
      <c r="AN71" s="98"/>
      <c r="AO71" s="96"/>
      <c r="AP71" s="96"/>
      <c r="AQ71" s="95"/>
      <c r="AR71" s="98"/>
      <c r="AS71" s="96"/>
      <c r="AT71" s="96"/>
      <c r="AU71" s="95"/>
      <c r="AV71" s="98"/>
      <c r="AW71" s="96"/>
      <c r="AX71" s="96"/>
      <c r="AY71" s="95"/>
      <c r="AZ71" s="98"/>
      <c r="BA71" s="99"/>
      <c r="BB71" s="95"/>
      <c r="BC71" s="96"/>
      <c r="BD71" s="96"/>
      <c r="BE71" s="98"/>
      <c r="BF71" s="95"/>
      <c r="BG71" s="96"/>
      <c r="BH71" s="96"/>
      <c r="BI71" s="98"/>
    </row>
    <row r="72" spans="1:61" ht="12" customHeight="1">
      <c r="A72" s="279"/>
      <c r="B72" s="279"/>
      <c r="C72" s="279"/>
      <c r="D72" s="279"/>
      <c r="E72" s="279"/>
      <c r="F72" s="279"/>
      <c r="G72" s="356"/>
      <c r="H72" s="279"/>
      <c r="I72" s="279"/>
      <c r="J72" s="339"/>
      <c r="K72" s="279"/>
      <c r="L72" s="262"/>
      <c r="M72" s="262"/>
      <c r="N72" s="262"/>
      <c r="O72" s="262"/>
      <c r="P72" s="262"/>
      <c r="Q72" s="262"/>
      <c r="R72" s="262"/>
      <c r="S72" s="262"/>
      <c r="T72" s="339"/>
      <c r="U72" s="339"/>
      <c r="V72" s="339"/>
      <c r="W72" s="339"/>
      <c r="X72" s="339"/>
      <c r="Y72" s="339"/>
      <c r="Z72" s="339"/>
      <c r="AA72" s="95"/>
      <c r="AB72" s="96"/>
      <c r="AC72" s="96"/>
      <c r="AD72" s="96"/>
      <c r="AE72" s="96"/>
      <c r="AF72" s="97"/>
      <c r="AG72" s="95"/>
      <c r="AH72" s="96"/>
      <c r="AI72" s="95"/>
      <c r="AJ72" s="96"/>
      <c r="AK72" s="95"/>
      <c r="AL72" s="96"/>
      <c r="AM72" s="95"/>
      <c r="AN72" s="98"/>
      <c r="AO72" s="96"/>
      <c r="AP72" s="96"/>
      <c r="AQ72" s="95"/>
      <c r="AR72" s="98"/>
      <c r="AS72" s="96"/>
      <c r="AT72" s="96"/>
      <c r="AU72" s="95"/>
      <c r="AV72" s="98"/>
      <c r="AW72" s="96"/>
      <c r="AX72" s="96"/>
      <c r="AY72" s="95"/>
      <c r="AZ72" s="98"/>
      <c r="BA72" s="99"/>
      <c r="BB72" s="95"/>
      <c r="BC72" s="96"/>
      <c r="BD72" s="96"/>
      <c r="BE72" s="98"/>
      <c r="BF72" s="95"/>
      <c r="BG72" s="96"/>
      <c r="BH72" s="96"/>
      <c r="BI72" s="98"/>
    </row>
    <row r="73" spans="1:61" ht="12" customHeight="1">
      <c r="A73" s="279"/>
      <c r="B73" s="279"/>
      <c r="C73" s="279"/>
      <c r="D73" s="279"/>
      <c r="E73" s="279"/>
      <c r="F73" s="279"/>
      <c r="G73" s="279"/>
      <c r="H73" s="279"/>
      <c r="I73" s="279"/>
      <c r="J73" s="339"/>
      <c r="K73" s="279"/>
      <c r="L73" s="262"/>
      <c r="M73" s="262"/>
      <c r="N73" s="262"/>
      <c r="O73" s="262"/>
      <c r="P73" s="262"/>
      <c r="Q73" s="262"/>
      <c r="R73" s="262"/>
      <c r="S73" s="262"/>
      <c r="T73" s="339"/>
      <c r="U73" s="339"/>
      <c r="V73" s="339"/>
      <c r="W73" s="339"/>
      <c r="X73" s="339"/>
      <c r="Y73" s="339"/>
      <c r="Z73" s="339"/>
      <c r="AA73" s="95"/>
      <c r="AB73" s="96"/>
      <c r="AC73" s="96"/>
      <c r="AD73" s="96"/>
      <c r="AE73" s="96"/>
      <c r="AF73" s="97"/>
      <c r="AG73" s="95"/>
      <c r="AH73" s="96"/>
      <c r="AI73" s="95"/>
      <c r="AJ73" s="96"/>
      <c r="AK73" s="95"/>
      <c r="AL73" s="96"/>
      <c r="AM73" s="95"/>
      <c r="AN73" s="98"/>
      <c r="AO73" s="96"/>
      <c r="AP73" s="96"/>
      <c r="AQ73" s="95"/>
      <c r="AR73" s="98"/>
      <c r="AS73" s="96"/>
      <c r="AT73" s="96"/>
      <c r="AU73" s="95"/>
      <c r="AV73" s="98"/>
      <c r="AW73" s="96"/>
      <c r="AX73" s="96"/>
      <c r="AY73" s="95"/>
      <c r="AZ73" s="98"/>
      <c r="BA73" s="99"/>
      <c r="BB73" s="95"/>
      <c r="BC73" s="96"/>
      <c r="BD73" s="96"/>
      <c r="BE73" s="98"/>
      <c r="BF73" s="95"/>
      <c r="BG73" s="96"/>
      <c r="BH73" s="96"/>
      <c r="BI73" s="98"/>
    </row>
    <row r="74" spans="1:61" ht="12" customHeight="1">
      <c r="A74" s="357"/>
      <c r="B74" s="254"/>
      <c r="C74" s="357"/>
      <c r="D74" s="254"/>
      <c r="E74" s="357"/>
      <c r="F74" s="254"/>
      <c r="G74" s="357"/>
      <c r="H74" s="254"/>
      <c r="I74" s="254"/>
      <c r="J74" s="358" t="s">
        <v>730</v>
      </c>
      <c r="K74" s="254"/>
      <c r="L74" s="251"/>
      <c r="M74" s="237"/>
      <c r="N74" s="251"/>
      <c r="O74" s="237"/>
      <c r="P74" s="251"/>
      <c r="Q74" s="237"/>
      <c r="R74" s="251"/>
      <c r="S74" s="237"/>
      <c r="T74" s="359"/>
      <c r="U74" s="359"/>
      <c r="V74" s="359"/>
      <c r="W74" s="359"/>
      <c r="X74" s="359"/>
      <c r="Y74" s="359"/>
      <c r="Z74" s="359"/>
      <c r="AA74" s="95"/>
      <c r="AB74" s="96"/>
      <c r="AC74" s="96"/>
      <c r="AD74" s="96"/>
      <c r="AE74" s="96"/>
      <c r="AF74" s="97"/>
      <c r="AG74" s="95"/>
      <c r="AH74" s="96"/>
      <c r="AI74" s="95"/>
      <c r="AJ74" s="96"/>
      <c r="AK74" s="95"/>
      <c r="AL74" s="96"/>
      <c r="AM74" s="95"/>
      <c r="AN74" s="98"/>
      <c r="AO74" s="96"/>
      <c r="AP74" s="96"/>
      <c r="AQ74" s="95"/>
      <c r="AR74" s="98"/>
      <c r="AS74" s="96"/>
      <c r="AT74" s="96"/>
      <c r="AU74" s="95"/>
      <c r="AV74" s="98"/>
      <c r="AW74" s="96"/>
      <c r="AX74" s="96"/>
      <c r="AY74" s="95"/>
      <c r="AZ74" s="98"/>
      <c r="BA74" s="99"/>
      <c r="BB74" s="95"/>
      <c r="BC74" s="96"/>
      <c r="BD74" s="96"/>
      <c r="BE74" s="98"/>
      <c r="BF74" s="95"/>
      <c r="BG74" s="96"/>
      <c r="BH74" s="96"/>
      <c r="BI74" s="98"/>
    </row>
    <row r="75" spans="1:61" ht="12" customHeight="1">
      <c r="A75" s="360">
        <f t="array" ref="A75">_xll.AC(DB,_xll.ArrayDPT($AA75:$AE75),_xll.ArrayCOA($AG75:$AZ75),YR-1,PRD,_xll.ArrayDIM($BB75:$BE75))</f>
        <v>0</v>
      </c>
      <c r="B75" s="361"/>
      <c r="C75" s="361">
        <f t="shared" ref="C75:C79" si="38">+G75-E75</f>
        <v>0</v>
      </c>
      <c r="D75" s="361"/>
      <c r="E75" s="361">
        <f t="array" ref="E75">_xll.BC(DB,_xll.ArrayDPT($AA75:$AE75),_xll.ArrayCOA($AG75:$AZ75),YR,PRD,RV,_xll.ArrayDIM($BB75:$BE75))</f>
        <v>0</v>
      </c>
      <c r="F75" s="361"/>
      <c r="G75" s="361">
        <f t="array" ref="G75">_xll.AC(DB,_xll.ArrayDPT($AA75:$AE75),_xll.ArrayCOA($AG75:$AZ75),YR,PRD,_xll.ArrayDIM($BB75:$BE75))</f>
        <v>0</v>
      </c>
      <c r="H75" s="361"/>
      <c r="I75" s="361"/>
      <c r="J75" s="362" t="s">
        <v>731</v>
      </c>
      <c r="K75" s="361"/>
      <c r="L75" s="363">
        <f t="array" ref="L75">_xll.ACC(DB,_xll.ArrayDPT($AA75:$AE75),_xll.ArrayCOA($AG75:$AZ75),YR,PRD,_xll.ArrayDIM($BB75:$BE75))</f>
        <v>0</v>
      </c>
      <c r="M75" s="363"/>
      <c r="N75" s="363">
        <f t="array" ref="N75">_xll.BCC(DB,_xll.ArrayDPT($AA75:$AE75),_xll.ArrayCOA($AG75:$AZ75),YR,PRD,RV,_xll.ArrayDIM($BB75:$BE75))</f>
        <v>0</v>
      </c>
      <c r="O75" s="363"/>
      <c r="P75" s="363">
        <f t="shared" ref="P75:P79" si="39">+N75-L75</f>
        <v>0</v>
      </c>
      <c r="Q75" s="363"/>
      <c r="R75" s="363">
        <f t="array" ref="R75">_xll.ACC(DB,_xll.ArrayDPT($AA75:$AE75),_xll.ArrayCOA($AG75:$AZ75),YR-1,PRD,_xll.ArrayDIM($BB75:$BE75))</f>
        <v>0</v>
      </c>
      <c r="S75" s="363"/>
      <c r="T75" s="364"/>
      <c r="U75" s="364"/>
      <c r="V75" s="359"/>
      <c r="W75" s="359"/>
      <c r="X75" s="359"/>
      <c r="Y75" s="359"/>
      <c r="Z75" s="359"/>
      <c r="AA75" s="95"/>
      <c r="AB75" s="96"/>
      <c r="AC75" s="96"/>
      <c r="AD75" s="96"/>
      <c r="AE75" s="96"/>
      <c r="AF75" s="97"/>
      <c r="AG75" s="95"/>
      <c r="AH75" s="96"/>
      <c r="AI75" s="95"/>
      <c r="AJ75" s="96"/>
      <c r="AK75" s="95"/>
      <c r="AL75" s="96"/>
      <c r="AM75" s="95"/>
      <c r="AN75" s="98"/>
      <c r="AO75" s="96"/>
      <c r="AP75" s="96"/>
      <c r="AQ75" s="95"/>
      <c r="AR75" s="98"/>
      <c r="AS75" s="96"/>
      <c r="AT75" s="96"/>
      <c r="AU75" s="95"/>
      <c r="AV75" s="98"/>
      <c r="AW75" s="96"/>
      <c r="AX75" s="96"/>
      <c r="AY75" s="95"/>
      <c r="AZ75" s="98"/>
      <c r="BA75" s="99"/>
      <c r="BB75" s="95"/>
      <c r="BC75" s="96"/>
      <c r="BD75" s="96"/>
      <c r="BE75" s="98"/>
      <c r="BF75" s="95"/>
      <c r="BG75" s="96"/>
      <c r="BH75" s="96"/>
      <c r="BI75" s="98"/>
    </row>
    <row r="76" spans="1:61" ht="12" customHeight="1">
      <c r="A76" s="360">
        <f t="array" ref="A76">_xll.AC(DB,_xll.ArrayDPT($AA76:$AE76),_xll.ArrayCOA($AG76:$AZ76),YR-1,PRD,_xll.ArrayDIM($BB76:$BE76))</f>
        <v>0</v>
      </c>
      <c r="B76" s="361"/>
      <c r="C76" s="361">
        <f t="shared" si="38"/>
        <v>0</v>
      </c>
      <c r="D76" s="361"/>
      <c r="E76" s="361">
        <f t="array" ref="E76">_xll.BC(DB,_xll.ArrayDPT($AA76:$AE76),_xll.ArrayCOA($AG76:$AZ76),YR,PRD,RV,_xll.ArrayDIM($BB76:$BE76))</f>
        <v>0</v>
      </c>
      <c r="F76" s="361"/>
      <c r="G76" s="361">
        <f t="array" ref="G76">_xll.AC(DB,_xll.ArrayDPT($AA76:$AE76),_xll.ArrayCOA($AG76:$AZ76),YR,PRD,_xll.ArrayDIM($BB76:$BE76))</f>
        <v>0</v>
      </c>
      <c r="H76" s="361"/>
      <c r="I76" s="361"/>
      <c r="J76" s="362" t="s">
        <v>732</v>
      </c>
      <c r="K76" s="361"/>
      <c r="L76" s="363">
        <f t="array" ref="L76">_xll.ACC(DB,_xll.ArrayDPT($AA76:$AE76),_xll.ArrayCOA($AG76:$AZ76),YR,PRD,_xll.ArrayDIM($BB76:$BE76))</f>
        <v>0</v>
      </c>
      <c r="M76" s="363"/>
      <c r="N76" s="363">
        <f t="array" ref="N76">_xll.BCC(DB,_xll.ArrayDPT($AA76:$AE76),_xll.ArrayCOA($AG76:$AZ76),YR,PRD,RV,_xll.ArrayDIM($BB76:$BE76))</f>
        <v>0</v>
      </c>
      <c r="O76" s="363"/>
      <c r="P76" s="363">
        <f t="shared" si="39"/>
        <v>0</v>
      </c>
      <c r="Q76" s="363"/>
      <c r="R76" s="363">
        <f t="array" ref="R76">_xll.ACC(DB,_xll.ArrayDPT($AA76:$AE76),_xll.ArrayCOA($AG76:$AZ76),YR-1,PRD,_xll.ArrayDIM($BB76:$BE76))</f>
        <v>0</v>
      </c>
      <c r="S76" s="363"/>
      <c r="T76" s="359"/>
      <c r="U76" s="359"/>
      <c r="V76" s="359"/>
      <c r="W76" s="359"/>
      <c r="X76" s="359"/>
      <c r="Y76" s="359"/>
      <c r="Z76" s="359"/>
      <c r="AA76" s="95"/>
      <c r="AB76" s="96"/>
      <c r="AC76" s="96"/>
      <c r="AD76" s="96"/>
      <c r="AE76" s="96"/>
      <c r="AF76" s="97"/>
      <c r="AG76" s="95"/>
      <c r="AH76" s="96"/>
      <c r="AI76" s="95"/>
      <c r="AJ76" s="96"/>
      <c r="AK76" s="95"/>
      <c r="AL76" s="96"/>
      <c r="AM76" s="95"/>
      <c r="AN76" s="98"/>
      <c r="AO76" s="96"/>
      <c r="AP76" s="96"/>
      <c r="AQ76" s="95"/>
      <c r="AR76" s="98"/>
      <c r="AS76" s="96"/>
      <c r="AT76" s="96"/>
      <c r="AU76" s="95"/>
      <c r="AV76" s="98"/>
      <c r="AW76" s="96"/>
      <c r="AX76" s="96"/>
      <c r="AY76" s="95"/>
      <c r="AZ76" s="98"/>
      <c r="BA76" s="99"/>
      <c r="BB76" s="95"/>
      <c r="BC76" s="96"/>
      <c r="BD76" s="96"/>
      <c r="BE76" s="98"/>
      <c r="BF76" s="95"/>
      <c r="BG76" s="96"/>
      <c r="BH76" s="96"/>
      <c r="BI76" s="98"/>
    </row>
    <row r="77" spans="1:61" ht="12" customHeight="1">
      <c r="A77" s="360">
        <f t="array" ref="A77">_xll.AC(DB,_xll.ArrayDPT($AA77:$AE77),_xll.ArrayCOA($AG77:$AZ77),YR-1,PRD,_xll.ArrayDIM($BB77:$BE77))</f>
        <v>0</v>
      </c>
      <c r="B77" s="361"/>
      <c r="C77" s="361">
        <f t="shared" si="38"/>
        <v>0</v>
      </c>
      <c r="D77" s="361"/>
      <c r="E77" s="361">
        <f t="array" ref="E77">_xll.BC(DB,_xll.ArrayDPT($AA77:$AE77),_xll.ArrayCOA($AG77:$AZ77),YR,PRD,RV,_xll.ArrayDIM($BB77:$BE77))</f>
        <v>0</v>
      </c>
      <c r="F77" s="361"/>
      <c r="G77" s="361">
        <f t="array" ref="G77">_xll.AC(DB,_xll.ArrayDPT($AA77:$AE77),_xll.ArrayCOA($AG77:$AZ77),YR,PRD,_xll.ArrayDIM($BB77:$BE77))</f>
        <v>0</v>
      </c>
      <c r="H77" s="361"/>
      <c r="I77" s="361"/>
      <c r="J77" s="362" t="s">
        <v>733</v>
      </c>
      <c r="K77" s="361"/>
      <c r="L77" s="363">
        <f t="array" ref="L77">_xll.ACC(DB,_xll.ArrayDPT($AA77:$AE77),_xll.ArrayCOA($AG77:$AZ77),YR,PRD,_xll.ArrayDIM($BB77:$BE77))</f>
        <v>0</v>
      </c>
      <c r="M77" s="363"/>
      <c r="N77" s="363">
        <f t="array" ref="N77">_xll.BCC(DB,_xll.ArrayDPT($AA77:$AE77),_xll.ArrayCOA($AG77:$AZ77),YR,PRD,RV,_xll.ArrayDIM($BB77:$BE77))</f>
        <v>0</v>
      </c>
      <c r="O77" s="363"/>
      <c r="P77" s="363">
        <f t="shared" si="39"/>
        <v>0</v>
      </c>
      <c r="Q77" s="363"/>
      <c r="R77" s="363">
        <f t="array" ref="R77">_xll.ACC(DB,_xll.ArrayDPT($AA77:$AE77),_xll.ArrayCOA($AG77:$AZ77),YR-1,PRD,_xll.ArrayDIM($BB77:$BE77))</f>
        <v>0</v>
      </c>
      <c r="S77" s="363"/>
      <c r="T77" s="364"/>
      <c r="U77" s="364"/>
      <c r="V77" s="364"/>
      <c r="W77" s="359"/>
      <c r="X77" s="359"/>
      <c r="Y77" s="359"/>
      <c r="Z77" s="359"/>
      <c r="AA77" s="95"/>
      <c r="AB77" s="96"/>
      <c r="AC77" s="96"/>
      <c r="AD77" s="96"/>
      <c r="AE77" s="96"/>
      <c r="AF77" s="97"/>
      <c r="AG77" s="95"/>
      <c r="AH77" s="96"/>
      <c r="AI77" s="95"/>
      <c r="AJ77" s="96"/>
      <c r="AK77" s="95"/>
      <c r="AL77" s="96"/>
      <c r="AM77" s="95"/>
      <c r="AN77" s="98"/>
      <c r="AO77" s="96"/>
      <c r="AP77" s="96"/>
      <c r="AQ77" s="95"/>
      <c r="AR77" s="98"/>
      <c r="AS77" s="96"/>
      <c r="AT77" s="96"/>
      <c r="AU77" s="95"/>
      <c r="AV77" s="98"/>
      <c r="AW77" s="96"/>
      <c r="AX77" s="96"/>
      <c r="AY77" s="95"/>
      <c r="AZ77" s="98"/>
      <c r="BA77" s="99"/>
      <c r="BB77" s="95"/>
      <c r="BC77" s="96"/>
      <c r="BD77" s="96"/>
      <c r="BE77" s="98"/>
      <c r="BF77" s="95"/>
      <c r="BG77" s="96"/>
      <c r="BH77" s="96"/>
      <c r="BI77" s="98"/>
    </row>
    <row r="78" spans="1:61" ht="12" customHeight="1">
      <c r="A78" s="360">
        <f t="array" ref="A78">_xll.AC(DB,_xll.ArrayDPT($AA78:$AE78),_xll.ArrayCOA($AG78:$AZ78),YR-1,PRD,_xll.ArrayDIM($BB78:$BE78))</f>
        <v>0</v>
      </c>
      <c r="B78" s="361"/>
      <c r="C78" s="361">
        <f t="shared" si="38"/>
        <v>0</v>
      </c>
      <c r="D78" s="361"/>
      <c r="E78" s="361">
        <f t="array" ref="E78">_xll.BC(DB,_xll.ArrayDPT($AA78:$AE78),_xll.ArrayCOA($AG78:$AZ78),YR,PRD,RV,_xll.ArrayDIM($BB78:$BE78))</f>
        <v>0</v>
      </c>
      <c r="F78" s="361"/>
      <c r="G78" s="361">
        <f t="array" ref="G78">_xll.AC(DB,_xll.ArrayDPT($AA78:$AE78),_xll.ArrayCOA($AG78:$AZ78),YR,PRD,_xll.ArrayDIM($BB78:$BE78))</f>
        <v>0</v>
      </c>
      <c r="H78" s="361"/>
      <c r="I78" s="361"/>
      <c r="J78" s="362" t="s">
        <v>734</v>
      </c>
      <c r="K78" s="361"/>
      <c r="L78" s="363">
        <f t="array" ref="L78">_xll.ACC(DB,_xll.ArrayDPT($AA78:$AE78),_xll.ArrayCOA($AG78:$AZ78),YR,PRD,_xll.ArrayDIM($BB78:$BE78))</f>
        <v>0</v>
      </c>
      <c r="M78" s="363"/>
      <c r="N78" s="363">
        <f t="array" ref="N78">_xll.BCC(DB,_xll.ArrayDPT($AA78:$AE78),_xll.ArrayCOA($AG78:$AZ78),YR,PRD,RV,_xll.ArrayDIM($BB78:$BE78))</f>
        <v>0</v>
      </c>
      <c r="O78" s="363"/>
      <c r="P78" s="363">
        <f t="shared" si="39"/>
        <v>0</v>
      </c>
      <c r="Q78" s="363"/>
      <c r="R78" s="363">
        <f t="array" ref="R78">_xll.ACC(DB,_xll.ArrayDPT($AA78:$AE78),_xll.ArrayCOA($AG78:$AZ78),YR-1,PRD,_xll.ArrayDIM($BB78:$BE78))</f>
        <v>0</v>
      </c>
      <c r="S78" s="363"/>
      <c r="T78" s="365"/>
      <c r="U78" s="359"/>
      <c r="V78" s="359"/>
      <c r="W78" s="359"/>
      <c r="X78" s="359"/>
      <c r="Y78" s="359"/>
      <c r="Z78" s="359"/>
      <c r="AA78" s="95"/>
      <c r="AB78" s="96"/>
      <c r="AC78" s="96"/>
      <c r="AD78" s="96"/>
      <c r="AE78" s="96"/>
      <c r="AF78" s="97"/>
      <c r="AG78" s="95"/>
      <c r="AH78" s="96"/>
      <c r="AI78" s="95"/>
      <c r="AJ78" s="96"/>
      <c r="AK78" s="95"/>
      <c r="AL78" s="96"/>
      <c r="AM78" s="95"/>
      <c r="AN78" s="98"/>
      <c r="AO78" s="96"/>
      <c r="AP78" s="96"/>
      <c r="AQ78" s="95"/>
      <c r="AR78" s="98"/>
      <c r="AS78" s="96"/>
      <c r="AT78" s="96"/>
      <c r="AU78" s="95"/>
      <c r="AV78" s="98"/>
      <c r="AW78" s="96"/>
      <c r="AX78" s="96"/>
      <c r="AY78" s="95"/>
      <c r="AZ78" s="98"/>
      <c r="BA78" s="99"/>
      <c r="BB78" s="95"/>
      <c r="BC78" s="96"/>
      <c r="BD78" s="96"/>
      <c r="BE78" s="98"/>
      <c r="BF78" s="95"/>
      <c r="BG78" s="96"/>
      <c r="BH78" s="96"/>
      <c r="BI78" s="98"/>
    </row>
    <row r="79" spans="1:61" ht="12" customHeight="1">
      <c r="A79" s="360">
        <f t="array" ref="A79">_xll.AC(DB,_xll.ArrayDPT($AA79:$AE79),_xll.ArrayCOA($AG79:$AZ79),YR-1,PRD,_xll.ArrayDIM($BB79:$BE79))</f>
        <v>0</v>
      </c>
      <c r="B79" s="361"/>
      <c r="C79" s="361">
        <f t="shared" si="38"/>
        <v>0</v>
      </c>
      <c r="D79" s="361"/>
      <c r="E79" s="361">
        <f t="array" ref="E79">_xll.BC(DB,_xll.ArrayDPT($AA79:$AE79),_xll.ArrayCOA($AG79:$AZ79),YR,PRD,RV,_xll.ArrayDIM($BB79:$BE79))</f>
        <v>0</v>
      </c>
      <c r="F79" s="361"/>
      <c r="G79" s="361">
        <f t="array" ref="G79">_xll.AC(DB,_xll.ArrayDPT($AA79:$AE79),_xll.ArrayCOA($AG79:$AZ79),YR,PRD,_xll.ArrayDIM($BB79:$BE79))</f>
        <v>0</v>
      </c>
      <c r="H79" s="361"/>
      <c r="I79" s="361"/>
      <c r="J79" s="362" t="s">
        <v>735</v>
      </c>
      <c r="K79" s="361"/>
      <c r="L79" s="363">
        <f t="array" ref="L79">_xll.ACC(DB,_xll.ArrayDPT($AA79:$AE79),_xll.ArrayCOA($AG79:$AZ79),YR,PRD,_xll.ArrayDIM($BB79:$BE79))</f>
        <v>0</v>
      </c>
      <c r="M79" s="363"/>
      <c r="N79" s="363">
        <f t="array" ref="N79">_xll.BCC(DB,_xll.ArrayDPT($AA79:$AE79),_xll.ArrayCOA($AG79:$AZ79),YR,PRD,RV,_xll.ArrayDIM($BB79:$BE79))</f>
        <v>0</v>
      </c>
      <c r="O79" s="363"/>
      <c r="P79" s="363">
        <f t="shared" si="39"/>
        <v>0</v>
      </c>
      <c r="Q79" s="363"/>
      <c r="R79" s="363">
        <f t="array" ref="R79">_xll.ACC(DB,_xll.ArrayDPT($AA79:$AE79),_xll.ArrayCOA($AG79:$AZ79),YR-1,PRD,_xll.ArrayDIM($BB79:$BE79))</f>
        <v>0</v>
      </c>
      <c r="S79" s="363"/>
      <c r="T79" s="364"/>
      <c r="U79" s="364"/>
      <c r="V79" s="364"/>
      <c r="W79" s="364"/>
      <c r="X79" s="364"/>
      <c r="Y79" s="364"/>
      <c r="Z79" s="364"/>
      <c r="AA79" s="95"/>
      <c r="AB79" s="96"/>
      <c r="AC79" s="96"/>
      <c r="AD79" s="96"/>
      <c r="AE79" s="96"/>
      <c r="AF79" s="97"/>
      <c r="AG79" s="95"/>
      <c r="AH79" s="96"/>
      <c r="AI79" s="95"/>
      <c r="AJ79" s="96"/>
      <c r="AK79" s="95"/>
      <c r="AL79" s="96"/>
      <c r="AM79" s="95"/>
      <c r="AN79" s="98"/>
      <c r="AO79" s="96"/>
      <c r="AP79" s="96"/>
      <c r="AQ79" s="95"/>
      <c r="AR79" s="98"/>
      <c r="AS79" s="96"/>
      <c r="AT79" s="96"/>
      <c r="AU79" s="95"/>
      <c r="AV79" s="98"/>
      <c r="AW79" s="96"/>
      <c r="AX79" s="96"/>
      <c r="AY79" s="95"/>
      <c r="AZ79" s="98"/>
      <c r="BA79" s="99"/>
      <c r="BB79" s="95"/>
      <c r="BC79" s="96"/>
      <c r="BD79" s="96"/>
      <c r="BE79" s="98"/>
      <c r="BF79" s="95"/>
      <c r="BG79" s="96"/>
      <c r="BH79" s="96"/>
      <c r="BI79" s="98"/>
    </row>
    <row r="80" spans="1:61" ht="12" customHeight="1">
      <c r="A80" s="366"/>
      <c r="B80" s="366"/>
      <c r="C80" s="366"/>
      <c r="D80" s="366"/>
      <c r="E80" s="366"/>
      <c r="F80" s="366"/>
      <c r="G80" s="366"/>
      <c r="H80" s="366"/>
      <c r="I80" s="366"/>
      <c r="J80" s="364"/>
      <c r="K80" s="366"/>
      <c r="L80" s="239"/>
      <c r="M80" s="239"/>
      <c r="N80" s="239"/>
      <c r="O80" s="239"/>
      <c r="P80" s="239"/>
      <c r="Q80" s="239"/>
      <c r="R80" s="239"/>
      <c r="S80" s="239"/>
      <c r="T80" s="364"/>
      <c r="U80" s="364"/>
      <c r="V80" s="364"/>
      <c r="W80" s="364"/>
      <c r="X80" s="364"/>
      <c r="Y80" s="364"/>
      <c r="Z80" s="364"/>
    </row>
    <row r="81" spans="1:26" ht="12" customHeight="1">
      <c r="A81" s="366"/>
      <c r="B81" s="366"/>
      <c r="C81" s="366"/>
      <c r="D81" s="366"/>
      <c r="E81" s="366"/>
      <c r="F81" s="366"/>
      <c r="G81" s="366"/>
      <c r="H81" s="366"/>
      <c r="I81" s="366"/>
      <c r="J81" s="364"/>
      <c r="K81" s="366"/>
      <c r="L81" s="239"/>
      <c r="M81" s="239"/>
      <c r="N81" s="239"/>
      <c r="O81" s="239"/>
      <c r="P81" s="239"/>
      <c r="Q81" s="239"/>
      <c r="R81" s="239"/>
      <c r="S81" s="239"/>
      <c r="T81" s="364"/>
      <c r="U81" s="364"/>
      <c r="V81" s="364"/>
      <c r="W81" s="364"/>
      <c r="X81" s="364"/>
      <c r="Y81" s="364"/>
      <c r="Z81" s="364"/>
    </row>
    <row r="82" spans="1:26" ht="12" customHeight="1">
      <c r="A82" s="366"/>
      <c r="B82" s="366"/>
      <c r="C82" s="366"/>
      <c r="D82" s="366"/>
      <c r="E82" s="366"/>
      <c r="F82" s="366"/>
      <c r="G82" s="366"/>
      <c r="H82" s="366"/>
      <c r="I82" s="366"/>
      <c r="J82" s="364"/>
      <c r="K82" s="366"/>
      <c r="L82" s="239"/>
      <c r="M82" s="239"/>
      <c r="N82" s="239"/>
      <c r="O82" s="239"/>
      <c r="P82" s="239"/>
      <c r="Q82" s="239"/>
      <c r="R82" s="239"/>
      <c r="S82" s="239"/>
      <c r="T82" s="364"/>
      <c r="U82" s="364"/>
      <c r="V82" s="364"/>
      <c r="W82" s="364"/>
      <c r="X82" s="364"/>
      <c r="Y82" s="364"/>
      <c r="Z82" s="364"/>
    </row>
    <row r="83" spans="1:26" ht="12" customHeight="1">
      <c r="A83" s="367"/>
      <c r="B83" s="367"/>
      <c r="C83" s="367"/>
      <c r="D83" s="367"/>
      <c r="E83" s="367"/>
      <c r="F83" s="367"/>
      <c r="G83" s="367"/>
      <c r="H83" s="367"/>
      <c r="I83" s="367"/>
      <c r="J83" s="365"/>
      <c r="K83" s="367"/>
      <c r="L83" s="244"/>
      <c r="M83" s="244"/>
      <c r="N83" s="244"/>
      <c r="O83" s="244"/>
      <c r="P83" s="244"/>
      <c r="Q83" s="244"/>
      <c r="R83" s="244"/>
      <c r="S83" s="244"/>
      <c r="T83" s="365"/>
      <c r="U83" s="365"/>
      <c r="V83" s="365"/>
      <c r="W83" s="365"/>
      <c r="X83" s="365"/>
      <c r="Y83" s="365"/>
      <c r="Z83" s="365"/>
    </row>
    <row r="84" spans="1:26" ht="12" customHeight="1">
      <c r="A84" s="366"/>
      <c r="B84" s="366"/>
      <c r="C84" s="366"/>
      <c r="D84" s="366"/>
      <c r="E84" s="366"/>
      <c r="F84" s="366"/>
      <c r="G84" s="366"/>
      <c r="H84" s="366"/>
      <c r="I84" s="366"/>
      <c r="J84" s="364"/>
      <c r="K84" s="366"/>
      <c r="L84" s="239"/>
      <c r="M84" s="239"/>
      <c r="N84" s="239"/>
      <c r="O84" s="239"/>
      <c r="P84" s="239"/>
      <c r="Q84" s="239"/>
      <c r="R84" s="239"/>
      <c r="S84" s="239"/>
      <c r="T84" s="364"/>
      <c r="U84" s="364"/>
      <c r="V84" s="359"/>
      <c r="W84" s="359"/>
      <c r="X84" s="359"/>
      <c r="Y84" s="359"/>
      <c r="Z84" s="359"/>
    </row>
    <row r="85" spans="1:26" ht="18" customHeight="1">
      <c r="A85" s="368"/>
      <c r="B85" s="102"/>
      <c r="C85" s="368"/>
      <c r="D85" s="102"/>
      <c r="E85" s="368"/>
      <c r="F85" s="102"/>
      <c r="G85" s="368"/>
      <c r="H85" s="102"/>
      <c r="I85" s="102"/>
      <c r="J85" s="369"/>
      <c r="K85" s="102"/>
      <c r="L85" s="369"/>
      <c r="M85" s="104"/>
      <c r="N85" s="369"/>
      <c r="O85" s="104"/>
      <c r="P85" s="369"/>
      <c r="Q85" s="104"/>
      <c r="R85" s="369"/>
      <c r="S85" s="104"/>
      <c r="T85" s="370"/>
      <c r="U85" s="370"/>
      <c r="V85" s="371"/>
      <c r="W85" s="371"/>
      <c r="X85" s="371"/>
      <c r="Y85" s="371"/>
      <c r="Z85" s="371"/>
    </row>
    <row r="86" spans="1:26" ht="18" customHeight="1">
      <c r="A86" s="368"/>
      <c r="B86" s="102"/>
      <c r="C86" s="368"/>
      <c r="D86" s="102"/>
      <c r="E86" s="368"/>
      <c r="F86" s="102"/>
      <c r="G86" s="368"/>
      <c r="H86" s="102"/>
      <c r="I86" s="102"/>
      <c r="J86" s="369"/>
      <c r="K86" s="102"/>
      <c r="L86" s="369"/>
      <c r="M86" s="104"/>
      <c r="N86" s="369"/>
      <c r="O86" s="104"/>
      <c r="P86" s="369"/>
      <c r="Q86" s="104"/>
      <c r="R86" s="369"/>
      <c r="S86" s="104"/>
      <c r="T86" s="370"/>
      <c r="U86" s="370"/>
      <c r="V86" s="371"/>
      <c r="W86" s="371"/>
      <c r="X86" s="371"/>
      <c r="Y86" s="371"/>
      <c r="Z86" s="371"/>
    </row>
    <row r="87" spans="1:26" ht="18" customHeight="1">
      <c r="A87" s="368"/>
      <c r="B87" s="102"/>
      <c r="C87" s="368"/>
      <c r="D87" s="102"/>
      <c r="E87" s="368"/>
      <c r="F87" s="368"/>
      <c r="G87" s="368"/>
      <c r="H87" s="102"/>
      <c r="I87" s="102"/>
      <c r="J87" s="369"/>
      <c r="K87" s="102"/>
      <c r="L87" s="369"/>
      <c r="M87" s="104"/>
      <c r="N87" s="369"/>
      <c r="O87" s="104"/>
      <c r="P87" s="369"/>
      <c r="Q87" s="104"/>
      <c r="R87" s="369"/>
      <c r="S87" s="104"/>
      <c r="T87" s="370"/>
      <c r="U87" s="370"/>
      <c r="V87" s="371"/>
      <c r="W87" s="371"/>
      <c r="X87" s="371"/>
      <c r="Y87" s="371"/>
      <c r="Z87" s="371"/>
    </row>
    <row r="88" spans="1:26" ht="18" customHeight="1">
      <c r="A88" s="368"/>
      <c r="B88" s="368"/>
      <c r="C88" s="372"/>
      <c r="D88" s="102"/>
      <c r="E88" s="368"/>
      <c r="F88" s="368"/>
      <c r="G88" s="368"/>
      <c r="H88" s="102"/>
      <c r="I88" s="102"/>
      <c r="J88" s="369"/>
      <c r="K88" s="102"/>
      <c r="L88" s="369"/>
      <c r="M88" s="104"/>
      <c r="N88" s="369"/>
      <c r="O88" s="104"/>
      <c r="P88" s="369"/>
      <c r="Q88" s="104"/>
      <c r="R88" s="369"/>
      <c r="S88" s="104"/>
      <c r="T88" s="370"/>
      <c r="U88" s="370"/>
      <c r="V88" s="371"/>
      <c r="W88" s="371"/>
      <c r="X88" s="371"/>
      <c r="Y88" s="371"/>
      <c r="Z88" s="371"/>
    </row>
    <row r="89" spans="1:26" ht="18" customHeight="1">
      <c r="A89" s="372"/>
      <c r="B89" s="373"/>
      <c r="C89" s="372"/>
      <c r="D89" s="102"/>
      <c r="E89" s="372"/>
      <c r="F89" s="373"/>
      <c r="G89" s="372"/>
      <c r="H89" s="102"/>
      <c r="I89" s="102"/>
      <c r="J89" s="125"/>
      <c r="K89" s="102"/>
      <c r="L89" s="125"/>
      <c r="M89" s="104"/>
      <c r="N89" s="125"/>
      <c r="O89" s="104"/>
      <c r="P89" s="125"/>
      <c r="Q89" s="104"/>
      <c r="R89" s="125"/>
      <c r="S89" s="104"/>
      <c r="T89" s="60"/>
      <c r="U89" s="60"/>
      <c r="V89" s="137"/>
      <c r="W89" s="137"/>
      <c r="X89" s="137"/>
      <c r="Y89" s="137"/>
      <c r="Z89" s="137"/>
    </row>
    <row r="90" spans="1:26" ht="18" customHeight="1">
      <c r="A90" s="373"/>
      <c r="B90" s="372"/>
      <c r="C90" s="153"/>
      <c r="D90" s="372"/>
      <c r="E90" s="373"/>
      <c r="F90" s="372"/>
      <c r="G90" s="102"/>
      <c r="H90" s="153"/>
      <c r="I90" s="125"/>
      <c r="J90" s="153"/>
      <c r="K90" s="374"/>
      <c r="L90" s="125"/>
      <c r="M90" s="104"/>
      <c r="N90" s="125"/>
      <c r="O90" s="104"/>
      <c r="P90" s="125"/>
      <c r="Q90" s="104"/>
      <c r="R90" s="125"/>
      <c r="S90" s="104"/>
      <c r="T90" s="60"/>
      <c r="U90" s="60"/>
      <c r="V90" s="137"/>
      <c r="W90" s="137"/>
      <c r="X90" s="137"/>
      <c r="Y90" s="137"/>
      <c r="Z90" s="137"/>
    </row>
    <row r="91" spans="1:26" ht="18" customHeight="1">
      <c r="A91" s="373"/>
      <c r="B91" s="372"/>
      <c r="C91" s="153"/>
      <c r="D91" s="372"/>
      <c r="E91" s="373"/>
      <c r="F91" s="372"/>
      <c r="G91" s="102"/>
      <c r="H91" s="153"/>
      <c r="I91" s="125"/>
      <c r="J91" s="153"/>
      <c r="K91" s="374"/>
      <c r="L91" s="125"/>
      <c r="M91" s="104"/>
      <c r="N91" s="125"/>
      <c r="O91" s="104"/>
      <c r="P91" s="125"/>
      <c r="Q91" s="104"/>
      <c r="R91" s="125"/>
      <c r="S91" s="104"/>
      <c r="T91" s="60"/>
      <c r="U91" s="60"/>
      <c r="V91" s="137"/>
      <c r="W91" s="137"/>
      <c r="X91" s="137"/>
      <c r="Y91" s="137"/>
      <c r="Z91" s="137"/>
    </row>
    <row r="92" spans="1:26" ht="18" customHeight="1">
      <c r="A92" s="373"/>
      <c r="B92" s="372"/>
      <c r="C92" s="153"/>
      <c r="D92" s="372"/>
      <c r="E92" s="373"/>
      <c r="F92" s="372"/>
      <c r="G92" s="102"/>
      <c r="H92" s="153"/>
      <c r="I92" s="125"/>
      <c r="J92" s="153"/>
      <c r="K92" s="374"/>
      <c r="L92" s="125"/>
      <c r="M92" s="104"/>
      <c r="N92" s="125"/>
      <c r="O92" s="104"/>
      <c r="P92" s="125"/>
      <c r="Q92" s="104"/>
      <c r="R92" s="125"/>
      <c r="S92" s="104"/>
      <c r="T92" s="60"/>
      <c r="U92" s="60"/>
      <c r="V92" s="137"/>
      <c r="W92" s="137"/>
      <c r="X92" s="137"/>
      <c r="Y92" s="137"/>
      <c r="Z92" s="137"/>
    </row>
    <row r="93" spans="1:26" ht="18" customHeight="1">
      <c r="A93" s="373"/>
      <c r="B93" s="372"/>
      <c r="C93" s="153"/>
      <c r="D93" s="372"/>
      <c r="E93" s="373"/>
      <c r="F93" s="372"/>
      <c r="G93" s="102"/>
      <c r="H93" s="153"/>
      <c r="I93" s="125"/>
      <c r="J93" s="153"/>
      <c r="K93" s="374"/>
      <c r="L93" s="125"/>
      <c r="M93" s="104"/>
      <c r="N93" s="125"/>
      <c r="O93" s="104"/>
      <c r="P93" s="125"/>
      <c r="Q93" s="104"/>
      <c r="R93" s="125"/>
      <c r="S93" s="104"/>
      <c r="T93" s="60"/>
      <c r="U93" s="60"/>
      <c r="V93" s="137"/>
      <c r="W93" s="137"/>
      <c r="X93" s="137"/>
      <c r="Y93" s="137"/>
      <c r="Z93" s="137"/>
    </row>
    <row r="94" spans="1:26" ht="18" customHeight="1">
      <c r="A94" s="373"/>
      <c r="B94" s="372"/>
      <c r="C94" s="153"/>
      <c r="D94" s="372"/>
      <c r="E94" s="373"/>
      <c r="F94" s="372"/>
      <c r="G94" s="102"/>
      <c r="H94" s="153"/>
      <c r="I94" s="125"/>
      <c r="J94" s="153"/>
      <c r="K94" s="374"/>
      <c r="L94" s="125"/>
      <c r="M94" s="104"/>
      <c r="N94" s="125"/>
      <c r="O94" s="104"/>
      <c r="P94" s="125"/>
      <c r="Q94" s="104"/>
      <c r="R94" s="125"/>
      <c r="S94" s="104"/>
      <c r="T94" s="60"/>
      <c r="U94" s="60"/>
      <c r="V94" s="137"/>
      <c r="W94" s="137"/>
      <c r="X94" s="137"/>
      <c r="Y94" s="137"/>
      <c r="Z94" s="137"/>
    </row>
    <row r="95" spans="1:26" ht="12" customHeight="1">
      <c r="A95" s="373"/>
      <c r="B95" s="372"/>
      <c r="C95" s="102"/>
      <c r="D95" s="372"/>
      <c r="E95" s="373"/>
      <c r="F95" s="372"/>
      <c r="G95" s="102"/>
      <c r="H95" s="102"/>
      <c r="I95" s="125"/>
      <c r="J95" s="102"/>
      <c r="K95" s="374"/>
      <c r="L95" s="125"/>
      <c r="M95" s="104"/>
      <c r="N95" s="125"/>
      <c r="O95" s="104"/>
      <c r="P95" s="125"/>
      <c r="Q95" s="104"/>
      <c r="R95" s="125"/>
      <c r="S95" s="104"/>
      <c r="T95" s="60"/>
      <c r="U95" s="60"/>
      <c r="V95" s="137"/>
      <c r="W95" s="137"/>
      <c r="X95" s="137"/>
      <c r="Y95" s="137"/>
      <c r="Z95" s="137"/>
    </row>
    <row r="96" spans="1:26" ht="12" customHeight="1">
      <c r="A96" s="373"/>
      <c r="B96" s="372"/>
      <c r="C96" s="153"/>
      <c r="D96" s="372"/>
      <c r="E96" s="373"/>
      <c r="F96" s="372"/>
      <c r="G96" s="102"/>
      <c r="H96" s="153"/>
      <c r="I96" s="125"/>
      <c r="J96" s="153"/>
      <c r="K96" s="374"/>
      <c r="L96" s="125"/>
      <c r="M96" s="104"/>
      <c r="N96" s="125"/>
      <c r="O96" s="104"/>
      <c r="P96" s="125"/>
      <c r="Q96" s="104"/>
      <c r="R96" s="125"/>
      <c r="S96" s="104"/>
      <c r="T96" s="60"/>
      <c r="U96" s="60"/>
      <c r="V96" s="137"/>
      <c r="W96" s="137"/>
      <c r="X96" s="137"/>
      <c r="Y96" s="137"/>
      <c r="Z96" s="137"/>
    </row>
    <row r="97" spans="1:26" ht="12" customHeight="1">
      <c r="A97" s="373"/>
      <c r="B97" s="372"/>
      <c r="C97" s="153"/>
      <c r="D97" s="372"/>
      <c r="E97" s="373"/>
      <c r="F97" s="372"/>
      <c r="G97" s="102"/>
      <c r="H97" s="153"/>
      <c r="I97" s="125"/>
      <c r="J97" s="153"/>
      <c r="K97" s="374"/>
      <c r="L97" s="125"/>
      <c r="M97" s="104"/>
      <c r="N97" s="125"/>
      <c r="O97" s="104"/>
      <c r="P97" s="125"/>
      <c r="Q97" s="104"/>
      <c r="R97" s="125"/>
      <c r="S97" s="104"/>
      <c r="T97" s="60"/>
      <c r="U97" s="60"/>
      <c r="V97" s="137"/>
      <c r="W97" s="137"/>
      <c r="X97" s="137"/>
      <c r="Y97" s="137"/>
      <c r="Z97" s="137"/>
    </row>
    <row r="98" spans="1:26" ht="12" customHeight="1">
      <c r="A98" s="373"/>
      <c r="B98" s="372"/>
      <c r="C98" s="102"/>
      <c r="D98" s="372"/>
      <c r="E98" s="373"/>
      <c r="F98" s="372"/>
      <c r="G98" s="102"/>
      <c r="H98" s="102"/>
      <c r="I98" s="125"/>
      <c r="J98" s="102"/>
      <c r="K98" s="374"/>
      <c r="L98" s="125"/>
      <c r="M98" s="104"/>
      <c r="N98" s="125"/>
      <c r="O98" s="104"/>
      <c r="P98" s="125"/>
      <c r="Q98" s="104"/>
      <c r="R98" s="125"/>
      <c r="S98" s="104"/>
      <c r="T98" s="60"/>
      <c r="U98" s="60"/>
      <c r="V98" s="137"/>
      <c r="W98" s="137"/>
      <c r="X98" s="137"/>
      <c r="Y98" s="137"/>
      <c r="Z98" s="137"/>
    </row>
    <row r="99" spans="1:26" ht="12" customHeight="1">
      <c r="A99" s="373"/>
      <c r="B99" s="372"/>
      <c r="C99" s="102"/>
      <c r="D99" s="372"/>
      <c r="E99" s="373"/>
      <c r="F99" s="372"/>
      <c r="G99" s="102"/>
      <c r="H99" s="102"/>
      <c r="I99" s="125"/>
      <c r="J99" s="102"/>
      <c r="K99" s="374"/>
      <c r="L99" s="125"/>
      <c r="M99" s="104"/>
      <c r="N99" s="125"/>
      <c r="O99" s="375"/>
      <c r="P99" s="125"/>
      <c r="Q99" s="104"/>
      <c r="R99" s="125"/>
      <c r="S99" s="104"/>
      <c r="T99" s="60"/>
      <c r="U99" s="60"/>
      <c r="V99" s="137"/>
      <c r="W99" s="137"/>
      <c r="X99" s="137"/>
      <c r="Y99" s="137"/>
      <c r="Z99" s="137"/>
    </row>
    <row r="100" spans="1:26" ht="12" customHeight="1">
      <c r="A100" s="373"/>
      <c r="B100" s="372"/>
      <c r="C100" s="153"/>
      <c r="D100" s="372"/>
      <c r="E100" s="373"/>
      <c r="F100" s="372"/>
      <c r="G100" s="102"/>
      <c r="H100" s="153"/>
      <c r="I100" s="125"/>
      <c r="J100" s="153"/>
      <c r="K100" s="374"/>
      <c r="L100" s="125"/>
      <c r="M100" s="375"/>
      <c r="N100" s="125"/>
      <c r="O100" s="375"/>
      <c r="P100" s="125"/>
      <c r="Q100" s="209"/>
      <c r="R100" s="125"/>
      <c r="S100" s="209"/>
      <c r="T100" s="60"/>
      <c r="U100" s="60"/>
      <c r="V100" s="137"/>
      <c r="W100" s="137"/>
      <c r="X100" s="137"/>
      <c r="Y100" s="137"/>
      <c r="Z100" s="137"/>
    </row>
    <row r="101" spans="1:26" ht="12" customHeight="1">
      <c r="A101" s="373"/>
      <c r="B101" s="372"/>
      <c r="C101" s="153"/>
      <c r="D101" s="372"/>
      <c r="E101" s="373"/>
      <c r="F101" s="372"/>
      <c r="G101" s="102"/>
      <c r="H101" s="153"/>
      <c r="I101" s="125"/>
      <c r="J101" s="153"/>
      <c r="K101" s="374"/>
      <c r="L101" s="125"/>
      <c r="M101" s="375"/>
      <c r="N101" s="125"/>
      <c r="O101" s="375"/>
      <c r="P101" s="125"/>
      <c r="Q101" s="209"/>
      <c r="R101" s="125"/>
      <c r="S101" s="209"/>
      <c r="T101" s="60"/>
      <c r="U101" s="60"/>
      <c r="V101" s="137"/>
      <c r="W101" s="137"/>
      <c r="X101" s="137"/>
      <c r="Y101" s="137"/>
      <c r="Z101" s="137"/>
    </row>
    <row r="102" spans="1:26" ht="12" customHeight="1">
      <c r="A102" s="373"/>
      <c r="B102" s="372"/>
      <c r="C102" s="153"/>
      <c r="D102" s="372"/>
      <c r="E102" s="373"/>
      <c r="F102" s="372"/>
      <c r="G102" s="102"/>
      <c r="H102" s="153"/>
      <c r="I102" s="125"/>
      <c r="J102" s="153"/>
      <c r="K102" s="374"/>
      <c r="L102" s="125"/>
      <c r="M102" s="375"/>
      <c r="N102" s="125"/>
      <c r="O102" s="375"/>
      <c r="P102" s="125"/>
      <c r="Q102" s="209"/>
      <c r="R102" s="125"/>
      <c r="S102" s="209"/>
      <c r="T102" s="60"/>
      <c r="U102" s="60"/>
      <c r="V102" s="137"/>
      <c r="W102" s="137"/>
      <c r="X102" s="137"/>
      <c r="Y102" s="137"/>
      <c r="Z102" s="137"/>
    </row>
    <row r="103" spans="1:26" ht="12" customHeight="1">
      <c r="A103" s="373"/>
      <c r="B103" s="372"/>
      <c r="C103" s="153"/>
      <c r="D103" s="372"/>
      <c r="E103" s="373"/>
      <c r="F103" s="372"/>
      <c r="G103" s="102"/>
      <c r="H103" s="153"/>
      <c r="I103" s="125"/>
      <c r="J103" s="153"/>
      <c r="K103" s="374"/>
      <c r="L103" s="125"/>
      <c r="M103" s="375"/>
      <c r="N103" s="125"/>
      <c r="O103" s="375"/>
      <c r="P103" s="125"/>
      <c r="Q103" s="209"/>
      <c r="R103" s="125"/>
      <c r="S103" s="209"/>
      <c r="T103" s="60"/>
      <c r="U103" s="60"/>
      <c r="V103" s="137"/>
      <c r="W103" s="137"/>
      <c r="X103" s="137"/>
      <c r="Y103" s="137"/>
      <c r="Z103" s="137"/>
    </row>
    <row r="104" spans="1:26" ht="12" customHeight="1">
      <c r="A104" s="373"/>
      <c r="B104" s="372"/>
      <c r="C104" s="153"/>
      <c r="D104" s="372"/>
      <c r="E104" s="373"/>
      <c r="F104" s="372"/>
      <c r="G104" s="102"/>
      <c r="H104" s="153"/>
      <c r="I104" s="125"/>
      <c r="J104" s="153"/>
      <c r="K104" s="374"/>
      <c r="L104" s="125"/>
      <c r="M104" s="375"/>
      <c r="N104" s="125"/>
      <c r="O104" s="375"/>
      <c r="P104" s="125"/>
      <c r="Q104" s="209"/>
      <c r="R104" s="125"/>
      <c r="S104" s="209"/>
      <c r="T104" s="60"/>
      <c r="U104" s="60"/>
      <c r="V104" s="137"/>
      <c r="W104" s="137"/>
      <c r="X104" s="137"/>
      <c r="Y104" s="137"/>
      <c r="Z104" s="137"/>
    </row>
    <row r="105" spans="1:26" ht="12" customHeight="1">
      <c r="A105" s="373"/>
      <c r="B105" s="372"/>
      <c r="C105" s="102"/>
      <c r="D105" s="372"/>
      <c r="E105" s="373"/>
      <c r="F105" s="372"/>
      <c r="G105" s="102"/>
      <c r="H105" s="102"/>
      <c r="I105" s="125"/>
      <c r="J105" s="102"/>
      <c r="K105" s="374"/>
      <c r="L105" s="125"/>
      <c r="M105" s="375"/>
      <c r="N105" s="125"/>
      <c r="O105" s="375"/>
      <c r="P105" s="125"/>
      <c r="Q105" s="209"/>
      <c r="R105" s="125"/>
      <c r="S105" s="209"/>
      <c r="T105" s="60"/>
      <c r="U105" s="60"/>
      <c r="V105" s="137"/>
      <c r="W105" s="137"/>
      <c r="X105" s="137"/>
      <c r="Y105" s="137"/>
      <c r="Z105" s="137"/>
    </row>
    <row r="106" spans="1:26" ht="12" customHeight="1">
      <c r="A106" s="373"/>
      <c r="B106" s="372"/>
      <c r="C106" s="102"/>
      <c r="D106" s="372"/>
      <c r="E106" s="373"/>
      <c r="F106" s="372"/>
      <c r="G106" s="102"/>
      <c r="H106" s="102"/>
      <c r="I106" s="125"/>
      <c r="J106" s="102"/>
      <c r="K106" s="374"/>
      <c r="L106" s="125"/>
      <c r="M106" s="375"/>
      <c r="N106" s="125"/>
      <c r="O106" s="375"/>
      <c r="P106" s="125"/>
      <c r="Q106" s="209"/>
      <c r="R106" s="125"/>
      <c r="S106" s="209"/>
      <c r="T106" s="60"/>
      <c r="U106" s="60"/>
      <c r="V106" s="137"/>
      <c r="W106" s="137"/>
      <c r="X106" s="137"/>
      <c r="Y106" s="137"/>
      <c r="Z106" s="137"/>
    </row>
    <row r="107" spans="1:26" ht="12" customHeight="1">
      <c r="A107" s="373"/>
      <c r="B107" s="372"/>
      <c r="C107" s="102"/>
      <c r="D107" s="372"/>
      <c r="E107" s="373"/>
      <c r="F107" s="372"/>
      <c r="G107" s="102"/>
      <c r="H107" s="102"/>
      <c r="I107" s="125"/>
      <c r="J107" s="102"/>
      <c r="K107" s="374"/>
      <c r="L107" s="125"/>
      <c r="M107" s="375"/>
      <c r="N107" s="125"/>
      <c r="O107" s="375"/>
      <c r="P107" s="125"/>
      <c r="Q107" s="209"/>
      <c r="R107" s="125"/>
      <c r="S107" s="209"/>
      <c r="T107" s="60"/>
      <c r="U107" s="60"/>
      <c r="V107" s="137"/>
      <c r="W107" s="137"/>
      <c r="X107" s="137"/>
      <c r="Y107" s="137"/>
      <c r="Z107" s="137"/>
    </row>
    <row r="108" spans="1:26" ht="12" customHeight="1">
      <c r="A108" s="373"/>
      <c r="B108" s="372"/>
      <c r="C108" s="102"/>
      <c r="D108" s="372"/>
      <c r="E108" s="373"/>
      <c r="F108" s="372"/>
      <c r="G108" s="102"/>
      <c r="H108" s="102"/>
      <c r="I108" s="125"/>
      <c r="J108" s="102"/>
      <c r="K108" s="374"/>
      <c r="L108" s="125"/>
      <c r="M108" s="375"/>
      <c r="N108" s="125"/>
      <c r="O108" s="375"/>
      <c r="P108" s="125"/>
      <c r="Q108" s="209"/>
      <c r="R108" s="125"/>
      <c r="S108" s="209"/>
      <c r="T108" s="60"/>
      <c r="U108" s="60"/>
      <c r="V108" s="137"/>
      <c r="W108" s="137"/>
      <c r="X108" s="137"/>
      <c r="Y108" s="137"/>
      <c r="Z108" s="137"/>
    </row>
    <row r="109" spans="1:26" ht="12" customHeight="1">
      <c r="A109" s="373"/>
      <c r="B109" s="372"/>
      <c r="C109" s="102"/>
      <c r="D109" s="372"/>
      <c r="E109" s="373"/>
      <c r="F109" s="372"/>
      <c r="G109" s="102"/>
      <c r="H109" s="102"/>
      <c r="I109" s="125"/>
      <c r="J109" s="102"/>
      <c r="K109" s="374"/>
      <c r="L109" s="125"/>
      <c r="M109" s="375"/>
      <c r="N109" s="125"/>
      <c r="O109" s="375"/>
      <c r="P109" s="125"/>
      <c r="Q109" s="209"/>
      <c r="R109" s="125"/>
      <c r="S109" s="209"/>
      <c r="T109" s="60"/>
      <c r="U109" s="60"/>
      <c r="V109" s="137"/>
      <c r="W109" s="137"/>
      <c r="X109" s="137"/>
      <c r="Y109" s="137"/>
      <c r="Z109" s="137"/>
    </row>
    <row r="110" spans="1:26" ht="12" customHeight="1">
      <c r="A110" s="373"/>
      <c r="B110" s="372"/>
      <c r="C110" s="153"/>
      <c r="D110" s="372"/>
      <c r="E110" s="373"/>
      <c r="F110" s="372"/>
      <c r="G110" s="102"/>
      <c r="H110" s="153"/>
      <c r="I110" s="125"/>
      <c r="J110" s="153"/>
      <c r="K110" s="374"/>
      <c r="L110" s="125"/>
      <c r="M110" s="375"/>
      <c r="N110" s="125"/>
      <c r="O110" s="375"/>
      <c r="P110" s="125"/>
      <c r="Q110" s="209"/>
      <c r="R110" s="125"/>
      <c r="S110" s="209"/>
      <c r="T110" s="60"/>
      <c r="U110" s="60"/>
      <c r="V110" s="137"/>
      <c r="W110" s="137"/>
      <c r="X110" s="137"/>
      <c r="Y110" s="137"/>
      <c r="Z110" s="137"/>
    </row>
    <row r="111" spans="1:26" ht="12" customHeight="1">
      <c r="A111" s="373"/>
      <c r="B111" s="372"/>
      <c r="C111" s="153"/>
      <c r="D111" s="372"/>
      <c r="E111" s="373"/>
      <c r="F111" s="372"/>
      <c r="G111" s="102"/>
      <c r="H111" s="153"/>
      <c r="I111" s="125"/>
      <c r="J111" s="153"/>
      <c r="K111" s="374"/>
      <c r="L111" s="125"/>
      <c r="M111" s="375"/>
      <c r="N111" s="125"/>
      <c r="O111" s="375"/>
      <c r="P111" s="125"/>
      <c r="Q111" s="209"/>
      <c r="R111" s="125"/>
      <c r="S111" s="209"/>
      <c r="T111" s="60"/>
      <c r="U111" s="60"/>
      <c r="V111" s="137"/>
      <c r="W111" s="137"/>
      <c r="X111" s="137"/>
      <c r="Y111" s="137"/>
      <c r="Z111" s="137"/>
    </row>
    <row r="112" spans="1:26" ht="12" customHeight="1">
      <c r="A112" s="373"/>
      <c r="B112" s="372"/>
      <c r="C112" s="153"/>
      <c r="D112" s="372"/>
      <c r="E112" s="373"/>
      <c r="F112" s="372"/>
      <c r="G112" s="102"/>
      <c r="H112" s="153"/>
      <c r="I112" s="125"/>
      <c r="J112" s="153"/>
      <c r="K112" s="374"/>
      <c r="L112" s="125"/>
      <c r="M112" s="375"/>
      <c r="N112" s="125"/>
      <c r="O112" s="375"/>
      <c r="P112" s="125"/>
      <c r="Q112" s="209"/>
      <c r="R112" s="125"/>
      <c r="S112" s="209"/>
      <c r="T112" s="60"/>
      <c r="U112" s="60"/>
      <c r="V112" s="137"/>
      <c r="W112" s="137"/>
      <c r="X112" s="137"/>
      <c r="Y112" s="137"/>
      <c r="Z112" s="137"/>
    </row>
    <row r="113" spans="1:26" ht="12" customHeight="1">
      <c r="A113" s="373"/>
      <c r="B113" s="372"/>
      <c r="C113" s="153"/>
      <c r="D113" s="372"/>
      <c r="E113" s="373"/>
      <c r="F113" s="372"/>
      <c r="G113" s="102"/>
      <c r="H113" s="153"/>
      <c r="I113" s="125"/>
      <c r="J113" s="153"/>
      <c r="K113" s="374"/>
      <c r="L113" s="125"/>
      <c r="M113" s="375"/>
      <c r="N113" s="125"/>
      <c r="O113" s="375"/>
      <c r="P113" s="125"/>
      <c r="Q113" s="209"/>
      <c r="R113" s="125"/>
      <c r="S113" s="209"/>
      <c r="T113" s="60"/>
      <c r="U113" s="60"/>
      <c r="V113" s="137"/>
      <c r="W113" s="137"/>
      <c r="X113" s="137"/>
      <c r="Y113" s="137"/>
      <c r="Z113" s="137"/>
    </row>
    <row r="114" spans="1:26" ht="12" customHeight="1">
      <c r="A114" s="373"/>
      <c r="B114" s="368"/>
      <c r="C114" s="102"/>
      <c r="D114" s="372"/>
      <c r="E114" s="373"/>
      <c r="F114" s="372"/>
      <c r="G114" s="102"/>
      <c r="H114" s="102"/>
      <c r="I114" s="125"/>
      <c r="J114" s="102"/>
      <c r="K114" s="374"/>
      <c r="L114" s="125"/>
      <c r="M114" s="375"/>
      <c r="N114" s="125"/>
      <c r="O114" s="375"/>
      <c r="P114" s="125"/>
      <c r="Q114" s="209"/>
      <c r="R114" s="125"/>
      <c r="S114" s="209"/>
      <c r="T114" s="60"/>
      <c r="U114" s="60"/>
      <c r="V114" s="137"/>
      <c r="W114" s="137"/>
      <c r="X114" s="137"/>
      <c r="Y114" s="137"/>
      <c r="Z114" s="137"/>
    </row>
    <row r="115" spans="1:26" ht="12" customHeight="1">
      <c r="A115" s="373"/>
      <c r="B115" s="372"/>
      <c r="C115" s="102"/>
      <c r="D115" s="372"/>
      <c r="E115" s="373"/>
      <c r="F115" s="372"/>
      <c r="G115" s="102"/>
      <c r="H115" s="102"/>
      <c r="I115" s="125"/>
      <c r="J115" s="102"/>
      <c r="K115" s="374"/>
      <c r="L115" s="125"/>
      <c r="M115" s="375"/>
      <c r="N115" s="125"/>
      <c r="O115" s="375"/>
      <c r="P115" s="125"/>
      <c r="Q115" s="209"/>
      <c r="R115" s="125"/>
      <c r="S115" s="209"/>
      <c r="T115" s="60"/>
      <c r="U115" s="60"/>
      <c r="V115" s="137"/>
      <c r="W115" s="137"/>
      <c r="X115" s="137"/>
      <c r="Y115" s="137"/>
      <c r="Z115" s="137"/>
    </row>
    <row r="116" spans="1:26" ht="12" customHeight="1">
      <c r="A116" s="373"/>
      <c r="B116" s="372"/>
      <c r="C116" s="153"/>
      <c r="D116" s="372"/>
      <c r="E116" s="373"/>
      <c r="F116" s="372"/>
      <c r="G116" s="102"/>
      <c r="H116" s="153"/>
      <c r="I116" s="125"/>
      <c r="J116" s="153"/>
      <c r="K116" s="374"/>
      <c r="L116" s="125"/>
      <c r="M116" s="375"/>
      <c r="N116" s="125"/>
      <c r="O116" s="375"/>
      <c r="P116" s="125"/>
      <c r="Q116" s="209"/>
      <c r="R116" s="125"/>
      <c r="S116" s="209"/>
      <c r="T116" s="60"/>
      <c r="U116" s="60"/>
      <c r="V116" s="137"/>
      <c r="W116" s="137"/>
      <c r="X116" s="137"/>
      <c r="Y116" s="137"/>
      <c r="Z116" s="137"/>
    </row>
    <row r="117" spans="1:26" ht="12" customHeight="1">
      <c r="A117" s="372"/>
      <c r="B117" s="373"/>
      <c r="C117" s="372"/>
      <c r="D117" s="153"/>
      <c r="E117" s="372"/>
      <c r="F117" s="373"/>
      <c r="G117" s="372"/>
      <c r="H117" s="102"/>
      <c r="I117" s="153"/>
      <c r="J117" s="125"/>
      <c r="K117" s="153"/>
      <c r="L117" s="125"/>
      <c r="M117" s="375"/>
      <c r="N117" s="125"/>
      <c r="O117" s="375"/>
      <c r="P117" s="125"/>
      <c r="Q117" s="209"/>
      <c r="R117" s="125"/>
      <c r="S117" s="209"/>
      <c r="T117" s="60"/>
      <c r="U117" s="60"/>
      <c r="V117" s="137"/>
      <c r="W117" s="137"/>
      <c r="X117" s="137"/>
      <c r="Y117" s="137"/>
      <c r="Z117" s="137"/>
    </row>
    <row r="118" spans="1:26" ht="12" customHeight="1">
      <c r="A118" s="372"/>
      <c r="B118" s="373"/>
      <c r="C118" s="372"/>
      <c r="D118" s="153"/>
      <c r="E118" s="372"/>
      <c r="F118" s="373"/>
      <c r="G118" s="372"/>
      <c r="H118" s="102"/>
      <c r="I118" s="153"/>
      <c r="J118" s="125"/>
      <c r="K118" s="153"/>
      <c r="L118" s="125"/>
      <c r="M118" s="375"/>
      <c r="N118" s="125"/>
      <c r="O118" s="375"/>
      <c r="P118" s="125"/>
      <c r="Q118" s="209"/>
      <c r="R118" s="125"/>
      <c r="S118" s="209"/>
      <c r="T118" s="60"/>
      <c r="U118" s="60"/>
      <c r="V118" s="137"/>
      <c r="W118" s="137"/>
      <c r="X118" s="137"/>
      <c r="Y118" s="137"/>
      <c r="Z118" s="137"/>
    </row>
    <row r="119" spans="1:26" ht="12" customHeight="1">
      <c r="A119" s="372"/>
      <c r="B119" s="373"/>
      <c r="C119" s="372"/>
      <c r="D119" s="153"/>
      <c r="E119" s="372"/>
      <c r="F119" s="373"/>
      <c r="G119" s="372"/>
      <c r="H119" s="102"/>
      <c r="I119" s="153"/>
      <c r="J119" s="125"/>
      <c r="K119" s="153"/>
      <c r="L119" s="125"/>
      <c r="M119" s="375"/>
      <c r="N119" s="125"/>
      <c r="O119" s="375"/>
      <c r="P119" s="125"/>
      <c r="Q119" s="209"/>
      <c r="R119" s="125"/>
      <c r="S119" s="209"/>
      <c r="T119" s="60"/>
      <c r="U119" s="60"/>
      <c r="V119" s="137"/>
      <c r="W119" s="137"/>
      <c r="X119" s="137"/>
      <c r="Y119" s="137"/>
      <c r="Z119" s="137"/>
    </row>
    <row r="120" spans="1:26" ht="12" customHeight="1">
      <c r="A120" s="372"/>
      <c r="B120" s="373"/>
      <c r="C120" s="372"/>
      <c r="D120" s="153"/>
      <c r="E120" s="372"/>
      <c r="F120" s="373"/>
      <c r="G120" s="372"/>
      <c r="H120" s="102"/>
      <c r="I120" s="153"/>
      <c r="J120" s="125"/>
      <c r="K120" s="153"/>
      <c r="L120" s="125"/>
      <c r="M120" s="375"/>
      <c r="N120" s="125"/>
      <c r="O120" s="375"/>
      <c r="P120" s="125"/>
      <c r="Q120" s="209"/>
      <c r="R120" s="125"/>
      <c r="S120" s="209"/>
      <c r="T120" s="60"/>
      <c r="U120" s="60"/>
      <c r="V120" s="137"/>
      <c r="W120" s="137"/>
      <c r="X120" s="137"/>
      <c r="Y120" s="137"/>
      <c r="Z120" s="137"/>
    </row>
    <row r="121" spans="1:26" ht="12" customHeight="1">
      <c r="A121" s="372"/>
      <c r="B121" s="373"/>
      <c r="C121" s="372"/>
      <c r="D121" s="153"/>
      <c r="E121" s="372"/>
      <c r="F121" s="373"/>
      <c r="G121" s="372"/>
      <c r="H121" s="102"/>
      <c r="I121" s="153"/>
      <c r="J121" s="125"/>
      <c r="K121" s="153"/>
      <c r="L121" s="125"/>
      <c r="M121" s="375"/>
      <c r="N121" s="125"/>
      <c r="O121" s="375"/>
      <c r="P121" s="125"/>
      <c r="Q121" s="209"/>
      <c r="R121" s="125"/>
      <c r="S121" s="209"/>
      <c r="T121" s="60"/>
      <c r="U121" s="60"/>
      <c r="V121" s="137"/>
      <c r="W121" s="137"/>
      <c r="X121" s="137"/>
      <c r="Y121" s="137"/>
      <c r="Z121" s="137"/>
    </row>
    <row r="122" spans="1:26" ht="12" customHeight="1">
      <c r="A122" s="372"/>
      <c r="B122" s="373"/>
      <c r="C122" s="372"/>
      <c r="D122" s="153"/>
      <c r="E122" s="372"/>
      <c r="F122" s="373"/>
      <c r="G122" s="372"/>
      <c r="H122" s="102"/>
      <c r="I122" s="153"/>
      <c r="J122" s="125"/>
      <c r="K122" s="153"/>
      <c r="L122" s="125"/>
      <c r="M122" s="375"/>
      <c r="N122" s="125"/>
      <c r="O122" s="375"/>
      <c r="P122" s="125"/>
      <c r="Q122" s="209"/>
      <c r="R122" s="125"/>
      <c r="S122" s="209"/>
      <c r="T122" s="60"/>
      <c r="U122" s="60"/>
      <c r="V122" s="137"/>
      <c r="W122" s="137"/>
      <c r="X122" s="137"/>
      <c r="Y122" s="137"/>
      <c r="Z122" s="137"/>
    </row>
    <row r="123" spans="1:26" ht="12" customHeight="1">
      <c r="A123" s="372"/>
      <c r="B123" s="373"/>
      <c r="C123" s="372"/>
      <c r="D123" s="153"/>
      <c r="E123" s="372"/>
      <c r="F123" s="373"/>
      <c r="G123" s="372"/>
      <c r="H123" s="102"/>
      <c r="I123" s="153"/>
      <c r="J123" s="125"/>
      <c r="K123" s="153"/>
      <c r="L123" s="125"/>
      <c r="M123" s="375"/>
      <c r="N123" s="125"/>
      <c r="O123" s="375"/>
      <c r="P123" s="125"/>
      <c r="Q123" s="209"/>
      <c r="R123" s="125"/>
      <c r="S123" s="209"/>
      <c r="T123" s="60"/>
      <c r="U123" s="60"/>
      <c r="V123" s="137"/>
      <c r="W123" s="137"/>
      <c r="X123" s="137"/>
      <c r="Y123" s="137"/>
      <c r="Z123" s="137"/>
    </row>
    <row r="124" spans="1:26" ht="12" customHeight="1">
      <c r="A124" s="372"/>
      <c r="B124" s="373"/>
      <c r="C124" s="372"/>
      <c r="D124" s="153"/>
      <c r="E124" s="372"/>
      <c r="F124" s="373"/>
      <c r="G124" s="372"/>
      <c r="H124" s="102"/>
      <c r="I124" s="153"/>
      <c r="J124" s="125"/>
      <c r="K124" s="153"/>
      <c r="L124" s="125"/>
      <c r="M124" s="375"/>
      <c r="N124" s="125"/>
      <c r="O124" s="375"/>
      <c r="P124" s="125"/>
      <c r="Q124" s="209"/>
      <c r="R124" s="125"/>
      <c r="S124" s="209"/>
      <c r="T124" s="60"/>
      <c r="U124" s="60"/>
      <c r="V124" s="137"/>
      <c r="W124" s="137"/>
      <c r="X124" s="137"/>
      <c r="Y124" s="137"/>
      <c r="Z124" s="137"/>
    </row>
    <row r="125" spans="1:26" ht="12" customHeight="1">
      <c r="A125" s="372"/>
      <c r="B125" s="373"/>
      <c r="C125" s="372"/>
      <c r="D125" s="153"/>
      <c r="E125" s="372"/>
      <c r="F125" s="373"/>
      <c r="G125" s="372"/>
      <c r="H125" s="102"/>
      <c r="I125" s="153"/>
      <c r="J125" s="125"/>
      <c r="K125" s="153"/>
      <c r="L125" s="125"/>
      <c r="M125" s="375"/>
      <c r="N125" s="125"/>
      <c r="O125" s="375"/>
      <c r="P125" s="125"/>
      <c r="Q125" s="209"/>
      <c r="R125" s="125"/>
      <c r="S125" s="209"/>
      <c r="T125" s="60"/>
      <c r="U125" s="60"/>
      <c r="V125" s="137"/>
      <c r="W125" s="137"/>
      <c r="X125" s="137"/>
      <c r="Y125" s="137"/>
      <c r="Z125" s="137"/>
    </row>
    <row r="126" spans="1:26" ht="12" customHeight="1">
      <c r="A126" s="372"/>
      <c r="B126" s="373"/>
      <c r="C126" s="372"/>
      <c r="D126" s="153"/>
      <c r="E126" s="372"/>
      <c r="F126" s="373"/>
      <c r="G126" s="372"/>
      <c r="H126" s="102"/>
      <c r="I126" s="153"/>
      <c r="J126" s="125"/>
      <c r="K126" s="153"/>
      <c r="L126" s="125"/>
      <c r="M126" s="375"/>
      <c r="N126" s="125"/>
      <c r="O126" s="375"/>
      <c r="P126" s="125"/>
      <c r="Q126" s="209"/>
      <c r="R126" s="125"/>
      <c r="S126" s="209"/>
      <c r="T126" s="60"/>
      <c r="U126" s="60"/>
      <c r="V126" s="137"/>
      <c r="W126" s="137"/>
      <c r="X126" s="137"/>
      <c r="Y126" s="137"/>
      <c r="Z126" s="137"/>
    </row>
    <row r="127" spans="1:26" ht="12" customHeight="1">
      <c r="A127" s="372"/>
      <c r="B127" s="373"/>
      <c r="C127" s="372"/>
      <c r="D127" s="153"/>
      <c r="E127" s="372"/>
      <c r="F127" s="373"/>
      <c r="G127" s="372"/>
      <c r="H127" s="102"/>
      <c r="I127" s="153"/>
      <c r="J127" s="125"/>
      <c r="K127" s="153"/>
      <c r="L127" s="125"/>
      <c r="M127" s="375"/>
      <c r="N127" s="125"/>
      <c r="O127" s="375"/>
      <c r="P127" s="125"/>
      <c r="Q127" s="209"/>
      <c r="R127" s="125"/>
      <c r="S127" s="209"/>
      <c r="T127" s="60"/>
      <c r="U127" s="60"/>
      <c r="V127" s="137"/>
      <c r="W127" s="137"/>
      <c r="X127" s="137"/>
      <c r="Y127" s="137"/>
      <c r="Z127" s="137"/>
    </row>
    <row r="128" spans="1:26" ht="12" customHeight="1">
      <c r="A128" s="372"/>
      <c r="B128" s="373"/>
      <c r="C128" s="372"/>
      <c r="D128" s="153"/>
      <c r="E128" s="372"/>
      <c r="F128" s="373"/>
      <c r="G128" s="372"/>
      <c r="H128" s="102"/>
      <c r="I128" s="153"/>
      <c r="J128" s="125"/>
      <c r="K128" s="153"/>
      <c r="L128" s="125"/>
      <c r="M128" s="375"/>
      <c r="N128" s="125"/>
      <c r="O128" s="375"/>
      <c r="P128" s="125"/>
      <c r="Q128" s="209"/>
      <c r="R128" s="125"/>
      <c r="S128" s="209"/>
      <c r="T128" s="60"/>
      <c r="U128" s="60"/>
      <c r="V128" s="137"/>
      <c r="W128" s="137"/>
      <c r="X128" s="137"/>
      <c r="Y128" s="137"/>
      <c r="Z128" s="137"/>
    </row>
    <row r="129" spans="1:26" ht="12" customHeight="1">
      <c r="A129" s="372"/>
      <c r="B129" s="373"/>
      <c r="C129" s="372"/>
      <c r="D129" s="153"/>
      <c r="E129" s="372"/>
      <c r="F129" s="373"/>
      <c r="G129" s="372"/>
      <c r="H129" s="102"/>
      <c r="I129" s="153"/>
      <c r="J129" s="125"/>
      <c r="K129" s="153"/>
      <c r="L129" s="125"/>
      <c r="M129" s="375"/>
      <c r="N129" s="125"/>
      <c r="O129" s="375"/>
      <c r="P129" s="125"/>
      <c r="Q129" s="209"/>
      <c r="R129" s="125"/>
      <c r="S129" s="209"/>
      <c r="T129" s="60"/>
      <c r="U129" s="60"/>
      <c r="V129" s="137"/>
      <c r="W129" s="137"/>
      <c r="X129" s="137"/>
      <c r="Y129" s="137"/>
      <c r="Z129" s="137"/>
    </row>
    <row r="130" spans="1:26" ht="12" customHeight="1">
      <c r="A130" s="372"/>
      <c r="B130" s="373"/>
      <c r="C130" s="372"/>
      <c r="D130" s="153"/>
      <c r="E130" s="372"/>
      <c r="F130" s="373"/>
      <c r="G130" s="372"/>
      <c r="H130" s="102"/>
      <c r="I130" s="153"/>
      <c r="J130" s="125"/>
      <c r="K130" s="153"/>
      <c r="L130" s="125"/>
      <c r="M130" s="375"/>
      <c r="N130" s="125"/>
      <c r="O130" s="375"/>
      <c r="P130" s="125"/>
      <c r="Q130" s="209"/>
      <c r="R130" s="125"/>
      <c r="S130" s="209"/>
      <c r="T130" s="60"/>
      <c r="U130" s="60"/>
      <c r="V130" s="137"/>
      <c r="W130" s="137"/>
      <c r="X130" s="137"/>
      <c r="Y130" s="137"/>
      <c r="Z130" s="137"/>
    </row>
    <row r="131" spans="1:26" ht="12" customHeight="1">
      <c r="A131" s="372"/>
      <c r="B131" s="373"/>
      <c r="C131" s="372"/>
      <c r="D131" s="153"/>
      <c r="E131" s="372"/>
      <c r="F131" s="373"/>
      <c r="G131" s="372"/>
      <c r="H131" s="102"/>
      <c r="I131" s="153"/>
      <c r="J131" s="125"/>
      <c r="K131" s="153"/>
      <c r="L131" s="125"/>
      <c r="M131" s="375"/>
      <c r="N131" s="125"/>
      <c r="O131" s="375"/>
      <c r="P131" s="125"/>
      <c r="Q131" s="209"/>
      <c r="R131" s="125"/>
      <c r="S131" s="209"/>
      <c r="T131" s="60"/>
      <c r="U131" s="60"/>
      <c r="V131" s="137"/>
      <c r="W131" s="137"/>
      <c r="X131" s="137"/>
      <c r="Y131" s="137"/>
      <c r="Z131" s="137"/>
    </row>
    <row r="132" spans="1:26" ht="12" customHeight="1">
      <c r="A132" s="372"/>
      <c r="B132" s="373"/>
      <c r="C132" s="372"/>
      <c r="D132" s="153"/>
      <c r="E132" s="372"/>
      <c r="F132" s="373"/>
      <c r="G132" s="372"/>
      <c r="H132" s="102"/>
      <c r="I132" s="153"/>
      <c r="J132" s="125"/>
      <c r="K132" s="153"/>
      <c r="L132" s="125"/>
      <c r="M132" s="375"/>
      <c r="N132" s="125"/>
      <c r="O132" s="375"/>
      <c r="P132" s="125"/>
      <c r="Q132" s="209"/>
      <c r="R132" s="125"/>
      <c r="S132" s="209"/>
      <c r="T132" s="60"/>
      <c r="U132" s="60"/>
      <c r="V132" s="137"/>
      <c r="W132" s="137"/>
      <c r="X132" s="137"/>
      <c r="Y132" s="137"/>
      <c r="Z132" s="137"/>
    </row>
    <row r="133" spans="1:26" ht="12" customHeight="1">
      <c r="A133" s="372"/>
      <c r="B133" s="373"/>
      <c r="C133" s="372"/>
      <c r="D133" s="153"/>
      <c r="E133" s="372"/>
      <c r="F133" s="373"/>
      <c r="G133" s="372"/>
      <c r="H133" s="102"/>
      <c r="I133" s="153"/>
      <c r="J133" s="125"/>
      <c r="K133" s="153"/>
      <c r="L133" s="125"/>
      <c r="M133" s="375"/>
      <c r="N133" s="125"/>
      <c r="O133" s="375"/>
      <c r="P133" s="125"/>
      <c r="Q133" s="209"/>
      <c r="R133" s="125"/>
      <c r="S133" s="209"/>
      <c r="T133" s="60"/>
      <c r="U133" s="60"/>
      <c r="V133" s="137"/>
      <c r="W133" s="137"/>
      <c r="X133" s="137"/>
      <c r="Y133" s="137"/>
      <c r="Z133" s="137"/>
    </row>
    <row r="134" spans="1:26" ht="12" customHeight="1">
      <c r="A134" s="372"/>
      <c r="B134" s="373"/>
      <c r="C134" s="372"/>
      <c r="D134" s="153"/>
      <c r="E134" s="372"/>
      <c r="F134" s="373"/>
      <c r="G134" s="372"/>
      <c r="H134" s="102"/>
      <c r="I134" s="153"/>
      <c r="J134" s="125"/>
      <c r="K134" s="153"/>
      <c r="L134" s="125"/>
      <c r="M134" s="375"/>
      <c r="N134" s="125"/>
      <c r="O134" s="375"/>
      <c r="P134" s="125"/>
      <c r="Q134" s="209"/>
      <c r="R134" s="125"/>
      <c r="S134" s="209"/>
      <c r="T134" s="60"/>
      <c r="U134" s="60"/>
      <c r="V134" s="137"/>
      <c r="W134" s="137"/>
      <c r="X134" s="137"/>
      <c r="Y134" s="137"/>
      <c r="Z134" s="137"/>
    </row>
    <row r="135" spans="1:26" ht="12" customHeight="1">
      <c r="A135" s="372"/>
      <c r="B135" s="373"/>
      <c r="C135" s="372"/>
      <c r="D135" s="153"/>
      <c r="E135" s="372"/>
      <c r="F135" s="373"/>
      <c r="G135" s="372"/>
      <c r="H135" s="102"/>
      <c r="I135" s="153"/>
      <c r="J135" s="125"/>
      <c r="K135" s="153"/>
      <c r="L135" s="125"/>
      <c r="M135" s="375"/>
      <c r="N135" s="125"/>
      <c r="O135" s="375"/>
      <c r="P135" s="125"/>
      <c r="Q135" s="209"/>
      <c r="R135" s="125"/>
      <c r="S135" s="209"/>
      <c r="T135" s="60"/>
      <c r="U135" s="60"/>
      <c r="V135" s="137"/>
      <c r="W135" s="137"/>
      <c r="X135" s="137"/>
      <c r="Y135" s="137"/>
      <c r="Z135" s="137"/>
    </row>
    <row r="136" spans="1:26" ht="12" customHeight="1">
      <c r="A136" s="372"/>
      <c r="B136" s="373"/>
      <c r="C136" s="372"/>
      <c r="D136" s="153"/>
      <c r="E136" s="372"/>
      <c r="F136" s="373"/>
      <c r="G136" s="372"/>
      <c r="H136" s="102"/>
      <c r="I136" s="153"/>
      <c r="J136" s="125"/>
      <c r="K136" s="153"/>
      <c r="L136" s="125"/>
      <c r="M136" s="375"/>
      <c r="N136" s="125"/>
      <c r="O136" s="375"/>
      <c r="P136" s="125"/>
      <c r="Q136" s="209"/>
      <c r="R136" s="125"/>
      <c r="S136" s="209"/>
      <c r="T136" s="60"/>
      <c r="U136" s="60"/>
      <c r="V136" s="137"/>
      <c r="W136" s="137"/>
      <c r="X136" s="137"/>
      <c r="Y136" s="137"/>
      <c r="Z136" s="137"/>
    </row>
    <row r="137" spans="1:26" ht="12" customHeight="1">
      <c r="A137" s="372"/>
      <c r="B137" s="373"/>
      <c r="C137" s="372"/>
      <c r="D137" s="153"/>
      <c r="E137" s="372"/>
      <c r="F137" s="373"/>
      <c r="G137" s="372"/>
      <c r="H137" s="102"/>
      <c r="I137" s="153"/>
      <c r="J137" s="125"/>
      <c r="K137" s="153"/>
      <c r="L137" s="125"/>
      <c r="M137" s="375"/>
      <c r="N137" s="125"/>
      <c r="O137" s="375"/>
      <c r="P137" s="125"/>
      <c r="Q137" s="209"/>
      <c r="R137" s="125"/>
      <c r="S137" s="209"/>
      <c r="T137" s="60"/>
      <c r="U137" s="60"/>
      <c r="V137" s="137"/>
      <c r="W137" s="137"/>
      <c r="X137" s="137"/>
      <c r="Y137" s="137"/>
      <c r="Z137" s="137"/>
    </row>
    <row r="138" spans="1:26" ht="12" customHeight="1">
      <c r="A138" s="372"/>
      <c r="B138" s="373"/>
      <c r="C138" s="372"/>
      <c r="D138" s="153"/>
      <c r="E138" s="372"/>
      <c r="F138" s="373"/>
      <c r="G138" s="372"/>
      <c r="H138" s="102"/>
      <c r="I138" s="153"/>
      <c r="J138" s="125"/>
      <c r="K138" s="153"/>
      <c r="L138" s="125"/>
      <c r="M138" s="375"/>
      <c r="N138" s="125"/>
      <c r="O138" s="375"/>
      <c r="P138" s="125"/>
      <c r="Q138" s="209"/>
      <c r="R138" s="125"/>
      <c r="S138" s="209"/>
      <c r="T138" s="60"/>
      <c r="U138" s="60"/>
      <c r="V138" s="137"/>
      <c r="W138" s="137"/>
      <c r="X138" s="137"/>
      <c r="Y138" s="137"/>
      <c r="Z138" s="137"/>
    </row>
    <row r="139" spans="1:26" ht="12" customHeight="1">
      <c r="A139" s="372"/>
      <c r="B139" s="373"/>
      <c r="C139" s="372"/>
      <c r="D139" s="153"/>
      <c r="E139" s="372"/>
      <c r="F139" s="373"/>
      <c r="G139" s="372"/>
      <c r="H139" s="102"/>
      <c r="I139" s="153"/>
      <c r="J139" s="125"/>
      <c r="K139" s="153"/>
      <c r="L139" s="125"/>
      <c r="M139" s="375"/>
      <c r="N139" s="125"/>
      <c r="O139" s="375"/>
      <c r="P139" s="125"/>
      <c r="Q139" s="209"/>
      <c r="R139" s="125"/>
      <c r="S139" s="375"/>
      <c r="T139" s="60"/>
      <c r="U139" s="60"/>
      <c r="V139" s="137"/>
      <c r="W139" s="137"/>
      <c r="X139" s="137"/>
      <c r="Y139" s="137"/>
      <c r="Z139" s="137"/>
    </row>
    <row r="140" spans="1:26" ht="12" customHeight="1">
      <c r="A140" s="372"/>
      <c r="B140" s="373"/>
      <c r="C140" s="372"/>
      <c r="D140" s="153"/>
      <c r="E140" s="372"/>
      <c r="F140" s="373"/>
      <c r="G140" s="372"/>
      <c r="H140" s="102"/>
      <c r="I140" s="153"/>
      <c r="J140" s="125"/>
      <c r="K140" s="153"/>
      <c r="L140" s="125"/>
      <c r="M140" s="375"/>
      <c r="N140" s="125"/>
      <c r="O140" s="375"/>
      <c r="P140" s="125"/>
      <c r="Q140" s="209"/>
      <c r="R140" s="125"/>
      <c r="S140" s="375"/>
      <c r="T140" s="60"/>
      <c r="U140" s="60"/>
      <c r="V140" s="137"/>
      <c r="W140" s="137"/>
      <c r="X140" s="137"/>
      <c r="Y140" s="137"/>
      <c r="Z140" s="137"/>
    </row>
    <row r="141" spans="1:26" ht="12" customHeight="1">
      <c r="A141" s="372"/>
      <c r="B141" s="373"/>
      <c r="C141" s="372"/>
      <c r="D141" s="153"/>
      <c r="E141" s="372"/>
      <c r="F141" s="373"/>
      <c r="G141" s="372"/>
      <c r="H141" s="102"/>
      <c r="I141" s="153"/>
      <c r="J141" s="125"/>
      <c r="K141" s="153"/>
      <c r="L141" s="125"/>
      <c r="M141" s="375"/>
      <c r="N141" s="125"/>
      <c r="O141" s="375"/>
      <c r="P141" s="125"/>
      <c r="Q141" s="209"/>
      <c r="R141" s="125"/>
      <c r="S141" s="375"/>
      <c r="T141" s="60"/>
      <c r="U141" s="60"/>
      <c r="V141" s="137"/>
      <c r="W141" s="137"/>
      <c r="X141" s="137"/>
      <c r="Y141" s="137"/>
      <c r="Z141" s="137"/>
    </row>
    <row r="142" spans="1:26" ht="12" customHeight="1">
      <c r="A142" s="372"/>
      <c r="B142" s="373"/>
      <c r="C142" s="372"/>
      <c r="D142" s="153"/>
      <c r="E142" s="372"/>
      <c r="F142" s="373"/>
      <c r="G142" s="372"/>
      <c r="H142" s="102"/>
      <c r="I142" s="153"/>
      <c r="J142" s="125"/>
      <c r="K142" s="153"/>
      <c r="L142" s="125"/>
      <c r="M142" s="375"/>
      <c r="N142" s="125"/>
      <c r="O142" s="375"/>
      <c r="P142" s="125"/>
      <c r="Q142" s="209"/>
      <c r="R142" s="125"/>
      <c r="S142" s="375"/>
      <c r="T142" s="60"/>
      <c r="U142" s="60"/>
      <c r="V142" s="137"/>
      <c r="W142" s="137"/>
      <c r="X142" s="137"/>
      <c r="Y142" s="137"/>
      <c r="Z142" s="137"/>
    </row>
    <row r="143" spans="1:26" ht="12" customHeight="1">
      <c r="A143" s="372"/>
      <c r="B143" s="373"/>
      <c r="C143" s="372"/>
      <c r="D143" s="153"/>
      <c r="E143" s="372"/>
      <c r="F143" s="373"/>
      <c r="G143" s="372"/>
      <c r="H143" s="102"/>
      <c r="I143" s="153"/>
      <c r="J143" s="125"/>
      <c r="K143" s="153"/>
      <c r="L143" s="125"/>
      <c r="M143" s="375"/>
      <c r="N143" s="125"/>
      <c r="O143" s="375"/>
      <c r="P143" s="125"/>
      <c r="Q143" s="209"/>
      <c r="R143" s="125"/>
      <c r="S143" s="375"/>
      <c r="T143" s="60"/>
      <c r="U143" s="60"/>
      <c r="V143" s="137"/>
      <c r="W143" s="137"/>
      <c r="X143" s="137"/>
      <c r="Y143" s="137"/>
      <c r="Z143" s="137"/>
    </row>
    <row r="144" spans="1:26" ht="12" customHeight="1">
      <c r="A144" s="372"/>
      <c r="B144" s="373"/>
      <c r="C144" s="372"/>
      <c r="D144" s="153"/>
      <c r="E144" s="372"/>
      <c r="F144" s="373"/>
      <c r="G144" s="372"/>
      <c r="H144" s="102"/>
      <c r="I144" s="153"/>
      <c r="J144" s="125"/>
      <c r="K144" s="153"/>
      <c r="L144" s="125"/>
      <c r="M144" s="375"/>
      <c r="N144" s="125"/>
      <c r="O144" s="375"/>
      <c r="P144" s="125"/>
      <c r="Q144" s="209"/>
      <c r="R144" s="125"/>
      <c r="S144" s="375"/>
      <c r="T144" s="60"/>
      <c r="U144" s="60"/>
      <c r="V144" s="137"/>
      <c r="W144" s="137"/>
      <c r="X144" s="137"/>
      <c r="Y144" s="137"/>
      <c r="Z144" s="137"/>
    </row>
    <row r="145" spans="1:26" ht="12" customHeight="1">
      <c r="A145" s="372"/>
      <c r="B145" s="373"/>
      <c r="C145" s="372"/>
      <c r="D145" s="153"/>
      <c r="E145" s="372"/>
      <c r="F145" s="373"/>
      <c r="G145" s="372"/>
      <c r="H145" s="102"/>
      <c r="I145" s="153"/>
      <c r="J145" s="125"/>
      <c r="K145" s="153"/>
      <c r="L145" s="125"/>
      <c r="M145" s="375"/>
      <c r="N145" s="125"/>
      <c r="O145" s="375"/>
      <c r="P145" s="125"/>
      <c r="Q145" s="209"/>
      <c r="R145" s="125"/>
      <c r="S145" s="375"/>
      <c r="T145" s="60"/>
      <c r="U145" s="60"/>
      <c r="V145" s="137"/>
      <c r="W145" s="137"/>
      <c r="X145" s="137"/>
      <c r="Y145" s="137"/>
      <c r="Z145" s="137"/>
    </row>
    <row r="146" spans="1:26" ht="12" customHeight="1">
      <c r="A146" s="372"/>
      <c r="B146" s="373"/>
      <c r="C146" s="372"/>
      <c r="D146" s="153"/>
      <c r="E146" s="372"/>
      <c r="F146" s="373"/>
      <c r="G146" s="372"/>
      <c r="H146" s="102"/>
      <c r="I146" s="153"/>
      <c r="J146" s="125"/>
      <c r="K146" s="153"/>
      <c r="L146" s="125"/>
      <c r="M146" s="375"/>
      <c r="N146" s="125"/>
      <c r="O146" s="375"/>
      <c r="P146" s="125"/>
      <c r="Q146" s="209"/>
      <c r="R146" s="125"/>
      <c r="S146" s="375"/>
      <c r="T146" s="60"/>
      <c r="U146" s="60"/>
      <c r="V146" s="137"/>
      <c r="W146" s="137"/>
      <c r="X146" s="137"/>
      <c r="Y146" s="137"/>
      <c r="Z146" s="137"/>
    </row>
    <row r="147" spans="1:26" ht="12" customHeight="1">
      <c r="A147" s="372"/>
      <c r="B147" s="373"/>
      <c r="C147" s="372"/>
      <c r="D147" s="153"/>
      <c r="E147" s="372"/>
      <c r="F147" s="373"/>
      <c r="G147" s="372"/>
      <c r="H147" s="102"/>
      <c r="I147" s="153"/>
      <c r="J147" s="125"/>
      <c r="K147" s="153"/>
      <c r="L147" s="125"/>
      <c r="M147" s="375"/>
      <c r="N147" s="125"/>
      <c r="O147" s="375"/>
      <c r="P147" s="125"/>
      <c r="Q147" s="209"/>
      <c r="R147" s="125"/>
      <c r="S147" s="375"/>
      <c r="T147" s="60"/>
      <c r="U147" s="60"/>
      <c r="V147" s="137"/>
      <c r="W147" s="137"/>
      <c r="X147" s="137"/>
      <c r="Y147" s="137"/>
      <c r="Z147" s="137"/>
    </row>
    <row r="148" spans="1:26" ht="12" customHeight="1">
      <c r="A148" s="372"/>
      <c r="B148" s="373"/>
      <c r="C148" s="372"/>
      <c r="D148" s="153"/>
      <c r="E148" s="372"/>
      <c r="F148" s="373"/>
      <c r="G148" s="372"/>
      <c r="H148" s="102"/>
      <c r="I148" s="153"/>
      <c r="J148" s="125"/>
      <c r="K148" s="153"/>
      <c r="L148" s="125"/>
      <c r="M148" s="375"/>
      <c r="N148" s="125"/>
      <c r="O148" s="375"/>
      <c r="P148" s="125"/>
      <c r="Q148" s="209"/>
      <c r="R148" s="125"/>
      <c r="S148" s="375"/>
      <c r="T148" s="60"/>
      <c r="U148" s="60"/>
      <c r="V148" s="137"/>
      <c r="W148" s="137"/>
      <c r="X148" s="137"/>
      <c r="Y148" s="137"/>
      <c r="Z148" s="137"/>
    </row>
    <row r="149" spans="1:26" ht="12" customHeight="1">
      <c r="A149" s="372"/>
      <c r="B149" s="373"/>
      <c r="C149" s="372"/>
      <c r="D149" s="153"/>
      <c r="E149" s="372"/>
      <c r="F149" s="373"/>
      <c r="G149" s="372"/>
      <c r="H149" s="102"/>
      <c r="I149" s="153"/>
      <c r="J149" s="125"/>
      <c r="K149" s="153"/>
      <c r="L149" s="125"/>
      <c r="M149" s="375"/>
      <c r="N149" s="125"/>
      <c r="O149" s="375"/>
      <c r="P149" s="125"/>
      <c r="Q149" s="209"/>
      <c r="R149" s="125"/>
      <c r="S149" s="375"/>
      <c r="T149" s="60"/>
      <c r="U149" s="60"/>
      <c r="V149" s="137"/>
      <c r="W149" s="137"/>
      <c r="X149" s="137"/>
      <c r="Y149" s="137"/>
      <c r="Z149" s="137"/>
    </row>
    <row r="150" spans="1:26" ht="12" customHeight="1">
      <c r="A150" s="372"/>
      <c r="B150" s="373"/>
      <c r="C150" s="372"/>
      <c r="D150" s="153"/>
      <c r="E150" s="372"/>
      <c r="F150" s="373"/>
      <c r="G150" s="372"/>
      <c r="H150" s="102"/>
      <c r="I150" s="153"/>
      <c r="J150" s="125"/>
      <c r="K150" s="153"/>
      <c r="L150" s="125"/>
      <c r="M150" s="375"/>
      <c r="N150" s="125"/>
      <c r="O150" s="375"/>
      <c r="P150" s="125"/>
      <c r="Q150" s="209"/>
      <c r="R150" s="125"/>
      <c r="S150" s="375"/>
      <c r="T150" s="60"/>
      <c r="U150" s="60"/>
      <c r="V150" s="137"/>
      <c r="W150" s="137"/>
      <c r="X150" s="137"/>
      <c r="Y150" s="137"/>
      <c r="Z150" s="137"/>
    </row>
    <row r="151" spans="1:26" ht="12" customHeight="1">
      <c r="A151" s="372"/>
      <c r="B151" s="373"/>
      <c r="C151" s="372"/>
      <c r="D151" s="153"/>
      <c r="E151" s="372"/>
      <c r="F151" s="373"/>
      <c r="G151" s="372"/>
      <c r="H151" s="102"/>
      <c r="I151" s="153"/>
      <c r="J151" s="125"/>
      <c r="K151" s="153"/>
      <c r="L151" s="125"/>
      <c r="M151" s="375"/>
      <c r="N151" s="125"/>
      <c r="O151" s="375"/>
      <c r="P151" s="125"/>
      <c r="Q151" s="209"/>
      <c r="R151" s="125"/>
      <c r="S151" s="375"/>
      <c r="T151" s="60"/>
      <c r="U151" s="60"/>
      <c r="V151" s="137"/>
      <c r="W151" s="137"/>
      <c r="X151" s="137"/>
      <c r="Y151" s="137"/>
      <c r="Z151" s="137"/>
    </row>
    <row r="152" spans="1:26" ht="12" customHeight="1">
      <c r="A152" s="372"/>
      <c r="B152" s="373"/>
      <c r="C152" s="372"/>
      <c r="D152" s="153"/>
      <c r="E152" s="372"/>
      <c r="F152" s="373"/>
      <c r="G152" s="372"/>
      <c r="H152" s="102"/>
      <c r="I152" s="153"/>
      <c r="J152" s="125"/>
      <c r="K152" s="153"/>
      <c r="L152" s="125"/>
      <c r="M152" s="375"/>
      <c r="N152" s="125"/>
      <c r="O152" s="375"/>
      <c r="P152" s="125"/>
      <c r="Q152" s="209"/>
      <c r="R152" s="125"/>
      <c r="S152" s="375"/>
      <c r="T152" s="60"/>
      <c r="U152" s="60"/>
      <c r="V152" s="137"/>
      <c r="W152" s="137"/>
      <c r="X152" s="137"/>
      <c r="Y152" s="137"/>
      <c r="Z152" s="137"/>
    </row>
    <row r="153" spans="1:26" ht="12" customHeight="1">
      <c r="A153" s="372"/>
      <c r="B153" s="373"/>
      <c r="C153" s="372"/>
      <c r="D153" s="153"/>
      <c r="E153" s="372"/>
      <c r="F153" s="373"/>
      <c r="G153" s="372"/>
      <c r="H153" s="102"/>
      <c r="I153" s="153"/>
      <c r="J153" s="125"/>
      <c r="K153" s="153"/>
      <c r="L153" s="125"/>
      <c r="M153" s="375"/>
      <c r="N153" s="125"/>
      <c r="O153" s="375"/>
      <c r="P153" s="125"/>
      <c r="Q153" s="209"/>
      <c r="R153" s="125"/>
      <c r="S153" s="375"/>
      <c r="T153" s="60"/>
      <c r="U153" s="60"/>
      <c r="V153" s="137"/>
      <c r="W153" s="137"/>
      <c r="X153" s="137"/>
      <c r="Y153" s="137"/>
      <c r="Z153" s="137"/>
    </row>
    <row r="154" spans="1:26" ht="12" customHeight="1">
      <c r="A154" s="372"/>
      <c r="B154" s="373"/>
      <c r="C154" s="372"/>
      <c r="D154" s="153"/>
      <c r="E154" s="372"/>
      <c r="F154" s="373"/>
      <c r="G154" s="372"/>
      <c r="H154" s="102"/>
      <c r="I154" s="153"/>
      <c r="J154" s="125"/>
      <c r="K154" s="153"/>
      <c r="L154" s="125"/>
      <c r="M154" s="375"/>
      <c r="N154" s="125"/>
      <c r="O154" s="375"/>
      <c r="P154" s="125"/>
      <c r="Q154" s="209"/>
      <c r="R154" s="125"/>
      <c r="S154" s="375"/>
      <c r="T154" s="60"/>
      <c r="U154" s="60"/>
      <c r="V154" s="137"/>
      <c r="W154" s="137"/>
      <c r="X154" s="137"/>
      <c r="Y154" s="137"/>
      <c r="Z154" s="137"/>
    </row>
    <row r="155" spans="1:26" ht="12" customHeight="1">
      <c r="A155" s="376"/>
      <c r="B155" s="374"/>
      <c r="C155" s="376"/>
      <c r="D155" s="377"/>
      <c r="E155" s="376"/>
      <c r="F155" s="374"/>
      <c r="G155" s="376"/>
      <c r="H155" s="378"/>
      <c r="I155" s="377"/>
      <c r="J155" s="137"/>
      <c r="K155" s="377"/>
      <c r="L155" s="137"/>
      <c r="M155" s="379"/>
      <c r="N155" s="137"/>
      <c r="O155" s="379"/>
      <c r="P155" s="137"/>
      <c r="Q155" s="380"/>
      <c r="R155" s="137"/>
      <c r="S155" s="379"/>
      <c r="T155" s="137"/>
      <c r="U155" s="137"/>
      <c r="V155" s="137"/>
      <c r="W155" s="137"/>
      <c r="X155" s="137"/>
      <c r="Y155" s="137"/>
      <c r="Z155" s="137"/>
    </row>
    <row r="156" spans="1:26" ht="12" customHeight="1">
      <c r="A156" s="376"/>
      <c r="B156" s="374"/>
      <c r="C156" s="376"/>
      <c r="D156" s="377"/>
      <c r="E156" s="376"/>
      <c r="F156" s="374"/>
      <c r="G156" s="376"/>
      <c r="H156" s="378"/>
      <c r="I156" s="377"/>
      <c r="J156" s="137"/>
      <c r="K156" s="377"/>
      <c r="L156" s="137"/>
      <c r="M156" s="379"/>
      <c r="N156" s="137"/>
      <c r="O156" s="379"/>
      <c r="P156" s="137"/>
      <c r="Q156" s="380"/>
      <c r="R156" s="137"/>
      <c r="S156" s="379"/>
      <c r="T156" s="137"/>
      <c r="U156" s="137"/>
      <c r="V156" s="137"/>
      <c r="W156" s="137"/>
      <c r="X156" s="137"/>
      <c r="Y156" s="137"/>
      <c r="Z156" s="137"/>
    </row>
    <row r="157" spans="1:26" ht="12" customHeight="1">
      <c r="A157" s="376"/>
      <c r="B157" s="374"/>
      <c r="C157" s="376"/>
      <c r="D157" s="377"/>
      <c r="E157" s="376"/>
      <c r="F157" s="374"/>
      <c r="G157" s="376"/>
      <c r="H157" s="378"/>
      <c r="I157" s="377"/>
      <c r="J157" s="137"/>
      <c r="K157" s="377"/>
      <c r="L157" s="137"/>
      <c r="M157" s="379"/>
      <c r="N157" s="137"/>
      <c r="O157" s="379"/>
      <c r="P157" s="137"/>
      <c r="Q157" s="380"/>
      <c r="R157" s="137"/>
      <c r="S157" s="379"/>
      <c r="T157" s="137"/>
      <c r="U157" s="137"/>
      <c r="V157" s="137"/>
      <c r="W157" s="137"/>
      <c r="X157" s="137"/>
      <c r="Y157" s="137"/>
      <c r="Z157" s="137"/>
    </row>
    <row r="158" spans="1:26" ht="12" customHeight="1">
      <c r="A158" s="376"/>
      <c r="B158" s="374"/>
      <c r="C158" s="376"/>
      <c r="D158" s="377"/>
      <c r="E158" s="376"/>
      <c r="F158" s="374"/>
      <c r="G158" s="376"/>
      <c r="H158" s="378"/>
      <c r="I158" s="377"/>
      <c r="J158" s="137"/>
      <c r="K158" s="377"/>
      <c r="L158" s="137"/>
      <c r="M158" s="379"/>
      <c r="N158" s="137"/>
      <c r="O158" s="379"/>
      <c r="P158" s="137"/>
      <c r="Q158" s="380"/>
      <c r="R158" s="137"/>
      <c r="S158" s="379"/>
      <c r="T158" s="137"/>
      <c r="U158" s="137"/>
      <c r="V158" s="137"/>
      <c r="W158" s="137"/>
      <c r="X158" s="137"/>
      <c r="Y158" s="137"/>
      <c r="Z158" s="137"/>
    </row>
    <row r="159" spans="1:26" ht="12" customHeight="1">
      <c r="A159" s="376"/>
      <c r="B159" s="374"/>
      <c r="C159" s="376"/>
      <c r="D159" s="377"/>
      <c r="E159" s="376"/>
      <c r="F159" s="374"/>
      <c r="G159" s="376"/>
      <c r="H159" s="378"/>
      <c r="I159" s="377"/>
      <c r="J159" s="137"/>
      <c r="K159" s="377"/>
      <c r="L159" s="137"/>
      <c r="M159" s="379"/>
      <c r="N159" s="137"/>
      <c r="O159" s="379"/>
      <c r="P159" s="137"/>
      <c r="Q159" s="380"/>
      <c r="R159" s="137"/>
      <c r="S159" s="379"/>
      <c r="T159" s="137"/>
      <c r="U159" s="137"/>
      <c r="V159" s="137"/>
      <c r="W159" s="137"/>
      <c r="X159" s="137"/>
      <c r="Y159" s="137"/>
      <c r="Z159" s="137"/>
    </row>
    <row r="160" spans="1:26" ht="12" customHeight="1">
      <c r="A160" s="376"/>
      <c r="B160" s="374"/>
      <c r="C160" s="376"/>
      <c r="D160" s="377"/>
      <c r="E160" s="376"/>
      <c r="F160" s="374"/>
      <c r="G160" s="376"/>
      <c r="H160" s="378"/>
      <c r="I160" s="377"/>
      <c r="J160" s="137"/>
      <c r="K160" s="377"/>
      <c r="L160" s="137"/>
      <c r="M160" s="379"/>
      <c r="N160" s="137"/>
      <c r="O160" s="379"/>
      <c r="P160" s="137"/>
      <c r="Q160" s="380"/>
      <c r="R160" s="137"/>
      <c r="S160" s="379"/>
      <c r="T160" s="137"/>
      <c r="U160" s="137"/>
      <c r="V160" s="137"/>
      <c r="W160" s="137"/>
      <c r="X160" s="137"/>
      <c r="Y160" s="137"/>
      <c r="Z160" s="137"/>
    </row>
    <row r="161" spans="1:26" ht="12" customHeight="1">
      <c r="A161" s="376"/>
      <c r="B161" s="374"/>
      <c r="C161" s="376"/>
      <c r="D161" s="377"/>
      <c r="E161" s="376"/>
      <c r="F161" s="374"/>
      <c r="G161" s="376"/>
      <c r="H161" s="378"/>
      <c r="I161" s="377"/>
      <c r="J161" s="137"/>
      <c r="K161" s="377"/>
      <c r="L161" s="137"/>
      <c r="M161" s="379"/>
      <c r="N161" s="137"/>
      <c r="O161" s="379"/>
      <c r="P161" s="137"/>
      <c r="Q161" s="380"/>
      <c r="R161" s="137"/>
      <c r="S161" s="379"/>
      <c r="T161" s="137"/>
      <c r="U161" s="137"/>
      <c r="V161" s="137"/>
      <c r="W161" s="137"/>
      <c r="X161" s="137"/>
      <c r="Y161" s="137"/>
      <c r="Z161" s="137"/>
    </row>
    <row r="162" spans="1:26" ht="12" customHeight="1">
      <c r="A162" s="376"/>
      <c r="B162" s="374"/>
      <c r="C162" s="376"/>
      <c r="D162" s="377"/>
      <c r="E162" s="376"/>
      <c r="F162" s="374"/>
      <c r="G162" s="376"/>
      <c r="H162" s="378"/>
      <c r="I162" s="377"/>
      <c r="J162" s="137"/>
      <c r="K162" s="377"/>
      <c r="L162" s="137"/>
      <c r="M162" s="379"/>
      <c r="N162" s="137"/>
      <c r="O162" s="379"/>
      <c r="P162" s="137"/>
      <c r="Q162" s="380"/>
      <c r="R162" s="137"/>
      <c r="S162" s="379"/>
      <c r="T162" s="137"/>
      <c r="U162" s="137"/>
      <c r="V162" s="137"/>
      <c r="W162" s="137"/>
      <c r="X162" s="137"/>
      <c r="Y162" s="137"/>
      <c r="Z162" s="137"/>
    </row>
    <row r="163" spans="1:26" ht="12" customHeight="1">
      <c r="A163" s="376"/>
      <c r="B163" s="374"/>
      <c r="C163" s="376"/>
      <c r="D163" s="377"/>
      <c r="E163" s="376"/>
      <c r="F163" s="374"/>
      <c r="G163" s="376"/>
      <c r="H163" s="378"/>
      <c r="I163" s="377"/>
      <c r="J163" s="137"/>
      <c r="K163" s="377"/>
      <c r="L163" s="137"/>
      <c r="M163" s="379"/>
      <c r="N163" s="137"/>
      <c r="O163" s="379"/>
      <c r="P163" s="137"/>
      <c r="Q163" s="380"/>
      <c r="R163" s="137"/>
      <c r="S163" s="379"/>
      <c r="T163" s="137"/>
      <c r="U163" s="137"/>
      <c r="V163" s="137"/>
      <c r="W163" s="137"/>
      <c r="X163" s="137"/>
      <c r="Y163" s="137"/>
      <c r="Z163" s="137"/>
    </row>
    <row r="164" spans="1:26" ht="12" customHeight="1">
      <c r="A164" s="376"/>
      <c r="B164" s="374"/>
      <c r="C164" s="376"/>
      <c r="D164" s="377"/>
      <c r="E164" s="376"/>
      <c r="F164" s="374"/>
      <c r="G164" s="376"/>
      <c r="H164" s="378"/>
      <c r="I164" s="377"/>
      <c r="J164" s="137"/>
      <c r="K164" s="377"/>
      <c r="L164" s="137"/>
      <c r="M164" s="379"/>
      <c r="N164" s="137"/>
      <c r="O164" s="379"/>
      <c r="P164" s="137"/>
      <c r="Q164" s="380"/>
      <c r="R164" s="137"/>
      <c r="S164" s="379"/>
      <c r="T164" s="137"/>
      <c r="U164" s="137"/>
      <c r="V164" s="137"/>
      <c r="W164" s="137"/>
      <c r="X164" s="137"/>
      <c r="Y164" s="137"/>
      <c r="Z164" s="137"/>
    </row>
    <row r="165" spans="1:26" ht="12" customHeight="1">
      <c r="A165" s="376"/>
      <c r="B165" s="374"/>
      <c r="C165" s="376"/>
      <c r="D165" s="377"/>
      <c r="E165" s="376"/>
      <c r="F165" s="374"/>
      <c r="G165" s="376"/>
      <c r="H165" s="378"/>
      <c r="I165" s="377"/>
      <c r="J165" s="137"/>
      <c r="K165" s="377"/>
      <c r="L165" s="137"/>
      <c r="M165" s="379"/>
      <c r="N165" s="137"/>
      <c r="O165" s="379"/>
      <c r="P165" s="137"/>
      <c r="Q165" s="380"/>
      <c r="R165" s="137"/>
      <c r="S165" s="379"/>
      <c r="T165" s="137"/>
      <c r="U165" s="137"/>
      <c r="V165" s="137"/>
      <c r="W165" s="137"/>
      <c r="X165" s="137"/>
      <c r="Y165" s="137"/>
      <c r="Z165" s="137"/>
    </row>
    <row r="166" spans="1:26" ht="12" customHeight="1">
      <c r="A166" s="376"/>
      <c r="B166" s="374"/>
      <c r="C166" s="376"/>
      <c r="D166" s="377"/>
      <c r="E166" s="376"/>
      <c r="F166" s="374"/>
      <c r="G166" s="376"/>
      <c r="H166" s="378"/>
      <c r="I166" s="377"/>
      <c r="J166" s="137"/>
      <c r="K166" s="377"/>
      <c r="L166" s="137"/>
      <c r="M166" s="379"/>
      <c r="N166" s="137"/>
      <c r="O166" s="379"/>
      <c r="P166" s="137"/>
      <c r="Q166" s="380"/>
      <c r="R166" s="137"/>
      <c r="S166" s="379"/>
      <c r="T166" s="137"/>
      <c r="U166" s="137"/>
      <c r="V166" s="137"/>
      <c r="W166" s="137"/>
      <c r="X166" s="137"/>
      <c r="Y166" s="137"/>
      <c r="Z166" s="137"/>
    </row>
    <row r="167" spans="1:26" ht="12" customHeight="1">
      <c r="A167" s="376"/>
      <c r="B167" s="374"/>
      <c r="C167" s="376"/>
      <c r="D167" s="377"/>
      <c r="E167" s="376"/>
      <c r="F167" s="374"/>
      <c r="G167" s="376"/>
      <c r="H167" s="378"/>
      <c r="I167" s="377"/>
      <c r="J167" s="137"/>
      <c r="K167" s="377"/>
      <c r="L167" s="137"/>
      <c r="M167" s="379"/>
      <c r="N167" s="137"/>
      <c r="O167" s="379"/>
      <c r="P167" s="137"/>
      <c r="Q167" s="380"/>
      <c r="R167" s="137"/>
      <c r="S167" s="379"/>
      <c r="T167" s="137"/>
      <c r="U167" s="137"/>
      <c r="V167" s="137"/>
      <c r="W167" s="137"/>
      <c r="X167" s="137"/>
      <c r="Y167" s="137"/>
      <c r="Z167" s="137"/>
    </row>
    <row r="168" spans="1:26" ht="12" customHeight="1">
      <c r="A168" s="376"/>
      <c r="B168" s="374"/>
      <c r="C168" s="376"/>
      <c r="D168" s="377"/>
      <c r="E168" s="376"/>
      <c r="F168" s="374"/>
      <c r="G168" s="376"/>
      <c r="H168" s="378"/>
      <c r="I168" s="377"/>
      <c r="J168" s="137"/>
      <c r="K168" s="377"/>
      <c r="L168" s="137"/>
      <c r="M168" s="379"/>
      <c r="N168" s="137"/>
      <c r="O168" s="379"/>
      <c r="P168" s="137"/>
      <c r="Q168" s="380"/>
      <c r="R168" s="137"/>
      <c r="S168" s="379"/>
      <c r="T168" s="137"/>
      <c r="U168" s="137"/>
      <c r="V168" s="137"/>
      <c r="W168" s="137"/>
      <c r="X168" s="137"/>
      <c r="Y168" s="137"/>
      <c r="Z168" s="137"/>
    </row>
    <row r="169" spans="1:26" ht="12" customHeight="1">
      <c r="A169" s="376"/>
      <c r="B169" s="374"/>
      <c r="C169" s="376"/>
      <c r="D169" s="377"/>
      <c r="E169" s="376"/>
      <c r="F169" s="374"/>
      <c r="G169" s="376"/>
      <c r="H169" s="378"/>
      <c r="I169" s="377"/>
      <c r="J169" s="137"/>
      <c r="K169" s="377"/>
      <c r="L169" s="137"/>
      <c r="M169" s="379"/>
      <c r="N169" s="137"/>
      <c r="O169" s="379"/>
      <c r="P169" s="137"/>
      <c r="Q169" s="380"/>
      <c r="R169" s="137"/>
      <c r="S169" s="379"/>
      <c r="T169" s="137"/>
      <c r="U169" s="137"/>
      <c r="V169" s="137"/>
      <c r="W169" s="137"/>
      <c r="X169" s="137"/>
      <c r="Y169" s="137"/>
      <c r="Z169" s="137"/>
    </row>
    <row r="170" spans="1:26" ht="12" customHeight="1">
      <c r="A170" s="376"/>
      <c r="B170" s="374"/>
      <c r="C170" s="376"/>
      <c r="D170" s="377"/>
      <c r="E170" s="376"/>
      <c r="F170" s="374"/>
      <c r="G170" s="376"/>
      <c r="H170" s="378"/>
      <c r="I170" s="377"/>
      <c r="J170" s="137"/>
      <c r="K170" s="377"/>
      <c r="L170" s="137"/>
      <c r="M170" s="379"/>
      <c r="N170" s="137"/>
      <c r="O170" s="379"/>
      <c r="P170" s="137"/>
      <c r="Q170" s="380"/>
      <c r="R170" s="137"/>
      <c r="S170" s="379"/>
      <c r="T170" s="137"/>
      <c r="U170" s="137"/>
      <c r="V170" s="137"/>
      <c r="W170" s="137"/>
      <c r="X170" s="137"/>
      <c r="Y170" s="137"/>
      <c r="Z170" s="137"/>
    </row>
    <row r="171" spans="1:26" ht="12" customHeight="1">
      <c r="A171" s="376"/>
      <c r="B171" s="374"/>
      <c r="C171" s="376"/>
      <c r="D171" s="377"/>
      <c r="E171" s="376"/>
      <c r="F171" s="374"/>
      <c r="G171" s="376"/>
      <c r="H171" s="378"/>
      <c r="I171" s="377"/>
      <c r="J171" s="137"/>
      <c r="K171" s="377"/>
      <c r="L171" s="137"/>
      <c r="M171" s="379"/>
      <c r="N171" s="137"/>
      <c r="O171" s="379"/>
      <c r="P171" s="137"/>
      <c r="Q171" s="380"/>
      <c r="R171" s="137"/>
      <c r="S171" s="379"/>
      <c r="T171" s="137"/>
      <c r="U171" s="137"/>
      <c r="V171" s="137"/>
      <c r="W171" s="137"/>
      <c r="X171" s="137"/>
      <c r="Y171" s="137"/>
      <c r="Z171" s="137"/>
    </row>
    <row r="172" spans="1:26" ht="12" customHeight="1">
      <c r="A172" s="376"/>
      <c r="B172" s="374"/>
      <c r="C172" s="376"/>
      <c r="D172" s="377"/>
      <c r="E172" s="376"/>
      <c r="F172" s="374"/>
      <c r="G172" s="376"/>
      <c r="H172" s="378"/>
      <c r="I172" s="377"/>
      <c r="J172" s="137"/>
      <c r="K172" s="377"/>
      <c r="L172" s="137"/>
      <c r="M172" s="379"/>
      <c r="N172" s="137"/>
      <c r="O172" s="379"/>
      <c r="P172" s="137"/>
      <c r="Q172" s="380"/>
      <c r="R172" s="137"/>
      <c r="S172" s="379"/>
      <c r="T172" s="137"/>
      <c r="U172" s="137"/>
      <c r="V172" s="137"/>
      <c r="W172" s="137"/>
      <c r="X172" s="137"/>
      <c r="Y172" s="137"/>
      <c r="Z172" s="137"/>
    </row>
    <row r="173" spans="1:26" ht="12" customHeight="1">
      <c r="A173" s="376"/>
      <c r="B173" s="374"/>
      <c r="C173" s="376"/>
      <c r="D173" s="377"/>
      <c r="E173" s="376"/>
      <c r="F173" s="374"/>
      <c r="G173" s="376"/>
      <c r="H173" s="378"/>
      <c r="I173" s="377"/>
      <c r="J173" s="137"/>
      <c r="K173" s="377"/>
      <c r="L173" s="137"/>
      <c r="M173" s="379"/>
      <c r="N173" s="137"/>
      <c r="O173" s="379"/>
      <c r="P173" s="137"/>
      <c r="Q173" s="380"/>
      <c r="R173" s="137"/>
      <c r="S173" s="379"/>
      <c r="T173" s="137"/>
      <c r="U173" s="137"/>
      <c r="V173" s="137"/>
      <c r="W173" s="137"/>
      <c r="X173" s="137"/>
      <c r="Y173" s="137"/>
      <c r="Z173" s="137"/>
    </row>
    <row r="174" spans="1:26" ht="12" customHeight="1">
      <c r="A174" s="376"/>
      <c r="B174" s="374"/>
      <c r="C174" s="376"/>
      <c r="D174" s="377"/>
      <c r="E174" s="376"/>
      <c r="F174" s="374"/>
      <c r="G174" s="376"/>
      <c r="H174" s="378"/>
      <c r="I174" s="377"/>
      <c r="J174" s="137"/>
      <c r="K174" s="377"/>
      <c r="L174" s="137"/>
      <c r="M174" s="379"/>
      <c r="N174" s="137"/>
      <c r="O174" s="379"/>
      <c r="P174" s="137"/>
      <c r="Q174" s="380"/>
      <c r="R174" s="137"/>
      <c r="S174" s="379"/>
      <c r="T174" s="137"/>
      <c r="U174" s="137"/>
      <c r="V174" s="137"/>
      <c r="W174" s="137"/>
      <c r="X174" s="137"/>
      <c r="Y174" s="137"/>
      <c r="Z174" s="137"/>
    </row>
    <row r="175" spans="1:26" ht="12" customHeight="1">
      <c r="A175" s="376"/>
      <c r="B175" s="374"/>
      <c r="C175" s="376"/>
      <c r="D175" s="377"/>
      <c r="E175" s="376"/>
      <c r="F175" s="374"/>
      <c r="G175" s="376"/>
      <c r="H175" s="378"/>
      <c r="I175" s="377"/>
      <c r="J175" s="137"/>
      <c r="K175" s="377"/>
      <c r="L175" s="137"/>
      <c r="M175" s="379"/>
      <c r="N175" s="137"/>
      <c r="O175" s="379"/>
      <c r="P175" s="137"/>
      <c r="Q175" s="380"/>
      <c r="R175" s="137"/>
      <c r="S175" s="379"/>
      <c r="T175" s="137"/>
      <c r="U175" s="137"/>
      <c r="V175" s="137"/>
      <c r="W175" s="137"/>
      <c r="X175" s="137"/>
      <c r="Y175" s="137"/>
      <c r="Z175" s="137"/>
    </row>
    <row r="176" spans="1:26" ht="12" customHeight="1">
      <c r="A176" s="376"/>
      <c r="B176" s="374"/>
      <c r="C176" s="376"/>
      <c r="D176" s="377"/>
      <c r="E176" s="376"/>
      <c r="F176" s="374"/>
      <c r="G176" s="376"/>
      <c r="H176" s="378"/>
      <c r="I176" s="377"/>
      <c r="J176" s="137"/>
      <c r="K176" s="377"/>
      <c r="L176" s="137"/>
      <c r="M176" s="379"/>
      <c r="N176" s="137"/>
      <c r="O176" s="379"/>
      <c r="P176" s="137"/>
      <c r="Q176" s="380"/>
      <c r="R176" s="137"/>
      <c r="S176" s="379"/>
      <c r="T176" s="137"/>
      <c r="U176" s="137"/>
      <c r="V176" s="137"/>
      <c r="W176" s="137"/>
      <c r="X176" s="137"/>
      <c r="Y176" s="137"/>
      <c r="Z176" s="137"/>
    </row>
    <row r="177" spans="1:26" ht="12" customHeight="1">
      <c r="A177" s="376"/>
      <c r="B177" s="374"/>
      <c r="C177" s="376"/>
      <c r="D177" s="377"/>
      <c r="E177" s="376"/>
      <c r="F177" s="374"/>
      <c r="G177" s="376"/>
      <c r="H177" s="378"/>
      <c r="I177" s="377"/>
      <c r="J177" s="137"/>
      <c r="K177" s="377"/>
      <c r="L177" s="137"/>
      <c r="M177" s="379"/>
      <c r="N177" s="137"/>
      <c r="O177" s="379"/>
      <c r="P177" s="137"/>
      <c r="Q177" s="380"/>
      <c r="R177" s="137"/>
      <c r="S177" s="379"/>
      <c r="T177" s="137"/>
      <c r="U177" s="137"/>
      <c r="V177" s="137"/>
      <c r="W177" s="137"/>
      <c r="X177" s="137"/>
      <c r="Y177" s="137"/>
      <c r="Z177" s="137"/>
    </row>
    <row r="178" spans="1:26" ht="12" customHeight="1">
      <c r="A178" s="376"/>
      <c r="B178" s="374"/>
      <c r="C178" s="376"/>
      <c r="D178" s="377"/>
      <c r="E178" s="376"/>
      <c r="F178" s="374"/>
      <c r="G178" s="376"/>
      <c r="H178" s="378"/>
      <c r="I178" s="377"/>
      <c r="J178" s="137"/>
      <c r="K178" s="377"/>
      <c r="L178" s="137"/>
      <c r="M178" s="379"/>
      <c r="N178" s="137"/>
      <c r="O178" s="379"/>
      <c r="P178" s="137"/>
      <c r="Q178" s="380"/>
      <c r="R178" s="137"/>
      <c r="S178" s="379"/>
      <c r="T178" s="137"/>
      <c r="U178" s="137"/>
      <c r="V178" s="137"/>
      <c r="W178" s="137"/>
      <c r="X178" s="137"/>
      <c r="Y178" s="137"/>
      <c r="Z178" s="137"/>
    </row>
    <row r="179" spans="1:26" ht="12" customHeight="1">
      <c r="A179" s="376"/>
      <c r="B179" s="374"/>
      <c r="C179" s="376"/>
      <c r="D179" s="377"/>
      <c r="E179" s="376"/>
      <c r="F179" s="374"/>
      <c r="G179" s="376"/>
      <c r="H179" s="378"/>
      <c r="I179" s="377"/>
      <c r="J179" s="137"/>
      <c r="K179" s="377"/>
      <c r="L179" s="137"/>
      <c r="M179" s="379"/>
      <c r="N179" s="137"/>
      <c r="O179" s="379"/>
      <c r="P179" s="137"/>
      <c r="Q179" s="380"/>
      <c r="R179" s="137"/>
      <c r="S179" s="379"/>
      <c r="T179" s="137"/>
      <c r="U179" s="137"/>
      <c r="V179" s="137"/>
      <c r="W179" s="137"/>
      <c r="X179" s="137"/>
      <c r="Y179" s="137"/>
      <c r="Z179" s="137"/>
    </row>
    <row r="180" spans="1:26" ht="12" customHeight="1">
      <c r="A180" s="376"/>
      <c r="B180" s="374"/>
      <c r="C180" s="376"/>
      <c r="D180" s="377"/>
      <c r="E180" s="376"/>
      <c r="F180" s="374"/>
      <c r="G180" s="376"/>
      <c r="H180" s="378"/>
      <c r="I180" s="377"/>
      <c r="J180" s="137"/>
      <c r="K180" s="377"/>
      <c r="L180" s="137"/>
      <c r="M180" s="379"/>
      <c r="N180" s="137"/>
      <c r="O180" s="379"/>
      <c r="P180" s="137"/>
      <c r="Q180" s="380"/>
      <c r="R180" s="137"/>
      <c r="S180" s="379"/>
      <c r="T180" s="137"/>
      <c r="U180" s="137"/>
      <c r="V180" s="137"/>
      <c r="W180" s="137"/>
      <c r="X180" s="137"/>
      <c r="Y180" s="137"/>
      <c r="Z180" s="137"/>
    </row>
    <row r="181" spans="1:26" ht="12" customHeight="1">
      <c r="A181" s="376"/>
      <c r="B181" s="374"/>
      <c r="C181" s="376"/>
      <c r="D181" s="377"/>
      <c r="E181" s="376"/>
      <c r="F181" s="374"/>
      <c r="G181" s="376"/>
      <c r="H181" s="378"/>
      <c r="I181" s="377"/>
      <c r="J181" s="137"/>
      <c r="K181" s="377"/>
      <c r="L181" s="137"/>
      <c r="M181" s="379"/>
      <c r="N181" s="137"/>
      <c r="O181" s="379"/>
      <c r="P181" s="137"/>
      <c r="Q181" s="380"/>
      <c r="R181" s="137"/>
      <c r="S181" s="379"/>
      <c r="T181" s="137"/>
      <c r="U181" s="137"/>
      <c r="V181" s="137"/>
      <c r="W181" s="137"/>
      <c r="X181" s="137"/>
      <c r="Y181" s="137"/>
      <c r="Z181" s="137"/>
    </row>
    <row r="182" spans="1:26" ht="12" customHeight="1">
      <c r="A182" s="376"/>
      <c r="B182" s="374"/>
      <c r="C182" s="376"/>
      <c r="D182" s="377"/>
      <c r="E182" s="376"/>
      <c r="F182" s="374"/>
      <c r="G182" s="376"/>
      <c r="H182" s="378"/>
      <c r="I182" s="377"/>
      <c r="J182" s="137"/>
      <c r="K182" s="377"/>
      <c r="L182" s="137"/>
      <c r="M182" s="379"/>
      <c r="N182" s="137"/>
      <c r="O182" s="379"/>
      <c r="P182" s="137"/>
      <c r="Q182" s="380"/>
      <c r="R182" s="137"/>
      <c r="S182" s="379"/>
      <c r="T182" s="137"/>
      <c r="U182" s="137"/>
      <c r="V182" s="137"/>
      <c r="W182" s="137"/>
      <c r="X182" s="137"/>
      <c r="Y182" s="137"/>
      <c r="Z182" s="137"/>
    </row>
    <row r="183" spans="1:26" ht="12" customHeight="1">
      <c r="A183" s="376"/>
      <c r="B183" s="374"/>
      <c r="C183" s="376"/>
      <c r="D183" s="377"/>
      <c r="E183" s="376"/>
      <c r="F183" s="374"/>
      <c r="G183" s="376"/>
      <c r="H183" s="378"/>
      <c r="I183" s="377"/>
      <c r="J183" s="137"/>
      <c r="K183" s="377"/>
      <c r="L183" s="137"/>
      <c r="M183" s="379"/>
      <c r="N183" s="137"/>
      <c r="O183" s="379"/>
      <c r="P183" s="137"/>
      <c r="Q183" s="380"/>
      <c r="R183" s="137"/>
      <c r="S183" s="379"/>
      <c r="T183" s="137"/>
      <c r="U183" s="137"/>
      <c r="V183" s="137"/>
      <c r="W183" s="137"/>
      <c r="X183" s="137"/>
      <c r="Y183" s="137"/>
      <c r="Z183" s="137"/>
    </row>
    <row r="184" spans="1:26" ht="12" customHeight="1">
      <c r="A184" s="376"/>
      <c r="B184" s="374"/>
      <c r="C184" s="376"/>
      <c r="D184" s="377"/>
      <c r="E184" s="376"/>
      <c r="F184" s="374"/>
      <c r="G184" s="376"/>
      <c r="H184" s="378"/>
      <c r="I184" s="377"/>
      <c r="J184" s="137"/>
      <c r="K184" s="377"/>
      <c r="L184" s="137"/>
      <c r="M184" s="379"/>
      <c r="N184" s="137"/>
      <c r="O184" s="379"/>
      <c r="P184" s="137"/>
      <c r="Q184" s="380"/>
      <c r="R184" s="137"/>
      <c r="S184" s="379"/>
      <c r="T184" s="137"/>
      <c r="U184" s="137"/>
      <c r="V184" s="137"/>
      <c r="W184" s="137"/>
      <c r="X184" s="137"/>
      <c r="Y184" s="137"/>
      <c r="Z184" s="137"/>
    </row>
    <row r="185" spans="1:26" ht="12" customHeight="1">
      <c r="A185" s="376"/>
      <c r="B185" s="374"/>
      <c r="C185" s="376"/>
      <c r="D185" s="377"/>
      <c r="E185" s="376"/>
      <c r="F185" s="374"/>
      <c r="G185" s="376"/>
      <c r="H185" s="378"/>
      <c r="I185" s="377"/>
      <c r="J185" s="137"/>
      <c r="K185" s="377"/>
      <c r="L185" s="137"/>
      <c r="M185" s="379"/>
      <c r="N185" s="137"/>
      <c r="O185" s="379"/>
      <c r="P185" s="137"/>
      <c r="Q185" s="380"/>
      <c r="R185" s="137"/>
      <c r="S185" s="379"/>
      <c r="T185" s="137"/>
      <c r="U185" s="137"/>
      <c r="V185" s="137"/>
      <c r="W185" s="137"/>
      <c r="X185" s="137"/>
      <c r="Y185" s="137"/>
      <c r="Z185" s="137"/>
    </row>
    <row r="186" spans="1:26" ht="12" customHeight="1">
      <c r="A186" s="376"/>
      <c r="B186" s="374"/>
      <c r="C186" s="376"/>
      <c r="D186" s="377"/>
      <c r="E186" s="376"/>
      <c r="F186" s="374"/>
      <c r="G186" s="376"/>
      <c r="H186" s="378"/>
      <c r="I186" s="377"/>
      <c r="J186" s="137"/>
      <c r="K186" s="377"/>
      <c r="L186" s="137"/>
      <c r="M186" s="379"/>
      <c r="N186" s="137"/>
      <c r="O186" s="379"/>
      <c r="P186" s="137"/>
      <c r="Q186" s="380"/>
      <c r="R186" s="137"/>
      <c r="S186" s="379"/>
      <c r="T186" s="137"/>
      <c r="U186" s="137"/>
      <c r="V186" s="137"/>
      <c r="W186" s="137"/>
      <c r="X186" s="137"/>
      <c r="Y186" s="137"/>
      <c r="Z186" s="137"/>
    </row>
    <row r="187" spans="1:26" ht="12" customHeight="1">
      <c r="A187" s="376"/>
      <c r="B187" s="374"/>
      <c r="C187" s="376"/>
      <c r="D187" s="377"/>
      <c r="E187" s="376"/>
      <c r="F187" s="374"/>
      <c r="G187" s="376"/>
      <c r="H187" s="378"/>
      <c r="I187" s="377"/>
      <c r="J187" s="137"/>
      <c r="K187" s="377"/>
      <c r="L187" s="137"/>
      <c r="M187" s="379"/>
      <c r="N187" s="137"/>
      <c r="O187" s="379"/>
      <c r="P187" s="137"/>
      <c r="Q187" s="380"/>
      <c r="R187" s="137"/>
      <c r="S187" s="379"/>
      <c r="T187" s="137"/>
      <c r="U187" s="137"/>
      <c r="V187" s="137"/>
      <c r="W187" s="137"/>
      <c r="X187" s="137"/>
      <c r="Y187" s="137"/>
      <c r="Z187" s="137"/>
    </row>
    <row r="188" spans="1:26" ht="12" customHeight="1">
      <c r="A188" s="376"/>
      <c r="B188" s="374"/>
      <c r="C188" s="376"/>
      <c r="D188" s="377"/>
      <c r="E188" s="376"/>
      <c r="F188" s="374"/>
      <c r="G188" s="376"/>
      <c r="H188" s="378"/>
      <c r="I188" s="377"/>
      <c r="J188" s="137"/>
      <c r="K188" s="377"/>
      <c r="L188" s="137"/>
      <c r="M188" s="379"/>
      <c r="N188" s="137"/>
      <c r="O188" s="379"/>
      <c r="P188" s="137"/>
      <c r="Q188" s="380"/>
      <c r="R188" s="137"/>
      <c r="S188" s="379"/>
      <c r="T188" s="137"/>
      <c r="U188" s="137"/>
      <c r="V188" s="137"/>
      <c r="W188" s="137"/>
      <c r="X188" s="137"/>
      <c r="Y188" s="137"/>
      <c r="Z188" s="137"/>
    </row>
    <row r="189" spans="1:26" ht="12" customHeight="1">
      <c r="A189" s="376"/>
      <c r="B189" s="374"/>
      <c r="C189" s="376"/>
      <c r="D189" s="377"/>
      <c r="E189" s="376"/>
      <c r="F189" s="374"/>
      <c r="G189" s="376"/>
      <c r="H189" s="378"/>
      <c r="I189" s="377"/>
      <c r="J189" s="137"/>
      <c r="K189" s="377"/>
      <c r="L189" s="137"/>
      <c r="M189" s="379"/>
      <c r="N189" s="137"/>
      <c r="O189" s="379"/>
      <c r="P189" s="137"/>
      <c r="Q189" s="380"/>
      <c r="R189" s="137"/>
      <c r="S189" s="379"/>
      <c r="T189" s="137"/>
      <c r="U189" s="137"/>
      <c r="V189" s="137"/>
      <c r="W189" s="137"/>
      <c r="X189" s="137"/>
      <c r="Y189" s="137"/>
      <c r="Z189" s="137"/>
    </row>
    <row r="190" spans="1:26" ht="12" customHeight="1">
      <c r="A190" s="376"/>
      <c r="B190" s="374"/>
      <c r="C190" s="376"/>
      <c r="D190" s="377"/>
      <c r="E190" s="376"/>
      <c r="F190" s="374"/>
      <c r="G190" s="376"/>
      <c r="H190" s="378"/>
      <c r="I190" s="377"/>
      <c r="J190" s="137"/>
      <c r="K190" s="377"/>
      <c r="L190" s="137"/>
      <c r="M190" s="379"/>
      <c r="N190" s="137"/>
      <c r="O190" s="379"/>
      <c r="P190" s="137"/>
      <c r="Q190" s="380"/>
      <c r="R190" s="137"/>
      <c r="S190" s="379"/>
      <c r="T190" s="137"/>
      <c r="U190" s="137"/>
      <c r="V190" s="137"/>
      <c r="W190" s="137"/>
      <c r="X190" s="137"/>
      <c r="Y190" s="137"/>
      <c r="Z190" s="137"/>
    </row>
    <row r="191" spans="1:26" ht="12" customHeight="1">
      <c r="A191" s="376"/>
      <c r="B191" s="374"/>
      <c r="C191" s="376"/>
      <c r="D191" s="377"/>
      <c r="E191" s="376"/>
      <c r="F191" s="374"/>
      <c r="G191" s="376"/>
      <c r="H191" s="378"/>
      <c r="I191" s="377"/>
      <c r="J191" s="137"/>
      <c r="K191" s="377"/>
      <c r="L191" s="137"/>
      <c r="M191" s="379"/>
      <c r="N191" s="137"/>
      <c r="O191" s="379"/>
      <c r="P191" s="137"/>
      <c r="Q191" s="380"/>
      <c r="R191" s="137"/>
      <c r="S191" s="379"/>
      <c r="T191" s="137"/>
      <c r="U191" s="137"/>
      <c r="V191" s="137"/>
      <c r="W191" s="137"/>
      <c r="X191" s="137"/>
      <c r="Y191" s="137"/>
      <c r="Z191" s="137"/>
    </row>
    <row r="192" spans="1:26" ht="12" customHeight="1">
      <c r="A192" s="376"/>
      <c r="B192" s="374"/>
      <c r="C192" s="376"/>
      <c r="D192" s="377"/>
      <c r="E192" s="376"/>
      <c r="F192" s="374"/>
      <c r="G192" s="376"/>
      <c r="H192" s="378"/>
      <c r="I192" s="377"/>
      <c r="J192" s="137"/>
      <c r="K192" s="377"/>
      <c r="L192" s="137"/>
      <c r="M192" s="379"/>
      <c r="N192" s="137"/>
      <c r="O192" s="379"/>
      <c r="P192" s="137"/>
      <c r="Q192" s="380"/>
      <c r="R192" s="137"/>
      <c r="S192" s="379"/>
      <c r="T192" s="137"/>
      <c r="U192" s="137"/>
      <c r="V192" s="137"/>
      <c r="W192" s="137"/>
      <c r="X192" s="137"/>
      <c r="Y192" s="137"/>
      <c r="Z192" s="137"/>
    </row>
    <row r="193" spans="1:26" ht="12" customHeight="1">
      <c r="A193" s="376"/>
      <c r="B193" s="374"/>
      <c r="C193" s="376"/>
      <c r="D193" s="377"/>
      <c r="E193" s="376"/>
      <c r="F193" s="374"/>
      <c r="G193" s="376"/>
      <c r="H193" s="378"/>
      <c r="I193" s="377"/>
      <c r="J193" s="137"/>
      <c r="K193" s="377"/>
      <c r="L193" s="137"/>
      <c r="M193" s="379"/>
      <c r="N193" s="137"/>
      <c r="O193" s="379"/>
      <c r="P193" s="137"/>
      <c r="Q193" s="380"/>
      <c r="R193" s="137"/>
      <c r="S193" s="379"/>
      <c r="T193" s="137"/>
      <c r="U193" s="137"/>
      <c r="V193" s="137"/>
      <c r="W193" s="137"/>
      <c r="X193" s="137"/>
      <c r="Y193" s="137"/>
      <c r="Z193" s="137"/>
    </row>
    <row r="194" spans="1:26" ht="12" customHeight="1">
      <c r="A194" s="376"/>
      <c r="B194" s="374"/>
      <c r="C194" s="376"/>
      <c r="D194" s="377"/>
      <c r="E194" s="376"/>
      <c r="F194" s="374"/>
      <c r="G194" s="376"/>
      <c r="H194" s="378"/>
      <c r="I194" s="377"/>
      <c r="J194" s="137"/>
      <c r="K194" s="377"/>
      <c r="L194" s="137"/>
      <c r="M194" s="379"/>
      <c r="N194" s="137"/>
      <c r="O194" s="379"/>
      <c r="P194" s="137"/>
      <c r="Q194" s="380"/>
      <c r="R194" s="137"/>
      <c r="S194" s="379"/>
      <c r="T194" s="137"/>
      <c r="U194" s="137"/>
      <c r="V194" s="137"/>
      <c r="W194" s="137"/>
      <c r="X194" s="137"/>
      <c r="Y194" s="137"/>
      <c r="Z194" s="137"/>
    </row>
    <row r="195" spans="1:26" ht="12" customHeight="1">
      <c r="A195" s="376"/>
      <c r="B195" s="374"/>
      <c r="C195" s="376"/>
      <c r="D195" s="377"/>
      <c r="E195" s="376"/>
      <c r="F195" s="374"/>
      <c r="G195" s="376"/>
      <c r="H195" s="378"/>
      <c r="I195" s="377"/>
      <c r="J195" s="137"/>
      <c r="K195" s="377"/>
      <c r="L195" s="137"/>
      <c r="M195" s="379"/>
      <c r="N195" s="137"/>
      <c r="O195" s="379"/>
      <c r="P195" s="137"/>
      <c r="Q195" s="380"/>
      <c r="R195" s="137"/>
      <c r="S195" s="379"/>
      <c r="T195" s="137"/>
      <c r="U195" s="137"/>
      <c r="V195" s="137"/>
      <c r="W195" s="137"/>
      <c r="X195" s="137"/>
      <c r="Y195" s="137"/>
      <c r="Z195" s="137"/>
    </row>
    <row r="196" spans="1:26" ht="12" customHeight="1">
      <c r="A196" s="376"/>
      <c r="B196" s="374"/>
      <c r="C196" s="376"/>
      <c r="D196" s="377"/>
      <c r="E196" s="376"/>
      <c r="F196" s="374"/>
      <c r="G196" s="376"/>
      <c r="H196" s="378"/>
      <c r="I196" s="377"/>
      <c r="J196" s="137"/>
      <c r="K196" s="377"/>
      <c r="L196" s="137"/>
      <c r="M196" s="379"/>
      <c r="N196" s="137"/>
      <c r="O196" s="379"/>
      <c r="P196" s="137"/>
      <c r="Q196" s="380"/>
      <c r="R196" s="137"/>
      <c r="S196" s="379"/>
      <c r="T196" s="137"/>
      <c r="U196" s="137"/>
      <c r="V196" s="137"/>
      <c r="W196" s="137"/>
      <c r="X196" s="137"/>
      <c r="Y196" s="137"/>
      <c r="Z196" s="137"/>
    </row>
    <row r="197" spans="1:26" ht="12" customHeight="1">
      <c r="A197" s="376"/>
      <c r="B197" s="374"/>
      <c r="C197" s="376"/>
      <c r="D197" s="377"/>
      <c r="E197" s="376"/>
      <c r="F197" s="374"/>
      <c r="G197" s="376"/>
      <c r="H197" s="378"/>
      <c r="I197" s="377"/>
      <c r="J197" s="137"/>
      <c r="K197" s="377"/>
      <c r="L197" s="137"/>
      <c r="M197" s="379"/>
      <c r="N197" s="137"/>
      <c r="O197" s="379"/>
      <c r="P197" s="137"/>
      <c r="Q197" s="380"/>
      <c r="R197" s="137"/>
      <c r="S197" s="379"/>
      <c r="T197" s="137"/>
      <c r="U197" s="137"/>
      <c r="V197" s="137"/>
      <c r="W197" s="137"/>
      <c r="X197" s="137"/>
      <c r="Y197" s="137"/>
      <c r="Z197" s="137"/>
    </row>
    <row r="198" spans="1:26" ht="12" customHeight="1">
      <c r="A198" s="376"/>
      <c r="B198" s="374"/>
      <c r="C198" s="376"/>
      <c r="D198" s="377"/>
      <c r="E198" s="376"/>
      <c r="F198" s="374"/>
      <c r="G198" s="376"/>
      <c r="H198" s="378"/>
      <c r="I198" s="377"/>
      <c r="J198" s="137"/>
      <c r="K198" s="377"/>
      <c r="L198" s="137"/>
      <c r="M198" s="379"/>
      <c r="N198" s="137"/>
      <c r="O198" s="379"/>
      <c r="P198" s="137"/>
      <c r="Q198" s="380"/>
      <c r="R198" s="137"/>
      <c r="S198" s="379"/>
      <c r="T198" s="137"/>
      <c r="U198" s="137"/>
      <c r="V198" s="137"/>
      <c r="W198" s="137"/>
      <c r="X198" s="137"/>
      <c r="Y198" s="137"/>
      <c r="Z198" s="137"/>
    </row>
    <row r="199" spans="1:26" ht="12" customHeight="1">
      <c r="A199" s="376"/>
      <c r="B199" s="374"/>
      <c r="C199" s="376"/>
      <c r="D199" s="377"/>
      <c r="E199" s="376"/>
      <c r="F199" s="374"/>
      <c r="G199" s="376"/>
      <c r="H199" s="378"/>
      <c r="I199" s="377"/>
      <c r="J199" s="137"/>
      <c r="K199" s="377"/>
      <c r="L199" s="137"/>
      <c r="M199" s="379"/>
      <c r="N199" s="137"/>
      <c r="O199" s="379"/>
      <c r="P199" s="137"/>
      <c r="Q199" s="380"/>
      <c r="R199" s="137"/>
      <c r="S199" s="379"/>
      <c r="T199" s="137"/>
      <c r="U199" s="137"/>
      <c r="V199" s="137"/>
      <c r="W199" s="137"/>
      <c r="X199" s="137"/>
      <c r="Y199" s="137"/>
      <c r="Z199" s="137"/>
    </row>
    <row r="200" spans="1:26" ht="12" customHeight="1">
      <c r="A200" s="376"/>
      <c r="B200" s="374"/>
      <c r="C200" s="376"/>
      <c r="D200" s="377"/>
      <c r="E200" s="376"/>
      <c r="F200" s="374"/>
      <c r="G200" s="376"/>
      <c r="H200" s="378"/>
      <c r="I200" s="377"/>
      <c r="J200" s="137"/>
      <c r="K200" s="377"/>
      <c r="L200" s="137"/>
      <c r="M200" s="379"/>
      <c r="N200" s="137"/>
      <c r="O200" s="379"/>
      <c r="P200" s="137"/>
      <c r="Q200" s="380"/>
      <c r="R200" s="137"/>
      <c r="S200" s="379"/>
      <c r="T200" s="137"/>
      <c r="U200" s="137"/>
      <c r="V200" s="137"/>
      <c r="W200" s="137"/>
      <c r="X200" s="137"/>
      <c r="Y200" s="137"/>
      <c r="Z200" s="137"/>
    </row>
    <row r="201" spans="1:26" ht="12" customHeight="1">
      <c r="A201" s="376"/>
      <c r="B201" s="374"/>
      <c r="C201" s="376"/>
      <c r="D201" s="377"/>
      <c r="E201" s="376"/>
      <c r="F201" s="374"/>
      <c r="G201" s="376"/>
      <c r="H201" s="378"/>
      <c r="I201" s="377"/>
      <c r="J201" s="137"/>
      <c r="K201" s="377"/>
      <c r="L201" s="137"/>
      <c r="M201" s="379"/>
      <c r="N201" s="137"/>
      <c r="O201" s="379"/>
      <c r="P201" s="137"/>
      <c r="Q201" s="380"/>
      <c r="R201" s="137"/>
      <c r="S201" s="379"/>
      <c r="T201" s="137"/>
      <c r="U201" s="137"/>
      <c r="V201" s="137"/>
      <c r="W201" s="137"/>
      <c r="X201" s="137"/>
      <c r="Y201" s="137"/>
      <c r="Z201" s="137"/>
    </row>
    <row r="202" spans="1:26" ht="12" customHeight="1">
      <c r="A202" s="376"/>
      <c r="B202" s="374"/>
      <c r="C202" s="376"/>
      <c r="D202" s="377"/>
      <c r="E202" s="376"/>
      <c r="F202" s="374"/>
      <c r="G202" s="376"/>
      <c r="H202" s="378"/>
      <c r="I202" s="377"/>
      <c r="J202" s="137"/>
      <c r="K202" s="377"/>
      <c r="L202" s="137"/>
      <c r="M202" s="379"/>
      <c r="N202" s="137"/>
      <c r="O202" s="379"/>
      <c r="P202" s="137"/>
      <c r="Q202" s="380"/>
      <c r="R202" s="137"/>
      <c r="S202" s="379"/>
      <c r="T202" s="137"/>
      <c r="U202" s="137"/>
      <c r="V202" s="137"/>
      <c r="W202" s="137"/>
      <c r="X202" s="137"/>
      <c r="Y202" s="137"/>
      <c r="Z202" s="137"/>
    </row>
    <row r="203" spans="1:26" ht="12" customHeight="1">
      <c r="A203" s="376"/>
      <c r="B203" s="374"/>
      <c r="C203" s="376"/>
      <c r="D203" s="377"/>
      <c r="E203" s="376"/>
      <c r="F203" s="374"/>
      <c r="G203" s="376"/>
      <c r="H203" s="378"/>
      <c r="I203" s="377"/>
      <c r="J203" s="137"/>
      <c r="K203" s="377"/>
      <c r="L203" s="137"/>
      <c r="M203" s="379"/>
      <c r="N203" s="137"/>
      <c r="O203" s="379"/>
      <c r="P203" s="137"/>
      <c r="Q203" s="380"/>
      <c r="R203" s="137"/>
      <c r="S203" s="379"/>
      <c r="T203" s="137"/>
      <c r="U203" s="137"/>
      <c r="V203" s="137"/>
      <c r="W203" s="137"/>
      <c r="X203" s="137"/>
      <c r="Y203" s="137"/>
      <c r="Z203" s="137"/>
    </row>
    <row r="204" spans="1:26" ht="12" customHeight="1">
      <c r="A204" s="376"/>
      <c r="B204" s="374"/>
      <c r="C204" s="376"/>
      <c r="D204" s="377"/>
      <c r="E204" s="376"/>
      <c r="F204" s="374"/>
      <c r="G204" s="376"/>
      <c r="H204" s="378"/>
      <c r="I204" s="377"/>
      <c r="J204" s="137"/>
      <c r="K204" s="377"/>
      <c r="L204" s="137"/>
      <c r="M204" s="379"/>
      <c r="N204" s="137"/>
      <c r="O204" s="379"/>
      <c r="P204" s="137"/>
      <c r="Q204" s="380"/>
      <c r="R204" s="137"/>
      <c r="S204" s="379"/>
      <c r="T204" s="137"/>
      <c r="U204" s="137"/>
      <c r="V204" s="137"/>
      <c r="W204" s="137"/>
      <c r="X204" s="137"/>
      <c r="Y204" s="137"/>
      <c r="Z204" s="137"/>
    </row>
    <row r="205" spans="1:26" ht="12" customHeight="1">
      <c r="A205" s="376"/>
      <c r="B205" s="374"/>
      <c r="C205" s="376"/>
      <c r="D205" s="377"/>
      <c r="E205" s="376"/>
      <c r="F205" s="374"/>
      <c r="G205" s="376"/>
      <c r="H205" s="378"/>
      <c r="I205" s="377"/>
      <c r="J205" s="137"/>
      <c r="K205" s="377"/>
      <c r="L205" s="137"/>
      <c r="M205" s="379"/>
      <c r="N205" s="137"/>
      <c r="O205" s="379"/>
      <c r="P205" s="137"/>
      <c r="Q205" s="380"/>
      <c r="R205" s="137"/>
      <c r="S205" s="379"/>
      <c r="T205" s="137"/>
      <c r="U205" s="137"/>
      <c r="V205" s="137"/>
      <c r="W205" s="137"/>
      <c r="X205" s="137"/>
      <c r="Y205" s="137"/>
      <c r="Z205" s="137"/>
    </row>
    <row r="206" spans="1:26" ht="12" customHeight="1">
      <c r="A206" s="376"/>
      <c r="B206" s="374"/>
      <c r="C206" s="376"/>
      <c r="D206" s="377"/>
      <c r="E206" s="376"/>
      <c r="F206" s="374"/>
      <c r="G206" s="376"/>
      <c r="H206" s="378"/>
      <c r="I206" s="377"/>
      <c r="J206" s="137"/>
      <c r="K206" s="377"/>
      <c r="L206" s="137"/>
      <c r="M206" s="379"/>
      <c r="N206" s="137"/>
      <c r="O206" s="379"/>
      <c r="P206" s="137"/>
      <c r="Q206" s="380"/>
      <c r="R206" s="137"/>
      <c r="S206" s="379"/>
      <c r="T206" s="137"/>
      <c r="U206" s="137"/>
      <c r="V206" s="137"/>
      <c r="W206" s="137"/>
      <c r="X206" s="137"/>
      <c r="Y206" s="137"/>
      <c r="Z206" s="137"/>
    </row>
    <row r="207" spans="1:26" ht="12" customHeight="1">
      <c r="A207" s="376"/>
      <c r="B207" s="374"/>
      <c r="C207" s="376"/>
      <c r="D207" s="377"/>
      <c r="E207" s="376"/>
      <c r="F207" s="374"/>
      <c r="G207" s="376"/>
      <c r="H207" s="378"/>
      <c r="I207" s="377"/>
      <c r="J207" s="137"/>
      <c r="K207" s="377"/>
      <c r="L207" s="137"/>
      <c r="M207" s="379"/>
      <c r="N207" s="137"/>
      <c r="O207" s="379"/>
      <c r="P207" s="137"/>
      <c r="Q207" s="380"/>
      <c r="R207" s="137"/>
      <c r="S207" s="379"/>
      <c r="T207" s="137"/>
      <c r="U207" s="137"/>
      <c r="V207" s="137"/>
      <c r="W207" s="137"/>
      <c r="X207" s="137"/>
      <c r="Y207" s="137"/>
      <c r="Z207" s="137"/>
    </row>
    <row r="208" spans="1:26" ht="12" customHeight="1">
      <c r="A208" s="376"/>
      <c r="B208" s="374"/>
      <c r="C208" s="376"/>
      <c r="D208" s="377"/>
      <c r="E208" s="376"/>
      <c r="F208" s="374"/>
      <c r="G208" s="376"/>
      <c r="H208" s="378"/>
      <c r="I208" s="377"/>
      <c r="J208" s="137"/>
      <c r="K208" s="377"/>
      <c r="L208" s="137"/>
      <c r="M208" s="379"/>
      <c r="N208" s="137"/>
      <c r="O208" s="379"/>
      <c r="P208" s="137"/>
      <c r="Q208" s="380"/>
      <c r="R208" s="137"/>
      <c r="S208" s="379"/>
      <c r="T208" s="137"/>
      <c r="U208" s="137"/>
      <c r="V208" s="137"/>
      <c r="W208" s="137"/>
      <c r="X208" s="137"/>
      <c r="Y208" s="137"/>
      <c r="Z208" s="137"/>
    </row>
    <row r="209" spans="1:26" ht="12" customHeight="1">
      <c r="A209" s="376"/>
      <c r="B209" s="374"/>
      <c r="C209" s="376"/>
      <c r="D209" s="377"/>
      <c r="E209" s="376"/>
      <c r="F209" s="374"/>
      <c r="G209" s="376"/>
      <c r="H209" s="378"/>
      <c r="I209" s="377"/>
      <c r="J209" s="137"/>
      <c r="K209" s="377"/>
      <c r="L209" s="137"/>
      <c r="M209" s="379"/>
      <c r="N209" s="137"/>
      <c r="O209" s="379"/>
      <c r="P209" s="137"/>
      <c r="Q209" s="380"/>
      <c r="R209" s="137"/>
      <c r="S209" s="379"/>
      <c r="T209" s="137"/>
      <c r="U209" s="137"/>
      <c r="V209" s="137"/>
      <c r="W209" s="137"/>
      <c r="X209" s="137"/>
      <c r="Y209" s="137"/>
      <c r="Z209" s="137"/>
    </row>
    <row r="210" spans="1:26" ht="12" customHeight="1">
      <c r="A210" s="376"/>
      <c r="B210" s="374"/>
      <c r="C210" s="376"/>
      <c r="D210" s="377"/>
      <c r="E210" s="376"/>
      <c r="F210" s="374"/>
      <c r="G210" s="376"/>
      <c r="H210" s="378"/>
      <c r="I210" s="377"/>
      <c r="J210" s="137"/>
      <c r="K210" s="377"/>
      <c r="L210" s="137"/>
      <c r="M210" s="379"/>
      <c r="N210" s="137"/>
      <c r="O210" s="379"/>
      <c r="P210" s="137"/>
      <c r="Q210" s="380"/>
      <c r="R210" s="137"/>
      <c r="S210" s="379"/>
      <c r="T210" s="137"/>
      <c r="U210" s="137"/>
      <c r="V210" s="137"/>
      <c r="W210" s="137"/>
      <c r="X210" s="137"/>
      <c r="Y210" s="137"/>
      <c r="Z210" s="137"/>
    </row>
    <row r="211" spans="1:26" ht="12" customHeight="1">
      <c r="A211" s="376"/>
      <c r="B211" s="374"/>
      <c r="C211" s="376"/>
      <c r="D211" s="377"/>
      <c r="E211" s="376"/>
      <c r="F211" s="374"/>
      <c r="G211" s="376"/>
      <c r="H211" s="378"/>
      <c r="I211" s="377"/>
      <c r="J211" s="137"/>
      <c r="K211" s="377"/>
      <c r="L211" s="137"/>
      <c r="M211" s="379"/>
      <c r="N211" s="137"/>
      <c r="O211" s="379"/>
      <c r="P211" s="137"/>
      <c r="Q211" s="380"/>
      <c r="R211" s="137"/>
      <c r="S211" s="379"/>
      <c r="T211" s="137"/>
      <c r="U211" s="137"/>
      <c r="V211" s="137"/>
      <c r="W211" s="137"/>
      <c r="X211" s="137"/>
      <c r="Y211" s="137"/>
      <c r="Z211" s="137"/>
    </row>
    <row r="212" spans="1:26" ht="12" customHeight="1">
      <c r="A212" s="376"/>
      <c r="B212" s="374"/>
      <c r="C212" s="376"/>
      <c r="D212" s="377"/>
      <c r="E212" s="376"/>
      <c r="F212" s="374"/>
      <c r="G212" s="376"/>
      <c r="H212" s="378"/>
      <c r="I212" s="377"/>
      <c r="J212" s="137"/>
      <c r="K212" s="377"/>
      <c r="L212" s="137"/>
      <c r="M212" s="379"/>
      <c r="N212" s="137"/>
      <c r="O212" s="379"/>
      <c r="P212" s="137"/>
      <c r="Q212" s="380"/>
      <c r="R212" s="137"/>
      <c r="S212" s="379"/>
      <c r="T212" s="137"/>
      <c r="U212" s="137"/>
      <c r="V212" s="137"/>
      <c r="W212" s="137"/>
      <c r="X212" s="137"/>
      <c r="Y212" s="137"/>
      <c r="Z212" s="137"/>
    </row>
    <row r="213" spans="1:26" ht="12" customHeight="1">
      <c r="A213" s="376"/>
      <c r="B213" s="374"/>
      <c r="C213" s="376"/>
      <c r="D213" s="377"/>
      <c r="E213" s="376"/>
      <c r="F213" s="374"/>
      <c r="G213" s="376"/>
      <c r="H213" s="378"/>
      <c r="I213" s="377"/>
      <c r="J213" s="137"/>
      <c r="K213" s="377"/>
      <c r="L213" s="137"/>
      <c r="M213" s="379"/>
      <c r="N213" s="137"/>
      <c r="O213" s="379"/>
      <c r="P213" s="137"/>
      <c r="Q213" s="380"/>
      <c r="R213" s="137"/>
      <c r="S213" s="379"/>
      <c r="T213" s="137"/>
      <c r="U213" s="137"/>
      <c r="V213" s="137"/>
      <c r="W213" s="137"/>
      <c r="X213" s="137"/>
      <c r="Y213" s="137"/>
      <c r="Z213" s="137"/>
    </row>
    <row r="214" spans="1:26" ht="12" customHeight="1">
      <c r="A214" s="376"/>
      <c r="B214" s="374"/>
      <c r="C214" s="376"/>
      <c r="D214" s="377"/>
      <c r="E214" s="376"/>
      <c r="F214" s="374"/>
      <c r="G214" s="376"/>
      <c r="H214" s="378"/>
      <c r="I214" s="377"/>
      <c r="J214" s="137"/>
      <c r="K214" s="377"/>
      <c r="L214" s="137"/>
      <c r="M214" s="379"/>
      <c r="N214" s="137"/>
      <c r="O214" s="379"/>
      <c r="P214" s="137"/>
      <c r="Q214" s="380"/>
      <c r="R214" s="137"/>
      <c r="S214" s="379"/>
      <c r="T214" s="137"/>
      <c r="U214" s="137"/>
      <c r="V214" s="137"/>
      <c r="W214" s="137"/>
      <c r="X214" s="137"/>
      <c r="Y214" s="137"/>
      <c r="Z214" s="137"/>
    </row>
    <row r="215" spans="1:26" ht="12" customHeight="1">
      <c r="A215" s="376"/>
      <c r="B215" s="374"/>
      <c r="C215" s="376"/>
      <c r="D215" s="377"/>
      <c r="E215" s="376"/>
      <c r="F215" s="374"/>
      <c r="G215" s="376"/>
      <c r="H215" s="378"/>
      <c r="I215" s="377"/>
      <c r="J215" s="137"/>
      <c r="K215" s="377"/>
      <c r="L215" s="137"/>
      <c r="M215" s="379"/>
      <c r="N215" s="137"/>
      <c r="O215" s="379"/>
      <c r="P215" s="137"/>
      <c r="Q215" s="380"/>
      <c r="R215" s="137"/>
      <c r="S215" s="379"/>
      <c r="T215" s="137"/>
      <c r="U215" s="137"/>
      <c r="V215" s="137"/>
      <c r="W215" s="137"/>
      <c r="X215" s="137"/>
      <c r="Y215" s="137"/>
      <c r="Z215" s="137"/>
    </row>
    <row r="216" spans="1:26" ht="12" customHeight="1">
      <c r="A216" s="376"/>
      <c r="B216" s="374"/>
      <c r="C216" s="376"/>
      <c r="D216" s="377"/>
      <c r="E216" s="376"/>
      <c r="F216" s="374"/>
      <c r="G216" s="376"/>
      <c r="H216" s="378"/>
      <c r="I216" s="377"/>
      <c r="J216" s="137"/>
      <c r="K216" s="377"/>
      <c r="L216" s="137"/>
      <c r="M216" s="379"/>
      <c r="N216" s="137"/>
      <c r="O216" s="379"/>
      <c r="P216" s="137"/>
      <c r="Q216" s="380"/>
      <c r="R216" s="137"/>
      <c r="S216" s="379"/>
      <c r="T216" s="137"/>
      <c r="U216" s="137"/>
      <c r="V216" s="137"/>
      <c r="W216" s="137"/>
      <c r="X216" s="137"/>
      <c r="Y216" s="137"/>
      <c r="Z216" s="137"/>
    </row>
    <row r="217" spans="1:26" ht="12" customHeight="1">
      <c r="A217" s="376"/>
      <c r="B217" s="374"/>
      <c r="C217" s="376"/>
      <c r="D217" s="377"/>
      <c r="E217" s="376"/>
      <c r="F217" s="374"/>
      <c r="G217" s="376"/>
      <c r="H217" s="378"/>
      <c r="I217" s="377"/>
      <c r="J217" s="137"/>
      <c r="K217" s="377"/>
      <c r="L217" s="137"/>
      <c r="M217" s="379"/>
      <c r="N217" s="137"/>
      <c r="O217" s="379"/>
      <c r="P217" s="137"/>
      <c r="Q217" s="380"/>
      <c r="R217" s="137"/>
      <c r="S217" s="379"/>
      <c r="T217" s="137"/>
      <c r="U217" s="137"/>
      <c r="V217" s="137"/>
      <c r="W217" s="137"/>
      <c r="X217" s="137"/>
      <c r="Y217" s="137"/>
      <c r="Z217" s="137"/>
    </row>
    <row r="218" spans="1:26" ht="12" customHeight="1">
      <c r="A218" s="376"/>
      <c r="B218" s="374"/>
      <c r="C218" s="376"/>
      <c r="D218" s="377"/>
      <c r="E218" s="376"/>
      <c r="F218" s="374"/>
      <c r="G218" s="376"/>
      <c r="H218" s="378"/>
      <c r="I218" s="377"/>
      <c r="J218" s="137"/>
      <c r="K218" s="377"/>
      <c r="L218" s="137"/>
      <c r="M218" s="379"/>
      <c r="N218" s="137"/>
      <c r="O218" s="379"/>
      <c r="P218" s="137"/>
      <c r="Q218" s="380"/>
      <c r="R218" s="137"/>
      <c r="S218" s="379"/>
      <c r="T218" s="137"/>
      <c r="U218" s="137"/>
      <c r="V218" s="137"/>
      <c r="W218" s="137"/>
      <c r="X218" s="137"/>
      <c r="Y218" s="137"/>
      <c r="Z218" s="137"/>
    </row>
    <row r="219" spans="1:26" ht="12" customHeight="1">
      <c r="A219" s="376"/>
      <c r="B219" s="374"/>
      <c r="C219" s="376"/>
      <c r="D219" s="377"/>
      <c r="E219" s="376"/>
      <c r="F219" s="374"/>
      <c r="G219" s="376"/>
      <c r="H219" s="378"/>
      <c r="I219" s="377"/>
      <c r="J219" s="137"/>
      <c r="K219" s="377"/>
      <c r="L219" s="137"/>
      <c r="M219" s="379"/>
      <c r="N219" s="137"/>
      <c r="O219" s="379"/>
      <c r="P219" s="137"/>
      <c r="Q219" s="380"/>
      <c r="R219" s="137"/>
      <c r="S219" s="379"/>
      <c r="T219" s="137"/>
      <c r="U219" s="137"/>
      <c r="V219" s="137"/>
      <c r="W219" s="137"/>
      <c r="X219" s="137"/>
      <c r="Y219" s="137"/>
      <c r="Z219" s="137"/>
    </row>
    <row r="220" spans="1:26" ht="12" customHeight="1">
      <c r="A220" s="376"/>
      <c r="B220" s="374"/>
      <c r="C220" s="376"/>
      <c r="D220" s="377"/>
      <c r="E220" s="376"/>
      <c r="F220" s="374"/>
      <c r="G220" s="376"/>
      <c r="H220" s="378"/>
      <c r="I220" s="377"/>
      <c r="J220" s="137"/>
      <c r="K220" s="377"/>
      <c r="L220" s="137"/>
      <c r="M220" s="379"/>
      <c r="N220" s="137"/>
      <c r="O220" s="379"/>
      <c r="P220" s="137"/>
      <c r="Q220" s="380"/>
      <c r="R220" s="137"/>
      <c r="S220" s="379"/>
      <c r="T220" s="137"/>
      <c r="U220" s="137"/>
      <c r="V220" s="137"/>
      <c r="W220" s="137"/>
      <c r="X220" s="137"/>
      <c r="Y220" s="137"/>
      <c r="Z220" s="137"/>
    </row>
    <row r="221" spans="1:26" ht="12" customHeight="1">
      <c r="A221" s="376"/>
      <c r="B221" s="374"/>
      <c r="C221" s="376"/>
      <c r="D221" s="377"/>
      <c r="E221" s="376"/>
      <c r="F221" s="374"/>
      <c r="G221" s="376"/>
      <c r="H221" s="378"/>
      <c r="I221" s="377"/>
      <c r="J221" s="137"/>
      <c r="K221" s="377"/>
      <c r="L221" s="137"/>
      <c r="M221" s="379"/>
      <c r="N221" s="137"/>
      <c r="O221" s="379"/>
      <c r="P221" s="137"/>
      <c r="Q221" s="380"/>
      <c r="R221" s="137"/>
      <c r="S221" s="379"/>
      <c r="T221" s="137"/>
      <c r="U221" s="137"/>
      <c r="V221" s="137"/>
      <c r="W221" s="137"/>
      <c r="X221" s="137"/>
      <c r="Y221" s="137"/>
      <c r="Z221" s="137"/>
    </row>
    <row r="222" spans="1:26" ht="12" customHeight="1">
      <c r="A222" s="376"/>
      <c r="B222" s="374"/>
      <c r="C222" s="376"/>
      <c r="D222" s="377"/>
      <c r="E222" s="376"/>
      <c r="F222" s="374"/>
      <c r="G222" s="376"/>
      <c r="H222" s="378"/>
      <c r="I222" s="377"/>
      <c r="J222" s="137"/>
      <c r="K222" s="377"/>
      <c r="L222" s="137"/>
      <c r="M222" s="379"/>
      <c r="N222" s="137"/>
      <c r="O222" s="379"/>
      <c r="P222" s="137"/>
      <c r="Q222" s="380"/>
      <c r="R222" s="137"/>
      <c r="S222" s="379"/>
      <c r="T222" s="137"/>
      <c r="U222" s="137"/>
      <c r="V222" s="137"/>
      <c r="W222" s="137"/>
      <c r="X222" s="137"/>
      <c r="Y222" s="137"/>
      <c r="Z222" s="137"/>
    </row>
    <row r="223" spans="1:26" ht="12" customHeight="1">
      <c r="A223" s="376"/>
      <c r="B223" s="374"/>
      <c r="C223" s="376"/>
      <c r="D223" s="377"/>
      <c r="E223" s="376"/>
      <c r="F223" s="374"/>
      <c r="G223" s="376"/>
      <c r="H223" s="378"/>
      <c r="I223" s="377"/>
      <c r="J223" s="137"/>
      <c r="K223" s="377"/>
      <c r="L223" s="137"/>
      <c r="M223" s="379"/>
      <c r="N223" s="137"/>
      <c r="O223" s="379"/>
      <c r="P223" s="137"/>
      <c r="Q223" s="380"/>
      <c r="R223" s="137"/>
      <c r="S223" s="379"/>
      <c r="T223" s="137"/>
      <c r="U223" s="137"/>
      <c r="V223" s="137"/>
      <c r="W223" s="137"/>
      <c r="X223" s="137"/>
      <c r="Y223" s="137"/>
      <c r="Z223" s="137"/>
    </row>
    <row r="224" spans="1:26" ht="12" customHeight="1">
      <c r="A224" s="376"/>
      <c r="B224" s="374"/>
      <c r="C224" s="376"/>
      <c r="D224" s="377"/>
      <c r="E224" s="376"/>
      <c r="F224" s="374"/>
      <c r="G224" s="376"/>
      <c r="H224" s="378"/>
      <c r="I224" s="377"/>
      <c r="J224" s="137"/>
      <c r="K224" s="377"/>
      <c r="L224" s="137"/>
      <c r="M224" s="379"/>
      <c r="N224" s="137"/>
      <c r="O224" s="379"/>
      <c r="P224" s="137"/>
      <c r="Q224" s="380"/>
      <c r="R224" s="137"/>
      <c r="S224" s="379"/>
      <c r="T224" s="137"/>
      <c r="U224" s="137"/>
      <c r="V224" s="137"/>
      <c r="W224" s="137"/>
      <c r="X224" s="137"/>
      <c r="Y224" s="137"/>
      <c r="Z224" s="137"/>
    </row>
    <row r="225" spans="1:26" ht="12" customHeight="1">
      <c r="A225" s="376"/>
      <c r="B225" s="374"/>
      <c r="C225" s="376"/>
      <c r="D225" s="377"/>
      <c r="E225" s="376"/>
      <c r="F225" s="374"/>
      <c r="G225" s="376"/>
      <c r="H225" s="378"/>
      <c r="I225" s="377"/>
      <c r="J225" s="137"/>
      <c r="K225" s="377"/>
      <c r="L225" s="137"/>
      <c r="M225" s="379"/>
      <c r="N225" s="137"/>
      <c r="O225" s="379"/>
      <c r="P225" s="137"/>
      <c r="Q225" s="380"/>
      <c r="R225" s="137"/>
      <c r="S225" s="379"/>
      <c r="T225" s="137"/>
      <c r="U225" s="137"/>
      <c r="V225" s="137"/>
      <c r="W225" s="137"/>
      <c r="X225" s="137"/>
      <c r="Y225" s="137"/>
      <c r="Z225" s="137"/>
    </row>
    <row r="226" spans="1:26" ht="12" customHeight="1">
      <c r="A226" s="376"/>
      <c r="B226" s="374"/>
      <c r="C226" s="376"/>
      <c r="D226" s="377"/>
      <c r="E226" s="376"/>
      <c r="F226" s="374"/>
      <c r="G226" s="376"/>
      <c r="H226" s="378"/>
      <c r="I226" s="377"/>
      <c r="J226" s="137"/>
      <c r="K226" s="377"/>
      <c r="L226" s="137"/>
      <c r="M226" s="379"/>
      <c r="N226" s="137"/>
      <c r="O226" s="379"/>
      <c r="P226" s="137"/>
      <c r="Q226" s="380"/>
      <c r="R226" s="137"/>
      <c r="S226" s="379"/>
      <c r="T226" s="137"/>
      <c r="U226" s="137"/>
      <c r="V226" s="137"/>
      <c r="W226" s="137"/>
      <c r="X226" s="137"/>
      <c r="Y226" s="137"/>
      <c r="Z226" s="137"/>
    </row>
    <row r="227" spans="1:26" ht="12" customHeight="1">
      <c r="A227" s="376"/>
      <c r="B227" s="374"/>
      <c r="C227" s="376"/>
      <c r="D227" s="377"/>
      <c r="E227" s="376"/>
      <c r="F227" s="374"/>
      <c r="G227" s="376"/>
      <c r="H227" s="378"/>
      <c r="I227" s="377"/>
      <c r="J227" s="137"/>
      <c r="K227" s="377"/>
      <c r="L227" s="137"/>
      <c r="M227" s="379"/>
      <c r="N227" s="137"/>
      <c r="O227" s="379"/>
      <c r="P227" s="137"/>
      <c r="Q227" s="380"/>
      <c r="R227" s="137"/>
      <c r="S227" s="379"/>
      <c r="T227" s="137"/>
      <c r="U227" s="137"/>
      <c r="V227" s="137"/>
      <c r="W227" s="137"/>
      <c r="X227" s="137"/>
      <c r="Y227" s="137"/>
      <c r="Z227" s="137"/>
    </row>
    <row r="228" spans="1:26" ht="12" customHeight="1">
      <c r="A228" s="376"/>
      <c r="B228" s="374"/>
      <c r="C228" s="376"/>
      <c r="D228" s="377"/>
      <c r="E228" s="376"/>
      <c r="F228" s="374"/>
      <c r="G228" s="376"/>
      <c r="H228" s="378"/>
      <c r="I228" s="377"/>
      <c r="J228" s="137"/>
      <c r="K228" s="377"/>
      <c r="L228" s="137"/>
      <c r="M228" s="379"/>
      <c r="N228" s="137"/>
      <c r="O228" s="379"/>
      <c r="P228" s="137"/>
      <c r="Q228" s="380"/>
      <c r="R228" s="137"/>
      <c r="S228" s="379"/>
      <c r="T228" s="137"/>
      <c r="U228" s="137"/>
      <c r="V228" s="137"/>
      <c r="W228" s="137"/>
      <c r="X228" s="137"/>
      <c r="Y228" s="137"/>
      <c r="Z228" s="137"/>
    </row>
    <row r="229" spans="1:26" ht="12" customHeight="1">
      <c r="A229" s="376"/>
      <c r="B229" s="374"/>
      <c r="C229" s="376"/>
      <c r="D229" s="377"/>
      <c r="E229" s="376"/>
      <c r="F229" s="374"/>
      <c r="G229" s="376"/>
      <c r="H229" s="378"/>
      <c r="I229" s="377"/>
      <c r="J229" s="137"/>
      <c r="K229" s="377"/>
      <c r="L229" s="137"/>
      <c r="M229" s="379"/>
      <c r="N229" s="137"/>
      <c r="O229" s="379"/>
      <c r="P229" s="137"/>
      <c r="Q229" s="380"/>
      <c r="R229" s="137"/>
      <c r="S229" s="379"/>
      <c r="T229" s="137"/>
      <c r="U229" s="137"/>
      <c r="V229" s="137"/>
      <c r="W229" s="137"/>
      <c r="X229" s="137"/>
      <c r="Y229" s="137"/>
      <c r="Z229" s="137"/>
    </row>
    <row r="230" spans="1:26" ht="12" customHeight="1">
      <c r="A230" s="376"/>
      <c r="B230" s="374"/>
      <c r="C230" s="376"/>
      <c r="D230" s="377"/>
      <c r="E230" s="376"/>
      <c r="F230" s="374"/>
      <c r="G230" s="376"/>
      <c r="H230" s="378"/>
      <c r="I230" s="377"/>
      <c r="J230" s="137"/>
      <c r="K230" s="377"/>
      <c r="L230" s="137"/>
      <c r="M230" s="379"/>
      <c r="N230" s="137"/>
      <c r="O230" s="379"/>
      <c r="P230" s="137"/>
      <c r="Q230" s="380"/>
      <c r="R230" s="137"/>
      <c r="S230" s="379"/>
      <c r="T230" s="137"/>
      <c r="U230" s="137"/>
      <c r="V230" s="137"/>
      <c r="W230" s="137"/>
      <c r="X230" s="137"/>
      <c r="Y230" s="137"/>
      <c r="Z230" s="137"/>
    </row>
    <row r="231" spans="1:26" ht="12" customHeight="1">
      <c r="A231" s="376"/>
      <c r="B231" s="374"/>
      <c r="C231" s="376"/>
      <c r="D231" s="377"/>
      <c r="E231" s="376"/>
      <c r="F231" s="374"/>
      <c r="G231" s="376"/>
      <c r="H231" s="378"/>
      <c r="I231" s="377"/>
      <c r="J231" s="137"/>
      <c r="K231" s="377"/>
      <c r="L231" s="137"/>
      <c r="M231" s="379"/>
      <c r="N231" s="137"/>
      <c r="O231" s="379"/>
      <c r="P231" s="137"/>
      <c r="Q231" s="380"/>
      <c r="R231" s="137"/>
      <c r="S231" s="379"/>
      <c r="T231" s="137"/>
      <c r="U231" s="137"/>
      <c r="V231" s="137"/>
      <c r="W231" s="137"/>
      <c r="X231" s="137"/>
      <c r="Y231" s="137"/>
      <c r="Z231" s="137"/>
    </row>
    <row r="232" spans="1:26" ht="12" customHeight="1">
      <c r="A232" s="376"/>
      <c r="B232" s="374"/>
      <c r="C232" s="376"/>
      <c r="D232" s="377"/>
      <c r="E232" s="376"/>
      <c r="F232" s="374"/>
      <c r="G232" s="376"/>
      <c r="H232" s="378"/>
      <c r="I232" s="377"/>
      <c r="J232" s="137"/>
      <c r="K232" s="377"/>
      <c r="L232" s="137"/>
      <c r="M232" s="379"/>
      <c r="N232" s="137"/>
      <c r="O232" s="379"/>
      <c r="P232" s="137"/>
      <c r="Q232" s="380"/>
      <c r="R232" s="137"/>
      <c r="S232" s="379"/>
      <c r="T232" s="137"/>
      <c r="U232" s="137"/>
      <c r="V232" s="137"/>
      <c r="W232" s="137"/>
      <c r="X232" s="137"/>
      <c r="Y232" s="137"/>
      <c r="Z232" s="137"/>
    </row>
    <row r="233" spans="1:26" ht="12" customHeight="1">
      <c r="A233" s="376"/>
      <c r="B233" s="374"/>
      <c r="C233" s="376"/>
      <c r="D233" s="377"/>
      <c r="E233" s="376"/>
      <c r="F233" s="374"/>
      <c r="G233" s="376"/>
      <c r="H233" s="378"/>
      <c r="I233" s="377"/>
      <c r="J233" s="137"/>
      <c r="K233" s="377"/>
      <c r="L233" s="137"/>
      <c r="M233" s="379"/>
      <c r="N233" s="137"/>
      <c r="O233" s="379"/>
      <c r="P233" s="137"/>
      <c r="Q233" s="380"/>
      <c r="R233" s="137"/>
      <c r="S233" s="379"/>
      <c r="T233" s="137"/>
      <c r="U233" s="137"/>
      <c r="V233" s="137"/>
      <c r="W233" s="137"/>
      <c r="X233" s="137"/>
      <c r="Y233" s="137"/>
      <c r="Z233" s="137"/>
    </row>
    <row r="234" spans="1:26" ht="12" customHeight="1">
      <c r="A234" s="376"/>
      <c r="B234" s="374"/>
      <c r="C234" s="376"/>
      <c r="D234" s="377"/>
      <c r="E234" s="376"/>
      <c r="F234" s="374"/>
      <c r="G234" s="376"/>
      <c r="H234" s="378"/>
      <c r="I234" s="377"/>
      <c r="J234" s="137"/>
      <c r="K234" s="377"/>
      <c r="L234" s="137"/>
      <c r="M234" s="379"/>
      <c r="N234" s="137"/>
      <c r="O234" s="379"/>
      <c r="P234" s="137"/>
      <c r="Q234" s="380"/>
      <c r="R234" s="137"/>
      <c r="S234" s="379"/>
      <c r="T234" s="137"/>
      <c r="U234" s="137"/>
      <c r="V234" s="137"/>
      <c r="W234" s="137"/>
      <c r="X234" s="137"/>
      <c r="Y234" s="137"/>
      <c r="Z234" s="137"/>
    </row>
    <row r="235" spans="1:26" ht="12" customHeight="1">
      <c r="A235" s="376"/>
      <c r="B235" s="374"/>
      <c r="C235" s="376"/>
      <c r="D235" s="377"/>
      <c r="E235" s="376"/>
      <c r="F235" s="374"/>
      <c r="G235" s="376"/>
      <c r="H235" s="378"/>
      <c r="I235" s="377"/>
      <c r="J235" s="137"/>
      <c r="K235" s="377"/>
      <c r="L235" s="137"/>
      <c r="M235" s="379"/>
      <c r="N235" s="137"/>
      <c r="O235" s="379"/>
      <c r="P235" s="137"/>
      <c r="Q235" s="380"/>
      <c r="R235" s="137"/>
      <c r="S235" s="379"/>
      <c r="T235" s="137"/>
      <c r="U235" s="137"/>
      <c r="V235" s="137"/>
      <c r="W235" s="137"/>
      <c r="X235" s="137"/>
      <c r="Y235" s="137"/>
      <c r="Z235" s="137"/>
    </row>
    <row r="236" spans="1:26" ht="12" customHeight="1">
      <c r="A236" s="376"/>
      <c r="B236" s="374"/>
      <c r="C236" s="376"/>
      <c r="D236" s="377"/>
      <c r="E236" s="376"/>
      <c r="F236" s="374"/>
      <c r="G236" s="376"/>
      <c r="H236" s="378"/>
      <c r="I236" s="377"/>
      <c r="J236" s="137"/>
      <c r="K236" s="377"/>
      <c r="L236" s="137"/>
      <c r="M236" s="379"/>
      <c r="N236" s="137"/>
      <c r="O236" s="379"/>
      <c r="P236" s="137"/>
      <c r="Q236" s="380"/>
      <c r="R236" s="137"/>
      <c r="S236" s="379"/>
      <c r="T236" s="137"/>
      <c r="U236" s="137"/>
      <c r="V236" s="137"/>
      <c r="W236" s="137"/>
      <c r="X236" s="137"/>
      <c r="Y236" s="137"/>
      <c r="Z236" s="137"/>
    </row>
    <row r="237" spans="1:26" ht="12" customHeight="1">
      <c r="A237" s="376"/>
      <c r="B237" s="374"/>
      <c r="C237" s="376"/>
      <c r="D237" s="377"/>
      <c r="E237" s="376"/>
      <c r="F237" s="374"/>
      <c r="G237" s="376"/>
      <c r="H237" s="378"/>
      <c r="I237" s="377"/>
      <c r="J237" s="137"/>
      <c r="K237" s="377"/>
      <c r="L237" s="137"/>
      <c r="M237" s="379"/>
      <c r="N237" s="137"/>
      <c r="O237" s="379"/>
      <c r="P237" s="137"/>
      <c r="Q237" s="380"/>
      <c r="R237" s="137"/>
      <c r="S237" s="379"/>
      <c r="T237" s="137"/>
      <c r="U237" s="137"/>
      <c r="V237" s="137"/>
      <c r="W237" s="137"/>
      <c r="X237" s="137"/>
      <c r="Y237" s="137"/>
      <c r="Z237" s="137"/>
    </row>
    <row r="238" spans="1:26" ht="12" customHeight="1">
      <c r="A238" s="376"/>
      <c r="B238" s="374"/>
      <c r="C238" s="376"/>
      <c r="D238" s="377"/>
      <c r="E238" s="376"/>
      <c r="F238" s="374"/>
      <c r="G238" s="376"/>
      <c r="H238" s="378"/>
      <c r="I238" s="377"/>
      <c r="J238" s="137"/>
      <c r="K238" s="377"/>
      <c r="L238" s="137"/>
      <c r="M238" s="379"/>
      <c r="N238" s="137"/>
      <c r="O238" s="379"/>
      <c r="P238" s="137"/>
      <c r="Q238" s="380"/>
      <c r="R238" s="137"/>
      <c r="S238" s="379"/>
      <c r="T238" s="137"/>
      <c r="U238" s="137"/>
      <c r="V238" s="137"/>
      <c r="W238" s="137"/>
      <c r="X238" s="137"/>
      <c r="Y238" s="137"/>
      <c r="Z238" s="137"/>
    </row>
    <row r="239" spans="1:26" ht="12" customHeight="1">
      <c r="A239" s="376"/>
      <c r="B239" s="374"/>
      <c r="C239" s="376"/>
      <c r="D239" s="377"/>
      <c r="E239" s="376"/>
      <c r="F239" s="374"/>
      <c r="G239" s="376"/>
      <c r="H239" s="378"/>
      <c r="I239" s="377"/>
      <c r="J239" s="137"/>
      <c r="K239" s="377"/>
      <c r="L239" s="137"/>
      <c r="M239" s="379"/>
      <c r="N239" s="137"/>
      <c r="O239" s="379"/>
      <c r="P239" s="137"/>
      <c r="Q239" s="380"/>
      <c r="R239" s="137"/>
      <c r="S239" s="379"/>
      <c r="T239" s="137"/>
      <c r="U239" s="137"/>
      <c r="V239" s="137"/>
      <c r="W239" s="137"/>
      <c r="X239" s="137"/>
      <c r="Y239" s="137"/>
      <c r="Z239" s="137"/>
    </row>
    <row r="240" spans="1:26" ht="12" customHeight="1">
      <c r="A240" s="376"/>
      <c r="B240" s="374"/>
      <c r="C240" s="376"/>
      <c r="D240" s="377"/>
      <c r="E240" s="376"/>
      <c r="F240" s="374"/>
      <c r="G240" s="376"/>
      <c r="H240" s="378"/>
      <c r="I240" s="377"/>
      <c r="J240" s="137"/>
      <c r="K240" s="377"/>
      <c r="L240" s="137"/>
      <c r="M240" s="379"/>
      <c r="N240" s="137"/>
      <c r="O240" s="379"/>
      <c r="P240" s="137"/>
      <c r="Q240" s="380"/>
      <c r="R240" s="137"/>
      <c r="S240" s="379"/>
      <c r="T240" s="137"/>
      <c r="U240" s="137"/>
      <c r="V240" s="137"/>
      <c r="W240" s="137"/>
      <c r="X240" s="137"/>
      <c r="Y240" s="137"/>
      <c r="Z240" s="137"/>
    </row>
    <row r="241" spans="1:26" ht="12" customHeight="1">
      <c r="A241" s="376"/>
      <c r="B241" s="374"/>
      <c r="C241" s="376"/>
      <c r="D241" s="377"/>
      <c r="E241" s="376"/>
      <c r="F241" s="374"/>
      <c r="G241" s="376"/>
      <c r="H241" s="378"/>
      <c r="I241" s="377"/>
      <c r="J241" s="137"/>
      <c r="K241" s="377"/>
      <c r="L241" s="137"/>
      <c r="M241" s="379"/>
      <c r="N241" s="137"/>
      <c r="O241" s="379"/>
      <c r="P241" s="137"/>
      <c r="Q241" s="380"/>
      <c r="R241" s="137"/>
      <c r="S241" s="379"/>
      <c r="T241" s="137"/>
      <c r="U241" s="137"/>
      <c r="V241" s="137"/>
      <c r="W241" s="137"/>
      <c r="X241" s="137"/>
      <c r="Y241" s="137"/>
      <c r="Z241" s="137"/>
    </row>
    <row r="242" spans="1:26" ht="12" customHeight="1">
      <c r="A242" s="376"/>
      <c r="B242" s="374"/>
      <c r="C242" s="376"/>
      <c r="D242" s="377"/>
      <c r="E242" s="376"/>
      <c r="F242" s="374"/>
      <c r="G242" s="376"/>
      <c r="H242" s="378"/>
      <c r="I242" s="377"/>
      <c r="J242" s="137"/>
      <c r="K242" s="377"/>
      <c r="L242" s="137"/>
      <c r="M242" s="379"/>
      <c r="N242" s="137"/>
      <c r="O242" s="379"/>
      <c r="P242" s="137"/>
      <c r="Q242" s="380"/>
      <c r="R242" s="137"/>
      <c r="S242" s="379"/>
      <c r="T242" s="137"/>
      <c r="U242" s="137"/>
      <c r="V242" s="137"/>
      <c r="W242" s="137"/>
      <c r="X242" s="137"/>
      <c r="Y242" s="137"/>
      <c r="Z242" s="137"/>
    </row>
    <row r="243" spans="1:26" ht="12" customHeight="1">
      <c r="A243" s="376"/>
      <c r="B243" s="374"/>
      <c r="C243" s="376"/>
      <c r="D243" s="377"/>
      <c r="E243" s="376"/>
      <c r="F243" s="374"/>
      <c r="G243" s="376"/>
      <c r="H243" s="378"/>
      <c r="I243" s="377"/>
      <c r="J243" s="137"/>
      <c r="K243" s="377"/>
      <c r="L243" s="137"/>
      <c r="M243" s="379"/>
      <c r="N243" s="137"/>
      <c r="O243" s="379"/>
      <c r="P243" s="137"/>
      <c r="Q243" s="380"/>
      <c r="R243" s="137"/>
      <c r="S243" s="379"/>
      <c r="T243" s="137"/>
      <c r="U243" s="137"/>
      <c r="V243" s="137"/>
      <c r="W243" s="137"/>
      <c r="X243" s="137"/>
      <c r="Y243" s="137"/>
      <c r="Z243" s="137"/>
    </row>
    <row r="244" spans="1:26" ht="12" customHeight="1">
      <c r="A244" s="376"/>
      <c r="B244" s="374"/>
      <c r="C244" s="376"/>
      <c r="D244" s="377"/>
      <c r="E244" s="376"/>
      <c r="F244" s="374"/>
      <c r="G244" s="376"/>
      <c r="H244" s="378"/>
      <c r="I244" s="377"/>
      <c r="J244" s="137"/>
      <c r="K244" s="377"/>
      <c r="L244" s="137"/>
      <c r="M244" s="379"/>
      <c r="N244" s="137"/>
      <c r="O244" s="379"/>
      <c r="P244" s="137"/>
      <c r="Q244" s="380"/>
      <c r="R244" s="137"/>
      <c r="S244" s="379"/>
      <c r="T244" s="137"/>
      <c r="U244" s="137"/>
      <c r="V244" s="137"/>
      <c r="W244" s="137"/>
      <c r="X244" s="137"/>
      <c r="Y244" s="137"/>
      <c r="Z244" s="137"/>
    </row>
    <row r="245" spans="1:26" ht="12" customHeight="1">
      <c r="A245" s="376"/>
      <c r="B245" s="374"/>
      <c r="C245" s="376"/>
      <c r="D245" s="377"/>
      <c r="E245" s="376"/>
      <c r="F245" s="374"/>
      <c r="G245" s="376"/>
      <c r="H245" s="378"/>
      <c r="I245" s="377"/>
      <c r="J245" s="137"/>
      <c r="K245" s="377"/>
      <c r="L245" s="137"/>
      <c r="M245" s="379"/>
      <c r="N245" s="137"/>
      <c r="O245" s="379"/>
      <c r="P245" s="137"/>
      <c r="Q245" s="380"/>
      <c r="R245" s="137"/>
      <c r="S245" s="379"/>
      <c r="T245" s="137"/>
      <c r="U245" s="137"/>
      <c r="V245" s="137"/>
      <c r="W245" s="137"/>
      <c r="X245" s="137"/>
      <c r="Y245" s="137"/>
      <c r="Z245" s="137"/>
    </row>
    <row r="246" spans="1:26" ht="12" customHeight="1">
      <c r="A246" s="376"/>
      <c r="B246" s="374"/>
      <c r="C246" s="376"/>
      <c r="D246" s="377"/>
      <c r="E246" s="376"/>
      <c r="F246" s="374"/>
      <c r="G246" s="376"/>
      <c r="H246" s="378"/>
      <c r="I246" s="377"/>
      <c r="J246" s="137"/>
      <c r="K246" s="377"/>
      <c r="L246" s="137"/>
      <c r="M246" s="379"/>
      <c r="N246" s="137"/>
      <c r="O246" s="379"/>
      <c r="P246" s="137"/>
      <c r="Q246" s="380"/>
      <c r="R246" s="137"/>
      <c r="S246" s="379"/>
      <c r="T246" s="137"/>
      <c r="U246" s="137"/>
      <c r="V246" s="137"/>
      <c r="W246" s="137"/>
      <c r="X246" s="137"/>
      <c r="Y246" s="137"/>
      <c r="Z246" s="137"/>
    </row>
    <row r="247" spans="1:26" ht="12" customHeight="1">
      <c r="A247" s="376"/>
      <c r="B247" s="374"/>
      <c r="C247" s="376"/>
      <c r="D247" s="377"/>
      <c r="E247" s="376"/>
      <c r="F247" s="374"/>
      <c r="G247" s="376"/>
      <c r="H247" s="378"/>
      <c r="I247" s="377"/>
      <c r="J247" s="137"/>
      <c r="K247" s="377"/>
      <c r="L247" s="137"/>
      <c r="M247" s="379"/>
      <c r="N247" s="137"/>
      <c r="O247" s="379"/>
      <c r="P247" s="137"/>
      <c r="Q247" s="380"/>
      <c r="R247" s="137"/>
      <c r="S247" s="379"/>
      <c r="T247" s="137"/>
      <c r="U247" s="137"/>
      <c r="V247" s="137"/>
      <c r="W247" s="137"/>
      <c r="X247" s="137"/>
      <c r="Y247" s="137"/>
      <c r="Z247" s="137"/>
    </row>
    <row r="248" spans="1:26" ht="12" customHeight="1">
      <c r="A248" s="376"/>
      <c r="B248" s="374"/>
      <c r="C248" s="376"/>
      <c r="D248" s="377"/>
      <c r="E248" s="376"/>
      <c r="F248" s="374"/>
      <c r="G248" s="376"/>
      <c r="H248" s="378"/>
      <c r="I248" s="377"/>
      <c r="J248" s="137"/>
      <c r="K248" s="377"/>
      <c r="L248" s="137"/>
      <c r="M248" s="379"/>
      <c r="N248" s="137"/>
      <c r="O248" s="379"/>
      <c r="P248" s="137"/>
      <c r="Q248" s="380"/>
      <c r="R248" s="137"/>
      <c r="S248" s="379"/>
      <c r="T248" s="137"/>
      <c r="U248" s="137"/>
      <c r="V248" s="137"/>
      <c r="W248" s="137"/>
      <c r="X248" s="137"/>
      <c r="Y248" s="137"/>
      <c r="Z248" s="137"/>
    </row>
    <row r="249" spans="1:26" ht="12" customHeight="1">
      <c r="A249" s="376"/>
      <c r="B249" s="374"/>
      <c r="C249" s="376"/>
      <c r="D249" s="377"/>
      <c r="E249" s="376"/>
      <c r="F249" s="374"/>
      <c r="G249" s="376"/>
      <c r="H249" s="378"/>
      <c r="I249" s="377"/>
      <c r="J249" s="137"/>
      <c r="K249" s="377"/>
      <c r="L249" s="137"/>
      <c r="M249" s="379"/>
      <c r="N249" s="137"/>
      <c r="O249" s="379"/>
      <c r="P249" s="137"/>
      <c r="Q249" s="380"/>
      <c r="R249" s="137"/>
      <c r="S249" s="379"/>
      <c r="T249" s="137"/>
      <c r="U249" s="137"/>
      <c r="V249" s="137"/>
      <c r="W249" s="137"/>
      <c r="X249" s="137"/>
      <c r="Y249" s="137"/>
      <c r="Z249" s="137"/>
    </row>
    <row r="250" spans="1:26" ht="12" customHeight="1">
      <c r="A250" s="376"/>
      <c r="B250" s="374"/>
      <c r="C250" s="376"/>
      <c r="D250" s="377"/>
      <c r="E250" s="376"/>
      <c r="F250" s="374"/>
      <c r="G250" s="376"/>
      <c r="H250" s="378"/>
      <c r="I250" s="377"/>
      <c r="J250" s="137"/>
      <c r="K250" s="377"/>
      <c r="L250" s="137"/>
      <c r="M250" s="379"/>
      <c r="N250" s="137"/>
      <c r="O250" s="379"/>
      <c r="P250" s="137"/>
      <c r="Q250" s="380"/>
      <c r="R250" s="137"/>
      <c r="S250" s="379"/>
      <c r="T250" s="137"/>
      <c r="U250" s="137"/>
      <c r="V250" s="137"/>
      <c r="W250" s="137"/>
      <c r="X250" s="137"/>
      <c r="Y250" s="137"/>
      <c r="Z250" s="137"/>
    </row>
    <row r="251" spans="1:26" ht="12" customHeight="1">
      <c r="A251" s="376"/>
      <c r="B251" s="374"/>
      <c r="C251" s="376"/>
      <c r="D251" s="377"/>
      <c r="E251" s="376"/>
      <c r="F251" s="374"/>
      <c r="G251" s="376"/>
      <c r="H251" s="378"/>
      <c r="I251" s="377"/>
      <c r="J251" s="137"/>
      <c r="K251" s="377"/>
      <c r="L251" s="137"/>
      <c r="M251" s="379"/>
      <c r="N251" s="137"/>
      <c r="O251" s="379"/>
      <c r="P251" s="137"/>
      <c r="Q251" s="380"/>
      <c r="R251" s="137"/>
      <c r="S251" s="379"/>
      <c r="T251" s="137"/>
      <c r="U251" s="137"/>
      <c r="V251" s="137"/>
      <c r="W251" s="137"/>
      <c r="X251" s="137"/>
      <c r="Y251" s="137"/>
      <c r="Z251" s="137"/>
    </row>
    <row r="252" spans="1:26" ht="12" customHeight="1">
      <c r="A252" s="376"/>
      <c r="B252" s="374"/>
      <c r="C252" s="376"/>
      <c r="D252" s="377"/>
      <c r="E252" s="376"/>
      <c r="F252" s="374"/>
      <c r="G252" s="376"/>
      <c r="H252" s="378"/>
      <c r="I252" s="377"/>
      <c r="J252" s="137"/>
      <c r="K252" s="377"/>
      <c r="L252" s="137"/>
      <c r="M252" s="379"/>
      <c r="N252" s="137"/>
      <c r="O252" s="379"/>
      <c r="P252" s="137"/>
      <c r="Q252" s="380"/>
      <c r="R252" s="137"/>
      <c r="S252" s="379"/>
      <c r="T252" s="137"/>
      <c r="U252" s="137"/>
      <c r="V252" s="137"/>
      <c r="W252" s="137"/>
      <c r="X252" s="137"/>
      <c r="Y252" s="137"/>
      <c r="Z252" s="137"/>
    </row>
    <row r="253" spans="1:26" ht="12" customHeight="1">
      <c r="A253" s="376"/>
      <c r="B253" s="374"/>
      <c r="C253" s="376"/>
      <c r="D253" s="377"/>
      <c r="E253" s="376"/>
      <c r="F253" s="374"/>
      <c r="G253" s="376"/>
      <c r="H253" s="378"/>
      <c r="I253" s="377"/>
      <c r="J253" s="137"/>
      <c r="K253" s="377"/>
      <c r="L253" s="137"/>
      <c r="M253" s="379"/>
      <c r="N253" s="137"/>
      <c r="O253" s="379"/>
      <c r="P253" s="137"/>
      <c r="Q253" s="380"/>
      <c r="R253" s="137"/>
      <c r="S253" s="379"/>
      <c r="T253" s="137"/>
      <c r="U253" s="137"/>
      <c r="V253" s="137"/>
      <c r="W253" s="137"/>
      <c r="X253" s="137"/>
      <c r="Y253" s="137"/>
      <c r="Z253" s="137"/>
    </row>
    <row r="254" spans="1:26" ht="12" customHeight="1">
      <c r="A254" s="376"/>
      <c r="B254" s="374"/>
      <c r="C254" s="376"/>
      <c r="D254" s="377"/>
      <c r="E254" s="376"/>
      <c r="F254" s="374"/>
      <c r="G254" s="376"/>
      <c r="H254" s="378"/>
      <c r="I254" s="377"/>
      <c r="J254" s="137"/>
      <c r="K254" s="377"/>
      <c r="L254" s="137"/>
      <c r="M254" s="379"/>
      <c r="N254" s="137"/>
      <c r="O254" s="379"/>
      <c r="P254" s="137"/>
      <c r="Q254" s="380"/>
      <c r="R254" s="137"/>
      <c r="S254" s="379"/>
      <c r="T254" s="137"/>
      <c r="U254" s="137"/>
      <c r="V254" s="137"/>
      <c r="W254" s="137"/>
      <c r="X254" s="137"/>
      <c r="Y254" s="137"/>
      <c r="Z254" s="137"/>
    </row>
    <row r="255" spans="1:26" ht="12" customHeight="1">
      <c r="A255" s="376"/>
      <c r="B255" s="374"/>
      <c r="C255" s="376"/>
      <c r="D255" s="377"/>
      <c r="E255" s="376"/>
      <c r="F255" s="374"/>
      <c r="G255" s="376"/>
      <c r="H255" s="378"/>
      <c r="I255" s="377"/>
      <c r="J255" s="137"/>
      <c r="K255" s="377"/>
      <c r="L255" s="137"/>
      <c r="M255" s="379"/>
      <c r="N255" s="137"/>
      <c r="O255" s="379"/>
      <c r="P255" s="137"/>
      <c r="Q255" s="380"/>
      <c r="R255" s="137"/>
      <c r="S255" s="379"/>
      <c r="T255" s="137"/>
      <c r="U255" s="137"/>
      <c r="V255" s="137"/>
      <c r="W255" s="137"/>
      <c r="X255" s="137"/>
      <c r="Y255" s="137"/>
      <c r="Z255" s="137"/>
    </row>
    <row r="256" spans="1:26" ht="12" customHeight="1">
      <c r="A256" s="376"/>
      <c r="B256" s="374"/>
      <c r="C256" s="376"/>
      <c r="D256" s="377"/>
      <c r="E256" s="376"/>
      <c r="F256" s="374"/>
      <c r="G256" s="376"/>
      <c r="H256" s="378"/>
      <c r="I256" s="377"/>
      <c r="J256" s="137"/>
      <c r="K256" s="377"/>
      <c r="L256" s="137"/>
      <c r="M256" s="379"/>
      <c r="N256" s="137"/>
      <c r="O256" s="379"/>
      <c r="P256" s="137"/>
      <c r="Q256" s="380"/>
      <c r="R256" s="137"/>
      <c r="S256" s="379"/>
      <c r="T256" s="137"/>
      <c r="U256" s="137"/>
      <c r="V256" s="137"/>
      <c r="W256" s="137"/>
      <c r="X256" s="137"/>
      <c r="Y256" s="137"/>
      <c r="Z256" s="137"/>
    </row>
    <row r="257" spans="1:26" ht="12" customHeight="1">
      <c r="A257" s="376"/>
      <c r="B257" s="374"/>
      <c r="C257" s="376"/>
      <c r="D257" s="377"/>
      <c r="E257" s="376"/>
      <c r="F257" s="374"/>
      <c r="G257" s="376"/>
      <c r="H257" s="378"/>
      <c r="I257" s="377"/>
      <c r="J257" s="137"/>
      <c r="K257" s="377"/>
      <c r="L257" s="137"/>
      <c r="M257" s="379"/>
      <c r="N257" s="137"/>
      <c r="O257" s="379"/>
      <c r="P257" s="137"/>
      <c r="Q257" s="380"/>
      <c r="R257" s="137"/>
      <c r="S257" s="379"/>
      <c r="T257" s="137"/>
      <c r="U257" s="137"/>
      <c r="V257" s="137"/>
      <c r="W257" s="137"/>
      <c r="X257" s="137"/>
      <c r="Y257" s="137"/>
      <c r="Z257" s="137"/>
    </row>
    <row r="258" spans="1:26" ht="12" customHeight="1">
      <c r="A258" s="376"/>
      <c r="B258" s="374"/>
      <c r="C258" s="376"/>
      <c r="D258" s="377"/>
      <c r="E258" s="376"/>
      <c r="F258" s="374"/>
      <c r="G258" s="376"/>
      <c r="H258" s="378"/>
      <c r="I258" s="377"/>
      <c r="J258" s="137"/>
      <c r="K258" s="377"/>
      <c r="L258" s="137"/>
      <c r="M258" s="379"/>
      <c r="N258" s="137"/>
      <c r="O258" s="379"/>
      <c r="P258" s="137"/>
      <c r="Q258" s="380"/>
      <c r="R258" s="137"/>
      <c r="S258" s="379"/>
      <c r="T258" s="137"/>
      <c r="U258" s="137"/>
      <c r="V258" s="137"/>
      <c r="W258" s="137"/>
      <c r="X258" s="137"/>
      <c r="Y258" s="137"/>
      <c r="Z258" s="137"/>
    </row>
    <row r="259" spans="1:26" ht="12" customHeight="1">
      <c r="A259" s="376"/>
      <c r="B259" s="374"/>
      <c r="C259" s="376"/>
      <c r="D259" s="377"/>
      <c r="E259" s="376"/>
      <c r="F259" s="374"/>
      <c r="G259" s="376"/>
      <c r="H259" s="378"/>
      <c r="I259" s="377"/>
      <c r="J259" s="137"/>
      <c r="K259" s="377"/>
      <c r="L259" s="137"/>
      <c r="M259" s="379"/>
      <c r="N259" s="137"/>
      <c r="O259" s="379"/>
      <c r="P259" s="137"/>
      <c r="Q259" s="380"/>
      <c r="R259" s="137"/>
      <c r="S259" s="379"/>
      <c r="T259" s="137"/>
      <c r="U259" s="137"/>
      <c r="V259" s="137"/>
      <c r="W259" s="137"/>
      <c r="X259" s="137"/>
      <c r="Y259" s="137"/>
      <c r="Z259" s="137"/>
    </row>
    <row r="260" spans="1:26" ht="12" customHeight="1">
      <c r="A260" s="376"/>
      <c r="B260" s="374"/>
      <c r="C260" s="376"/>
      <c r="D260" s="377"/>
      <c r="E260" s="376"/>
      <c r="F260" s="374"/>
      <c r="G260" s="376"/>
      <c r="H260" s="378"/>
      <c r="I260" s="377"/>
      <c r="J260" s="137"/>
      <c r="K260" s="377"/>
      <c r="L260" s="137"/>
      <c r="M260" s="379"/>
      <c r="N260" s="137"/>
      <c r="O260" s="379"/>
      <c r="P260" s="137"/>
      <c r="Q260" s="380"/>
      <c r="R260" s="137"/>
      <c r="S260" s="379"/>
      <c r="T260" s="137"/>
      <c r="U260" s="137"/>
      <c r="V260" s="137"/>
      <c r="W260" s="137"/>
      <c r="X260" s="137"/>
      <c r="Y260" s="137"/>
      <c r="Z260" s="137"/>
    </row>
    <row r="261" spans="1:26" ht="12" customHeight="1">
      <c r="A261" s="376"/>
      <c r="B261" s="374"/>
      <c r="C261" s="376"/>
      <c r="D261" s="377"/>
      <c r="E261" s="376"/>
      <c r="F261" s="374"/>
      <c r="G261" s="376"/>
      <c r="H261" s="378"/>
      <c r="I261" s="377"/>
      <c r="J261" s="137"/>
      <c r="K261" s="377"/>
      <c r="L261" s="137"/>
      <c r="M261" s="379"/>
      <c r="N261" s="137"/>
      <c r="O261" s="379"/>
      <c r="P261" s="137"/>
      <c r="Q261" s="380"/>
      <c r="R261" s="137"/>
      <c r="S261" s="379"/>
      <c r="T261" s="137"/>
      <c r="U261" s="137"/>
      <c r="V261" s="137"/>
      <c r="W261" s="137"/>
      <c r="X261" s="137"/>
      <c r="Y261" s="137"/>
      <c r="Z261" s="137"/>
    </row>
    <row r="262" spans="1:26" ht="12" customHeight="1">
      <c r="A262" s="376"/>
      <c r="B262" s="374"/>
      <c r="C262" s="376"/>
      <c r="D262" s="377"/>
      <c r="E262" s="376"/>
      <c r="F262" s="374"/>
      <c r="G262" s="376"/>
      <c r="H262" s="378"/>
      <c r="I262" s="377"/>
      <c r="J262" s="137"/>
      <c r="K262" s="377"/>
      <c r="L262" s="137"/>
      <c r="M262" s="379"/>
      <c r="N262" s="137"/>
      <c r="O262" s="379"/>
      <c r="P262" s="137"/>
      <c r="Q262" s="380"/>
      <c r="R262" s="137"/>
      <c r="S262" s="379"/>
      <c r="T262" s="137"/>
      <c r="U262" s="137"/>
      <c r="V262" s="137"/>
      <c r="W262" s="137"/>
      <c r="X262" s="137"/>
      <c r="Y262" s="137"/>
      <c r="Z262" s="137"/>
    </row>
    <row r="263" spans="1:26" ht="12" customHeight="1">
      <c r="A263" s="376"/>
      <c r="B263" s="374"/>
      <c r="C263" s="376"/>
      <c r="D263" s="377"/>
      <c r="E263" s="376"/>
      <c r="F263" s="374"/>
      <c r="G263" s="376"/>
      <c r="H263" s="378"/>
      <c r="I263" s="377"/>
      <c r="J263" s="137"/>
      <c r="K263" s="377"/>
      <c r="L263" s="137"/>
      <c r="M263" s="379"/>
      <c r="N263" s="137"/>
      <c r="O263" s="379"/>
      <c r="P263" s="137"/>
      <c r="Q263" s="380"/>
      <c r="R263" s="137"/>
      <c r="S263" s="379"/>
      <c r="T263" s="137"/>
      <c r="U263" s="137"/>
      <c r="V263" s="137"/>
      <c r="W263" s="137"/>
      <c r="X263" s="137"/>
      <c r="Y263" s="137"/>
      <c r="Z263" s="137"/>
    </row>
    <row r="264" spans="1:26" ht="12" customHeight="1">
      <c r="A264" s="376"/>
      <c r="B264" s="374"/>
      <c r="C264" s="376"/>
      <c r="D264" s="377"/>
      <c r="E264" s="376"/>
      <c r="F264" s="374"/>
      <c r="G264" s="376"/>
      <c r="H264" s="378"/>
      <c r="I264" s="377"/>
      <c r="J264" s="137"/>
      <c r="K264" s="377"/>
      <c r="L264" s="137"/>
      <c r="M264" s="379"/>
      <c r="N264" s="137"/>
      <c r="O264" s="379"/>
      <c r="P264" s="137"/>
      <c r="Q264" s="380"/>
      <c r="R264" s="137"/>
      <c r="S264" s="379"/>
      <c r="T264" s="137"/>
      <c r="U264" s="137"/>
      <c r="V264" s="137"/>
      <c r="W264" s="137"/>
      <c r="X264" s="137"/>
      <c r="Y264" s="137"/>
      <c r="Z264" s="137"/>
    </row>
    <row r="265" spans="1:26" ht="12" customHeight="1">
      <c r="A265" s="376"/>
      <c r="B265" s="374"/>
      <c r="C265" s="376"/>
      <c r="D265" s="377"/>
      <c r="E265" s="376"/>
      <c r="F265" s="374"/>
      <c r="G265" s="376"/>
      <c r="H265" s="378"/>
      <c r="I265" s="377"/>
      <c r="J265" s="137"/>
      <c r="K265" s="377"/>
      <c r="L265" s="137"/>
      <c r="M265" s="379"/>
      <c r="N265" s="137"/>
      <c r="O265" s="379"/>
      <c r="P265" s="137"/>
      <c r="Q265" s="379"/>
      <c r="R265" s="137"/>
      <c r="S265" s="379"/>
      <c r="T265" s="137"/>
      <c r="U265" s="137"/>
      <c r="V265" s="137"/>
      <c r="W265" s="137"/>
      <c r="X265" s="137"/>
      <c r="Y265" s="137"/>
      <c r="Z265" s="137"/>
    </row>
    <row r="266" spans="1:26" ht="12" customHeight="1">
      <c r="A266" s="376"/>
      <c r="B266" s="374"/>
      <c r="C266" s="376"/>
      <c r="D266" s="377"/>
      <c r="E266" s="376"/>
      <c r="F266" s="374"/>
      <c r="G266" s="376"/>
      <c r="H266" s="378"/>
      <c r="I266" s="377"/>
      <c r="J266" s="137"/>
      <c r="K266" s="377"/>
      <c r="L266" s="137"/>
      <c r="M266" s="379"/>
      <c r="N266" s="137"/>
      <c r="O266" s="379"/>
      <c r="P266" s="137"/>
      <c r="Q266" s="379"/>
      <c r="R266" s="137"/>
      <c r="S266" s="379"/>
      <c r="T266" s="137"/>
      <c r="U266" s="137"/>
      <c r="V266" s="137"/>
      <c r="W266" s="137"/>
      <c r="X266" s="137"/>
      <c r="Y266" s="137"/>
      <c r="Z266" s="137"/>
    </row>
    <row r="267" spans="1:26" ht="12" customHeight="1">
      <c r="A267" s="376"/>
      <c r="B267" s="374"/>
      <c r="C267" s="376"/>
      <c r="D267" s="377"/>
      <c r="E267" s="376"/>
      <c r="F267" s="374"/>
      <c r="G267" s="376"/>
      <c r="H267" s="378"/>
      <c r="I267" s="377"/>
      <c r="J267" s="137"/>
      <c r="K267" s="377"/>
      <c r="L267" s="137"/>
      <c r="M267" s="379"/>
      <c r="N267" s="137"/>
      <c r="O267" s="379"/>
      <c r="P267" s="137"/>
      <c r="Q267" s="379"/>
      <c r="R267" s="137"/>
      <c r="S267" s="379"/>
      <c r="T267" s="137"/>
      <c r="U267" s="137"/>
      <c r="V267" s="137"/>
      <c r="W267" s="137"/>
      <c r="X267" s="137"/>
      <c r="Y267" s="137"/>
      <c r="Z267" s="137"/>
    </row>
    <row r="268" spans="1:26" ht="12" customHeight="1">
      <c r="A268" s="376"/>
      <c r="B268" s="374"/>
      <c r="C268" s="376"/>
      <c r="D268" s="377"/>
      <c r="E268" s="376"/>
      <c r="F268" s="374"/>
      <c r="G268" s="376"/>
      <c r="H268" s="378"/>
      <c r="I268" s="377"/>
      <c r="J268" s="137"/>
      <c r="K268" s="377"/>
      <c r="L268" s="137"/>
      <c r="M268" s="379"/>
      <c r="N268" s="137"/>
      <c r="O268" s="379"/>
      <c r="P268" s="137"/>
      <c r="Q268" s="379"/>
      <c r="R268" s="137"/>
      <c r="S268" s="379"/>
      <c r="T268" s="137"/>
      <c r="U268" s="137"/>
      <c r="V268" s="137"/>
      <c r="W268" s="137"/>
      <c r="X268" s="137"/>
      <c r="Y268" s="137"/>
      <c r="Z268" s="137"/>
    </row>
    <row r="269" spans="1:26" ht="12" customHeight="1">
      <c r="A269" s="376"/>
      <c r="B269" s="374"/>
      <c r="C269" s="376"/>
      <c r="D269" s="377"/>
      <c r="E269" s="376"/>
      <c r="F269" s="374"/>
      <c r="G269" s="376"/>
      <c r="H269" s="378"/>
      <c r="I269" s="377"/>
      <c r="J269" s="137"/>
      <c r="K269" s="377"/>
      <c r="L269" s="137"/>
      <c r="M269" s="379"/>
      <c r="N269" s="137"/>
      <c r="O269" s="379"/>
      <c r="P269" s="137"/>
      <c r="Q269" s="379"/>
      <c r="R269" s="137"/>
      <c r="S269" s="379"/>
      <c r="T269" s="137"/>
      <c r="U269" s="137"/>
      <c r="V269" s="137"/>
      <c r="W269" s="137"/>
      <c r="X269" s="137"/>
      <c r="Y269" s="137"/>
      <c r="Z269" s="137"/>
    </row>
    <row r="270" spans="1:26" ht="12" customHeight="1">
      <c r="A270" s="376"/>
      <c r="B270" s="374"/>
      <c r="C270" s="376"/>
      <c r="D270" s="377"/>
      <c r="E270" s="376"/>
      <c r="F270" s="374"/>
      <c r="G270" s="376"/>
      <c r="H270" s="378"/>
      <c r="I270" s="377"/>
      <c r="J270" s="137"/>
      <c r="K270" s="377"/>
      <c r="L270" s="137"/>
      <c r="M270" s="379"/>
      <c r="N270" s="137"/>
      <c r="O270" s="379"/>
      <c r="P270" s="137"/>
      <c r="Q270" s="379"/>
      <c r="R270" s="137"/>
      <c r="S270" s="379"/>
      <c r="T270" s="137"/>
      <c r="U270" s="137"/>
      <c r="V270" s="137"/>
      <c r="W270" s="137"/>
      <c r="X270" s="137"/>
      <c r="Y270" s="137"/>
      <c r="Z270" s="137"/>
    </row>
    <row r="271" spans="1:26" ht="12" customHeight="1">
      <c r="A271" s="376"/>
      <c r="B271" s="374"/>
      <c r="C271" s="376"/>
      <c r="D271" s="377"/>
      <c r="E271" s="376"/>
      <c r="F271" s="374"/>
      <c r="G271" s="376"/>
      <c r="H271" s="378"/>
      <c r="I271" s="377"/>
      <c r="J271" s="137"/>
      <c r="K271" s="377"/>
      <c r="L271" s="137"/>
      <c r="M271" s="379"/>
      <c r="N271" s="137"/>
      <c r="O271" s="379"/>
      <c r="P271" s="137"/>
      <c r="Q271" s="379"/>
      <c r="R271" s="137"/>
      <c r="S271" s="379"/>
      <c r="T271" s="137"/>
      <c r="U271" s="137"/>
      <c r="V271" s="137"/>
      <c r="W271" s="137"/>
      <c r="X271" s="137"/>
      <c r="Y271" s="137"/>
      <c r="Z271" s="137"/>
    </row>
    <row r="272" spans="1:26" ht="12" customHeight="1">
      <c r="A272" s="376"/>
      <c r="B272" s="374"/>
      <c r="C272" s="376"/>
      <c r="D272" s="377"/>
      <c r="E272" s="376"/>
      <c r="F272" s="374"/>
      <c r="G272" s="376"/>
      <c r="H272" s="378"/>
      <c r="I272" s="377"/>
      <c r="J272" s="137"/>
      <c r="K272" s="377"/>
      <c r="L272" s="137"/>
      <c r="M272" s="379"/>
      <c r="N272" s="137"/>
      <c r="O272" s="379"/>
      <c r="P272" s="137"/>
      <c r="Q272" s="379"/>
      <c r="R272" s="137"/>
      <c r="S272" s="379"/>
      <c r="T272" s="137"/>
      <c r="U272" s="137"/>
      <c r="V272" s="137"/>
      <c r="W272" s="137"/>
      <c r="X272" s="137"/>
      <c r="Y272" s="137"/>
      <c r="Z272" s="137"/>
    </row>
    <row r="273" spans="1:26" ht="12" customHeight="1">
      <c r="A273" s="376"/>
      <c r="B273" s="374"/>
      <c r="C273" s="376"/>
      <c r="D273" s="377"/>
      <c r="E273" s="376"/>
      <c r="F273" s="374"/>
      <c r="G273" s="376"/>
      <c r="H273" s="378"/>
      <c r="I273" s="377"/>
      <c r="J273" s="137"/>
      <c r="K273" s="377"/>
      <c r="L273" s="137"/>
      <c r="M273" s="379"/>
      <c r="N273" s="137"/>
      <c r="O273" s="379"/>
      <c r="P273" s="137"/>
      <c r="Q273" s="379"/>
      <c r="R273" s="137"/>
      <c r="S273" s="379"/>
      <c r="T273" s="137"/>
      <c r="U273" s="137"/>
      <c r="V273" s="137"/>
      <c r="W273" s="137"/>
      <c r="X273" s="137"/>
      <c r="Y273" s="137"/>
      <c r="Z273" s="137"/>
    </row>
    <row r="274" spans="1:26" ht="12" customHeight="1">
      <c r="A274" s="376"/>
      <c r="B274" s="374"/>
      <c r="C274" s="376"/>
      <c r="D274" s="377"/>
      <c r="E274" s="376"/>
      <c r="F274" s="374"/>
      <c r="G274" s="376"/>
      <c r="H274" s="378"/>
      <c r="I274" s="377"/>
      <c r="J274" s="137"/>
      <c r="K274" s="377"/>
      <c r="L274" s="137"/>
      <c r="M274" s="379"/>
      <c r="N274" s="137"/>
      <c r="O274" s="379"/>
      <c r="P274" s="137"/>
      <c r="Q274" s="379"/>
      <c r="R274" s="137"/>
      <c r="S274" s="379"/>
      <c r="T274" s="137"/>
      <c r="U274" s="137"/>
      <c r="V274" s="137"/>
      <c r="W274" s="137"/>
      <c r="X274" s="137"/>
      <c r="Y274" s="137"/>
      <c r="Z274" s="137"/>
    </row>
    <row r="275" spans="1:26" ht="12" customHeight="1">
      <c r="A275" s="376"/>
      <c r="B275" s="374"/>
      <c r="C275" s="376"/>
      <c r="D275" s="377"/>
      <c r="E275" s="376"/>
      <c r="F275" s="374"/>
      <c r="G275" s="376"/>
      <c r="H275" s="378"/>
      <c r="I275" s="377"/>
      <c r="J275" s="137"/>
      <c r="K275" s="377"/>
      <c r="L275" s="137"/>
      <c r="M275" s="379"/>
      <c r="N275" s="137"/>
      <c r="O275" s="379"/>
      <c r="P275" s="137"/>
      <c r="Q275" s="379"/>
      <c r="R275" s="137"/>
      <c r="S275" s="379"/>
      <c r="T275" s="137"/>
      <c r="U275" s="137"/>
      <c r="V275" s="137"/>
      <c r="W275" s="137"/>
      <c r="X275" s="137"/>
      <c r="Y275" s="137"/>
      <c r="Z275" s="137"/>
    </row>
    <row r="276" spans="1:26" ht="12" customHeight="1">
      <c r="A276" s="376"/>
      <c r="B276" s="374"/>
      <c r="C276" s="376"/>
      <c r="D276" s="377"/>
      <c r="E276" s="376"/>
      <c r="F276" s="374"/>
      <c r="G276" s="376"/>
      <c r="H276" s="378"/>
      <c r="I276" s="377"/>
      <c r="J276" s="137"/>
      <c r="K276" s="377"/>
      <c r="L276" s="137"/>
      <c r="M276" s="379"/>
      <c r="N276" s="137"/>
      <c r="O276" s="379"/>
      <c r="P276" s="137"/>
      <c r="Q276" s="379"/>
      <c r="R276" s="137"/>
      <c r="S276" s="379"/>
      <c r="T276" s="137"/>
      <c r="U276" s="137"/>
      <c r="V276" s="137"/>
      <c r="W276" s="137"/>
      <c r="X276" s="137"/>
      <c r="Y276" s="137"/>
      <c r="Z276" s="137"/>
    </row>
    <row r="277" spans="1:26" ht="12" customHeight="1">
      <c r="A277" s="376"/>
      <c r="B277" s="374"/>
      <c r="C277" s="376"/>
      <c r="D277" s="377"/>
      <c r="E277" s="376"/>
      <c r="F277" s="374"/>
      <c r="G277" s="376"/>
      <c r="H277" s="378"/>
      <c r="I277" s="377"/>
      <c r="J277" s="137"/>
      <c r="K277" s="377"/>
      <c r="L277" s="137"/>
      <c r="M277" s="379"/>
      <c r="N277" s="137"/>
      <c r="O277" s="379"/>
      <c r="P277" s="137"/>
      <c r="Q277" s="379"/>
      <c r="R277" s="137"/>
      <c r="S277" s="379"/>
      <c r="T277" s="137"/>
      <c r="U277" s="137"/>
      <c r="V277" s="137"/>
      <c r="W277" s="137"/>
      <c r="X277" s="137"/>
      <c r="Y277" s="137"/>
      <c r="Z277" s="137"/>
    </row>
    <row r="278" spans="1:26" ht="12" customHeight="1">
      <c r="A278" s="376"/>
      <c r="B278" s="374"/>
      <c r="C278" s="376"/>
      <c r="D278" s="377"/>
      <c r="E278" s="376"/>
      <c r="F278" s="374"/>
      <c r="G278" s="376"/>
      <c r="H278" s="378"/>
      <c r="I278" s="377"/>
      <c r="J278" s="137"/>
      <c r="K278" s="377"/>
      <c r="L278" s="137"/>
      <c r="M278" s="379"/>
      <c r="N278" s="137"/>
      <c r="O278" s="379"/>
      <c r="P278" s="137"/>
      <c r="Q278" s="379"/>
      <c r="R278" s="137"/>
      <c r="S278" s="379"/>
      <c r="T278" s="137"/>
      <c r="U278" s="137"/>
      <c r="V278" s="137"/>
      <c r="W278" s="137"/>
      <c r="X278" s="137"/>
      <c r="Y278" s="137"/>
      <c r="Z278" s="137"/>
    </row>
    <row r="279" spans="1:26" ht="12" customHeight="1">
      <c r="A279" s="376"/>
      <c r="B279" s="374"/>
      <c r="C279" s="376"/>
      <c r="D279" s="377"/>
      <c r="E279" s="376"/>
      <c r="F279" s="374"/>
      <c r="G279" s="376"/>
      <c r="H279" s="378"/>
      <c r="I279" s="377"/>
      <c r="J279" s="137"/>
      <c r="K279" s="377"/>
      <c r="L279" s="137"/>
      <c r="M279" s="379"/>
      <c r="N279" s="137"/>
      <c r="O279" s="379"/>
      <c r="P279" s="137"/>
      <c r="Q279" s="379"/>
      <c r="R279" s="137"/>
      <c r="S279" s="379"/>
      <c r="T279" s="137"/>
      <c r="U279" s="137"/>
      <c r="V279" s="137"/>
      <c r="W279" s="137"/>
      <c r="X279" s="137"/>
      <c r="Y279" s="137"/>
      <c r="Z279" s="137"/>
    </row>
    <row r="280" spans="1:26" ht="15.75" customHeight="1"/>
    <row r="281" spans="1:26" ht="15.75" customHeight="1"/>
    <row r="282" spans="1:26" ht="15.75" customHeight="1"/>
    <row r="283" spans="1:26" ht="15.75" customHeight="1"/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4:H4"/>
    <mergeCell ref="A5:B5"/>
    <mergeCell ref="C5:D5"/>
    <mergeCell ref="E5:F5"/>
    <mergeCell ref="G5:H5"/>
    <mergeCell ref="A2:S2"/>
    <mergeCell ref="AA3:BI3"/>
    <mergeCell ref="L4:S4"/>
    <mergeCell ref="AA4:AE4"/>
    <mergeCell ref="AG4:AZ4"/>
    <mergeCell ref="BB4:BE5"/>
    <mergeCell ref="BF4:BI5"/>
    <mergeCell ref="L5:M5"/>
    <mergeCell ref="N5:O5"/>
    <mergeCell ref="P5:Q5"/>
    <mergeCell ref="R5:S5"/>
    <mergeCell ref="AA5:AA6"/>
    <mergeCell ref="AB5:AB6"/>
    <mergeCell ref="AC5:AC6"/>
    <mergeCell ref="AD5:AD6"/>
    <mergeCell ref="AE5:AE6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</mergeCells>
  <dataValidations count="1">
    <dataValidation type="list" allowBlank="1" showErrorMessage="1" sqref="BB7:BB79 BF7:BF79" xr:uid="{00000000-0002-0000-0800-000000000000}">
      <formula1>"A,O"</formula1>
    </dataValidation>
  </dataValidations>
  <printOptions horizontalCentered="1"/>
  <pageMargins left="0.2" right="7.0000000000000007E-2" top="0.24" bottom="0.28999999999999998" header="0" footer="0"/>
  <pageSetup paperSize="9" scale="85" orientation="landscape"/>
  <headerFooter>
    <oddFooter>&amp;L&amp;F; &amp;A&amp;CPage &amp;P of &amp;RPrint on &amp;D,&amp;T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J1000"/>
  <sheetViews>
    <sheetView tabSelected="1" zoomScale="130" zoomScaleNormal="130"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M19" sqref="M19"/>
    </sheetView>
  </sheetViews>
  <sheetFormatPr defaultColWidth="14.42578125" defaultRowHeight="15" customHeight="1"/>
  <cols>
    <col min="1" max="1" width="11.7109375" customWidth="1"/>
    <col min="2" max="2" width="8.7109375" customWidth="1"/>
    <col min="3" max="3" width="11.7109375" customWidth="1"/>
    <col min="4" max="4" width="6" customWidth="1"/>
    <col min="5" max="5" width="11.7109375" customWidth="1"/>
    <col min="6" max="6" width="6.7109375" customWidth="1"/>
    <col min="7" max="7" width="11.7109375" customWidth="1"/>
    <col min="8" max="8" width="8" customWidth="1"/>
    <col min="9" max="9" width="2" customWidth="1"/>
    <col min="10" max="10" width="38" bestFit="1" customWidth="1"/>
    <col min="11" max="11" width="2" customWidth="1"/>
    <col min="12" max="12" width="11.7109375" customWidth="1"/>
    <col min="13" max="13" width="6.7109375" customWidth="1"/>
    <col min="14" max="14" width="11.7109375" customWidth="1"/>
    <col min="15" max="15" width="6" customWidth="1"/>
    <col min="16" max="16" width="11.7109375" customWidth="1"/>
    <col min="17" max="17" width="8.28515625" customWidth="1"/>
    <col min="18" max="18" width="11.7109375" customWidth="1"/>
    <col min="19" max="19" width="9.140625" customWidth="1"/>
    <col min="20" max="20" width="10.42578125" customWidth="1"/>
    <col min="21" max="21" width="4.42578125" customWidth="1"/>
    <col min="22" max="25" width="10.42578125" hidden="1" customWidth="1"/>
    <col min="26" max="26" width="4.7109375" customWidth="1"/>
    <col min="27" max="33" width="12.140625" customWidth="1"/>
  </cols>
  <sheetData>
    <row r="1" spans="1:59" ht="15" customHeight="1">
      <c r="A1" s="381" t="s">
        <v>2</v>
      </c>
      <c r="B1" s="67"/>
      <c r="C1" s="67"/>
      <c r="D1" s="67"/>
      <c r="E1" s="67"/>
      <c r="F1" s="67"/>
      <c r="G1" s="67"/>
      <c r="H1" s="67"/>
      <c r="I1" s="67"/>
      <c r="J1" s="382"/>
      <c r="K1" s="67"/>
      <c r="L1" s="67"/>
      <c r="M1" s="67"/>
      <c r="N1" s="67"/>
      <c r="O1" s="67"/>
      <c r="P1" s="67"/>
      <c r="Q1" s="67"/>
      <c r="R1" s="67"/>
      <c r="S1" s="67"/>
      <c r="T1" s="382"/>
      <c r="U1" s="382"/>
      <c r="V1" s="382"/>
      <c r="W1" s="382"/>
      <c r="X1" s="382"/>
      <c r="Y1" s="382"/>
      <c r="Z1" s="382"/>
      <c r="AJ1" s="383"/>
    </row>
    <row r="2" spans="1:59" ht="15" customHeight="1">
      <c r="A2" s="664" t="s">
        <v>26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665"/>
      <c r="O2" s="665"/>
      <c r="P2" s="665"/>
      <c r="Q2" s="665"/>
      <c r="R2" s="665"/>
      <c r="S2" s="665"/>
      <c r="T2" s="64" t="s">
        <v>506</v>
      </c>
      <c r="U2" s="64">
        <f>PRD</f>
        <v>1</v>
      </c>
      <c r="V2" s="382"/>
      <c r="W2" s="382"/>
      <c r="X2" s="382"/>
      <c r="Y2" s="382"/>
      <c r="Z2" s="382"/>
    </row>
    <row r="3" spans="1:59" ht="15" customHeight="1">
      <c r="A3" s="218"/>
      <c r="B3" s="375"/>
      <c r="C3" s="384"/>
      <c r="D3" s="385" t="s">
        <v>507</v>
      </c>
      <c r="E3" s="384"/>
      <c r="F3" s="386"/>
      <c r="G3" s="384"/>
      <c r="H3" s="386"/>
      <c r="I3" s="386"/>
      <c r="J3" s="387" t="s">
        <v>739</v>
      </c>
      <c r="K3" s="386"/>
      <c r="L3" s="384"/>
      <c r="M3" s="386"/>
      <c r="N3" s="384"/>
      <c r="O3" s="386"/>
      <c r="P3" s="67"/>
      <c r="Q3" s="388" t="s">
        <v>740</v>
      </c>
      <c r="R3" s="67"/>
      <c r="S3" s="67"/>
      <c r="T3" s="382"/>
      <c r="U3" s="382"/>
      <c r="V3" s="382"/>
      <c r="W3" s="382"/>
      <c r="X3" s="382"/>
      <c r="Y3" s="382"/>
      <c r="Z3" s="382"/>
      <c r="AA3" s="656" t="s">
        <v>29</v>
      </c>
      <c r="AB3" s="660"/>
      <c r="AC3" s="660"/>
      <c r="AD3" s="660"/>
      <c r="AE3" s="660"/>
      <c r="AF3" s="660"/>
      <c r="AG3" s="660"/>
      <c r="AH3" s="660"/>
      <c r="AI3" s="660"/>
      <c r="AJ3" s="660"/>
      <c r="AK3" s="660"/>
      <c r="AL3" s="660"/>
      <c r="AM3" s="660"/>
      <c r="AN3" s="660"/>
      <c r="AO3" s="660"/>
      <c r="AP3" s="660"/>
      <c r="AQ3" s="660"/>
      <c r="AR3" s="660"/>
      <c r="AS3" s="660"/>
      <c r="AT3" s="660"/>
      <c r="AU3" s="660"/>
      <c r="AV3" s="660"/>
      <c r="AW3" s="660"/>
      <c r="AX3" s="660"/>
      <c r="AY3" s="660"/>
      <c r="AZ3" s="660"/>
      <c r="BA3" s="660"/>
      <c r="BB3" s="660"/>
      <c r="BC3" s="660"/>
      <c r="BD3" s="660"/>
      <c r="BE3" s="660"/>
      <c r="BF3" s="660"/>
      <c r="BG3" s="657"/>
    </row>
    <row r="4" spans="1:59" ht="13.5" customHeight="1">
      <c r="A4" s="666" t="s">
        <v>509</v>
      </c>
      <c r="B4" s="667"/>
      <c r="C4" s="667"/>
      <c r="D4" s="667"/>
      <c r="E4" s="667"/>
      <c r="F4" s="667"/>
      <c r="G4" s="667"/>
      <c r="H4" s="668"/>
      <c r="I4" s="223"/>
      <c r="J4" s="225"/>
      <c r="K4" s="223"/>
      <c r="L4" s="669" t="s">
        <v>510</v>
      </c>
      <c r="M4" s="667"/>
      <c r="N4" s="667"/>
      <c r="O4" s="667"/>
      <c r="P4" s="667"/>
      <c r="Q4" s="667"/>
      <c r="R4" s="667"/>
      <c r="S4" s="670"/>
      <c r="T4" s="226"/>
      <c r="U4" s="226"/>
      <c r="V4" s="226"/>
      <c r="W4" s="226"/>
      <c r="X4" s="226"/>
      <c r="Y4" s="226"/>
      <c r="Z4" s="226"/>
      <c r="AA4" s="671" t="s">
        <v>30</v>
      </c>
      <c r="AB4" s="665"/>
      <c r="AC4" s="665"/>
      <c r="AD4" s="665"/>
      <c r="AE4" s="665"/>
      <c r="AF4" s="665"/>
      <c r="AG4" s="665"/>
      <c r="AH4" s="73"/>
      <c r="AI4" s="671" t="s">
        <v>31</v>
      </c>
      <c r="AJ4" s="665"/>
      <c r="AK4" s="665"/>
      <c r="AL4" s="665"/>
      <c r="AM4" s="665"/>
      <c r="AN4" s="665"/>
      <c r="AO4" s="665"/>
      <c r="AP4" s="665"/>
      <c r="AQ4" s="665"/>
      <c r="AR4" s="665"/>
      <c r="AS4" s="665"/>
      <c r="AT4" s="665"/>
      <c r="AU4" s="665"/>
      <c r="AV4" s="665"/>
      <c r="AW4" s="665"/>
      <c r="AX4" s="665"/>
      <c r="AY4" s="665"/>
      <c r="AZ4" s="665"/>
      <c r="BA4" s="665"/>
      <c r="BB4" s="672"/>
      <c r="BC4" s="74"/>
      <c r="BD4" s="673" t="s">
        <v>32</v>
      </c>
      <c r="BE4" s="674"/>
      <c r="BF4" s="674"/>
      <c r="BG4" s="675"/>
    </row>
    <row r="5" spans="1:59" ht="12" customHeight="1">
      <c r="A5" s="679" t="s">
        <v>511</v>
      </c>
      <c r="B5" s="662"/>
      <c r="C5" s="661" t="s">
        <v>512</v>
      </c>
      <c r="D5" s="662"/>
      <c r="E5" s="661" t="s">
        <v>513</v>
      </c>
      <c r="F5" s="662"/>
      <c r="G5" s="661" t="s">
        <v>514</v>
      </c>
      <c r="H5" s="662"/>
      <c r="I5" s="227"/>
      <c r="J5" s="229" t="s">
        <v>515</v>
      </c>
      <c r="K5" s="227"/>
      <c r="L5" s="661" t="s">
        <v>514</v>
      </c>
      <c r="M5" s="662"/>
      <c r="N5" s="661" t="s">
        <v>513</v>
      </c>
      <c r="O5" s="662"/>
      <c r="P5" s="661" t="s">
        <v>512</v>
      </c>
      <c r="Q5" s="662"/>
      <c r="R5" s="661" t="s">
        <v>511</v>
      </c>
      <c r="S5" s="663"/>
      <c r="T5" s="226"/>
      <c r="U5" s="226"/>
      <c r="V5" s="226"/>
      <c r="W5" s="226"/>
      <c r="X5" s="226"/>
      <c r="Y5" s="226"/>
      <c r="Z5" s="226"/>
      <c r="AA5" s="658" t="s">
        <v>38</v>
      </c>
      <c r="AB5" s="658" t="s">
        <v>39</v>
      </c>
      <c r="AC5" s="658" t="s">
        <v>40</v>
      </c>
      <c r="AD5" s="658" t="s">
        <v>41</v>
      </c>
      <c r="AE5" s="658" t="s">
        <v>42</v>
      </c>
      <c r="AF5" s="658" t="s">
        <v>741</v>
      </c>
      <c r="AG5" s="673" t="s">
        <v>741</v>
      </c>
      <c r="AH5" s="80"/>
      <c r="AI5" s="656" t="s">
        <v>43</v>
      </c>
      <c r="AJ5" s="660"/>
      <c r="AK5" s="656" t="s">
        <v>44</v>
      </c>
      <c r="AL5" s="660"/>
      <c r="AM5" s="656" t="s">
        <v>45</v>
      </c>
      <c r="AN5" s="660"/>
      <c r="AO5" s="656" t="s">
        <v>46</v>
      </c>
      <c r="AP5" s="657"/>
      <c r="AQ5" s="680" t="s">
        <v>47</v>
      </c>
      <c r="AR5" s="660"/>
      <c r="AS5" s="656" t="s">
        <v>48</v>
      </c>
      <c r="AT5" s="657"/>
      <c r="AU5" s="680" t="s">
        <v>49</v>
      </c>
      <c r="AV5" s="660"/>
      <c r="AW5" s="656" t="s">
        <v>50</v>
      </c>
      <c r="AX5" s="657"/>
      <c r="AY5" s="680" t="s">
        <v>51</v>
      </c>
      <c r="AZ5" s="657"/>
      <c r="BA5" s="656" t="s">
        <v>52</v>
      </c>
      <c r="BB5" s="657"/>
      <c r="BC5" s="81"/>
      <c r="BD5" s="676"/>
      <c r="BE5" s="677"/>
      <c r="BF5" s="677"/>
      <c r="BG5" s="678"/>
    </row>
    <row r="6" spans="1:59" ht="12" customHeight="1">
      <c r="A6" s="230" t="s">
        <v>526</v>
      </c>
      <c r="B6" s="231" t="s">
        <v>37</v>
      </c>
      <c r="C6" s="232" t="s">
        <v>526</v>
      </c>
      <c r="D6" s="231" t="s">
        <v>37</v>
      </c>
      <c r="E6" s="232" t="s">
        <v>526</v>
      </c>
      <c r="F6" s="231" t="s">
        <v>37</v>
      </c>
      <c r="G6" s="232" t="s">
        <v>526</v>
      </c>
      <c r="H6" s="231" t="s">
        <v>37</v>
      </c>
      <c r="I6" s="233"/>
      <c r="J6" s="235"/>
      <c r="K6" s="233"/>
      <c r="L6" s="232" t="s">
        <v>526</v>
      </c>
      <c r="M6" s="231" t="s">
        <v>37</v>
      </c>
      <c r="N6" s="232" t="s">
        <v>526</v>
      </c>
      <c r="O6" s="231" t="s">
        <v>37</v>
      </c>
      <c r="P6" s="232" t="s">
        <v>526</v>
      </c>
      <c r="Q6" s="231" t="s">
        <v>37</v>
      </c>
      <c r="R6" s="232" t="s">
        <v>526</v>
      </c>
      <c r="S6" s="236" t="s">
        <v>37</v>
      </c>
      <c r="T6" s="226"/>
      <c r="U6" s="226"/>
      <c r="V6" s="226"/>
      <c r="W6" s="226"/>
      <c r="X6" s="226"/>
      <c r="Y6" s="226"/>
      <c r="Z6" s="226"/>
      <c r="AA6" s="659"/>
      <c r="AB6" s="659"/>
      <c r="AC6" s="659"/>
      <c r="AD6" s="659"/>
      <c r="AE6" s="659"/>
      <c r="AF6" s="659"/>
      <c r="AG6" s="676"/>
      <c r="AH6" s="84"/>
      <c r="AI6" s="85" t="s">
        <v>56</v>
      </c>
      <c r="AJ6" s="86" t="s">
        <v>57</v>
      </c>
      <c r="AK6" s="85" t="s">
        <v>56</v>
      </c>
      <c r="AL6" s="86" t="s">
        <v>57</v>
      </c>
      <c r="AM6" s="85" t="s">
        <v>56</v>
      </c>
      <c r="AN6" s="86" t="s">
        <v>57</v>
      </c>
      <c r="AO6" s="64" t="s">
        <v>56</v>
      </c>
      <c r="AP6" s="87" t="s">
        <v>57</v>
      </c>
      <c r="AQ6" s="88" t="s">
        <v>56</v>
      </c>
      <c r="AR6" s="86" t="s">
        <v>57</v>
      </c>
      <c r="AS6" s="85" t="s">
        <v>56</v>
      </c>
      <c r="AT6" s="89" t="s">
        <v>57</v>
      </c>
      <c r="AU6" s="88" t="s">
        <v>56</v>
      </c>
      <c r="AV6" s="86" t="s">
        <v>57</v>
      </c>
      <c r="AW6" s="85" t="s">
        <v>56</v>
      </c>
      <c r="AX6" s="89" t="s">
        <v>57</v>
      </c>
      <c r="AY6" s="88" t="s">
        <v>56</v>
      </c>
      <c r="AZ6" s="89" t="s">
        <v>57</v>
      </c>
      <c r="BA6" s="85" t="s">
        <v>56</v>
      </c>
      <c r="BB6" s="89" t="s">
        <v>57</v>
      </c>
      <c r="BC6" s="90"/>
      <c r="BD6" s="64" t="s">
        <v>58</v>
      </c>
      <c r="BE6" s="64" t="s">
        <v>59</v>
      </c>
      <c r="BF6" s="64" t="s">
        <v>60</v>
      </c>
      <c r="BG6" s="91" t="s">
        <v>61</v>
      </c>
    </row>
    <row r="7" spans="1:59" ht="12" customHeight="1">
      <c r="A7" s="389"/>
      <c r="B7" s="389"/>
      <c r="C7" s="389"/>
      <c r="D7" s="389"/>
      <c r="E7" s="389"/>
      <c r="F7" s="389"/>
      <c r="G7" s="389"/>
      <c r="H7" s="389"/>
      <c r="I7" s="389"/>
      <c r="J7" s="390" t="s">
        <v>615</v>
      </c>
      <c r="K7" s="389"/>
      <c r="L7" s="389"/>
      <c r="M7" s="389"/>
      <c r="N7" s="389"/>
      <c r="O7" s="389"/>
      <c r="P7" s="389"/>
      <c r="Q7" s="389"/>
      <c r="R7" s="389"/>
      <c r="S7" s="389"/>
      <c r="T7" s="391"/>
      <c r="U7" s="391"/>
      <c r="V7" s="391"/>
      <c r="W7" s="391"/>
      <c r="X7" s="391"/>
      <c r="Y7" s="391"/>
      <c r="Z7" s="391"/>
      <c r="AA7" s="95"/>
      <c r="AB7" s="96"/>
      <c r="AC7" s="96"/>
      <c r="AD7" s="96"/>
      <c r="AE7" s="96"/>
      <c r="AF7" s="96"/>
      <c r="AG7" s="96"/>
      <c r="AH7" s="97"/>
      <c r="AI7" s="95"/>
      <c r="AJ7" s="96"/>
      <c r="AK7" s="95"/>
      <c r="AL7" s="96"/>
      <c r="AM7" s="95"/>
      <c r="AN7" s="96"/>
      <c r="AO7" s="95"/>
      <c r="AP7" s="98"/>
      <c r="AQ7" s="96"/>
      <c r="AR7" s="96"/>
      <c r="AS7" s="95"/>
      <c r="AT7" s="98"/>
      <c r="AU7" s="96"/>
      <c r="AV7" s="96"/>
      <c r="AW7" s="95"/>
      <c r="AX7" s="98"/>
      <c r="AY7" s="96"/>
      <c r="AZ7" s="96"/>
      <c r="BA7" s="95"/>
      <c r="BB7" s="98"/>
      <c r="BC7" s="99"/>
      <c r="BD7" s="95"/>
      <c r="BE7" s="100"/>
      <c r="BF7" s="100"/>
      <c r="BG7" s="98"/>
    </row>
    <row r="8" spans="1:59" ht="12" customHeight="1">
      <c r="A8" s="254">
        <f t="array" ref="A8">_xll.AC(DB,_xll.ArrayDPT($AA8:$AG8),_xll.ArrayCOA($AI8:$BB8),YR-1,PRD,_xll.ArrayDIM($BD8:$BG8))</f>
        <v>705107.55</v>
      </c>
      <c r="B8" s="254">
        <f t="shared" ref="B8:B12" si="0">IF(A8=0,0,(A8*100/A$14))</f>
        <v>87.076281822066804</v>
      </c>
      <c r="C8" s="237">
        <f t="shared" ref="C8:C12" si="1">+E8-G8</f>
        <v>-354502.93</v>
      </c>
      <c r="D8" s="237">
        <f t="shared" ref="D8:D12" si="2">IF(C8=0,0,(C8*100/C$14))</f>
        <v>69.074909883318156</v>
      </c>
      <c r="E8" s="254">
        <f t="array" ref="E8">_xll.BC(DB,_xll.ArrayDPT($AA8:$AG8),_xll.ArrayCOA($AI8:$BB8),YR,PRD,RV,_xll.ArrayDIM($BD8:$BG8))</f>
        <v>0</v>
      </c>
      <c r="F8" s="237">
        <f t="shared" ref="F8:F12" si="3">IF(E8=0,0,(E8*100/E$14))</f>
        <v>0</v>
      </c>
      <c r="G8" s="254">
        <f t="array" ref="G8">_xll.AC(DB,_xll.ArrayDPT($AA8:$AG8),_xll.ArrayCOA($AI8:$BB8),YR,PRD,_xll.ArrayDIM($BD8:$BG8))</f>
        <v>354502.93</v>
      </c>
      <c r="H8" s="237">
        <f t="shared" ref="H8:H12" si="4">IF(G8=0,0,(G8*100/G$14))</f>
        <v>69.074909883318156</v>
      </c>
      <c r="I8" s="237"/>
      <c r="J8" s="328" t="s">
        <v>742</v>
      </c>
      <c r="K8" s="237"/>
      <c r="L8" s="254">
        <f t="array" ref="L8">_xll.ACC(DB,_xll.ArrayDPT($AA8:$AG8),_xll.ArrayCOA($AI8:$BB8),YR,PRD,_xll.ArrayDIM($BD8:$BG8))</f>
        <v>354502.93</v>
      </c>
      <c r="M8" s="237">
        <f t="shared" ref="M8:M12" si="5">IF(L8=0,0,(L8*100/L$14))</f>
        <v>17.040634930444067</v>
      </c>
      <c r="N8" s="254">
        <f t="array" ref="N8">_xll.BCC(DB,_xll.ArrayDPT($AA8:$AG8),_xll.ArrayCOA($AI8:$BB8),YR,PRD,RV,_xll.ArrayDIM($BD8:$BG8))</f>
        <v>0</v>
      </c>
      <c r="O8" s="237">
        <f t="shared" ref="O8:O12" si="6">IF(N8=0,0,(N8*100/N$14))</f>
        <v>0</v>
      </c>
      <c r="P8" s="237">
        <f t="shared" ref="P8:P12" si="7">+N8-L8</f>
        <v>-354502.93</v>
      </c>
      <c r="Q8" s="237">
        <f t="shared" ref="Q8:Q12" si="8">IF(P8=0,0,(P8*100/P$14))</f>
        <v>17.040634930444067</v>
      </c>
      <c r="R8" s="254">
        <f t="array" ref="R8">_xll.ACC(DB,_xll.ArrayDPT($AA8:$AG8),_xll.ArrayCOA($AI8:$BB8),YR-1,PRD,_xll.ArrayDIM($BD8:$BG8))</f>
        <v>705107.55</v>
      </c>
      <c r="S8" s="237">
        <f t="shared" ref="S8:S12" si="9">IF(R8=0,0,(R8*100/R$14))</f>
        <v>30.315015512600443</v>
      </c>
      <c r="T8" s="295"/>
      <c r="U8" s="295"/>
      <c r="V8" s="295"/>
      <c r="W8" s="295"/>
      <c r="X8" s="295"/>
      <c r="Y8" s="295"/>
      <c r="Z8" s="295"/>
      <c r="AA8" s="95" t="s">
        <v>743</v>
      </c>
      <c r="AB8" s="96" t="s">
        <v>744</v>
      </c>
      <c r="AC8" s="96" t="s">
        <v>745</v>
      </c>
      <c r="AD8" s="96" t="s">
        <v>746</v>
      </c>
      <c r="AE8" s="96" t="s">
        <v>747</v>
      </c>
      <c r="AF8" s="96"/>
      <c r="AG8" s="96"/>
      <c r="AH8" s="97"/>
      <c r="AI8" s="95" t="s">
        <v>748</v>
      </c>
      <c r="AJ8" s="96" t="s">
        <v>748</v>
      </c>
      <c r="AK8" s="95"/>
      <c r="AL8" s="96"/>
      <c r="AM8" s="95"/>
      <c r="AN8" s="96"/>
      <c r="AO8" s="95"/>
      <c r="AP8" s="98"/>
      <c r="AQ8" s="96"/>
      <c r="AR8" s="96"/>
      <c r="AS8" s="95"/>
      <c r="AT8" s="98"/>
      <c r="AU8" s="96"/>
      <c r="AV8" s="96"/>
      <c r="AW8" s="95"/>
      <c r="AX8" s="98"/>
      <c r="AY8" s="96"/>
      <c r="AZ8" s="96"/>
      <c r="BA8" s="95"/>
      <c r="BB8" s="98"/>
      <c r="BC8" s="99"/>
      <c r="BD8" s="95"/>
      <c r="BE8" s="96"/>
      <c r="BF8" s="96"/>
      <c r="BG8" s="98"/>
    </row>
    <row r="9" spans="1:59" ht="12" customHeight="1">
      <c r="A9" s="254">
        <f t="array" ref="A9">_xll.AC(DB,_xll.ArrayDPT($AA9:$AG9),_xll.ArrayCOA($AI9:$BB9),YR-1,PRD,_xll.ArrayDIM($BD9:$BG9))</f>
        <v>2469.0500000000002</v>
      </c>
      <c r="B9" s="237">
        <f t="shared" si="0"/>
        <v>0.30491191539896867</v>
      </c>
      <c r="C9" s="237">
        <f t="shared" si="1"/>
        <v>-12218.98</v>
      </c>
      <c r="D9" s="237">
        <f t="shared" si="2"/>
        <v>2.3808687346140323</v>
      </c>
      <c r="E9" s="254">
        <f t="array" ref="E9">_xll.BC(DB,_xll.ArrayDPT($AA9:$AG9),_xll.ArrayCOA($AI9:$BB9),YR,PRD,RV,_xll.ArrayDIM($BD9:$BG9))</f>
        <v>0</v>
      </c>
      <c r="F9" s="237">
        <f t="shared" si="3"/>
        <v>0</v>
      </c>
      <c r="G9" s="254">
        <f>_xll.AC(DB,_xll.ArrayDPT($AA9:$AG9),_xll.ArrayCOA($AI9:$BB9),YR,PRD,_xll.ArrayDIM($BD9:$BG9))</f>
        <v>12218.98</v>
      </c>
      <c r="H9" s="237">
        <f t="shared" si="4"/>
        <v>2.3808687346140323</v>
      </c>
      <c r="I9" s="237"/>
      <c r="J9" s="328" t="s">
        <v>749</v>
      </c>
      <c r="K9" s="237"/>
      <c r="L9" s="254">
        <f>_xll.ACC(DB,_xll.ArrayDPT($AA9:$AG9),_xll.ArrayCOA($AI9:$BB9),YR,PRD,_xll.ArrayDIM($BD9:$BG9))</f>
        <v>1579342.53</v>
      </c>
      <c r="M9" s="237">
        <f t="shared" si="5"/>
        <v>75.917565713360702</v>
      </c>
      <c r="N9" s="254">
        <f t="array" ref="N9">_xll.BCC(DB,_xll.ArrayDPT($AA9:$AG9),_xll.ArrayCOA($AI9:$BB9),YR,PRD,RV,_xll.ArrayDIM($BD9:$BG9))</f>
        <v>0</v>
      </c>
      <c r="O9" s="237">
        <f t="shared" si="6"/>
        <v>0</v>
      </c>
      <c r="P9" s="237">
        <f t="shared" si="7"/>
        <v>-1579342.53</v>
      </c>
      <c r="Q9" s="237">
        <f t="shared" si="8"/>
        <v>75.917565713360702</v>
      </c>
      <c r="R9" s="254">
        <f t="array" ref="R9">_xll.ACC(DB,_xll.ArrayDPT($AA9:$AG9),_xll.ArrayCOA($AI9:$BB9),YR-1,PRD,_xll.ArrayDIM($BD9:$BG9))</f>
        <v>1518645.58</v>
      </c>
      <c r="S9" s="237">
        <f t="shared" si="9"/>
        <v>65.291832878320619</v>
      </c>
      <c r="T9" s="295"/>
      <c r="U9" s="295"/>
      <c r="V9" s="295"/>
      <c r="W9" s="295"/>
      <c r="X9" s="295"/>
      <c r="Y9" s="295"/>
      <c r="Z9" s="295"/>
      <c r="AA9" s="95" t="s">
        <v>743</v>
      </c>
      <c r="AB9" s="96" t="s">
        <v>744</v>
      </c>
      <c r="AC9" s="96" t="s">
        <v>745</v>
      </c>
      <c r="AD9" s="96" t="s">
        <v>746</v>
      </c>
      <c r="AE9" s="96"/>
      <c r="AF9" s="96"/>
      <c r="AG9" s="96"/>
      <c r="AH9" s="97"/>
      <c r="AI9" s="95" t="s">
        <v>750</v>
      </c>
      <c r="AJ9" s="96" t="s">
        <v>750</v>
      </c>
      <c r="AK9" s="95"/>
      <c r="AL9" s="96"/>
      <c r="AM9" s="95"/>
      <c r="AN9" s="96"/>
      <c r="AO9" s="95"/>
      <c r="AP9" s="98"/>
      <c r="AQ9" s="96"/>
      <c r="AR9" s="96"/>
      <c r="AS9" s="95"/>
      <c r="AT9" s="98"/>
      <c r="AU9" s="96"/>
      <c r="AV9" s="96"/>
      <c r="AW9" s="95"/>
      <c r="AX9" s="98"/>
      <c r="AY9" s="96"/>
      <c r="AZ9" s="96"/>
      <c r="BA9" s="95"/>
      <c r="BB9" s="98"/>
      <c r="BC9" s="99"/>
      <c r="BD9" s="95"/>
      <c r="BE9" s="96"/>
      <c r="BF9" s="96"/>
      <c r="BG9" s="98"/>
    </row>
    <row r="10" spans="1:59" ht="12" customHeight="1">
      <c r="A10" s="254">
        <f t="array" ref="A10">_xll.AC(DB,_xll.ArrayDPT($AA10:$AG10),_xll.ArrayCOA($AI10:$BB10),YR-1,PRD,_xll.ArrayDIM($BD10:$BG10))</f>
        <v>0</v>
      </c>
      <c r="B10" s="237">
        <f t="shared" si="0"/>
        <v>0</v>
      </c>
      <c r="C10" s="237">
        <f t="shared" si="1"/>
        <v>0</v>
      </c>
      <c r="D10" s="237">
        <f t="shared" si="2"/>
        <v>0</v>
      </c>
      <c r="E10" s="254">
        <f t="array" ref="E10">_xll.BC(DB,_xll.ArrayDPT($AA10:$AG10),_xll.ArrayCOA($AI10:$BB10),YR,PRD,RV,_xll.ArrayDIM($BD10:$BG10))</f>
        <v>0</v>
      </c>
      <c r="F10" s="237">
        <f t="shared" si="3"/>
        <v>0</v>
      </c>
      <c r="G10" s="254">
        <f t="array" ref="G10">_xll.AC(DB,_xll.ArrayDPT($AA10:$AG10),_xll.ArrayCOA($AI10:$BB10),YR,PRD,_xll.ArrayDIM($BD10:$BG10))</f>
        <v>0</v>
      </c>
      <c r="H10" s="237">
        <f t="shared" si="4"/>
        <v>0</v>
      </c>
      <c r="I10" s="237"/>
      <c r="J10" s="328" t="s">
        <v>751</v>
      </c>
      <c r="K10" s="237"/>
      <c r="L10" s="254">
        <f t="array" ref="L10">_xll.ACC(DB,_xll.ArrayDPT($AA10:$AG10),_xll.ArrayCOA($AI10:$BB10),YR,PRD,_xll.ArrayDIM($BD10:$BG10))</f>
        <v>0</v>
      </c>
      <c r="M10" s="237">
        <f t="shared" si="5"/>
        <v>0</v>
      </c>
      <c r="N10" s="254">
        <f t="array" ref="N10">_xll.BCC(DB,_xll.ArrayDPT($AA10:$AG10),_xll.ArrayCOA($AI10:$BB10),YR,PRD,RV,_xll.ArrayDIM($BD10:$BG10))</f>
        <v>0</v>
      </c>
      <c r="O10" s="237">
        <f t="shared" si="6"/>
        <v>0</v>
      </c>
      <c r="P10" s="237">
        <f t="shared" si="7"/>
        <v>0</v>
      </c>
      <c r="Q10" s="237">
        <f t="shared" si="8"/>
        <v>0</v>
      </c>
      <c r="R10" s="254">
        <f t="array" ref="R10">_xll.ACC(DB,_xll.ArrayDPT($AA10:$AG10),_xll.ArrayCOA($AI10:$BB10),YR-1,PRD,_xll.ArrayDIM($BD10:$BG10))</f>
        <v>0</v>
      </c>
      <c r="S10" s="237">
        <f t="shared" si="9"/>
        <v>0</v>
      </c>
      <c r="T10" s="295"/>
      <c r="U10" s="295"/>
      <c r="V10" s="295"/>
      <c r="W10" s="295"/>
      <c r="X10" s="295"/>
      <c r="Y10" s="295"/>
      <c r="Z10" s="295"/>
      <c r="AA10" s="95" t="s">
        <v>743</v>
      </c>
      <c r="AB10" s="96" t="s">
        <v>744</v>
      </c>
      <c r="AC10" s="96" t="s">
        <v>745</v>
      </c>
      <c r="AD10" s="96" t="s">
        <v>746</v>
      </c>
      <c r="AE10" s="96"/>
      <c r="AF10" s="96"/>
      <c r="AG10" s="96"/>
      <c r="AH10" s="97"/>
      <c r="AI10" s="95" t="s">
        <v>752</v>
      </c>
      <c r="AJ10" s="96" t="s">
        <v>752</v>
      </c>
      <c r="AK10" s="95"/>
      <c r="AL10" s="96"/>
      <c r="AM10" s="95"/>
      <c r="AN10" s="96"/>
      <c r="AO10" s="95"/>
      <c r="AP10" s="98"/>
      <c r="AQ10" s="96"/>
      <c r="AR10" s="96"/>
      <c r="AS10" s="95"/>
      <c r="AT10" s="98"/>
      <c r="AU10" s="96"/>
      <c r="AV10" s="96"/>
      <c r="AW10" s="95"/>
      <c r="AX10" s="98"/>
      <c r="AY10" s="96"/>
      <c r="AZ10" s="96"/>
      <c r="BA10" s="95"/>
      <c r="BB10" s="98"/>
      <c r="BC10" s="99"/>
      <c r="BD10" s="95"/>
      <c r="BE10" s="96"/>
      <c r="BF10" s="96"/>
      <c r="BG10" s="98"/>
    </row>
    <row r="11" spans="1:59" ht="12" customHeight="1">
      <c r="A11" s="254">
        <f t="array" ref="A11">_xll.AC(DB,_xll.ArrayDPT($AA11:$AG11),_xll.ArrayCOA($AI11:$BB11),YR-1,PRD,_xll.ArrayDIM($BD11:$BG11))</f>
        <v>50</v>
      </c>
      <c r="B11" s="237">
        <f t="shared" si="0"/>
        <v>6.1746808569888957E-3</v>
      </c>
      <c r="C11" s="237">
        <f t="shared" si="1"/>
        <v>0</v>
      </c>
      <c r="D11" s="237">
        <f t="shared" si="2"/>
        <v>0</v>
      </c>
      <c r="E11" s="254">
        <f t="array" ref="E11">_xll.BC(DB,_xll.ArrayDPT($AA11:$AG11),_xll.ArrayCOA($AI11:$BB11),YR,PRD,RV,_xll.ArrayDIM($BD11:$BG11))</f>
        <v>0</v>
      </c>
      <c r="F11" s="237">
        <f t="shared" si="3"/>
        <v>0</v>
      </c>
      <c r="G11" s="254">
        <f t="array" ref="G11">_xll.AC(DB,_xll.ArrayDPT($AA11:$AG11),_xll.ArrayCOA($AI11:$BB11),YR,PRD,_xll.ArrayDIM($BD11:$BG11))</f>
        <v>0</v>
      </c>
      <c r="H11" s="237">
        <f t="shared" si="4"/>
        <v>0</v>
      </c>
      <c r="I11" s="237"/>
      <c r="J11" s="328" t="s">
        <v>753</v>
      </c>
      <c r="K11" s="237"/>
      <c r="L11" s="254">
        <f t="array" ref="L11">_xll.ACC(DB,_xll.ArrayDPT($AA11:$AG11),_xll.ArrayCOA($AI11:$BB11),YR,PRD,_xll.ArrayDIM($BD11:$BG11))</f>
        <v>0</v>
      </c>
      <c r="M11" s="237">
        <f t="shared" si="5"/>
        <v>0</v>
      </c>
      <c r="N11" s="254">
        <f t="array" ref="N11">_xll.BCC(DB,_xll.ArrayDPT($AA11:$AG11),_xll.ArrayCOA($AI11:$BB11),YR,PRD,RV,_xll.ArrayDIM($BD11:$BG11))</f>
        <v>0</v>
      </c>
      <c r="O11" s="237">
        <f t="shared" si="6"/>
        <v>0</v>
      </c>
      <c r="P11" s="237">
        <f t="shared" si="7"/>
        <v>0</v>
      </c>
      <c r="Q11" s="237">
        <f t="shared" si="8"/>
        <v>0</v>
      </c>
      <c r="R11" s="254">
        <f t="array" ref="R11">_xll.ACC(DB,_xll.ArrayDPT($AA11:$AG11),_xll.ArrayCOA($AI11:$BB11),YR-1,PRD,_xll.ArrayDIM($BD11:$BG11))</f>
        <v>50</v>
      </c>
      <c r="S11" s="237">
        <f t="shared" si="9"/>
        <v>2.1496731606831074E-3</v>
      </c>
      <c r="T11" s="295"/>
      <c r="U11" s="295"/>
      <c r="V11" s="295"/>
      <c r="W11" s="295"/>
      <c r="X11" s="295"/>
      <c r="Y11" s="295"/>
      <c r="Z11" s="295"/>
      <c r="AA11" s="95" t="s">
        <v>743</v>
      </c>
      <c r="AB11" s="96" t="s">
        <v>744</v>
      </c>
      <c r="AC11" s="96" t="s">
        <v>745</v>
      </c>
      <c r="AD11" s="96" t="s">
        <v>746</v>
      </c>
      <c r="AE11" s="96"/>
      <c r="AF11" s="96"/>
      <c r="AG11" s="96"/>
      <c r="AH11" s="97"/>
      <c r="AI11" s="95" t="s">
        <v>754</v>
      </c>
      <c r="AJ11" s="96" t="s">
        <v>754</v>
      </c>
      <c r="AK11" s="95"/>
      <c r="AL11" s="96"/>
      <c r="AM11" s="95"/>
      <c r="AN11" s="96"/>
      <c r="AO11" s="95"/>
      <c r="AP11" s="98"/>
      <c r="AQ11" s="96"/>
      <c r="AR11" s="96"/>
      <c r="AS11" s="95"/>
      <c r="AT11" s="98"/>
      <c r="AU11" s="96"/>
      <c r="AV11" s="96"/>
      <c r="AW11" s="95"/>
      <c r="AX11" s="98"/>
      <c r="AY11" s="96"/>
      <c r="AZ11" s="96"/>
      <c r="BA11" s="95"/>
      <c r="BB11" s="98"/>
      <c r="BC11" s="99"/>
      <c r="BD11" s="95"/>
      <c r="BE11" s="96"/>
      <c r="BF11" s="96"/>
      <c r="BG11" s="98"/>
    </row>
    <row r="12" spans="1:59" ht="12" customHeight="1">
      <c r="A12" s="254">
        <f t="array" ref="A12">_xll.AC(DB,_xll.ArrayDPT($AA12:$AG12),_xll.ArrayCOA($AI12:$BB12),YR-1,PRD,_xll.ArrayDIM($BD12:$BG12))</f>
        <v>102131.85</v>
      </c>
      <c r="B12" s="237">
        <f t="shared" si="0"/>
        <v>12.612631581677226</v>
      </c>
      <c r="C12" s="237">
        <f t="shared" si="1"/>
        <v>-146493.28</v>
      </c>
      <c r="D12" s="237">
        <f t="shared" si="2"/>
        <v>28.544221382067825</v>
      </c>
      <c r="E12" s="254">
        <f t="array" ref="E12">_xll.BC(DB,_xll.ArrayDPT($AA12:$AG12),_xll.ArrayCOA($AI12:$BB12),YR,PRD,RV,_xll.ArrayDIM($BD12:$BG12))</f>
        <v>0</v>
      </c>
      <c r="F12" s="237">
        <f t="shared" si="3"/>
        <v>0</v>
      </c>
      <c r="G12" s="254">
        <f t="array" ref="G12">_xll.AC(DB,_xll.ArrayDPT($AA12:$AG12),_xll.ArrayCOA($AI12:$BB12),YR,PRD,_xll.ArrayDIM($BD12:$BG12))</f>
        <v>146493.28</v>
      </c>
      <c r="H12" s="237">
        <f t="shared" si="4"/>
        <v>28.544221382067825</v>
      </c>
      <c r="I12" s="237"/>
      <c r="J12" s="328" t="s">
        <v>755</v>
      </c>
      <c r="K12" s="237"/>
      <c r="L12" s="254">
        <f t="array" ref="L12">_xll.ACC(DB,_xll.ArrayDPT($AA12:$AG12),_xll.ArrayCOA($AI12:$BB12),YR,PRD,_xll.ArrayDIM($BD12:$BG12))</f>
        <v>146493.28</v>
      </c>
      <c r="M12" s="237">
        <f t="shared" si="5"/>
        <v>7.0417993561952317</v>
      </c>
      <c r="N12" s="254">
        <f t="array" ref="N12">_xll.BCC(DB,_xll.ArrayDPT($AA12:$AG12),_xll.ArrayCOA($AI12:$BB12),YR,PRD,RV,_xll.ArrayDIM($BD12:$BG12))</f>
        <v>0</v>
      </c>
      <c r="O12" s="237">
        <f t="shared" si="6"/>
        <v>0</v>
      </c>
      <c r="P12" s="237">
        <f t="shared" si="7"/>
        <v>-146493.28</v>
      </c>
      <c r="Q12" s="237">
        <f t="shared" si="8"/>
        <v>7.0417993561952317</v>
      </c>
      <c r="R12" s="254">
        <f t="array" ref="R12">_xll.ACC(DB,_xll.ArrayDPT($AA12:$AG12),_xll.ArrayCOA($AI12:$BB12),YR-1,PRD,_xll.ArrayDIM($BD12:$BG12))</f>
        <v>102131.85</v>
      </c>
      <c r="S12" s="237">
        <f t="shared" si="9"/>
        <v>4.3910019359182604</v>
      </c>
      <c r="T12" s="295"/>
      <c r="U12" s="295"/>
      <c r="V12" s="295"/>
      <c r="W12" s="295"/>
      <c r="X12" s="295"/>
      <c r="Y12" s="295"/>
      <c r="Z12" s="295"/>
      <c r="AA12" s="95" t="s">
        <v>743</v>
      </c>
      <c r="AB12" s="96" t="s">
        <v>744</v>
      </c>
      <c r="AC12" s="96" t="s">
        <v>745</v>
      </c>
      <c r="AD12" s="96" t="s">
        <v>746</v>
      </c>
      <c r="AE12" s="96" t="s">
        <v>756</v>
      </c>
      <c r="AF12" s="96"/>
      <c r="AG12" s="96"/>
      <c r="AH12" s="97"/>
      <c r="AI12" s="95" t="s">
        <v>757</v>
      </c>
      <c r="AJ12" s="96" t="s">
        <v>757</v>
      </c>
      <c r="AK12" s="95" t="s">
        <v>758</v>
      </c>
      <c r="AL12" s="96" t="s">
        <v>758</v>
      </c>
      <c r="AM12" s="95" t="s">
        <v>759</v>
      </c>
      <c r="AN12" s="96" t="s">
        <v>759</v>
      </c>
      <c r="AO12" s="95"/>
      <c r="AP12" s="98"/>
      <c r="AQ12" s="96"/>
      <c r="AR12" s="96"/>
      <c r="AS12" s="95"/>
      <c r="AT12" s="98"/>
      <c r="AU12" s="96"/>
      <c r="AV12" s="96"/>
      <c r="AW12" s="95"/>
      <c r="AX12" s="98"/>
      <c r="AY12" s="96"/>
      <c r="AZ12" s="96"/>
      <c r="BA12" s="95"/>
      <c r="BB12" s="98"/>
      <c r="BC12" s="99"/>
      <c r="BD12" s="95"/>
      <c r="BE12" s="96"/>
      <c r="BF12" s="96"/>
      <c r="BG12" s="98"/>
    </row>
    <row r="13" spans="1:59" ht="6" customHeight="1">
      <c r="A13" s="330"/>
      <c r="B13" s="329"/>
      <c r="C13" s="392"/>
      <c r="D13" s="329"/>
      <c r="E13" s="392"/>
      <c r="F13" s="329"/>
      <c r="G13" s="392"/>
      <c r="H13" s="329"/>
      <c r="I13" s="331"/>
      <c r="J13" s="392"/>
      <c r="K13" s="393"/>
      <c r="L13" s="333"/>
      <c r="M13" s="333"/>
      <c r="N13" s="393"/>
      <c r="O13" s="333"/>
      <c r="P13" s="393"/>
      <c r="Q13" s="333"/>
      <c r="R13" s="393"/>
      <c r="S13" s="341"/>
      <c r="T13" s="328"/>
      <c r="U13" s="328"/>
      <c r="V13" s="328"/>
      <c r="W13" s="328"/>
      <c r="X13" s="328"/>
      <c r="Y13" s="328"/>
      <c r="Z13" s="328"/>
      <c r="AA13" s="95"/>
      <c r="AB13" s="96"/>
      <c r="AC13" s="96"/>
      <c r="AD13" s="96"/>
      <c r="AE13" s="96"/>
      <c r="AF13" s="96"/>
      <c r="AG13" s="96"/>
      <c r="AH13" s="97"/>
      <c r="AI13" s="95"/>
      <c r="AJ13" s="96"/>
      <c r="AK13" s="95"/>
      <c r="AL13" s="96"/>
      <c r="AM13" s="95"/>
      <c r="AN13" s="96"/>
      <c r="AO13" s="95"/>
      <c r="AP13" s="98"/>
      <c r="AQ13" s="96"/>
      <c r="AR13" s="96"/>
      <c r="AS13" s="95"/>
      <c r="AT13" s="98"/>
      <c r="AU13" s="96"/>
      <c r="AV13" s="96"/>
      <c r="AW13" s="95"/>
      <c r="AX13" s="98"/>
      <c r="AY13" s="96"/>
      <c r="AZ13" s="96"/>
      <c r="BA13" s="95"/>
      <c r="BB13" s="98"/>
      <c r="BC13" s="99"/>
      <c r="BD13" s="95"/>
      <c r="BE13" s="96"/>
      <c r="BF13" s="96"/>
      <c r="BG13" s="98"/>
    </row>
    <row r="14" spans="1:59" ht="12" customHeight="1">
      <c r="A14" s="394">
        <f>SUM(A8:A12)</f>
        <v>809758.45000000007</v>
      </c>
      <c r="B14" s="338">
        <f>IF(A14=0,0,(A14*100/A$14))</f>
        <v>99.999999999999986</v>
      </c>
      <c r="C14" s="395">
        <f>SUM(C8:C12)</f>
        <v>-513215.18999999994</v>
      </c>
      <c r="D14" s="338">
        <f>IF(C14=0,0,(C14*100/C$14))</f>
        <v>100</v>
      </c>
      <c r="E14" s="395">
        <f>SUM(E8:E12)</f>
        <v>0</v>
      </c>
      <c r="F14" s="338">
        <f>IF(E14=0,0,(E14*100/E$14))</f>
        <v>0</v>
      </c>
      <c r="G14" s="395">
        <f>SUM(G8:G12)</f>
        <v>513215.18999999994</v>
      </c>
      <c r="H14" s="338">
        <f>IF(G14=0,0,(G14*100/G$14))</f>
        <v>100</v>
      </c>
      <c r="I14" s="395"/>
      <c r="J14" s="396" t="s">
        <v>538</v>
      </c>
      <c r="K14" s="395"/>
      <c r="L14" s="338">
        <f>SUM(L8:L12)</f>
        <v>2080338.74</v>
      </c>
      <c r="M14" s="338">
        <f>IF(L14=0,0,(L14*100/L$14))</f>
        <v>100</v>
      </c>
      <c r="N14" s="395">
        <f>SUM(N8:N12)</f>
        <v>0</v>
      </c>
      <c r="O14" s="338">
        <f>IF(N14=0,0,(N14*100/N$14))</f>
        <v>0</v>
      </c>
      <c r="P14" s="395">
        <f>SUM(P8:P12)</f>
        <v>-2080338.74</v>
      </c>
      <c r="Q14" s="338">
        <f>IF(P14=0,0,(P14*100/P$14))</f>
        <v>100</v>
      </c>
      <c r="R14" s="395">
        <f>SUM(R8:R12)</f>
        <v>2325934.98</v>
      </c>
      <c r="S14" s="338">
        <f>IF(R14=0,0,(R14*100/R$14))</f>
        <v>100</v>
      </c>
      <c r="T14" s="397"/>
      <c r="U14" s="397"/>
      <c r="V14" s="397"/>
      <c r="W14" s="397"/>
      <c r="X14" s="397"/>
      <c r="Y14" s="397"/>
      <c r="Z14" s="397"/>
      <c r="AA14" s="95"/>
      <c r="AB14" s="96"/>
      <c r="AC14" s="96"/>
      <c r="AD14" s="96"/>
      <c r="AE14" s="96"/>
      <c r="AF14" s="96"/>
      <c r="AG14" s="96"/>
      <c r="AH14" s="97"/>
      <c r="AI14" s="95"/>
      <c r="AJ14" s="96"/>
      <c r="AK14" s="95"/>
      <c r="AL14" s="96"/>
      <c r="AM14" s="95"/>
      <c r="AN14" s="96"/>
      <c r="AO14" s="95"/>
      <c r="AP14" s="98"/>
      <c r="AQ14" s="96"/>
      <c r="AR14" s="96"/>
      <c r="AS14" s="95"/>
      <c r="AT14" s="98"/>
      <c r="AU14" s="96"/>
      <c r="AV14" s="96"/>
      <c r="AW14" s="95"/>
      <c r="AX14" s="98"/>
      <c r="AY14" s="96"/>
      <c r="AZ14" s="96"/>
      <c r="BA14" s="95"/>
      <c r="BB14" s="98"/>
      <c r="BC14" s="99"/>
      <c r="BD14" s="95"/>
      <c r="BE14" s="96"/>
      <c r="BF14" s="96"/>
      <c r="BG14" s="98"/>
    </row>
    <row r="15" spans="1:59" ht="12" customHeight="1">
      <c r="A15" s="262"/>
      <c r="B15" s="237"/>
      <c r="C15" s="262"/>
      <c r="D15" s="262"/>
      <c r="E15" s="262"/>
      <c r="F15" s="262"/>
      <c r="G15" s="262"/>
      <c r="H15" s="262"/>
      <c r="I15" s="262"/>
      <c r="J15" s="340" t="s">
        <v>760</v>
      </c>
      <c r="K15" s="262"/>
      <c r="L15" s="262"/>
      <c r="M15" s="237"/>
      <c r="N15" s="262"/>
      <c r="O15" s="262"/>
      <c r="P15" s="262"/>
      <c r="Q15" s="262"/>
      <c r="R15" s="262"/>
      <c r="S15" s="262"/>
      <c r="T15" s="397"/>
      <c r="U15" s="397"/>
      <c r="V15" s="397"/>
      <c r="W15" s="397"/>
      <c r="X15" s="397"/>
      <c r="Y15" s="397"/>
      <c r="Z15" s="397"/>
      <c r="AA15" s="95"/>
      <c r="AB15" s="96"/>
      <c r="AC15" s="96"/>
      <c r="AD15" s="96"/>
      <c r="AE15" s="96"/>
      <c r="AF15" s="96"/>
      <c r="AG15" s="96"/>
      <c r="AH15" s="97"/>
      <c r="AI15" s="95"/>
      <c r="AJ15" s="96"/>
      <c r="AK15" s="95"/>
      <c r="AL15" s="96"/>
      <c r="AM15" s="95"/>
      <c r="AN15" s="96"/>
      <c r="AO15" s="95"/>
      <c r="AP15" s="98"/>
      <c r="AQ15" s="96"/>
      <c r="AR15" s="96"/>
      <c r="AS15" s="95"/>
      <c r="AT15" s="98"/>
      <c r="AU15" s="96"/>
      <c r="AV15" s="96"/>
      <c r="AW15" s="95"/>
      <c r="AX15" s="98"/>
      <c r="AY15" s="96"/>
      <c r="AZ15" s="96"/>
      <c r="BA15" s="95"/>
      <c r="BB15" s="98"/>
      <c r="BC15" s="99"/>
      <c r="BD15" s="95"/>
      <c r="BE15" s="96"/>
      <c r="BF15" s="96"/>
      <c r="BG15" s="98"/>
    </row>
    <row r="16" spans="1:59" ht="12" customHeight="1">
      <c r="A16" s="254">
        <f t="array" ref="A16">_xll.AC(DB,_xll.ArrayDPT($AA16:$AG16),_xll.ArrayCOA($AI16:$BB16),YR-1,PRD,_xll.ArrayDIM($BD16:$BG16))</f>
        <v>182286.17</v>
      </c>
      <c r="B16" s="237">
        <f t="shared" ref="B16:B21" si="10">IF(A16=0,0,(A16*100/A$14))</f>
        <v>22.511178487856469</v>
      </c>
      <c r="C16" s="237">
        <f t="shared" ref="C16:C21" si="11">+E16-G16</f>
        <v>-80026.7</v>
      </c>
      <c r="D16" s="237">
        <f t="shared" ref="D16:D21" si="12">IF(C16=0,0,(C16*100/C$14))</f>
        <v>15.593205649271606</v>
      </c>
      <c r="E16" s="254">
        <f t="array" ref="E16">_xll.BC(DB,_xll.ArrayDPT($AA16:$AG16),_xll.ArrayCOA($AI16:$BB16),YR,PRD,RV,_xll.ArrayDIM($BD16:$BG16))</f>
        <v>0</v>
      </c>
      <c r="F16" s="237">
        <f t="shared" ref="F16:F21" si="13">IF(E16=0,0,(E16*100/E$14))</f>
        <v>0</v>
      </c>
      <c r="G16" s="254">
        <f>_xll.AC(DB,_xll.ArrayDPT($AA16:$AG16),_xll.ArrayCOA($AI16:$BB16),YR,PRD,_xll.ArrayDIM($BD16:$BG16))</f>
        <v>80026.7</v>
      </c>
      <c r="H16" s="237">
        <f>IF(G16=0,0,(G16*100/G$8))</f>
        <v>22.574340922936802</v>
      </c>
      <c r="I16" s="237"/>
      <c r="J16" s="328" t="s">
        <v>761</v>
      </c>
      <c r="K16" s="237"/>
      <c r="L16" s="254">
        <f t="array" ref="L16">_xll.ACC(DB,_xll.ArrayDPT($AA16:$AG16),_xll.ArrayCOA($AI16:$BB16),YR,PRD,_xll.ArrayDIM($BD16:$BG16))</f>
        <v>80026.7</v>
      </c>
      <c r="M16" s="237">
        <f>IF(L16=0,0,(L16*100/L$8))</f>
        <v>22.574340922936802</v>
      </c>
      <c r="N16" s="254">
        <f t="array" ref="N16">_xll.BCC(DB,_xll.ArrayDPT($AA16:$AG16),_xll.ArrayCOA($AI16:$BB16),YR,PRD,RV,_xll.ArrayDIM($BD16:$BG16))</f>
        <v>0</v>
      </c>
      <c r="O16" s="237">
        <f t="shared" ref="O16:O21" si="14">IF(N16=0,0,(N16*100/N$14))</f>
        <v>0</v>
      </c>
      <c r="P16" s="237">
        <f t="shared" ref="P16:P21" si="15">+N16-L16</f>
        <v>-80026.7</v>
      </c>
      <c r="Q16" s="237">
        <f t="shared" ref="Q16:Q21" si="16">IF(P16=0,0,(P16*100/P$14))</f>
        <v>3.8468110246314984</v>
      </c>
      <c r="R16" s="254">
        <f t="array" ref="R16">_xll.ACC(DB,_xll.ArrayDPT($AA16:$AG16),_xll.ArrayCOA($AI16:$BB16),YR-1,PRD,_xll.ArrayDIM($BD16:$BG16))</f>
        <v>182286.17</v>
      </c>
      <c r="S16" s="237">
        <f t="shared" ref="S16:S21" si="17">IF(R16=0,0,(R16*100/R$14))</f>
        <v>7.8371137442543644</v>
      </c>
      <c r="T16" s="397"/>
      <c r="U16" s="397"/>
      <c r="V16" s="397"/>
      <c r="W16" s="397"/>
      <c r="X16" s="397"/>
      <c r="Y16" s="397"/>
      <c r="Z16" s="397"/>
      <c r="AA16" s="95" t="s">
        <v>756</v>
      </c>
      <c r="AB16" s="96" t="s">
        <v>743</v>
      </c>
      <c r="AC16" s="96" t="s">
        <v>744</v>
      </c>
      <c r="AD16" s="96" t="s">
        <v>745</v>
      </c>
      <c r="AE16" s="96" t="s">
        <v>746</v>
      </c>
      <c r="AF16" s="96" t="s">
        <v>747</v>
      </c>
      <c r="AG16" s="96" t="s">
        <v>762</v>
      </c>
      <c r="AH16" s="97"/>
      <c r="AI16" s="95" t="s">
        <v>763</v>
      </c>
      <c r="AJ16" s="96" t="s">
        <v>763</v>
      </c>
      <c r="AK16" s="95"/>
      <c r="AL16" s="96"/>
      <c r="AM16" s="95"/>
      <c r="AN16" s="96"/>
      <c r="AO16" s="95"/>
      <c r="AP16" s="98"/>
      <c r="AQ16" s="96"/>
      <c r="AR16" s="96"/>
      <c r="AS16" s="95"/>
      <c r="AT16" s="98"/>
      <c r="AU16" s="96"/>
      <c r="AV16" s="96"/>
      <c r="AW16" s="95"/>
      <c r="AX16" s="98"/>
      <c r="AY16" s="96"/>
      <c r="AZ16" s="96"/>
      <c r="BA16" s="95"/>
      <c r="BB16" s="98"/>
      <c r="BC16" s="99"/>
      <c r="BD16" s="95"/>
      <c r="BE16" s="96"/>
      <c r="BF16" s="96"/>
      <c r="BG16" s="98"/>
    </row>
    <row r="17" spans="1:62" ht="12" customHeight="1">
      <c r="A17" s="254">
        <f t="array" ref="A17">_xll.AC(DB,_xll.ArrayDPT($AA17:$AG17),_xll.ArrayCOA($AI17:$BB17),YR-1,PRD,_xll.ArrayDIM($BD17:$BG17))</f>
        <v>81666.509999999995</v>
      </c>
      <c r="B17" s="237">
        <f t="shared" si="10"/>
        <v>10.085292719081842</v>
      </c>
      <c r="C17" s="237">
        <f t="shared" si="11"/>
        <v>-73224.05</v>
      </c>
      <c r="D17" s="237">
        <f t="shared" si="12"/>
        <v>14.267709028643523</v>
      </c>
      <c r="E17" s="254">
        <f t="array" ref="E17">_xll.BC(DB,_xll.ArrayDPT($AA17:$AG17),_xll.ArrayCOA($AI17:$BB17),YR,PRD,RV,_xll.ArrayDIM($BD17:$BG17))</f>
        <v>0</v>
      </c>
      <c r="F17" s="237">
        <f t="shared" si="13"/>
        <v>0</v>
      </c>
      <c r="G17" s="254">
        <f t="array" ref="G17">_xll.AC(DB,_xll.ArrayDPT($AA17:$AG17),_xll.ArrayCOA($AI17:$BB17),YR,PRD,_xll.ArrayDIM($BD17:$BG17))</f>
        <v>73224.05</v>
      </c>
      <c r="H17" s="237">
        <f>IF(G17=0,0,(G17*100/G$9))</f>
        <v>599.264832252774</v>
      </c>
      <c r="I17" s="237"/>
      <c r="J17" s="328" t="s">
        <v>764</v>
      </c>
      <c r="K17" s="237"/>
      <c r="L17" s="254">
        <f t="array" ref="L17">_xll.ACC(DB,_xll.ArrayDPT($AA17:$AG17),_xll.ArrayCOA($AI17:$BB17),YR,PRD,_xll.ArrayDIM($BD17:$BG17))</f>
        <v>73224.05</v>
      </c>
      <c r="M17" s="237">
        <f>IF(L17=0,0,(L17*100/L$9))</f>
        <v>4.6363628287778713</v>
      </c>
      <c r="N17" s="254">
        <f t="array" ref="N17">_xll.BCC(DB,_xll.ArrayDPT($AA17:$AG17),_xll.ArrayCOA($AI17:$BB17),YR,PRD,RV,_xll.ArrayDIM($BD17:$BG17))</f>
        <v>0</v>
      </c>
      <c r="O17" s="237">
        <f t="shared" si="14"/>
        <v>0</v>
      </c>
      <c r="P17" s="237">
        <f t="shared" si="15"/>
        <v>-73224.05</v>
      </c>
      <c r="Q17" s="237">
        <f t="shared" si="16"/>
        <v>3.5198137972472696</v>
      </c>
      <c r="R17" s="254">
        <f t="array" ref="R17">_xll.ACC(DB,_xll.ArrayDPT($AA17:$AG17),_xll.ArrayCOA($AI17:$BB17),YR-1,PRD,_xll.ArrayDIM($BD17:$BG17))</f>
        <v>81666.509999999995</v>
      </c>
      <c r="S17" s="237">
        <f t="shared" si="17"/>
        <v>3.5111260934731714</v>
      </c>
      <c r="T17" s="397"/>
      <c r="U17" s="397"/>
      <c r="V17" s="397"/>
      <c r="W17" s="397"/>
      <c r="X17" s="397"/>
      <c r="Y17" s="397"/>
      <c r="Z17" s="397"/>
      <c r="AA17" s="95" t="s">
        <v>756</v>
      </c>
      <c r="AB17" s="96" t="s">
        <v>743</v>
      </c>
      <c r="AC17" s="96" t="s">
        <v>744</v>
      </c>
      <c r="AD17" s="96" t="s">
        <v>745</v>
      </c>
      <c r="AE17" s="96" t="s">
        <v>746</v>
      </c>
      <c r="AF17" s="96" t="s">
        <v>747</v>
      </c>
      <c r="AG17" s="96" t="s">
        <v>762</v>
      </c>
      <c r="AH17" s="97"/>
      <c r="AI17" s="95" t="s">
        <v>765</v>
      </c>
      <c r="AJ17" s="96" t="s">
        <v>765</v>
      </c>
      <c r="AK17" s="95" t="s">
        <v>766</v>
      </c>
      <c r="AL17" s="96" t="s">
        <v>766</v>
      </c>
      <c r="AM17" s="95"/>
      <c r="AN17" s="96"/>
      <c r="AO17" s="95"/>
      <c r="AP17" s="98"/>
      <c r="AQ17" s="96"/>
      <c r="AR17" s="96"/>
      <c r="AS17" s="95"/>
      <c r="AT17" s="98"/>
      <c r="AU17" s="96"/>
      <c r="AV17" s="96"/>
      <c r="AW17" s="95"/>
      <c r="AX17" s="98"/>
      <c r="AY17" s="96"/>
      <c r="AZ17" s="96"/>
      <c r="BA17" s="95"/>
      <c r="BB17" s="98"/>
      <c r="BC17" s="99"/>
      <c r="BD17" s="95"/>
      <c r="BE17" s="96"/>
      <c r="BF17" s="96"/>
      <c r="BG17" s="98"/>
    </row>
    <row r="18" spans="1:62" ht="12" customHeight="1">
      <c r="A18" s="254">
        <f t="array" ref="A18">_xll.AC(DB,_xll.ArrayDPT($AA18:$AG18),_xll.ArrayCOA($AI18:$BB18),YR-1,PRD,_xll.ArrayDIM($BD18:$BG18))</f>
        <v>0</v>
      </c>
      <c r="B18" s="237">
        <f t="shared" si="10"/>
        <v>0</v>
      </c>
      <c r="C18" s="237">
        <f t="shared" si="11"/>
        <v>0</v>
      </c>
      <c r="D18" s="237">
        <f t="shared" si="12"/>
        <v>0</v>
      </c>
      <c r="E18" s="254">
        <f t="array" ref="E18">_xll.BC(DB,_xll.ArrayDPT($AA18:$AG18),_xll.ArrayCOA($AI18:$BB18),YR,PRD,RV,_xll.ArrayDIM($BD18:$BG18))</f>
        <v>0</v>
      </c>
      <c r="F18" s="237">
        <f t="shared" si="13"/>
        <v>0</v>
      </c>
      <c r="G18" s="254">
        <f>_xll.AC(DB,_xll.ArrayDPT($AA18:$AG18),_xll.ArrayCOA($AI18:$BB18),YR,PRD,_xll.ArrayDIM($BD18:$BG18))</f>
        <v>0</v>
      </c>
      <c r="H18" s="237">
        <f>IF(G18=0,0,(G18*100/G$10))</f>
        <v>0</v>
      </c>
      <c r="I18" s="237"/>
      <c r="J18" s="328" t="s">
        <v>767</v>
      </c>
      <c r="K18" s="237"/>
      <c r="L18" s="254">
        <f t="array" ref="L18">_xll.ACC(DB,_xll.ArrayDPT($AA18:$AG18),_xll.ArrayCOA($AI18:$BB18),YR,PRD,_xll.ArrayDIM($BD18:$BG18))</f>
        <v>0</v>
      </c>
      <c r="M18" s="237">
        <f>IF(L18=0,0,(L18*100/L$10))</f>
        <v>0</v>
      </c>
      <c r="N18" s="254">
        <f t="array" ref="N18">_xll.BCC(DB,_xll.ArrayDPT($AA18:$AG18),_xll.ArrayCOA($AI18:$BB18),YR,PRD,RV,_xll.ArrayDIM($BD18:$BG18))</f>
        <v>0</v>
      </c>
      <c r="O18" s="237">
        <f t="shared" si="14"/>
        <v>0</v>
      </c>
      <c r="P18" s="237">
        <f t="shared" si="15"/>
        <v>0</v>
      </c>
      <c r="Q18" s="237">
        <f t="shared" si="16"/>
        <v>0</v>
      </c>
      <c r="R18" s="254">
        <f t="array" ref="R18">_xll.ACC(DB,_xll.ArrayDPT($AA18:$AG18),_xll.ArrayCOA($AI18:$BB18),YR-1,PRD,_xll.ArrayDIM($BD18:$BG18))</f>
        <v>0</v>
      </c>
      <c r="S18" s="237">
        <f t="shared" si="17"/>
        <v>0</v>
      </c>
      <c r="T18" s="397"/>
      <c r="U18" s="397"/>
      <c r="V18" s="397"/>
      <c r="W18" s="397"/>
      <c r="X18" s="397"/>
      <c r="Y18" s="397"/>
      <c r="Z18" s="397"/>
      <c r="AA18" s="95" t="s">
        <v>756</v>
      </c>
      <c r="AB18" s="96" t="s">
        <v>743</v>
      </c>
      <c r="AC18" s="96" t="s">
        <v>744</v>
      </c>
      <c r="AD18" s="96" t="s">
        <v>745</v>
      </c>
      <c r="AE18" s="96" t="s">
        <v>746</v>
      </c>
      <c r="AF18" s="96"/>
      <c r="AG18" s="96" t="s">
        <v>762</v>
      </c>
      <c r="AH18" s="97"/>
      <c r="AI18" s="95"/>
      <c r="AJ18" s="96"/>
      <c r="AK18" s="95"/>
      <c r="AL18" s="96"/>
      <c r="AM18" s="95"/>
      <c r="AN18" s="96"/>
      <c r="AO18" s="95"/>
      <c r="AP18" s="98"/>
      <c r="AQ18" s="96"/>
      <c r="AR18" s="96"/>
      <c r="AS18" s="95"/>
      <c r="AT18" s="98"/>
      <c r="AU18" s="96"/>
      <c r="AV18" s="96"/>
      <c r="AW18" s="95"/>
      <c r="AX18" s="98"/>
      <c r="AY18" s="96"/>
      <c r="AZ18" s="96"/>
      <c r="BA18" s="95"/>
      <c r="BB18" s="98"/>
      <c r="BC18" s="99"/>
      <c r="BD18" s="95"/>
      <c r="BE18" s="96"/>
      <c r="BF18" s="96"/>
      <c r="BG18" s="98"/>
    </row>
    <row r="19" spans="1:62" ht="12" customHeight="1">
      <c r="A19" s="254">
        <f t="array" ref="A19">_xll.AC(DB,_xll.ArrayDPT($AA19:$AG19),_xll.ArrayCOA($AI19:$BB19),YR-1,PRD,_xll.ArrayDIM($BD19:$BG19))</f>
        <v>0</v>
      </c>
      <c r="B19" s="237">
        <f t="shared" si="10"/>
        <v>0</v>
      </c>
      <c r="C19" s="237">
        <f t="shared" si="11"/>
        <v>0</v>
      </c>
      <c r="D19" s="237">
        <f t="shared" si="12"/>
        <v>0</v>
      </c>
      <c r="E19" s="254">
        <f t="array" ref="E19">_xll.BC(DB,_xll.ArrayDPT($AA19:$AG19),_xll.ArrayCOA($AI19:$BB19),YR,PRD,RV,_xll.ArrayDIM($BD19:$BG19))</f>
        <v>0</v>
      </c>
      <c r="F19" s="237">
        <f t="shared" si="13"/>
        <v>0</v>
      </c>
      <c r="G19" s="254">
        <f t="array" ref="G19">_xll.AC(DB,_xll.ArrayDPT($AA19:$AG19),_xll.ArrayCOA($AI19:$BB19),YR,PRD,_xll.ArrayDIM($BD19:$BG19))</f>
        <v>0</v>
      </c>
      <c r="H19" s="237">
        <f>IF(G19=0,0,(G19*100/G$11))</f>
        <v>0</v>
      </c>
      <c r="I19" s="237"/>
      <c r="J19" s="328" t="s">
        <v>768</v>
      </c>
      <c r="K19" s="237"/>
      <c r="L19" s="254">
        <f t="array" ref="L19">_xll.ACC(DB,_xll.ArrayDPT($AA19:$AG19),_xll.ArrayCOA($AI19:$BB19),YR,PRD,_xll.ArrayDIM($BD19:$BG19))</f>
        <v>0</v>
      </c>
      <c r="M19" s="237">
        <f>IF(L19=0,0,(L19*100/L$11))</f>
        <v>0</v>
      </c>
      <c r="N19" s="254">
        <f t="array" ref="N19">_xll.BCC(DB,_xll.ArrayDPT($AA19:$AG19),_xll.ArrayCOA($AI19:$BB19),YR,PRD,RV,_xll.ArrayDIM($BD19:$BG19))</f>
        <v>0</v>
      </c>
      <c r="O19" s="237">
        <f t="shared" si="14"/>
        <v>0</v>
      </c>
      <c r="P19" s="237">
        <f t="shared" si="15"/>
        <v>0</v>
      </c>
      <c r="Q19" s="237">
        <f t="shared" si="16"/>
        <v>0</v>
      </c>
      <c r="R19" s="254">
        <f t="array" ref="R19">_xll.ACC(DB,_xll.ArrayDPT($AA19:$AG19),_xll.ArrayCOA($AI19:$BB19),YR-1,PRD,_xll.ArrayDIM($BD19:$BG19))</f>
        <v>0</v>
      </c>
      <c r="S19" s="237">
        <f t="shared" si="17"/>
        <v>0</v>
      </c>
      <c r="T19" s="397"/>
      <c r="U19" s="397"/>
      <c r="V19" s="397"/>
      <c r="W19" s="397"/>
      <c r="X19" s="397"/>
      <c r="Y19" s="397"/>
      <c r="Z19" s="397"/>
      <c r="AA19" s="95" t="s">
        <v>756</v>
      </c>
      <c r="AB19" s="96" t="s">
        <v>743</v>
      </c>
      <c r="AC19" s="96" t="s">
        <v>744</v>
      </c>
      <c r="AD19" s="96" t="s">
        <v>745</v>
      </c>
      <c r="AE19" s="96" t="s">
        <v>746</v>
      </c>
      <c r="AF19" s="96"/>
      <c r="AG19" s="96" t="s">
        <v>762</v>
      </c>
      <c r="AH19" s="97"/>
      <c r="AI19" s="95" t="s">
        <v>769</v>
      </c>
      <c r="AJ19" s="96" t="s">
        <v>769</v>
      </c>
      <c r="AK19" s="95"/>
      <c r="AL19" s="96"/>
      <c r="AM19" s="95"/>
      <c r="AN19" s="96"/>
      <c r="AO19" s="95"/>
      <c r="AP19" s="98"/>
      <c r="AQ19" s="96"/>
      <c r="AR19" s="96"/>
      <c r="AS19" s="95"/>
      <c r="AT19" s="98"/>
      <c r="AU19" s="96"/>
      <c r="AV19" s="96"/>
      <c r="AW19" s="95"/>
      <c r="AX19" s="98"/>
      <c r="AY19" s="96"/>
      <c r="AZ19" s="96"/>
      <c r="BA19" s="95"/>
      <c r="BB19" s="98"/>
      <c r="BC19" s="99"/>
      <c r="BD19" s="95"/>
      <c r="BE19" s="96"/>
      <c r="BF19" s="96"/>
      <c r="BG19" s="98"/>
    </row>
    <row r="20" spans="1:62" ht="12" customHeight="1">
      <c r="A20" s="254">
        <f t="array" ref="A20">_xll.AC(DB,_xll.ArrayDPT($AA20:$AG20),_xll.ArrayCOA($AI20:$BB20),YR-1,PRD,_xll.ArrayDIM($BD20:$BG20))</f>
        <v>0</v>
      </c>
      <c r="B20" s="237">
        <f t="shared" si="10"/>
        <v>0</v>
      </c>
      <c r="C20" s="237">
        <f t="shared" si="11"/>
        <v>0</v>
      </c>
      <c r="D20" s="237">
        <f t="shared" si="12"/>
        <v>0</v>
      </c>
      <c r="E20" s="254">
        <f t="array" ref="E20">_xll.BC(DB,_xll.ArrayDPT($AA20:$AG20),_xll.ArrayCOA($AI20:$BB20),YR,PRD,RV,_xll.ArrayDIM($BD20:$BG20))</f>
        <v>0</v>
      </c>
      <c r="F20" s="237">
        <f t="shared" si="13"/>
        <v>0</v>
      </c>
      <c r="G20" s="254">
        <f t="array" ref="G20">_xll.AC(DB,_xll.ArrayDPT($AA20:$AG20),_xll.ArrayCOA($AI20:$BB20),YR,PRD,_xll.ArrayDIM($BD20:$BG20))</f>
        <v>0</v>
      </c>
      <c r="H20" s="237">
        <f>IF(G20=0,0,(G20*100/G$12))</f>
        <v>0</v>
      </c>
      <c r="I20" s="237"/>
      <c r="J20" s="328" t="s">
        <v>770</v>
      </c>
      <c r="K20" s="237"/>
      <c r="L20" s="254">
        <f t="array" ref="L20">_xll.ACC(DB,_xll.ArrayDPT($AA20:$AG20),_xll.ArrayCOA($AI20:$BB20),YR,PRD,_xll.ArrayDIM($BD20:$BG20))</f>
        <v>0</v>
      </c>
      <c r="M20" s="237">
        <f>IF(L20=0,0,(L20*100/L$12))</f>
        <v>0</v>
      </c>
      <c r="N20" s="254">
        <f t="array" ref="N20">_xll.BCC(DB,_xll.ArrayDPT($AA20:$AG20),_xll.ArrayCOA($AI20:$BB20),YR,PRD,RV,_xll.ArrayDIM($BD20:$BG20))</f>
        <v>0</v>
      </c>
      <c r="O20" s="237">
        <f t="shared" si="14"/>
        <v>0</v>
      </c>
      <c r="P20" s="237">
        <f t="shared" si="15"/>
        <v>0</v>
      </c>
      <c r="Q20" s="237">
        <f t="shared" si="16"/>
        <v>0</v>
      </c>
      <c r="R20" s="254">
        <f t="array" ref="R20">_xll.ACC(DB,_xll.ArrayDPT($AA20:$AG20),_xll.ArrayCOA($AI20:$BB20),YR-1,PRD,_xll.ArrayDIM($BD20:$BG20))</f>
        <v>0</v>
      </c>
      <c r="S20" s="237">
        <f t="shared" si="17"/>
        <v>0</v>
      </c>
      <c r="T20" s="397"/>
      <c r="U20" s="397"/>
      <c r="V20" s="397"/>
      <c r="W20" s="397"/>
      <c r="X20" s="397"/>
      <c r="Y20" s="397"/>
      <c r="Z20" s="397"/>
      <c r="AA20" s="95" t="s">
        <v>756</v>
      </c>
      <c r="AB20" s="96" t="s">
        <v>743</v>
      </c>
      <c r="AC20" s="96" t="s">
        <v>744</v>
      </c>
      <c r="AD20" s="96" t="s">
        <v>745</v>
      </c>
      <c r="AE20" s="96" t="s">
        <v>746</v>
      </c>
      <c r="AF20" s="96"/>
      <c r="AG20" s="96" t="s">
        <v>762</v>
      </c>
      <c r="AH20" s="97"/>
      <c r="AI20" s="95" t="s">
        <v>726</v>
      </c>
      <c r="AJ20" s="96" t="s">
        <v>726</v>
      </c>
      <c r="AK20" s="95"/>
      <c r="AL20" s="96"/>
      <c r="AM20" s="95"/>
      <c r="AN20" s="96"/>
      <c r="AO20" s="95"/>
      <c r="AP20" s="98"/>
      <c r="AQ20" s="96"/>
      <c r="AR20" s="96"/>
      <c r="AS20" s="95"/>
      <c r="AT20" s="98"/>
      <c r="AU20" s="96"/>
      <c r="AV20" s="96"/>
      <c r="AW20" s="95"/>
      <c r="AX20" s="98"/>
      <c r="AY20" s="96"/>
      <c r="AZ20" s="96"/>
      <c r="BA20" s="95"/>
      <c r="BB20" s="98"/>
      <c r="BC20" s="99"/>
      <c r="BD20" s="95"/>
      <c r="BE20" s="96"/>
      <c r="BF20" s="96"/>
      <c r="BG20" s="98"/>
    </row>
    <row r="21" spans="1:62" ht="12" hidden="1" customHeight="1">
      <c r="A21" s="254">
        <f t="array" ref="A21">_xll.AC(DB,_xll.ArrayDPT($AA21:$AG21),_xll.ArrayCOA($AI21:$BB21),YR-1,PRD,_xll.ArrayDIM($BD21:$BG21))</f>
        <v>0</v>
      </c>
      <c r="B21" s="237">
        <f t="shared" si="10"/>
        <v>0</v>
      </c>
      <c r="C21" s="237">
        <f t="shared" si="11"/>
        <v>0</v>
      </c>
      <c r="D21" s="237">
        <f t="shared" si="12"/>
        <v>0</v>
      </c>
      <c r="E21" s="254">
        <f t="array" ref="E21">_xll.BC(DB,_xll.ArrayDPT($AA21:$AG21),_xll.ArrayCOA($AI21:$BB21),YR,PRD,RV,_xll.ArrayDIM($BD21:$BG21))</f>
        <v>0</v>
      </c>
      <c r="F21" s="237">
        <f t="shared" si="13"/>
        <v>0</v>
      </c>
      <c r="G21" s="254">
        <f t="array" ref="G21">_xll.AC(DB,_xll.ArrayDPT($AA21:$AG21),_xll.ArrayCOA($AI21:$BB21),YR,PRD,_xll.ArrayDIM($BD21:$BG21))</f>
        <v>0</v>
      </c>
      <c r="H21" s="237">
        <f>IF(G21=0,0,(G21*100/G$14))</f>
        <v>0</v>
      </c>
      <c r="I21" s="137"/>
      <c r="J21" s="328" t="s">
        <v>771</v>
      </c>
      <c r="K21" s="137"/>
      <c r="L21" s="254">
        <f t="array" ref="L21">_xll.ACC(DB,_xll.ArrayDPT($AA21:$AG21),_xll.ArrayCOA($AI21:$BB21),YR,PRD,_xll.ArrayDIM($BD21:$BG21))</f>
        <v>0</v>
      </c>
      <c r="M21" s="237">
        <f>IF(L21=0,0,(L21*100/L$14))</f>
        <v>0</v>
      </c>
      <c r="N21" s="254">
        <f t="array" ref="N21">_xll.BCC(DB,_xll.ArrayDPT($AA21:$AG21),_xll.ArrayCOA($AI21:$BB21),YR,PRD,RV,_xll.ArrayDIM($BD21:$BG21))</f>
        <v>0</v>
      </c>
      <c r="O21" s="237">
        <f t="shared" si="14"/>
        <v>0</v>
      </c>
      <c r="P21" s="237">
        <f t="shared" si="15"/>
        <v>0</v>
      </c>
      <c r="Q21" s="237">
        <f t="shared" si="16"/>
        <v>0</v>
      </c>
      <c r="R21" s="254">
        <f t="array" ref="R21">_xll.ACC(DB,_xll.ArrayDPT($AA21:$AG21),_xll.ArrayCOA($AI21:$BB21),YR-1,PRD,_xll.ArrayDIM($BD21:$BG21))</f>
        <v>0</v>
      </c>
      <c r="S21" s="237">
        <f t="shared" si="17"/>
        <v>0</v>
      </c>
      <c r="T21" s="137"/>
      <c r="U21" s="137"/>
      <c r="V21" s="137"/>
      <c r="W21" s="137"/>
      <c r="X21" s="137"/>
      <c r="Y21" s="137"/>
      <c r="Z21" s="137"/>
      <c r="AA21" s="95"/>
      <c r="AB21" s="96"/>
      <c r="AC21" s="96"/>
      <c r="AD21" s="96"/>
      <c r="AE21" s="96"/>
      <c r="AF21" s="96"/>
      <c r="AG21" s="96"/>
      <c r="AH21" s="97"/>
      <c r="AI21" s="95"/>
      <c r="AJ21" s="96"/>
      <c r="AK21" s="95"/>
      <c r="AL21" s="96"/>
      <c r="AM21" s="95"/>
      <c r="AN21" s="96"/>
      <c r="AO21" s="95"/>
      <c r="AP21" s="98"/>
      <c r="AQ21" s="96"/>
      <c r="AR21" s="96"/>
      <c r="AS21" s="95"/>
      <c r="AT21" s="98"/>
      <c r="AU21" s="96"/>
      <c r="AV21" s="96"/>
      <c r="AW21" s="95"/>
      <c r="AX21" s="98"/>
      <c r="AY21" s="96"/>
      <c r="AZ21" s="96"/>
      <c r="BA21" s="95"/>
      <c r="BB21" s="98"/>
      <c r="BC21" s="99"/>
      <c r="BD21" s="95"/>
      <c r="BE21" s="96"/>
      <c r="BF21" s="96"/>
      <c r="BG21" s="98"/>
    </row>
    <row r="22" spans="1:62" ht="6" customHeight="1">
      <c r="A22" s="329"/>
      <c r="B22" s="392"/>
      <c r="C22" s="329"/>
      <c r="D22" s="392"/>
      <c r="E22" s="329"/>
      <c r="F22" s="392"/>
      <c r="G22" s="329"/>
      <c r="H22" s="392"/>
      <c r="I22" s="398"/>
      <c r="J22" s="392"/>
      <c r="K22" s="399"/>
      <c r="L22" s="393"/>
      <c r="M22" s="333"/>
      <c r="N22" s="393"/>
      <c r="O22" s="333"/>
      <c r="P22" s="393"/>
      <c r="Q22" s="333"/>
      <c r="R22" s="393"/>
      <c r="S22" s="341"/>
      <c r="T22" s="328"/>
      <c r="U22" s="328"/>
      <c r="V22" s="328"/>
      <c r="W22" s="328"/>
      <c r="X22" s="328"/>
      <c r="Y22" s="328"/>
      <c r="Z22" s="328"/>
      <c r="AA22" s="95"/>
      <c r="AB22" s="96"/>
      <c r="AC22" s="96"/>
      <c r="AD22" s="96"/>
      <c r="AE22" s="96"/>
      <c r="AF22" s="96"/>
      <c r="AG22" s="96"/>
      <c r="AH22" s="97"/>
      <c r="AI22" s="95"/>
      <c r="AJ22" s="96"/>
      <c r="AK22" s="95"/>
      <c r="AL22" s="96"/>
      <c r="AM22" s="95"/>
      <c r="AN22" s="96"/>
      <c r="AO22" s="95"/>
      <c r="AP22" s="98"/>
      <c r="AQ22" s="96"/>
      <c r="AR22" s="96"/>
      <c r="AS22" s="95"/>
      <c r="AT22" s="98"/>
      <c r="AU22" s="96"/>
      <c r="AV22" s="96"/>
      <c r="AW22" s="95"/>
      <c r="AX22" s="98"/>
      <c r="AY22" s="96"/>
      <c r="AZ22" s="96"/>
      <c r="BA22" s="95"/>
      <c r="BB22" s="98"/>
      <c r="BC22" s="99"/>
      <c r="BD22" s="95"/>
      <c r="BE22" s="96"/>
      <c r="BF22" s="96"/>
      <c r="BG22" s="98"/>
    </row>
    <row r="23" spans="1:62" ht="12" customHeight="1">
      <c r="A23" s="338">
        <f>SUM(A16:A21)</f>
        <v>263952.68</v>
      </c>
      <c r="B23" s="395">
        <f>IF(A23=0,0,(A23*100/A$14))</f>
        <v>32.596471206938311</v>
      </c>
      <c r="C23" s="338">
        <f>SUM(C16:C21)</f>
        <v>-153250.75</v>
      </c>
      <c r="D23" s="395">
        <f>IF(C23=0,0,(C23*100/C$14))</f>
        <v>29.86091467791513</v>
      </c>
      <c r="E23" s="338">
        <f>SUM(E16:E21)</f>
        <v>0</v>
      </c>
      <c r="F23" s="395">
        <f>IF(E23=0,0,(E23*100/E$14))</f>
        <v>0</v>
      </c>
      <c r="G23" s="338">
        <f>SUM(G16:G21)</f>
        <v>153250.75</v>
      </c>
      <c r="H23" s="395">
        <f>IF(G23=0,0,(G23*100/G$14))</f>
        <v>29.86091467791513</v>
      </c>
      <c r="I23" s="394"/>
      <c r="J23" s="396" t="s">
        <v>541</v>
      </c>
      <c r="K23" s="400"/>
      <c r="L23" s="395">
        <f>SUM(L16:L21)</f>
        <v>153250.75</v>
      </c>
      <c r="M23" s="338">
        <f>IF(L23=0,0,(L23*100/L$14))</f>
        <v>7.3666248218787675</v>
      </c>
      <c r="N23" s="395">
        <f>SUM(N16:N21)</f>
        <v>0</v>
      </c>
      <c r="O23" s="338">
        <f>IF(N23=0,0,(N23*100/N$14))</f>
        <v>0</v>
      </c>
      <c r="P23" s="395">
        <f>SUM(P16:P21)</f>
        <v>-153250.75</v>
      </c>
      <c r="Q23" s="338">
        <f>IF(P23=0,0,(P23*100/P$14))</f>
        <v>7.3666248218787675</v>
      </c>
      <c r="R23" s="395">
        <f>SUM(R16:R21)</f>
        <v>263952.68</v>
      </c>
      <c r="S23" s="338">
        <f>IF(R23=0,0,(R23*100/R$14))</f>
        <v>11.348239837727537</v>
      </c>
      <c r="T23" s="397"/>
      <c r="U23" s="397"/>
      <c r="V23" s="397"/>
      <c r="W23" s="397"/>
      <c r="X23" s="397"/>
      <c r="Y23" s="397"/>
      <c r="Z23" s="397"/>
      <c r="AA23" s="95"/>
      <c r="AB23" s="96"/>
      <c r="AC23" s="96"/>
      <c r="AD23" s="96"/>
      <c r="AE23" s="96"/>
      <c r="AF23" s="96"/>
      <c r="AG23" s="96"/>
      <c r="AH23" s="97"/>
      <c r="AI23" s="95"/>
      <c r="AJ23" s="96"/>
      <c r="AK23" s="95"/>
      <c r="AL23" s="96"/>
      <c r="AM23" s="95"/>
      <c r="AN23" s="96"/>
      <c r="AO23" s="95"/>
      <c r="AP23" s="98"/>
      <c r="AQ23" s="96"/>
      <c r="AR23" s="96"/>
      <c r="AS23" s="95"/>
      <c r="AT23" s="98"/>
      <c r="AU23" s="96"/>
      <c r="AV23" s="96"/>
      <c r="AW23" s="95"/>
      <c r="AX23" s="98"/>
      <c r="AY23" s="96"/>
      <c r="AZ23" s="96"/>
      <c r="BA23" s="95"/>
      <c r="BB23" s="98"/>
      <c r="BC23" s="99"/>
      <c r="BD23" s="95"/>
      <c r="BE23" s="96"/>
      <c r="BF23" s="96"/>
      <c r="BG23" s="98"/>
    </row>
    <row r="24" spans="1:62" ht="12" customHeight="1">
      <c r="A24" s="237"/>
      <c r="B24" s="237"/>
      <c r="C24" s="237"/>
      <c r="D24" s="237"/>
      <c r="E24" s="237"/>
      <c r="F24" s="237"/>
      <c r="G24" s="237"/>
      <c r="H24" s="237"/>
      <c r="I24" s="237"/>
      <c r="J24" s="340" t="s">
        <v>772</v>
      </c>
      <c r="K24" s="237"/>
      <c r="L24" s="237"/>
      <c r="M24" s="237"/>
      <c r="N24" s="237"/>
      <c r="O24" s="237"/>
      <c r="P24" s="237"/>
      <c r="Q24" s="237"/>
      <c r="R24" s="237"/>
      <c r="S24" s="237"/>
      <c r="T24" s="295"/>
      <c r="U24" s="295"/>
      <c r="V24" s="295"/>
      <c r="W24" s="295"/>
      <c r="X24" s="295"/>
      <c r="Y24" s="295"/>
      <c r="Z24" s="295"/>
      <c r="AA24" s="95"/>
      <c r="AB24" s="96"/>
      <c r="AC24" s="96"/>
      <c r="AD24" s="96"/>
      <c r="AE24" s="96"/>
      <c r="AF24" s="96"/>
      <c r="AG24" s="96"/>
      <c r="AH24" s="97"/>
      <c r="AI24" s="95"/>
      <c r="AJ24" s="96"/>
      <c r="AK24" s="95"/>
      <c r="AL24" s="96"/>
      <c r="AM24" s="95"/>
      <c r="AN24" s="96"/>
      <c r="AO24" s="95"/>
      <c r="AP24" s="98"/>
      <c r="AQ24" s="96"/>
      <c r="AR24" s="96"/>
      <c r="AS24" s="95"/>
      <c r="AT24" s="98"/>
      <c r="AU24" s="96"/>
      <c r="AV24" s="96"/>
      <c r="AW24" s="95"/>
      <c r="AX24" s="98"/>
      <c r="AY24" s="96"/>
      <c r="AZ24" s="96"/>
      <c r="BA24" s="95"/>
      <c r="BB24" s="98"/>
      <c r="BC24" s="99"/>
      <c r="BD24" s="95"/>
      <c r="BE24" s="96"/>
      <c r="BF24" s="96"/>
      <c r="BG24" s="98"/>
    </row>
    <row r="25" spans="1:62" ht="12" customHeight="1">
      <c r="A25" s="254">
        <f t="array" ref="A25">_xll.AC(DB,_xll.ArrayDPT($AA25:$AG25),_xll.ArrayCOA($AI25:$BB25),YR-1,PRD,_xll.ArrayDIM($BD25:$BG25))</f>
        <v>104000</v>
      </c>
      <c r="B25" s="237">
        <f t="shared" ref="B25:B32" si="18">IF(A25=0,0,(A25*100/A$14))</f>
        <v>12.843336182536902</v>
      </c>
      <c r="C25" s="237">
        <f t="shared" ref="C25:C32" si="19">+E25-G25</f>
        <v>-67533.33</v>
      </c>
      <c r="D25" s="237">
        <f t="shared" ref="D25:D32" si="20">IF(C25=0,0,(C25*100/C$14))</f>
        <v>13.158872012342426</v>
      </c>
      <c r="E25" s="254">
        <f t="array" ref="E25">_xll.BC(DB,_xll.ArrayDPT($AA25:$AG25),_xll.ArrayCOA($AI25:$BB25),YR,PRD,RV,_xll.ArrayDIM($BD25:$BG25))</f>
        <v>0</v>
      </c>
      <c r="F25" s="237">
        <f t="shared" ref="F25:F32" si="21">IF(E25=0,0,(E25*100/E$14))</f>
        <v>0</v>
      </c>
      <c r="G25" s="254">
        <f t="array" ref="G25">_xll.AC(DB,_xll.ArrayDPT($AA25:$AG25),_xll.ArrayCOA($AI25:$BB25),YR,PRD,_xll.ArrayDIM($BD25:$BG25))</f>
        <v>67533.33</v>
      </c>
      <c r="H25" s="237">
        <f t="shared" ref="H25:H32" si="22">IF(G25=0,0,(G25*100/G$14))</f>
        <v>13.158872012342426</v>
      </c>
      <c r="I25" s="237"/>
      <c r="J25" s="328" t="s">
        <v>639</v>
      </c>
      <c r="K25" s="237"/>
      <c r="L25" s="254">
        <f t="array" ref="L25">_xll.ACC(DB,_xll.ArrayDPT($AA25:$AG25),_xll.ArrayCOA($AI25:$BB25),YR,PRD,_xll.ArrayDIM($BD25:$BG25))</f>
        <v>67533.33</v>
      </c>
      <c r="M25" s="237">
        <f t="shared" ref="M25:M32" si="23">IF(L25=0,0,(L25*100/L$14))</f>
        <v>3.2462660383856528</v>
      </c>
      <c r="N25" s="254">
        <f t="array" ref="N25">_xll.BCC(DB,_xll.ArrayDPT($AA25:$AG25),_xll.ArrayCOA($AI25:$BB25),YR,PRD,RV,_xll.ArrayDIM($BD25:$BG25))</f>
        <v>0</v>
      </c>
      <c r="O25" s="237">
        <f t="shared" ref="O25:O32" si="24">IF(N25=0,0,(N25*100/N$14))</f>
        <v>0</v>
      </c>
      <c r="P25" s="237">
        <f t="shared" ref="P25:P32" si="25">+N25-L25</f>
        <v>-67533.33</v>
      </c>
      <c r="Q25" s="237">
        <f t="shared" ref="Q25:Q32" si="26">IF(P25=0,0,(P25*100/P$14))</f>
        <v>3.2462660383856528</v>
      </c>
      <c r="R25" s="254">
        <f t="array" ref="R25">_xll.ACC(DB,_xll.ArrayDPT($AA25:$AG25),_xll.ArrayCOA($AI25:$BB25),YR-1,PRD,_xll.ArrayDIM($BD25:$BG25))</f>
        <v>104000</v>
      </c>
      <c r="S25" s="237">
        <f t="shared" ref="S25:S32" si="27">IF(R25=0,0,(R25*100/R$14))</f>
        <v>4.471320174220863</v>
      </c>
      <c r="T25" s="397"/>
      <c r="U25" s="397"/>
      <c r="V25" s="397"/>
      <c r="W25" s="397"/>
      <c r="X25" s="397"/>
      <c r="Y25" s="397"/>
      <c r="Z25" s="397"/>
      <c r="AA25" s="95" t="s">
        <v>756</v>
      </c>
      <c r="AB25" s="96" t="s">
        <v>743</v>
      </c>
      <c r="AC25" s="96" t="s">
        <v>744</v>
      </c>
      <c r="AD25" s="96" t="s">
        <v>747</v>
      </c>
      <c r="AE25" s="96" t="s">
        <v>745</v>
      </c>
      <c r="AF25" s="96" t="s">
        <v>773</v>
      </c>
      <c r="AG25" s="96"/>
      <c r="AH25" s="97"/>
      <c r="AI25" s="95" t="s">
        <v>641</v>
      </c>
      <c r="AJ25" s="96" t="s">
        <v>641</v>
      </c>
      <c r="AK25" s="95"/>
      <c r="AL25" s="96"/>
      <c r="AM25" s="95"/>
      <c r="AN25" s="96"/>
      <c r="AO25" s="95"/>
      <c r="AP25" s="98"/>
      <c r="AQ25" s="96"/>
      <c r="AR25" s="96"/>
      <c r="AS25" s="95"/>
      <c r="AT25" s="98"/>
      <c r="AU25" s="96"/>
      <c r="AV25" s="96"/>
      <c r="AW25" s="95"/>
      <c r="AX25" s="98"/>
      <c r="AY25" s="96"/>
      <c r="AZ25" s="96"/>
      <c r="BA25" s="95"/>
      <c r="BB25" s="98"/>
      <c r="BC25" s="99"/>
      <c r="BD25" s="95"/>
      <c r="BE25" s="96"/>
      <c r="BF25" s="96"/>
      <c r="BG25" s="98"/>
    </row>
    <row r="26" spans="1:62" ht="12" customHeight="1">
      <c r="A26" s="254">
        <f t="array" ref="A26">_xll.AC(DB,_xll.ArrayDPT($AA26:$AG26),_xll.ArrayCOA($AI26:$BB26),YR-1,PRD,_xll.ArrayDIM($BD26:$BG26))</f>
        <v>0</v>
      </c>
      <c r="B26" s="237">
        <f t="shared" si="18"/>
        <v>0</v>
      </c>
      <c r="C26" s="237">
        <f t="shared" si="19"/>
        <v>-20000</v>
      </c>
      <c r="D26" s="237">
        <f t="shared" si="20"/>
        <v>3.8970007883048048</v>
      </c>
      <c r="E26" s="254">
        <f t="array" ref="E26">_xll.BC(DB,_xll.ArrayDPT($AA26:$AG26),_xll.ArrayCOA($AI26:$BB26),YR,PRD,RV,_xll.ArrayDIM($BD26:$BG26))</f>
        <v>0</v>
      </c>
      <c r="F26" s="237">
        <f t="shared" si="21"/>
        <v>0</v>
      </c>
      <c r="G26" s="254">
        <f>_xll.AC(DB,_xll.ArrayDPT($AA26:$AG26),_xll.ArrayCOA($AI26:$BB26),YR,PRD,_xll.ArrayDIM($BD26:$BG26))</f>
        <v>20000</v>
      </c>
      <c r="H26" s="237">
        <f t="shared" si="22"/>
        <v>3.8970007883048048</v>
      </c>
      <c r="I26" s="237"/>
      <c r="J26" s="328" t="s">
        <v>774</v>
      </c>
      <c r="K26" s="237"/>
      <c r="L26" s="254">
        <f t="array" ref="L26">_xll.ACC(DB,_xll.ArrayDPT($AA26:$AG26),_xll.ArrayCOA($AI26:$BB26),YR,PRD,_xll.ArrayDIM($BD26:$BG26))</f>
        <v>20000</v>
      </c>
      <c r="M26" s="237">
        <f t="shared" si="23"/>
        <v>0.9613818949504348</v>
      </c>
      <c r="N26" s="254">
        <f t="array" ref="N26">_xll.BCC(DB,_xll.ArrayDPT($AA26:$AG26),_xll.ArrayCOA($AI26:$BB26),YR,PRD,RV,_xll.ArrayDIM($BD26:$BG26))</f>
        <v>0</v>
      </c>
      <c r="O26" s="237">
        <f t="shared" si="24"/>
        <v>0</v>
      </c>
      <c r="P26" s="237">
        <f t="shared" si="25"/>
        <v>-20000</v>
      </c>
      <c r="Q26" s="237">
        <f t="shared" si="26"/>
        <v>0.9613818949504348</v>
      </c>
      <c r="R26" s="254">
        <f t="array" ref="R26">_xll.ACC(DB,_xll.ArrayDPT($AA26:$AG26),_xll.ArrayCOA($AI26:$BB26),YR-1,PRD,_xll.ArrayDIM($BD26:$BG26))</f>
        <v>0</v>
      </c>
      <c r="S26" s="237">
        <f t="shared" si="27"/>
        <v>0</v>
      </c>
      <c r="T26" s="397"/>
      <c r="U26" s="397"/>
      <c r="V26" s="397"/>
      <c r="W26" s="397"/>
      <c r="X26" s="397"/>
      <c r="Y26" s="397"/>
      <c r="Z26" s="397"/>
      <c r="AA26" s="95" t="s">
        <v>756</v>
      </c>
      <c r="AB26" s="96" t="s">
        <v>743</v>
      </c>
      <c r="AC26" s="96" t="s">
        <v>744</v>
      </c>
      <c r="AD26" s="96" t="s">
        <v>747</v>
      </c>
      <c r="AE26" s="96"/>
      <c r="AF26" s="96"/>
      <c r="AG26" s="96"/>
      <c r="AH26" s="97"/>
      <c r="AI26" s="95" t="s">
        <v>638</v>
      </c>
      <c r="AJ26" s="96" t="s">
        <v>638</v>
      </c>
      <c r="AK26" s="95"/>
      <c r="AL26" s="96"/>
      <c r="AM26" s="95"/>
      <c r="AN26" s="96"/>
      <c r="AO26" s="95"/>
      <c r="AP26" s="98"/>
      <c r="AQ26" s="96"/>
      <c r="AR26" s="96"/>
      <c r="AS26" s="95"/>
      <c r="AT26" s="98"/>
      <c r="AU26" s="96"/>
      <c r="AV26" s="96"/>
      <c r="AW26" s="95"/>
      <c r="AX26" s="98"/>
      <c r="AY26" s="96"/>
      <c r="AZ26" s="96"/>
      <c r="BA26" s="95"/>
      <c r="BB26" s="98"/>
      <c r="BC26" s="99"/>
      <c r="BD26" s="95"/>
      <c r="BE26" s="96"/>
      <c r="BF26" s="96"/>
      <c r="BG26" s="98"/>
    </row>
    <row r="27" spans="1:62" ht="12" customHeight="1">
      <c r="A27" s="254">
        <f t="array" ref="A27">_xll.AC(DB,_xll.ArrayDPT($AA27:$AG27),_xll.ArrayCOA($AI27:$BB27),YR-1,PRD,_xll.ArrayDIM($BD27:$BG27))</f>
        <v>0</v>
      </c>
      <c r="B27" s="237">
        <f t="shared" si="18"/>
        <v>0</v>
      </c>
      <c r="C27" s="237">
        <f t="shared" si="19"/>
        <v>-15900</v>
      </c>
      <c r="D27" s="237">
        <f t="shared" si="20"/>
        <v>3.0981156267023198</v>
      </c>
      <c r="E27" s="254">
        <f t="array" ref="E27">_xll.BC(DB,_xll.ArrayDPT($AA27:$AG27),_xll.ArrayCOA($AI27:$BB27),YR,PRD,RV,_xll.ArrayDIM($BD27:$BG27))</f>
        <v>0</v>
      </c>
      <c r="F27" s="237">
        <f t="shared" si="21"/>
        <v>0</v>
      </c>
      <c r="G27" s="254">
        <f t="array" ref="G27">_xll.AC(DB,_xll.ArrayDPT($AA27:$AG27),_xll.ArrayCOA($AI27:$BB27),YR,PRD,_xll.ArrayDIM($BD27:$BG27))</f>
        <v>15900</v>
      </c>
      <c r="H27" s="237">
        <f t="shared" si="22"/>
        <v>3.0981156267023198</v>
      </c>
      <c r="I27" s="237"/>
      <c r="J27" s="328" t="s">
        <v>775</v>
      </c>
      <c r="K27" s="237"/>
      <c r="L27" s="254">
        <f t="array" ref="L27">_xll.ACC(DB,_xll.ArrayDPT($AA27:$AG27),_xll.ArrayCOA($AI27:$BB27),YR,PRD,_xll.ArrayDIM($BD27:$BG27))</f>
        <v>15900</v>
      </c>
      <c r="M27" s="237">
        <f t="shared" si="23"/>
        <v>0.76429860648559567</v>
      </c>
      <c r="N27" s="254">
        <f t="array" ref="N27">_xll.BCC(DB,_xll.ArrayDPT($AA27:$AG27),_xll.ArrayCOA($AI27:$BB27),YR,PRD,RV,_xll.ArrayDIM($BD27:$BG27))</f>
        <v>0</v>
      </c>
      <c r="O27" s="237">
        <f t="shared" si="24"/>
        <v>0</v>
      </c>
      <c r="P27" s="237">
        <f t="shared" si="25"/>
        <v>-15900</v>
      </c>
      <c r="Q27" s="237">
        <f t="shared" si="26"/>
        <v>0.76429860648559567</v>
      </c>
      <c r="R27" s="254">
        <f t="array" ref="R27">_xll.ACC(DB,_xll.ArrayDPT($AA27:$AG27),_xll.ArrayCOA($AI27:$BB27),YR-1,PRD,_xll.ArrayDIM($BD27:$BG27))</f>
        <v>0</v>
      </c>
      <c r="S27" s="237">
        <f t="shared" si="27"/>
        <v>0</v>
      </c>
      <c r="T27" s="295"/>
      <c r="U27" s="295"/>
      <c r="V27" s="295"/>
      <c r="W27" s="295"/>
      <c r="X27" s="295"/>
      <c r="Y27" s="295"/>
      <c r="Z27" s="295"/>
      <c r="AA27" s="95" t="s">
        <v>756</v>
      </c>
      <c r="AB27" s="96" t="s">
        <v>743</v>
      </c>
      <c r="AC27" s="96" t="s">
        <v>744</v>
      </c>
      <c r="AD27" s="96" t="s">
        <v>745</v>
      </c>
      <c r="AE27" s="96" t="s">
        <v>746</v>
      </c>
      <c r="AF27" s="96" t="s">
        <v>773</v>
      </c>
      <c r="AG27" s="96"/>
      <c r="AH27" s="97"/>
      <c r="AI27" s="95" t="s">
        <v>776</v>
      </c>
      <c r="AJ27" s="96" t="s">
        <v>776</v>
      </c>
      <c r="AK27" s="95"/>
      <c r="AL27" s="96"/>
      <c r="AM27" s="95"/>
      <c r="AN27" s="96"/>
      <c r="AO27" s="95"/>
      <c r="AP27" s="98"/>
      <c r="AQ27" s="96"/>
      <c r="AR27" s="96"/>
      <c r="AS27" s="95"/>
      <c r="AT27" s="98"/>
      <c r="AU27" s="96"/>
      <c r="AV27" s="96"/>
      <c r="AW27" s="95"/>
      <c r="AX27" s="98"/>
      <c r="AY27" s="96"/>
      <c r="AZ27" s="96"/>
      <c r="BA27" s="95"/>
      <c r="BB27" s="98"/>
      <c r="BC27" s="99"/>
      <c r="BD27" s="95"/>
      <c r="BE27" s="96"/>
      <c r="BF27" s="96"/>
      <c r="BG27" s="98"/>
    </row>
    <row r="28" spans="1:62" ht="12" customHeight="1">
      <c r="A28" s="254">
        <f t="array" ref="A28">_xll.AC(DB,_xll.ArrayDPT($AA28:$AE28),_xll.ArrayCOA($AG28:$AZ28),YR-1,PRD,_xll.ArrayDIM($BB28:$BE28))</f>
        <v>0</v>
      </c>
      <c r="B28" s="254">
        <f t="shared" si="18"/>
        <v>0</v>
      </c>
      <c r="C28" s="254">
        <f t="shared" si="19"/>
        <v>-3951</v>
      </c>
      <c r="D28" s="254">
        <f t="shared" si="20"/>
        <v>0.76985250572961417</v>
      </c>
      <c r="E28" s="254">
        <f t="array" ref="E28">_xll.BC(DB,_xll.ArrayDPT($AA28:$AE28),_xll.ArrayCOA($AG28:$AZ28),YR,PRD,RV,_xll.ArrayDIM($BB28:$BE28))</f>
        <v>0</v>
      </c>
      <c r="F28" s="254">
        <f t="shared" si="21"/>
        <v>0</v>
      </c>
      <c r="G28" s="254">
        <f>_xll.AC(DB,_xll.ArrayDPT($AA28:$AG28),_xll.ArrayCOA($AI28:$AZ28),YR,PRD,_xll.ArrayDIM($BB28:$BE28))</f>
        <v>3951</v>
      </c>
      <c r="H28" s="237">
        <f t="shared" si="22"/>
        <v>0.76985250572961417</v>
      </c>
      <c r="I28" s="254"/>
      <c r="J28" s="328" t="s">
        <v>646</v>
      </c>
      <c r="K28" s="254"/>
      <c r="L28" s="254">
        <f t="array" ref="L28">_xll.ACC(DB,_xll.ArrayDPT($AA28:$AE28),_xll.ArrayCOA($AG28:$AZ28),YR,PRD,_xll.ArrayDIM($BB28:$BE28))</f>
        <v>3951</v>
      </c>
      <c r="M28" s="237">
        <f t="shared" si="23"/>
        <v>0.18992099334745841</v>
      </c>
      <c r="N28" s="254">
        <f t="array" ref="N28">_xll.BCC(DB,_xll.ArrayDPT($AA28:$AE28),_xll.ArrayCOA($AG28:$AZ28),YR,PRD,RV,_xll.ArrayDIM($BB28:$BE28))</f>
        <v>0</v>
      </c>
      <c r="O28" s="237">
        <f t="shared" si="24"/>
        <v>0</v>
      </c>
      <c r="P28" s="237">
        <f t="shared" si="25"/>
        <v>-3951</v>
      </c>
      <c r="Q28" s="254">
        <f t="shared" si="26"/>
        <v>0.18992099334745841</v>
      </c>
      <c r="R28" s="254">
        <f t="array" ref="R28">_xll.ACC(DB,_xll.ArrayDPT($AA28:$AE28),_xll.ArrayCOA($AG28:$AZ28),YR-1,PRD,_xll.ArrayDIM($BB28:$BE28))</f>
        <v>0</v>
      </c>
      <c r="S28" s="237">
        <f t="shared" si="27"/>
        <v>0</v>
      </c>
      <c r="T28" s="328"/>
      <c r="U28" s="328"/>
      <c r="V28" s="328"/>
      <c r="W28" s="328"/>
      <c r="X28" s="328"/>
      <c r="Y28" s="328"/>
      <c r="Z28" s="328"/>
      <c r="AA28" s="95" t="s">
        <v>756</v>
      </c>
      <c r="AB28" s="96" t="s">
        <v>743</v>
      </c>
      <c r="AC28" s="96" t="s">
        <v>744</v>
      </c>
      <c r="AD28" s="96" t="s">
        <v>745</v>
      </c>
      <c r="AE28" s="96" t="s">
        <v>746</v>
      </c>
      <c r="AF28" s="96" t="s">
        <v>773</v>
      </c>
      <c r="AG28" s="96"/>
      <c r="AH28" s="96"/>
      <c r="AI28" s="95" t="s">
        <v>647</v>
      </c>
      <c r="AJ28" s="96" t="s">
        <v>647</v>
      </c>
      <c r="AK28" s="95"/>
      <c r="AL28" s="96"/>
      <c r="AM28" s="95"/>
      <c r="AN28" s="98"/>
      <c r="AO28" s="96"/>
      <c r="AP28" s="96"/>
      <c r="AQ28" s="95"/>
      <c r="AR28" s="98"/>
      <c r="AS28" s="96"/>
      <c r="AT28" s="96"/>
      <c r="AU28" s="95"/>
      <c r="AV28" s="98"/>
      <c r="AW28" s="96"/>
      <c r="AX28" s="96"/>
      <c r="AY28" s="95"/>
      <c r="AZ28" s="98"/>
      <c r="BA28" s="401"/>
      <c r="BB28" s="96"/>
      <c r="BC28" s="402"/>
      <c r="BD28" s="96"/>
      <c r="BE28" s="96"/>
      <c r="BF28" s="96"/>
      <c r="BG28" s="98"/>
      <c r="BH28" s="96"/>
      <c r="BI28" s="96"/>
      <c r="BJ28" s="1"/>
    </row>
    <row r="29" spans="1:62" ht="12" customHeight="1">
      <c r="A29" s="254">
        <f t="array" ref="A29">_xll.AC(DB,_xll.ArrayDPT($AA29:$AG29),_xll.ArrayCOA($AI29:$BB29),YR-1,PRD,_xll.ArrayDIM($BD29:$BG29))</f>
        <v>0</v>
      </c>
      <c r="B29" s="237">
        <f t="shared" si="18"/>
        <v>0</v>
      </c>
      <c r="C29" s="237">
        <f t="shared" si="19"/>
        <v>0</v>
      </c>
      <c r="D29" s="237">
        <f t="shared" si="20"/>
        <v>0</v>
      </c>
      <c r="E29" s="254">
        <f t="array" ref="E29">_xll.BC(DB,_xll.ArrayDPT($AA29:$AG29),_xll.ArrayCOA($AI29:$BB29),YR,PRD,RV,_xll.ArrayDIM($BD29:$BG29))</f>
        <v>0</v>
      </c>
      <c r="F29" s="237">
        <f t="shared" si="21"/>
        <v>0</v>
      </c>
      <c r="G29" s="254">
        <f t="array" ref="G29">_xll.AC(DB,_xll.ArrayDPT($AA29:$AG29),_xll.ArrayCOA($AI29:$BB29),YR,PRD,_xll.ArrayDIM($BD29:$BG29))</f>
        <v>0</v>
      </c>
      <c r="H29" s="237">
        <f t="shared" si="22"/>
        <v>0</v>
      </c>
      <c r="I29" s="237"/>
      <c r="J29" s="328" t="s">
        <v>648</v>
      </c>
      <c r="K29" s="237"/>
      <c r="L29" s="254">
        <f t="array" ref="L29">_xll.ACC(DB,_xll.ArrayDPT($AA29:$AG29),_xll.ArrayCOA($AI29:$BB29),YR,PRD,_xll.ArrayDIM($BD29:$BG29))</f>
        <v>0</v>
      </c>
      <c r="M29" s="237">
        <f t="shared" si="23"/>
        <v>0</v>
      </c>
      <c r="N29" s="254">
        <f t="array" ref="N29">_xll.BCC(DB,_xll.ArrayDPT($AA29:$AG29),_xll.ArrayCOA($AI29:$BB29),YR,PRD,RV,_xll.ArrayDIM($BD29:$BG29))</f>
        <v>0</v>
      </c>
      <c r="O29" s="237">
        <f t="shared" si="24"/>
        <v>0</v>
      </c>
      <c r="P29" s="237">
        <f t="shared" si="25"/>
        <v>0</v>
      </c>
      <c r="Q29" s="237">
        <f t="shared" si="26"/>
        <v>0</v>
      </c>
      <c r="R29" s="254">
        <f t="array" ref="R29">_xll.ACC(DB,_xll.ArrayDPT($AA29:$AG29),_xll.ArrayCOA($AI29:$BB29),YR-1,PRD,_xll.ArrayDIM($BD29:$BG29))</f>
        <v>0</v>
      </c>
      <c r="S29" s="237">
        <f t="shared" si="27"/>
        <v>0</v>
      </c>
      <c r="T29" s="295"/>
      <c r="U29" s="295"/>
      <c r="V29" s="295"/>
      <c r="W29" s="295"/>
      <c r="X29" s="295"/>
      <c r="Y29" s="295"/>
      <c r="Z29" s="295"/>
      <c r="AA29" s="95" t="s">
        <v>756</v>
      </c>
      <c r="AB29" s="96" t="s">
        <v>743</v>
      </c>
      <c r="AC29" s="96" t="s">
        <v>744</v>
      </c>
      <c r="AD29" s="96" t="s">
        <v>745</v>
      </c>
      <c r="AE29" s="96" t="s">
        <v>746</v>
      </c>
      <c r="AF29" s="96" t="s">
        <v>773</v>
      </c>
      <c r="AG29" s="96"/>
      <c r="AH29" s="97"/>
      <c r="AI29" s="95" t="s">
        <v>649</v>
      </c>
      <c r="AJ29" s="96" t="s">
        <v>649</v>
      </c>
      <c r="AK29" s="95"/>
      <c r="AL29" s="96"/>
      <c r="AM29" s="95"/>
      <c r="AN29" s="96"/>
      <c r="AO29" s="95"/>
      <c r="AP29" s="98"/>
      <c r="AQ29" s="96"/>
      <c r="AR29" s="96"/>
      <c r="AS29" s="95"/>
      <c r="AT29" s="98"/>
      <c r="AU29" s="96"/>
      <c r="AV29" s="96"/>
      <c r="AW29" s="95"/>
      <c r="AX29" s="98"/>
      <c r="AY29" s="96"/>
      <c r="AZ29" s="96"/>
      <c r="BA29" s="95"/>
      <c r="BB29" s="98"/>
      <c r="BC29" s="99"/>
      <c r="BD29" s="95"/>
      <c r="BE29" s="96"/>
      <c r="BF29" s="96"/>
      <c r="BG29" s="98"/>
    </row>
    <row r="30" spans="1:62" ht="12" customHeight="1">
      <c r="A30" s="254">
        <f t="array" ref="A30">_xll.AC(DB,_xll.ArrayDPT($AA30:$AG30),_xll.ArrayCOA($AI30:$BB30),YR-1,PRD,_xll.ArrayDIM($BD30:$BG30))</f>
        <v>0</v>
      </c>
      <c r="B30" s="237">
        <f t="shared" si="18"/>
        <v>0</v>
      </c>
      <c r="C30" s="237">
        <f t="shared" si="19"/>
        <v>-1750</v>
      </c>
      <c r="D30" s="237">
        <f t="shared" si="20"/>
        <v>0.34098756897667043</v>
      </c>
      <c r="E30" s="254">
        <f t="array" ref="E30">_xll.BC(DB,_xll.ArrayDPT($AA30:$AG30),_xll.ArrayCOA($AI30:$BB30),YR,PRD,RV,_xll.ArrayDIM($BD30:$BG30))</f>
        <v>0</v>
      </c>
      <c r="F30" s="237">
        <f t="shared" si="21"/>
        <v>0</v>
      </c>
      <c r="G30" s="254">
        <f t="array" ref="G30">_xll.AC(DB,_xll.ArrayDPT($AA30:$AG30),_xll.ArrayCOA($AI30:$BB30),YR,PRD,_xll.ArrayDIM($BD30:$BG30))</f>
        <v>1750</v>
      </c>
      <c r="H30" s="237">
        <f t="shared" si="22"/>
        <v>0.34098756897667043</v>
      </c>
      <c r="I30" s="237"/>
      <c r="J30" s="328" t="s">
        <v>777</v>
      </c>
      <c r="K30" s="237"/>
      <c r="L30" s="254">
        <f t="array" ref="L30">_xll.ACC(DB,_xll.ArrayDPT($AA30:$AG30),_xll.ArrayCOA($AI30:$BB30),YR,PRD,_xll.ArrayDIM($BD30:$BG30))</f>
        <v>1750</v>
      </c>
      <c r="M30" s="237">
        <f t="shared" si="23"/>
        <v>8.4120915808163055E-2</v>
      </c>
      <c r="N30" s="254">
        <f t="array" ref="N30">_xll.BCC(DB,_xll.ArrayDPT($AA30:$AG30),_xll.ArrayCOA($AI30:$BB30),YR,PRD,RV,_xll.ArrayDIM($BD30:$BG30))</f>
        <v>0</v>
      </c>
      <c r="O30" s="237">
        <f t="shared" si="24"/>
        <v>0</v>
      </c>
      <c r="P30" s="237">
        <f t="shared" si="25"/>
        <v>-1750</v>
      </c>
      <c r="Q30" s="237">
        <f t="shared" si="26"/>
        <v>8.4120915808163055E-2</v>
      </c>
      <c r="R30" s="254">
        <f t="array" ref="R30">_xll.ACC(DB,_xll.ArrayDPT($AA30:$AG30),_xll.ArrayCOA($AI30:$BB30),YR-1,PRD,_xll.ArrayDIM($BD30:$BG30))</f>
        <v>0</v>
      </c>
      <c r="S30" s="237">
        <f t="shared" si="27"/>
        <v>0</v>
      </c>
      <c r="T30" s="295"/>
      <c r="U30" s="295"/>
      <c r="V30" s="295"/>
      <c r="W30" s="295"/>
      <c r="X30" s="295"/>
      <c r="Y30" s="295"/>
      <c r="Z30" s="295"/>
      <c r="AA30" s="95" t="s">
        <v>756</v>
      </c>
      <c r="AB30" s="96" t="s">
        <v>743</v>
      </c>
      <c r="AC30" s="96" t="s">
        <v>744</v>
      </c>
      <c r="AD30" s="96" t="s">
        <v>745</v>
      </c>
      <c r="AE30" s="96" t="s">
        <v>746</v>
      </c>
      <c r="AF30" s="96" t="s">
        <v>773</v>
      </c>
      <c r="AG30" s="96"/>
      <c r="AH30" s="97"/>
      <c r="AI30" s="95" t="s">
        <v>651</v>
      </c>
      <c r="AJ30" s="96" t="s">
        <v>651</v>
      </c>
      <c r="AK30" s="95"/>
      <c r="AL30" s="96"/>
      <c r="AM30" s="95"/>
      <c r="AN30" s="96"/>
      <c r="AO30" s="95"/>
      <c r="AP30" s="98"/>
      <c r="AQ30" s="96"/>
      <c r="AR30" s="96"/>
      <c r="AS30" s="95"/>
      <c r="AT30" s="98"/>
      <c r="AU30" s="96"/>
      <c r="AV30" s="96"/>
      <c r="AW30" s="95"/>
      <c r="AX30" s="98"/>
      <c r="AY30" s="96"/>
      <c r="AZ30" s="96"/>
      <c r="BA30" s="95"/>
      <c r="BB30" s="98"/>
      <c r="BC30" s="99"/>
      <c r="BD30" s="95"/>
      <c r="BE30" s="96"/>
      <c r="BF30" s="96"/>
      <c r="BG30" s="98"/>
    </row>
    <row r="31" spans="1:62" ht="12" customHeight="1">
      <c r="A31" s="254">
        <f t="array" ref="A31">_xll.AC(DB,_xll.ArrayDPT($AA31:$AG31),_xll.ArrayCOA($AI31:$BB31),YR-1,PRD,_xll.ArrayDIM($BD31:$BG31))</f>
        <v>0</v>
      </c>
      <c r="B31" s="237">
        <f t="shared" si="18"/>
        <v>0</v>
      </c>
      <c r="C31" s="237">
        <f t="shared" si="19"/>
        <v>-7800</v>
      </c>
      <c r="D31" s="237">
        <f t="shared" si="20"/>
        <v>1.5198303074388739</v>
      </c>
      <c r="E31" s="254">
        <f t="array" ref="E31">_xll.BC(DB,_xll.ArrayDPT($AA31:$AG31),_xll.ArrayCOA($AI31:$BB31),YR,PRD,RV,_xll.ArrayDIM($BD31:$BG31))</f>
        <v>0</v>
      </c>
      <c r="F31" s="237">
        <f t="shared" si="21"/>
        <v>0</v>
      </c>
      <c r="G31" s="254">
        <f t="array" ref="G31">_xll.AC(DB,_xll.ArrayDPT($AA31:$AG31),_xll.ArrayCOA($AI31:$BB31),YR,PRD,_xll.ArrayDIM($BD31:$BG31))</f>
        <v>7800</v>
      </c>
      <c r="H31" s="237">
        <f t="shared" si="22"/>
        <v>1.5198303074388739</v>
      </c>
      <c r="I31" s="237"/>
      <c r="J31" s="328" t="s">
        <v>778</v>
      </c>
      <c r="K31" s="237"/>
      <c r="L31" s="254">
        <f t="array" ref="L31">_xll.ACC(DB,_xll.ArrayDPT($AA31:$AG31),_xll.ArrayCOA($AI31:$BB31),YR,PRD,_xll.ArrayDIM($BD31:$BG31))</f>
        <v>7800</v>
      </c>
      <c r="M31" s="237">
        <f t="shared" si="23"/>
        <v>0.3749389390306696</v>
      </c>
      <c r="N31" s="254">
        <f t="array" ref="N31">_xll.BCC(DB,_xll.ArrayDPT($AA31:$AG31),_xll.ArrayCOA($AI31:$BB31),YR,PRD,RV,_xll.ArrayDIM($BD31:$BG31))</f>
        <v>0</v>
      </c>
      <c r="O31" s="237">
        <f t="shared" si="24"/>
        <v>0</v>
      </c>
      <c r="P31" s="237">
        <f t="shared" si="25"/>
        <v>-7800</v>
      </c>
      <c r="Q31" s="237">
        <f t="shared" si="26"/>
        <v>0.3749389390306696</v>
      </c>
      <c r="R31" s="254">
        <f t="array" ref="R31">_xll.ACC(DB,_xll.ArrayDPT($AA31:$AG31),_xll.ArrayCOA($AI31:$BB31),YR-1,PRD,_xll.ArrayDIM($BD31:$BG31))</f>
        <v>0</v>
      </c>
      <c r="S31" s="237">
        <f t="shared" si="27"/>
        <v>0</v>
      </c>
      <c r="T31" s="295"/>
      <c r="U31" s="295"/>
      <c r="V31" s="295"/>
      <c r="W31" s="295"/>
      <c r="X31" s="295"/>
      <c r="Y31" s="295"/>
      <c r="Z31" s="295"/>
      <c r="AA31" s="95" t="s">
        <v>756</v>
      </c>
      <c r="AB31" s="96" t="s">
        <v>743</v>
      </c>
      <c r="AC31" s="96" t="s">
        <v>744</v>
      </c>
      <c r="AD31" s="96" t="s">
        <v>745</v>
      </c>
      <c r="AE31" s="96" t="s">
        <v>746</v>
      </c>
      <c r="AF31" s="96" t="s">
        <v>773</v>
      </c>
      <c r="AG31" s="96"/>
      <c r="AH31" s="97"/>
      <c r="AI31" s="95" t="s">
        <v>779</v>
      </c>
      <c r="AJ31" s="96" t="s">
        <v>779</v>
      </c>
      <c r="AK31" s="95"/>
      <c r="AL31" s="96"/>
      <c r="AM31" s="95"/>
      <c r="AN31" s="96"/>
      <c r="AO31" s="95"/>
      <c r="AP31" s="98"/>
      <c r="AQ31" s="96"/>
      <c r="AR31" s="96"/>
      <c r="AS31" s="95"/>
      <c r="AT31" s="98"/>
      <c r="AU31" s="96"/>
      <c r="AV31" s="96"/>
      <c r="AW31" s="95"/>
      <c r="AX31" s="98"/>
      <c r="AY31" s="96"/>
      <c r="AZ31" s="96"/>
      <c r="BA31" s="95"/>
      <c r="BB31" s="98"/>
      <c r="BC31" s="99"/>
      <c r="BD31" s="95"/>
      <c r="BE31" s="96"/>
      <c r="BF31" s="96"/>
      <c r="BG31" s="98"/>
    </row>
    <row r="32" spans="1:62" ht="12" customHeight="1">
      <c r="A32" s="254">
        <f t="array" ref="A32">_xll.AC(DB,_xll.ArrayDPT($AA32:$AG32),_xll.ArrayCOA($AI32:$BB32),YR-1,PRD,_xll.ArrayDIM($BD32:$BG32))</f>
        <v>0</v>
      </c>
      <c r="B32" s="237">
        <f t="shared" si="18"/>
        <v>0</v>
      </c>
      <c r="C32" s="237">
        <f t="shared" si="19"/>
        <v>0</v>
      </c>
      <c r="D32" s="237">
        <f t="shared" si="20"/>
        <v>0</v>
      </c>
      <c r="E32" s="254">
        <f t="array" ref="E32">_xll.BC(DB,_xll.ArrayDPT($AA32:$AG32),_xll.ArrayCOA($AI32:$BB32),YR,PRD,RV,_xll.ArrayDIM($BD32:$BG32))</f>
        <v>0</v>
      </c>
      <c r="F32" s="237">
        <f t="shared" si="21"/>
        <v>0</v>
      </c>
      <c r="G32" s="254">
        <f t="array" ref="G32">_xll.AC(DB,_xll.ArrayDPT($AA32:$AG32),_xll.ArrayCOA($AI32:$BB32),YR,PRD,_xll.ArrayDIM($BD32:$BG32))</f>
        <v>0</v>
      </c>
      <c r="H32" s="237">
        <f t="shared" si="22"/>
        <v>0</v>
      </c>
      <c r="I32" s="237"/>
      <c r="J32" s="328" t="s">
        <v>652</v>
      </c>
      <c r="K32" s="237"/>
      <c r="L32" s="254">
        <f t="array" ref="L32">_xll.ACC(DB,_xll.ArrayDPT($AA32:$AG32),_xll.ArrayCOA($AI32:$BB32),YR,PRD,_xll.ArrayDIM($BD32:$BG32))</f>
        <v>0</v>
      </c>
      <c r="M32" s="237">
        <f t="shared" si="23"/>
        <v>0</v>
      </c>
      <c r="N32" s="254">
        <f t="array" ref="N32">_xll.BCC(DB,_xll.ArrayDPT($AA32:$AG32),_xll.ArrayCOA($AI32:$BB32),YR,PRD,RV,_xll.ArrayDIM($BD32:$BG32))</f>
        <v>0</v>
      </c>
      <c r="O32" s="237">
        <f t="shared" si="24"/>
        <v>0</v>
      </c>
      <c r="P32" s="237">
        <f t="shared" si="25"/>
        <v>0</v>
      </c>
      <c r="Q32" s="237">
        <f t="shared" si="26"/>
        <v>0</v>
      </c>
      <c r="R32" s="254">
        <f t="array" ref="R32">_xll.ACC(DB,_xll.ArrayDPT($AA32:$AG32),_xll.ArrayCOA($AI32:$BB32),YR-1,PRD,_xll.ArrayDIM($BD32:$BG32))</f>
        <v>0</v>
      </c>
      <c r="S32" s="237">
        <f t="shared" si="27"/>
        <v>0</v>
      </c>
      <c r="T32" s="295"/>
      <c r="U32" s="295"/>
      <c r="V32" s="295"/>
      <c r="W32" s="295"/>
      <c r="X32" s="295"/>
      <c r="Y32" s="295"/>
      <c r="Z32" s="295"/>
      <c r="AA32" s="95" t="s">
        <v>756</v>
      </c>
      <c r="AB32" s="96" t="s">
        <v>743</v>
      </c>
      <c r="AC32" s="96" t="s">
        <v>744</v>
      </c>
      <c r="AD32" s="96" t="s">
        <v>745</v>
      </c>
      <c r="AE32" s="96" t="s">
        <v>746</v>
      </c>
      <c r="AF32" s="96"/>
      <c r="AG32" s="96"/>
      <c r="AH32" s="97"/>
      <c r="AI32" s="95" t="s">
        <v>579</v>
      </c>
      <c r="AJ32" s="96" t="s">
        <v>579</v>
      </c>
      <c r="AK32" s="95"/>
      <c r="AL32" s="96"/>
      <c r="AM32" s="95"/>
      <c r="AN32" s="96"/>
      <c r="AO32" s="95"/>
      <c r="AP32" s="98"/>
      <c r="AQ32" s="96"/>
      <c r="AR32" s="96"/>
      <c r="AS32" s="95"/>
      <c r="AT32" s="98"/>
      <c r="AU32" s="96"/>
      <c r="AV32" s="96"/>
      <c r="AW32" s="95"/>
      <c r="AX32" s="98"/>
      <c r="AY32" s="96"/>
      <c r="AZ32" s="96"/>
      <c r="BA32" s="95"/>
      <c r="BB32" s="98"/>
      <c r="BC32" s="99"/>
      <c r="BD32" s="95"/>
      <c r="BE32" s="96"/>
      <c r="BF32" s="96"/>
      <c r="BG32" s="98"/>
    </row>
    <row r="33" spans="1:59" ht="6" customHeight="1">
      <c r="A33" s="329"/>
      <c r="B33" s="392"/>
      <c r="C33" s="329"/>
      <c r="D33" s="392"/>
      <c r="E33" s="329"/>
      <c r="F33" s="392"/>
      <c r="G33" s="329"/>
      <c r="H33" s="392"/>
      <c r="I33" s="398"/>
      <c r="J33" s="392"/>
      <c r="K33" s="399"/>
      <c r="L33" s="333"/>
      <c r="M33" s="393"/>
      <c r="N33" s="333"/>
      <c r="O33" s="393"/>
      <c r="P33" s="333"/>
      <c r="Q33" s="393"/>
      <c r="R33" s="333"/>
      <c r="S33" s="403"/>
      <c r="T33" s="328"/>
      <c r="U33" s="328"/>
      <c r="V33" s="328"/>
      <c r="W33" s="328"/>
      <c r="X33" s="328"/>
      <c r="Y33" s="328"/>
      <c r="Z33" s="328"/>
      <c r="AA33" s="95"/>
      <c r="AB33" s="96"/>
      <c r="AC33" s="96"/>
      <c r="AD33" s="96"/>
      <c r="AE33" s="96"/>
      <c r="AF33" s="96"/>
      <c r="AG33" s="96"/>
      <c r="AH33" s="97"/>
      <c r="AI33" s="95"/>
      <c r="AJ33" s="96"/>
      <c r="AK33" s="95"/>
      <c r="AL33" s="96"/>
      <c r="AM33" s="95"/>
      <c r="AN33" s="96"/>
      <c r="AO33" s="95"/>
      <c r="AP33" s="98"/>
      <c r="AQ33" s="96"/>
      <c r="AR33" s="96"/>
      <c r="AS33" s="95"/>
      <c r="AT33" s="98"/>
      <c r="AU33" s="96"/>
      <c r="AV33" s="96"/>
      <c r="AW33" s="95"/>
      <c r="AX33" s="98"/>
      <c r="AY33" s="96"/>
      <c r="AZ33" s="96"/>
      <c r="BA33" s="95"/>
      <c r="BB33" s="98"/>
      <c r="BC33" s="99"/>
      <c r="BD33" s="95"/>
      <c r="BE33" s="96"/>
      <c r="BF33" s="96"/>
      <c r="BG33" s="98"/>
    </row>
    <row r="34" spans="1:59" ht="12" customHeight="1">
      <c r="A34" s="338">
        <f>SUM(A25:A32)</f>
        <v>104000</v>
      </c>
      <c r="B34" s="395">
        <f>IF(A34=0,0,(A34*100/A$14))</f>
        <v>12.843336182536902</v>
      </c>
      <c r="C34" s="338">
        <f>SUM(C25:C32)</f>
        <v>-116934.33</v>
      </c>
      <c r="D34" s="395">
        <f>IF(C34=0,0,(C34*100/C$14))</f>
        <v>22.784658809494708</v>
      </c>
      <c r="E34" s="338">
        <f>SUM(E25:E32)</f>
        <v>0</v>
      </c>
      <c r="F34" s="395">
        <f>IF(E34=0,0,(E34*100/E$14))</f>
        <v>0</v>
      </c>
      <c r="G34" s="338">
        <f>SUM(G25:G32)</f>
        <v>116934.33</v>
      </c>
      <c r="H34" s="395">
        <f>IF(G34=0,0,(G34*100/G$14))</f>
        <v>22.784658809494708</v>
      </c>
      <c r="I34" s="404"/>
      <c r="J34" s="336" t="s">
        <v>780</v>
      </c>
      <c r="K34" s="405"/>
      <c r="L34" s="338">
        <f>SUM(L25:L32)</f>
        <v>116934.33</v>
      </c>
      <c r="M34" s="395">
        <f>IF(L34=0,0,(L34*100/L$14))</f>
        <v>5.6209273880079742</v>
      </c>
      <c r="N34" s="338">
        <f>SUM(N25:N32)</f>
        <v>0</v>
      </c>
      <c r="O34" s="395">
        <f>IF(N34=0,0,(N34*100/N$14))</f>
        <v>0</v>
      </c>
      <c r="P34" s="338">
        <f>SUM(P25:P32)</f>
        <v>-116934.33</v>
      </c>
      <c r="Q34" s="395">
        <f>IF(P34=0,0,(P34*100/P$14))</f>
        <v>5.6209273880079742</v>
      </c>
      <c r="R34" s="338">
        <f>SUM(R25:R32)</f>
        <v>104000</v>
      </c>
      <c r="S34" s="400">
        <f>IF(R34=0,0,(R34*100/R$14))</f>
        <v>4.471320174220863</v>
      </c>
      <c r="T34" s="295"/>
      <c r="U34" s="295"/>
      <c r="V34" s="295"/>
      <c r="W34" s="295"/>
      <c r="X34" s="295"/>
      <c r="Y34" s="295"/>
      <c r="Z34" s="295"/>
      <c r="AA34" s="95"/>
      <c r="AB34" s="96"/>
      <c r="AC34" s="96"/>
      <c r="AD34" s="96"/>
      <c r="AE34" s="96"/>
      <c r="AF34" s="96"/>
      <c r="AG34" s="96"/>
      <c r="AH34" s="97"/>
      <c r="AI34" s="95"/>
      <c r="AJ34" s="96"/>
      <c r="AK34" s="95"/>
      <c r="AL34" s="96"/>
      <c r="AM34" s="95"/>
      <c r="AN34" s="96"/>
      <c r="AO34" s="95"/>
      <c r="AP34" s="98"/>
      <c r="AQ34" s="96"/>
      <c r="AR34" s="96"/>
      <c r="AS34" s="95"/>
      <c r="AT34" s="98"/>
      <c r="AU34" s="96"/>
      <c r="AV34" s="96"/>
      <c r="AW34" s="95"/>
      <c r="AX34" s="98"/>
      <c r="AY34" s="96"/>
      <c r="AZ34" s="96"/>
      <c r="BA34" s="95"/>
      <c r="BB34" s="98"/>
      <c r="BC34" s="99"/>
      <c r="BD34" s="95"/>
      <c r="BE34" s="96"/>
      <c r="BF34" s="96"/>
      <c r="BG34" s="98"/>
    </row>
    <row r="35" spans="1:59" ht="12" customHeight="1">
      <c r="A35" s="237"/>
      <c r="B35" s="237"/>
      <c r="C35" s="237"/>
      <c r="D35" s="237"/>
      <c r="E35" s="237"/>
      <c r="F35" s="237"/>
      <c r="G35" s="237"/>
      <c r="H35" s="237"/>
      <c r="I35" s="237"/>
      <c r="J35" s="340" t="s">
        <v>653</v>
      </c>
      <c r="K35" s="237"/>
      <c r="L35" s="237"/>
      <c r="M35" s="237"/>
      <c r="N35" s="237"/>
      <c r="O35" s="237"/>
      <c r="P35" s="237"/>
      <c r="Q35" s="237"/>
      <c r="R35" s="237"/>
      <c r="S35" s="237"/>
      <c r="T35" s="295"/>
      <c r="U35" s="295"/>
      <c r="V35" s="295"/>
      <c r="W35" s="295"/>
      <c r="X35" s="295"/>
      <c r="Y35" s="295"/>
      <c r="Z35" s="295"/>
      <c r="AA35" s="95"/>
      <c r="AB35" s="96"/>
      <c r="AC35" s="96"/>
      <c r="AD35" s="96"/>
      <c r="AE35" s="96"/>
      <c r="AF35" s="96"/>
      <c r="AG35" s="96"/>
      <c r="AH35" s="97"/>
      <c r="AI35" s="95"/>
      <c r="AJ35" s="96"/>
      <c r="AK35" s="95"/>
      <c r="AL35" s="96"/>
      <c r="AM35" s="95"/>
      <c r="AN35" s="96"/>
      <c r="AO35" s="95"/>
      <c r="AP35" s="98"/>
      <c r="AQ35" s="96"/>
      <c r="AR35" s="96"/>
      <c r="AS35" s="95"/>
      <c r="AT35" s="98"/>
      <c r="AU35" s="96"/>
      <c r="AV35" s="96"/>
      <c r="AW35" s="95"/>
      <c r="AX35" s="98"/>
      <c r="AY35" s="96"/>
      <c r="AZ35" s="96"/>
      <c r="BA35" s="95"/>
      <c r="BB35" s="98"/>
      <c r="BC35" s="99"/>
      <c r="BD35" s="95"/>
      <c r="BE35" s="96"/>
      <c r="BF35" s="96"/>
      <c r="BG35" s="98"/>
    </row>
    <row r="36" spans="1:59" ht="12" customHeight="1">
      <c r="A36" s="254">
        <f t="array" ref="A36">_xll.AC(DB,_xll.ArrayDPT($AA36:$AG36),_xll.ArrayCOA($AI36:$BB36),YR-1,PRD,_xll.ArrayDIM($BD36:$BG36))</f>
        <v>0</v>
      </c>
      <c r="B36" s="237">
        <f t="shared" ref="B36:B75" si="28">IF(A36=0,0,(A36*100/A$14))</f>
        <v>0</v>
      </c>
      <c r="C36" s="237">
        <f t="shared" ref="C36:C75" si="29">+E36-G36</f>
        <v>-3238.32</v>
      </c>
      <c r="D36" s="237">
        <f t="shared" ref="D36:D75" si="30">IF(C36=0,0,(C36*100/C$14))</f>
        <v>0.63098677963916083</v>
      </c>
      <c r="E36" s="254">
        <f t="array" ref="E36">_xll.BC(DB,_xll.ArrayDPT($AA36:$AG36),_xll.ArrayCOA($AI36:$BB36),YR,PRD,RV,_xll.ArrayDIM($BD36:$BG36))</f>
        <v>0</v>
      </c>
      <c r="F36" s="237">
        <f t="shared" ref="F36:F75" si="31">IF(E36=0,0,(E36*100/E$14))</f>
        <v>0</v>
      </c>
      <c r="G36" s="254">
        <f t="array" ref="G36">_xll.AC(DB,_xll.ArrayDPT($AA36:$AG36),_xll.ArrayCOA($AI36:$BB36),YR,PRD,_xll.ArrayDIM($BD36:$BG36))</f>
        <v>3238.32</v>
      </c>
      <c r="H36" s="237">
        <f t="shared" ref="H36:H75" si="32">IF(G36=0,0,(G36*100/G$14))</f>
        <v>0.63098677963916083</v>
      </c>
      <c r="I36" s="237"/>
      <c r="J36" s="328" t="s">
        <v>781</v>
      </c>
      <c r="K36" s="237"/>
      <c r="L36" s="254">
        <f t="array" ref="L36">_xll.ACC(DB,_xll.ArrayDPT($AA36:$AG36),_xll.ArrayCOA($AI36:$BB36),YR,PRD,_xll.ArrayDIM($BD36:$BG36))</f>
        <v>3238.32</v>
      </c>
      <c r="M36" s="237">
        <f t="shared" ref="M36:M75" si="33">IF(L36=0,0,(L36*100/L$14))</f>
        <v>0.15566311090279461</v>
      </c>
      <c r="N36" s="254">
        <f t="array" ref="N36">_xll.BCC(DB,_xll.ArrayDPT($AA36:$AG36),_xll.ArrayCOA($AI36:$BB36),YR,PRD,RV,_xll.ArrayDIM($BD36:$BG36))</f>
        <v>0</v>
      </c>
      <c r="O36" s="237">
        <f t="shared" ref="O36:O75" si="34">IF(N36=0,0,(N36*100/N$14))</f>
        <v>0</v>
      </c>
      <c r="P36" s="237">
        <f t="shared" ref="P36:P75" si="35">+N36-L36</f>
        <v>-3238.32</v>
      </c>
      <c r="Q36" s="237">
        <f t="shared" ref="Q36:Q75" si="36">IF(P36=0,0,(P36*100/P$14))</f>
        <v>0.15566311090279461</v>
      </c>
      <c r="R36" s="254">
        <f t="array" ref="R36">_xll.ACC(DB,_xll.ArrayDPT($AA36:$AG36),_xll.ArrayCOA($AI36:$BB36),YR-1,PRD,_xll.ArrayDIM($BD36:$BG36))</f>
        <v>0</v>
      </c>
      <c r="S36" s="237">
        <f t="shared" ref="S36:S75" si="37">IF(R36=0,0,(R36*100/R$14))</f>
        <v>0</v>
      </c>
      <c r="T36" s="295"/>
      <c r="U36" s="295"/>
      <c r="V36" s="295"/>
      <c r="W36" s="295"/>
      <c r="X36" s="295"/>
      <c r="Y36" s="295"/>
      <c r="Z36" s="295"/>
      <c r="AA36" s="95" t="s">
        <v>756</v>
      </c>
      <c r="AB36" s="96" t="s">
        <v>743</v>
      </c>
      <c r="AC36" s="96" t="s">
        <v>744</v>
      </c>
      <c r="AD36" s="96" t="s">
        <v>745</v>
      </c>
      <c r="AE36" s="96" t="s">
        <v>746</v>
      </c>
      <c r="AF36" s="96"/>
      <c r="AG36" s="96"/>
      <c r="AH36" s="97"/>
      <c r="AI36" s="95" t="s">
        <v>782</v>
      </c>
      <c r="AJ36" s="96" t="s">
        <v>782</v>
      </c>
      <c r="AK36" s="95"/>
      <c r="AL36" s="96"/>
      <c r="AM36" s="95"/>
      <c r="AN36" s="96"/>
      <c r="AO36" s="95"/>
      <c r="AP36" s="98"/>
      <c r="AQ36" s="96"/>
      <c r="AR36" s="96"/>
      <c r="AS36" s="95"/>
      <c r="AT36" s="98"/>
      <c r="AU36" s="96"/>
      <c r="AV36" s="96"/>
      <c r="AW36" s="95"/>
      <c r="AX36" s="98"/>
      <c r="AY36" s="96"/>
      <c r="AZ36" s="96"/>
      <c r="BA36" s="95"/>
      <c r="BB36" s="98"/>
      <c r="BC36" s="99"/>
      <c r="BD36" s="95"/>
      <c r="BE36" s="96"/>
      <c r="BF36" s="96"/>
      <c r="BG36" s="98"/>
    </row>
    <row r="37" spans="1:59" ht="12" customHeight="1">
      <c r="A37" s="254">
        <f t="array" ref="A37">_xll.AC(DB,_xll.ArrayDPT($AA37:$AG37),_xll.ArrayCOA($AI37:$BB37),YR-1,PRD,_xll.ArrayDIM($BD37:$BG37))</f>
        <v>0</v>
      </c>
      <c r="B37" s="237">
        <f t="shared" si="28"/>
        <v>0</v>
      </c>
      <c r="C37" s="237">
        <f t="shared" si="29"/>
        <v>-333.74</v>
      </c>
      <c r="D37" s="237">
        <f t="shared" si="30"/>
        <v>6.5029252154442274E-2</v>
      </c>
      <c r="E37" s="254">
        <f t="array" ref="E37">_xll.BC(DB,_xll.ArrayDPT($AA37:$AG37),_xll.ArrayCOA($AI37:$BB37),YR,PRD,RV,_xll.ArrayDIM($BD37:$BG37))</f>
        <v>0</v>
      </c>
      <c r="F37" s="237">
        <f t="shared" si="31"/>
        <v>0</v>
      </c>
      <c r="G37" s="254">
        <f t="array" ref="G37">_xll.AC(DB,_xll.ArrayDPT($AA37:$AG37),_xll.ArrayCOA($AI37:$BB37),YR,PRD,_xll.ArrayDIM($BD37:$BG37))</f>
        <v>333.74</v>
      </c>
      <c r="H37" s="237">
        <f t="shared" si="32"/>
        <v>6.5029252154442274E-2</v>
      </c>
      <c r="I37" s="237"/>
      <c r="J37" s="328" t="s">
        <v>783</v>
      </c>
      <c r="K37" s="237"/>
      <c r="L37" s="254">
        <f t="array" ref="L37">_xll.ACC(DB,_xll.ArrayDPT($AA37:$AG37),_xll.ArrayCOA($AI37:$BB37),YR,PRD,_xll.ArrayDIM($BD37:$BG37))</f>
        <v>333.74</v>
      </c>
      <c r="M37" s="237">
        <f t="shared" si="33"/>
        <v>1.6042579681037908E-2</v>
      </c>
      <c r="N37" s="254">
        <f t="array" ref="N37">_xll.BCC(DB,_xll.ArrayDPT($AA37:$AG37),_xll.ArrayCOA($AI37:$BB37),YR,PRD,RV,_xll.ArrayDIM($BD37:$BG37))</f>
        <v>0</v>
      </c>
      <c r="O37" s="237">
        <f t="shared" si="34"/>
        <v>0</v>
      </c>
      <c r="P37" s="237">
        <f t="shared" si="35"/>
        <v>-333.74</v>
      </c>
      <c r="Q37" s="237">
        <f t="shared" si="36"/>
        <v>1.6042579681037908E-2</v>
      </c>
      <c r="R37" s="254">
        <f t="array" ref="R37">_xll.ACC(DB,_xll.ArrayDPT($AA37:$AG37),_xll.ArrayCOA($AI37:$BB37),YR-1,PRD,_xll.ArrayDIM($BD37:$BG37))</f>
        <v>0</v>
      </c>
      <c r="S37" s="237">
        <f t="shared" si="37"/>
        <v>0</v>
      </c>
      <c r="T37" s="295"/>
      <c r="U37" s="295"/>
      <c r="V37" s="295"/>
      <c r="W37" s="295"/>
      <c r="X37" s="295"/>
      <c r="Y37" s="295"/>
      <c r="Z37" s="295"/>
      <c r="AA37" s="95" t="s">
        <v>756</v>
      </c>
      <c r="AB37" s="96" t="s">
        <v>743</v>
      </c>
      <c r="AC37" s="96" t="s">
        <v>744</v>
      </c>
      <c r="AD37" s="96" t="s">
        <v>745</v>
      </c>
      <c r="AE37" s="96" t="s">
        <v>746</v>
      </c>
      <c r="AF37" s="96"/>
      <c r="AG37" s="96"/>
      <c r="AH37" s="97"/>
      <c r="AI37" s="95" t="s">
        <v>580</v>
      </c>
      <c r="AJ37" s="96" t="s">
        <v>580</v>
      </c>
      <c r="AK37" s="95"/>
      <c r="AL37" s="96"/>
      <c r="AM37" s="95"/>
      <c r="AN37" s="96"/>
      <c r="AO37" s="95"/>
      <c r="AP37" s="98"/>
      <c r="AQ37" s="96"/>
      <c r="AR37" s="96"/>
      <c r="AS37" s="95"/>
      <c r="AT37" s="98"/>
      <c r="AU37" s="96"/>
      <c r="AV37" s="96"/>
      <c r="AW37" s="95"/>
      <c r="AX37" s="98"/>
      <c r="AY37" s="96"/>
      <c r="AZ37" s="96"/>
      <c r="BA37" s="95"/>
      <c r="BB37" s="98"/>
      <c r="BC37" s="99"/>
      <c r="BD37" s="95"/>
      <c r="BE37" s="96"/>
      <c r="BF37" s="96"/>
      <c r="BG37" s="98"/>
    </row>
    <row r="38" spans="1:59" ht="12" customHeight="1">
      <c r="A38" s="254">
        <f t="array" ref="A38">_xll.AC(DB,_xll.ArrayDPT($AA38:$AG38),_xll.ArrayCOA($AI38:$BB38),YR-1,PRD,_xll.ArrayDIM($BD38:$BG38))</f>
        <v>0</v>
      </c>
      <c r="B38" s="237">
        <f t="shared" si="28"/>
        <v>0</v>
      </c>
      <c r="C38" s="237">
        <f t="shared" si="29"/>
        <v>0</v>
      </c>
      <c r="D38" s="237">
        <f t="shared" si="30"/>
        <v>0</v>
      </c>
      <c r="E38" s="254">
        <f t="array" ref="E38">_xll.BC(DB,_xll.ArrayDPT($AA38:$AG38),_xll.ArrayCOA($AI38:$BB38),YR,PRD,RV,_xll.ArrayDIM($BD38:$BG38))</f>
        <v>0</v>
      </c>
      <c r="F38" s="237">
        <f t="shared" si="31"/>
        <v>0</v>
      </c>
      <c r="G38" s="254">
        <f t="array" ref="G38">_xll.AC(DB,_xll.ArrayDPT($AA38:$AG38),_xll.ArrayCOA($AI38:$BB38),YR,PRD,_xll.ArrayDIM($BD38:$BG38))</f>
        <v>0</v>
      </c>
      <c r="H38" s="237">
        <f t="shared" si="32"/>
        <v>0</v>
      </c>
      <c r="I38" s="237"/>
      <c r="J38" s="328" t="s">
        <v>784</v>
      </c>
      <c r="K38" s="237"/>
      <c r="L38" s="254">
        <f t="array" ref="L38">_xll.ACC(DB,_xll.ArrayDPT($AA38:$AG38),_xll.ArrayCOA($AI38:$BB38),YR,PRD,_xll.ArrayDIM($BD38:$BG38))</f>
        <v>0</v>
      </c>
      <c r="M38" s="237">
        <f t="shared" si="33"/>
        <v>0</v>
      </c>
      <c r="N38" s="254">
        <f t="array" ref="N38">_xll.BCC(DB,_xll.ArrayDPT($AA38:$AG38),_xll.ArrayCOA($AI38:$BB38),YR,PRD,RV,_xll.ArrayDIM($BD38:$BG38))</f>
        <v>0</v>
      </c>
      <c r="O38" s="237">
        <f t="shared" si="34"/>
        <v>0</v>
      </c>
      <c r="P38" s="237">
        <f t="shared" si="35"/>
        <v>0</v>
      </c>
      <c r="Q38" s="237">
        <f t="shared" si="36"/>
        <v>0</v>
      </c>
      <c r="R38" s="254">
        <f t="array" ref="R38">_xll.ACC(DB,_xll.ArrayDPT($AA38:$AG38),_xll.ArrayCOA($AI38:$BB38),YR-1,PRD,_xll.ArrayDIM($BD38:$BG38))</f>
        <v>0</v>
      </c>
      <c r="S38" s="237">
        <f t="shared" si="37"/>
        <v>0</v>
      </c>
      <c r="T38" s="295"/>
      <c r="U38" s="295"/>
      <c r="V38" s="295"/>
      <c r="W38" s="295"/>
      <c r="X38" s="295"/>
      <c r="Y38" s="295"/>
      <c r="Z38" s="295"/>
      <c r="AA38" s="95" t="s">
        <v>756</v>
      </c>
      <c r="AB38" s="96" t="s">
        <v>743</v>
      </c>
      <c r="AC38" s="96" t="s">
        <v>744</v>
      </c>
      <c r="AD38" s="96" t="s">
        <v>745</v>
      </c>
      <c r="AE38" s="96" t="s">
        <v>746</v>
      </c>
      <c r="AF38" s="96"/>
      <c r="AG38" s="96"/>
      <c r="AH38" s="97"/>
      <c r="AI38" s="95" t="s">
        <v>655</v>
      </c>
      <c r="AJ38" s="96" t="s">
        <v>655</v>
      </c>
      <c r="AK38" s="95"/>
      <c r="AL38" s="96"/>
      <c r="AM38" s="95"/>
      <c r="AN38" s="96"/>
      <c r="AO38" s="95"/>
      <c r="AP38" s="98"/>
      <c r="AQ38" s="96"/>
      <c r="AR38" s="96"/>
      <c r="AS38" s="95"/>
      <c r="AT38" s="98"/>
      <c r="AU38" s="96"/>
      <c r="AV38" s="96"/>
      <c r="AW38" s="95"/>
      <c r="AX38" s="98"/>
      <c r="AY38" s="96"/>
      <c r="AZ38" s="96"/>
      <c r="BA38" s="95"/>
      <c r="BB38" s="98"/>
      <c r="BC38" s="99"/>
      <c r="BD38" s="95"/>
      <c r="BE38" s="96"/>
      <c r="BF38" s="96"/>
      <c r="BG38" s="98"/>
    </row>
    <row r="39" spans="1:59" ht="12" customHeight="1">
      <c r="A39" s="254">
        <f t="array" ref="A39">_xll.AC(DB,_xll.ArrayDPT($AA39:$AG39),_xll.ArrayCOA($AI39:$BB39),YR-1,PRD,_xll.ArrayDIM($BD39:$BG39))</f>
        <v>5500</v>
      </c>
      <c r="B39" s="237">
        <f t="shared" si="28"/>
        <v>0.67921489426877846</v>
      </c>
      <c r="C39" s="237">
        <f t="shared" si="29"/>
        <v>-5500</v>
      </c>
      <c r="D39" s="237">
        <f t="shared" si="30"/>
        <v>1.0716752167838213</v>
      </c>
      <c r="E39" s="254">
        <f t="array" ref="E39">_xll.BC(DB,_xll.ArrayDPT($AA39:$AG39),_xll.ArrayCOA($AI39:$BB39),YR,PRD,RV,_xll.ArrayDIM($BD39:$BG39))</f>
        <v>0</v>
      </c>
      <c r="F39" s="237">
        <f t="shared" si="31"/>
        <v>0</v>
      </c>
      <c r="G39" s="254">
        <f t="array" ref="G39">_xll.AC(DB,_xll.ArrayDPT($AA39:$AG39),_xll.ArrayCOA($AI39:$BB39),YR,PRD,_xll.ArrayDIM($BD39:$BG39))</f>
        <v>5500</v>
      </c>
      <c r="H39" s="237">
        <f t="shared" si="32"/>
        <v>1.0716752167838213</v>
      </c>
      <c r="I39" s="237"/>
      <c r="J39" s="328" t="s">
        <v>667</v>
      </c>
      <c r="K39" s="237"/>
      <c r="L39" s="254">
        <f t="array" ref="L39">_xll.ACC(DB,_xll.ArrayDPT($AA39:$AG39),_xll.ArrayCOA($AI39:$BB39),YR,PRD,_xll.ArrayDIM($BD39:$BG39))</f>
        <v>5500</v>
      </c>
      <c r="M39" s="237">
        <f t="shared" si="33"/>
        <v>0.2643800211113696</v>
      </c>
      <c r="N39" s="254">
        <f t="array" ref="N39">_xll.BCC(DB,_xll.ArrayDPT($AA39:$AG39),_xll.ArrayCOA($AI39:$BB39),YR,PRD,RV,_xll.ArrayDIM($BD39:$BG39))</f>
        <v>0</v>
      </c>
      <c r="O39" s="237">
        <f t="shared" si="34"/>
        <v>0</v>
      </c>
      <c r="P39" s="237">
        <f t="shared" si="35"/>
        <v>-5500</v>
      </c>
      <c r="Q39" s="237">
        <f t="shared" si="36"/>
        <v>0.2643800211113696</v>
      </c>
      <c r="R39" s="254">
        <f t="array" ref="R39">_xll.ACC(DB,_xll.ArrayDPT($AA39:$AG39),_xll.ArrayCOA($AI39:$BB39),YR-1,PRD,_xll.ArrayDIM($BD39:$BG39))</f>
        <v>5500</v>
      </c>
      <c r="S39" s="237">
        <f t="shared" si="37"/>
        <v>0.23646404767514181</v>
      </c>
      <c r="T39" s="295"/>
      <c r="U39" s="295"/>
      <c r="V39" s="295"/>
      <c r="W39" s="295"/>
      <c r="X39" s="295"/>
      <c r="Y39" s="295"/>
      <c r="Z39" s="295"/>
      <c r="AA39" s="95" t="s">
        <v>756</v>
      </c>
      <c r="AB39" s="96" t="s">
        <v>743</v>
      </c>
      <c r="AC39" s="96" t="s">
        <v>744</v>
      </c>
      <c r="AD39" s="96" t="s">
        <v>745</v>
      </c>
      <c r="AE39" s="96" t="s">
        <v>746</v>
      </c>
      <c r="AF39" s="96"/>
      <c r="AG39" s="96"/>
      <c r="AH39" s="97"/>
      <c r="AI39" s="95" t="s">
        <v>668</v>
      </c>
      <c r="AJ39" s="96" t="s">
        <v>668</v>
      </c>
      <c r="AK39" s="95"/>
      <c r="AL39" s="96"/>
      <c r="AM39" s="95"/>
      <c r="AN39" s="96"/>
      <c r="AO39" s="95"/>
      <c r="AP39" s="98"/>
      <c r="AQ39" s="96"/>
      <c r="AR39" s="96"/>
      <c r="AS39" s="95"/>
      <c r="AT39" s="98"/>
      <c r="AU39" s="96"/>
      <c r="AV39" s="96"/>
      <c r="AW39" s="95"/>
      <c r="AX39" s="98"/>
      <c r="AY39" s="96"/>
      <c r="AZ39" s="96"/>
      <c r="BA39" s="95"/>
      <c r="BB39" s="98"/>
      <c r="BC39" s="99"/>
      <c r="BD39" s="95"/>
      <c r="BE39" s="96"/>
      <c r="BF39" s="96"/>
      <c r="BG39" s="98"/>
    </row>
    <row r="40" spans="1:59" ht="12" customHeight="1">
      <c r="A40" s="254">
        <f t="array" ref="A40">_xll.AC(DB,_xll.ArrayDPT($AA40:$AG40),_xll.ArrayCOA($AI40:$BB40),YR-1,PRD,_xll.ArrayDIM($BD40:$BG40))</f>
        <v>0</v>
      </c>
      <c r="B40" s="237">
        <f t="shared" si="28"/>
        <v>0</v>
      </c>
      <c r="C40" s="237">
        <f t="shared" si="29"/>
        <v>-22910.03</v>
      </c>
      <c r="D40" s="237">
        <f t="shared" si="30"/>
        <v>4.4640202485043368</v>
      </c>
      <c r="E40" s="254">
        <f t="array" ref="E40">_xll.BC(DB,_xll.ArrayDPT($AA40:$AG40),_xll.ArrayCOA($AI40:$BB40),YR,PRD,RV,_xll.ArrayDIM($BD40:$BG40))</f>
        <v>0</v>
      </c>
      <c r="F40" s="237">
        <f t="shared" si="31"/>
        <v>0</v>
      </c>
      <c r="G40" s="254">
        <f t="array" ref="G40">_xll.AC(DB,_xll.ArrayDPT($AA40:$AG40),_xll.ArrayCOA($AI40:$BB40),YR,PRD,_xll.ArrayDIM($BD40:$BG40))</f>
        <v>22910.03</v>
      </c>
      <c r="H40" s="237">
        <f t="shared" si="32"/>
        <v>4.4640202485043368</v>
      </c>
      <c r="I40" s="237"/>
      <c r="J40" s="328" t="s">
        <v>785</v>
      </c>
      <c r="K40" s="237"/>
      <c r="L40" s="254">
        <f t="array" ref="L40">_xll.ACC(DB,_xll.ArrayDPT($AA40:$AG40),_xll.ArrayCOA($AI40:$BB40),YR,PRD,_xll.ArrayDIM($BD40:$BG40))</f>
        <v>22910.03</v>
      </c>
      <c r="M40" s="237">
        <f t="shared" si="33"/>
        <v>1.1012644027385656</v>
      </c>
      <c r="N40" s="254">
        <f t="array" ref="N40">_xll.BCC(DB,_xll.ArrayDPT($AA40:$AG40),_xll.ArrayCOA($AI40:$BB40),YR,PRD,RV,_xll.ArrayDIM($BD40:$BG40))</f>
        <v>0</v>
      </c>
      <c r="O40" s="237">
        <f t="shared" si="34"/>
        <v>0</v>
      </c>
      <c r="P40" s="237">
        <f t="shared" si="35"/>
        <v>-22910.03</v>
      </c>
      <c r="Q40" s="237">
        <f t="shared" si="36"/>
        <v>1.1012644027385656</v>
      </c>
      <c r="R40" s="254">
        <f t="array" ref="R40">_xll.ACC(DB,_xll.ArrayDPT($AA40:$AG40),_xll.ArrayCOA($AI40:$BB40),YR-1,PRD,_xll.ArrayDIM($BD40:$BG40))</f>
        <v>0</v>
      </c>
      <c r="S40" s="237">
        <f t="shared" si="37"/>
        <v>0</v>
      </c>
      <c r="T40" s="295"/>
      <c r="U40" s="295"/>
      <c r="V40" s="295"/>
      <c r="W40" s="295"/>
      <c r="X40" s="295"/>
      <c r="Y40" s="295"/>
      <c r="Z40" s="295"/>
      <c r="AA40" s="95" t="s">
        <v>756</v>
      </c>
      <c r="AB40" s="96" t="s">
        <v>743</v>
      </c>
      <c r="AC40" s="96" t="s">
        <v>744</v>
      </c>
      <c r="AD40" s="96" t="s">
        <v>745</v>
      </c>
      <c r="AE40" s="96" t="s">
        <v>746</v>
      </c>
      <c r="AF40" s="96"/>
      <c r="AG40" s="96"/>
      <c r="AH40" s="97"/>
      <c r="AI40" s="95" t="s">
        <v>786</v>
      </c>
      <c r="AJ40" s="96" t="s">
        <v>786</v>
      </c>
      <c r="AK40" s="95"/>
      <c r="AL40" s="96"/>
      <c r="AM40" s="95"/>
      <c r="AN40" s="96"/>
      <c r="AO40" s="95"/>
      <c r="AP40" s="98"/>
      <c r="AQ40" s="96"/>
      <c r="AR40" s="96"/>
      <c r="AS40" s="95"/>
      <c r="AT40" s="98"/>
      <c r="AU40" s="96"/>
      <c r="AV40" s="96"/>
      <c r="AW40" s="95"/>
      <c r="AX40" s="98"/>
      <c r="AY40" s="96"/>
      <c r="AZ40" s="96"/>
      <c r="BA40" s="95"/>
      <c r="BB40" s="98"/>
      <c r="BC40" s="99"/>
      <c r="BD40" s="95"/>
      <c r="BE40" s="96"/>
      <c r="BF40" s="96"/>
      <c r="BG40" s="98"/>
    </row>
    <row r="41" spans="1:59" ht="12" customHeight="1">
      <c r="A41" s="254">
        <f t="array" ref="A41">_xll.AC(DB,_xll.ArrayDPT($AA41:$AG41),_xll.ArrayCOA($AI41:$BB41),YR-1,PRD,_xll.ArrayDIM($BD41:$BG41))</f>
        <v>0</v>
      </c>
      <c r="B41" s="237">
        <f t="shared" si="28"/>
        <v>0</v>
      </c>
      <c r="C41" s="237">
        <f t="shared" si="29"/>
        <v>0</v>
      </c>
      <c r="D41" s="237">
        <f t="shared" si="30"/>
        <v>0</v>
      </c>
      <c r="E41" s="254">
        <f t="array" ref="E41">_xll.BC(DB,_xll.ArrayDPT($AA41:$AG41),_xll.ArrayCOA($AI41:$BB41),YR,PRD,RV,_xll.ArrayDIM($BD41:$BG41))</f>
        <v>0</v>
      </c>
      <c r="F41" s="237">
        <f t="shared" si="31"/>
        <v>0</v>
      </c>
      <c r="G41" s="254">
        <f t="array" ref="G41">_xll.AC(DB,_xll.ArrayDPT($AA41:$AG41),_xll.ArrayCOA($AI41:$BB41),YR,PRD,_xll.ArrayDIM($BD41:$BG41))</f>
        <v>0</v>
      </c>
      <c r="H41" s="237">
        <f t="shared" si="32"/>
        <v>0</v>
      </c>
      <c r="I41" s="237"/>
      <c r="J41" s="328" t="s">
        <v>787</v>
      </c>
      <c r="K41" s="237"/>
      <c r="L41" s="254">
        <f t="array" ref="L41">_xll.ACC(DB,_xll.ArrayDPT($AA41:$AG41),_xll.ArrayCOA($AI41:$BB41),YR,PRD,_xll.ArrayDIM($BD41:$BG41))</f>
        <v>0</v>
      </c>
      <c r="M41" s="237">
        <f t="shared" si="33"/>
        <v>0</v>
      </c>
      <c r="N41" s="254">
        <f t="array" ref="N41">_xll.BCC(DB,_xll.ArrayDPT($AA41:$AG41),_xll.ArrayCOA($AI41:$BB41),YR,PRD,RV,_xll.ArrayDIM($BD41:$BG41))</f>
        <v>0</v>
      </c>
      <c r="O41" s="237">
        <f t="shared" si="34"/>
        <v>0</v>
      </c>
      <c r="P41" s="237">
        <f t="shared" si="35"/>
        <v>0</v>
      </c>
      <c r="Q41" s="237">
        <f t="shared" si="36"/>
        <v>0</v>
      </c>
      <c r="R41" s="254">
        <f t="array" ref="R41">_xll.ACC(DB,_xll.ArrayDPT($AA41:$AG41),_xll.ArrayCOA($AI41:$BB41),YR-1,PRD,_xll.ArrayDIM($BD41:$BG41))</f>
        <v>0</v>
      </c>
      <c r="S41" s="237">
        <f t="shared" si="37"/>
        <v>0</v>
      </c>
      <c r="T41" s="295"/>
      <c r="U41" s="295"/>
      <c r="V41" s="295"/>
      <c r="W41" s="295"/>
      <c r="X41" s="295"/>
      <c r="Y41" s="295"/>
      <c r="Z41" s="295"/>
      <c r="AA41" s="95" t="s">
        <v>756</v>
      </c>
      <c r="AB41" s="96" t="s">
        <v>743</v>
      </c>
      <c r="AC41" s="96" t="s">
        <v>744</v>
      </c>
      <c r="AD41" s="96" t="s">
        <v>745</v>
      </c>
      <c r="AE41" s="96" t="s">
        <v>746</v>
      </c>
      <c r="AF41" s="96"/>
      <c r="AG41" s="96"/>
      <c r="AH41" s="97"/>
      <c r="AI41" s="95"/>
      <c r="AJ41" s="96"/>
      <c r="AK41" s="95"/>
      <c r="AL41" s="96"/>
      <c r="AM41" s="95"/>
      <c r="AN41" s="96"/>
      <c r="AO41" s="95"/>
      <c r="AP41" s="98"/>
      <c r="AQ41" s="96"/>
      <c r="AR41" s="96"/>
      <c r="AS41" s="95"/>
      <c r="AT41" s="98"/>
      <c r="AU41" s="96"/>
      <c r="AV41" s="96"/>
      <c r="AW41" s="95"/>
      <c r="AX41" s="98"/>
      <c r="AY41" s="96"/>
      <c r="AZ41" s="96"/>
      <c r="BA41" s="95"/>
      <c r="BB41" s="98"/>
      <c r="BC41" s="99"/>
      <c r="BD41" s="95"/>
      <c r="BE41" s="96"/>
      <c r="BF41" s="96"/>
      <c r="BG41" s="98"/>
    </row>
    <row r="42" spans="1:59" ht="12" customHeight="1">
      <c r="A42" s="254">
        <f t="array" ref="A42">_xll.AC(DB,_xll.ArrayDPT($AA42:$AG42),_xll.ArrayCOA($AI42:$BB42),YR-1,PRD,_xll.ArrayDIM($BD42:$BG42))</f>
        <v>0</v>
      </c>
      <c r="B42" s="237">
        <f t="shared" si="28"/>
        <v>0</v>
      </c>
      <c r="C42" s="237">
        <f t="shared" si="29"/>
        <v>0</v>
      </c>
      <c r="D42" s="237">
        <f t="shared" si="30"/>
        <v>0</v>
      </c>
      <c r="E42" s="254">
        <f t="array" ref="E42">_xll.BC(DB,_xll.ArrayDPT($AA42:$AG42),_xll.ArrayCOA($AI42:$BB42),YR,PRD,RV,_xll.ArrayDIM($BD42:$BG42))</f>
        <v>0</v>
      </c>
      <c r="F42" s="237">
        <f t="shared" si="31"/>
        <v>0</v>
      </c>
      <c r="G42" s="254">
        <f t="array" ref="G42">_xll.AC(DB,_xll.ArrayDPT($AA42:$AG42),_xll.ArrayCOA($AI42:$BB42),YR,PRD,_xll.ArrayDIM($BD42:$BG42))</f>
        <v>0</v>
      </c>
      <c r="H42" s="237">
        <f t="shared" si="32"/>
        <v>0</v>
      </c>
      <c r="I42" s="237"/>
      <c r="J42" s="328" t="s">
        <v>788</v>
      </c>
      <c r="K42" s="237"/>
      <c r="L42" s="254">
        <f t="array" ref="L42">_xll.ACC(DB,_xll.ArrayDPT($AA42:$AG42),_xll.ArrayCOA($AI42:$BB42),YR,PRD,_xll.ArrayDIM($BD42:$BG42))</f>
        <v>0</v>
      </c>
      <c r="M42" s="237">
        <f t="shared" si="33"/>
        <v>0</v>
      </c>
      <c r="N42" s="254">
        <f t="array" ref="N42">_xll.BCC(DB,_xll.ArrayDPT($AA42:$AG42),_xll.ArrayCOA($AI42:$BB42),YR,PRD,RV,_xll.ArrayDIM($BD42:$BG42))</f>
        <v>0</v>
      </c>
      <c r="O42" s="237">
        <f t="shared" si="34"/>
        <v>0</v>
      </c>
      <c r="P42" s="237">
        <f t="shared" si="35"/>
        <v>0</v>
      </c>
      <c r="Q42" s="237">
        <f t="shared" si="36"/>
        <v>0</v>
      </c>
      <c r="R42" s="254">
        <f t="array" ref="R42">_xll.ACC(DB,_xll.ArrayDPT($AA42:$AG42),_xll.ArrayCOA($AI42:$BB42),YR-1,PRD,_xll.ArrayDIM($BD42:$BG42))</f>
        <v>0</v>
      </c>
      <c r="S42" s="237">
        <f t="shared" si="37"/>
        <v>0</v>
      </c>
      <c r="T42" s="295"/>
      <c r="U42" s="295"/>
      <c r="V42" s="295"/>
      <c r="W42" s="295"/>
      <c r="X42" s="295"/>
      <c r="Y42" s="295"/>
      <c r="Z42" s="295"/>
      <c r="AA42" s="95" t="s">
        <v>756</v>
      </c>
      <c r="AB42" s="96" t="s">
        <v>743</v>
      </c>
      <c r="AC42" s="96" t="s">
        <v>744</v>
      </c>
      <c r="AD42" s="96" t="s">
        <v>745</v>
      </c>
      <c r="AE42" s="96" t="s">
        <v>746</v>
      </c>
      <c r="AF42" s="96"/>
      <c r="AG42" s="96"/>
      <c r="AH42" s="97"/>
      <c r="AI42" s="95" t="s">
        <v>789</v>
      </c>
      <c r="AJ42" s="96" t="s">
        <v>789</v>
      </c>
      <c r="AK42" s="95"/>
      <c r="AL42" s="96"/>
      <c r="AM42" s="95"/>
      <c r="AN42" s="96"/>
      <c r="AO42" s="95"/>
      <c r="AP42" s="98"/>
      <c r="AQ42" s="96"/>
      <c r="AR42" s="96"/>
      <c r="AS42" s="95"/>
      <c r="AT42" s="98"/>
      <c r="AU42" s="96"/>
      <c r="AV42" s="96"/>
      <c r="AW42" s="95"/>
      <c r="AX42" s="98"/>
      <c r="AY42" s="96"/>
      <c r="AZ42" s="96"/>
      <c r="BA42" s="95"/>
      <c r="BB42" s="98"/>
      <c r="BC42" s="99"/>
      <c r="BD42" s="95"/>
      <c r="BE42" s="96"/>
      <c r="BF42" s="96"/>
      <c r="BG42" s="98"/>
    </row>
    <row r="43" spans="1:59" ht="12" customHeight="1">
      <c r="A43" s="254">
        <f t="array" ref="A43">_xll.AC(DB,_xll.ArrayDPT($AA43:$AG43),_xll.ArrayCOA($AI43:$BB43),YR-1,PRD,_xll.ArrayDIM($BD43:$BG43))</f>
        <v>0</v>
      </c>
      <c r="B43" s="237">
        <f t="shared" si="28"/>
        <v>0</v>
      </c>
      <c r="C43" s="237">
        <f t="shared" si="29"/>
        <v>0</v>
      </c>
      <c r="D43" s="237">
        <f t="shared" si="30"/>
        <v>0</v>
      </c>
      <c r="E43" s="254">
        <f t="array" ref="E43">_xll.BC(DB,_xll.ArrayDPT($AA43:$AG43),_xll.ArrayCOA($AI43:$BB43),YR,PRD,RV,_xll.ArrayDIM($BD43:$BG43))</f>
        <v>0</v>
      </c>
      <c r="F43" s="237">
        <f t="shared" si="31"/>
        <v>0</v>
      </c>
      <c r="G43" s="254">
        <f t="array" ref="G43">_xll.AC(DB,_xll.ArrayDPT($AA43:$AG43),_xll.ArrayCOA($AI43:$BB43),YR,PRD,_xll.ArrayDIM($BD43:$BG43))</f>
        <v>0</v>
      </c>
      <c r="H43" s="237">
        <f t="shared" si="32"/>
        <v>0</v>
      </c>
      <c r="I43" s="237"/>
      <c r="J43" s="328" t="s">
        <v>790</v>
      </c>
      <c r="K43" s="237"/>
      <c r="L43" s="254">
        <f t="array" ref="L43">_xll.ACC(DB,_xll.ArrayDPT($AA43:$AG43),_xll.ArrayCOA($AI43:$BB43),YR,PRD,_xll.ArrayDIM($BD43:$BG43))</f>
        <v>0</v>
      </c>
      <c r="M43" s="237">
        <f t="shared" si="33"/>
        <v>0</v>
      </c>
      <c r="N43" s="254">
        <f t="array" ref="N43">_xll.BCC(DB,_xll.ArrayDPT($AA43:$AG43),_xll.ArrayCOA($AI43:$BB43),YR,PRD,RV,_xll.ArrayDIM($BD43:$BG43))</f>
        <v>0</v>
      </c>
      <c r="O43" s="237">
        <f t="shared" si="34"/>
        <v>0</v>
      </c>
      <c r="P43" s="237">
        <f t="shared" si="35"/>
        <v>0</v>
      </c>
      <c r="Q43" s="237">
        <f t="shared" si="36"/>
        <v>0</v>
      </c>
      <c r="R43" s="254">
        <f t="array" ref="R43">_xll.ACC(DB,_xll.ArrayDPT($AA43:$AG43),_xll.ArrayCOA($AI43:$BB43),YR-1,PRD,_xll.ArrayDIM($BD43:$BG43))</f>
        <v>0</v>
      </c>
      <c r="S43" s="237">
        <f t="shared" si="37"/>
        <v>0</v>
      </c>
      <c r="T43" s="295"/>
      <c r="U43" s="295"/>
      <c r="V43" s="295"/>
      <c r="W43" s="295"/>
      <c r="X43" s="295"/>
      <c r="Y43" s="295"/>
      <c r="Z43" s="295"/>
      <c r="AA43" s="95" t="s">
        <v>756</v>
      </c>
      <c r="AB43" s="96" t="s">
        <v>743</v>
      </c>
      <c r="AC43" s="96" t="s">
        <v>744</v>
      </c>
      <c r="AD43" s="96" t="s">
        <v>745</v>
      </c>
      <c r="AE43" s="96" t="s">
        <v>746</v>
      </c>
      <c r="AF43" s="96"/>
      <c r="AG43" s="96"/>
      <c r="AH43" s="97"/>
      <c r="AI43" s="95"/>
      <c r="AJ43" s="96"/>
      <c r="AK43" s="95"/>
      <c r="AL43" s="96"/>
      <c r="AM43" s="95"/>
      <c r="AN43" s="96"/>
      <c r="AO43" s="95"/>
      <c r="AP43" s="98"/>
      <c r="AQ43" s="96"/>
      <c r="AR43" s="96"/>
      <c r="AS43" s="95"/>
      <c r="AT43" s="98"/>
      <c r="AU43" s="96"/>
      <c r="AV43" s="96"/>
      <c r="AW43" s="95"/>
      <c r="AX43" s="98"/>
      <c r="AY43" s="96"/>
      <c r="AZ43" s="96"/>
      <c r="BA43" s="95"/>
      <c r="BB43" s="98"/>
      <c r="BC43" s="99"/>
      <c r="BD43" s="95"/>
      <c r="BE43" s="96"/>
      <c r="BF43" s="96"/>
      <c r="BG43" s="98"/>
    </row>
    <row r="44" spans="1:59" ht="12" customHeight="1">
      <c r="A44" s="254">
        <f t="array" ref="A44">_xll.AC(DB,_xll.ArrayDPT($AA44:$AG44),_xll.ArrayCOA($AI44:$BB44),YR-1,PRD,_xll.ArrayDIM($BD44:$BG44))</f>
        <v>0</v>
      </c>
      <c r="B44" s="237">
        <f t="shared" si="28"/>
        <v>0</v>
      </c>
      <c r="C44" s="237">
        <f t="shared" si="29"/>
        <v>0</v>
      </c>
      <c r="D44" s="237">
        <f t="shared" si="30"/>
        <v>0</v>
      </c>
      <c r="E44" s="254">
        <f t="array" ref="E44">_xll.BC(DB,_xll.ArrayDPT($AA44:$AG44),_xll.ArrayCOA($AI44:$BB44),YR,PRD,RV,_xll.ArrayDIM($BD44:$BG44))</f>
        <v>0</v>
      </c>
      <c r="F44" s="237">
        <f t="shared" si="31"/>
        <v>0</v>
      </c>
      <c r="G44" s="254">
        <f t="array" ref="G44">_xll.AC(DB,_xll.ArrayDPT($AA44:$AG44),_xll.ArrayCOA($AI44:$BB44),YR,PRD,_xll.ArrayDIM($BD44:$BG44))</f>
        <v>0</v>
      </c>
      <c r="H44" s="237">
        <f t="shared" si="32"/>
        <v>0</v>
      </c>
      <c r="I44" s="237"/>
      <c r="J44" s="328" t="s">
        <v>791</v>
      </c>
      <c r="K44" s="237"/>
      <c r="L44" s="254">
        <f t="array" ref="L44">_xll.ACC(DB,_xll.ArrayDPT($AA44:$AG44),_xll.ArrayCOA($AI44:$BB44),YR,PRD,_xll.ArrayDIM($BD44:$BG44))</f>
        <v>0</v>
      </c>
      <c r="M44" s="237">
        <f t="shared" si="33"/>
        <v>0</v>
      </c>
      <c r="N44" s="254">
        <f t="array" ref="N44">_xll.BCC(DB,_xll.ArrayDPT($AA44:$AG44),_xll.ArrayCOA($AI44:$BB44),YR,PRD,RV,_xll.ArrayDIM($BD44:$BG44))</f>
        <v>0</v>
      </c>
      <c r="O44" s="237">
        <f t="shared" si="34"/>
        <v>0</v>
      </c>
      <c r="P44" s="237">
        <f t="shared" si="35"/>
        <v>0</v>
      </c>
      <c r="Q44" s="237">
        <f t="shared" si="36"/>
        <v>0</v>
      </c>
      <c r="R44" s="254">
        <f t="array" ref="R44">_xll.ACC(DB,_xll.ArrayDPT($AA44:$AG44),_xll.ArrayCOA($AI44:$BB44),YR-1,PRD,_xll.ArrayDIM($BD44:$BG44))</f>
        <v>0</v>
      </c>
      <c r="S44" s="237">
        <f t="shared" si="37"/>
        <v>0</v>
      </c>
      <c r="T44" s="295"/>
      <c r="U44" s="295"/>
      <c r="V44" s="295"/>
      <c r="W44" s="295"/>
      <c r="X44" s="295"/>
      <c r="Y44" s="295"/>
      <c r="Z44" s="295"/>
      <c r="AA44" s="95" t="s">
        <v>756</v>
      </c>
      <c r="AB44" s="96" t="s">
        <v>743</v>
      </c>
      <c r="AC44" s="96" t="s">
        <v>744</v>
      </c>
      <c r="AD44" s="96" t="s">
        <v>745</v>
      </c>
      <c r="AE44" s="96" t="s">
        <v>746</v>
      </c>
      <c r="AF44" s="96"/>
      <c r="AG44" s="96"/>
      <c r="AH44" s="97"/>
      <c r="AI44" s="95" t="s">
        <v>673</v>
      </c>
      <c r="AJ44" s="96" t="s">
        <v>673</v>
      </c>
      <c r="AK44" s="95"/>
      <c r="AL44" s="96"/>
      <c r="AM44" s="95"/>
      <c r="AN44" s="96"/>
      <c r="AO44" s="95"/>
      <c r="AP44" s="98"/>
      <c r="AQ44" s="96"/>
      <c r="AR44" s="96"/>
      <c r="AS44" s="95"/>
      <c r="AT44" s="98"/>
      <c r="AU44" s="96"/>
      <c r="AV44" s="96"/>
      <c r="AW44" s="95"/>
      <c r="AX44" s="98"/>
      <c r="AY44" s="96"/>
      <c r="AZ44" s="96"/>
      <c r="BA44" s="95"/>
      <c r="BB44" s="98"/>
      <c r="BC44" s="99"/>
      <c r="BD44" s="95"/>
      <c r="BE44" s="96"/>
      <c r="BF44" s="96"/>
      <c r="BG44" s="98"/>
    </row>
    <row r="45" spans="1:59" ht="12" customHeight="1">
      <c r="A45" s="254">
        <f t="array" ref="A45">_xll.AC(DB,_xll.ArrayDPT($AA45:$AG45),_xll.ArrayCOA($AI45:$BB45),YR-1,PRD,_xll.ArrayDIM($BD45:$BG45))</f>
        <v>0</v>
      </c>
      <c r="B45" s="237">
        <f t="shared" si="28"/>
        <v>0</v>
      </c>
      <c r="C45" s="237">
        <f t="shared" si="29"/>
        <v>0</v>
      </c>
      <c r="D45" s="237">
        <f t="shared" si="30"/>
        <v>0</v>
      </c>
      <c r="E45" s="254">
        <f t="array" ref="E45">_xll.BC(DB,_xll.ArrayDPT($AA45:$AG45),_xll.ArrayCOA($AI45:$BB45),YR,PRD,RV,_xll.ArrayDIM($BD45:$BG45))</f>
        <v>0</v>
      </c>
      <c r="F45" s="237">
        <f t="shared" si="31"/>
        <v>0</v>
      </c>
      <c r="G45" s="254">
        <f t="array" ref="G45">_xll.AC(DB,_xll.ArrayDPT($AA45:$AG45),_xll.ArrayCOA($AI45:$BB45),YR,PRD,_xll.ArrayDIM($BD45:$BG45))</f>
        <v>0</v>
      </c>
      <c r="H45" s="237">
        <f t="shared" si="32"/>
        <v>0</v>
      </c>
      <c r="I45" s="237"/>
      <c r="J45" s="328" t="s">
        <v>792</v>
      </c>
      <c r="K45" s="237"/>
      <c r="L45" s="254">
        <f t="array" ref="L45">_xll.ACC(DB,_xll.ArrayDPT($AA45:$AG45),_xll.ArrayCOA($AI45:$BB45),YR,PRD,_xll.ArrayDIM($BD45:$BG45))</f>
        <v>0</v>
      </c>
      <c r="M45" s="237">
        <f t="shared" si="33"/>
        <v>0</v>
      </c>
      <c r="N45" s="254">
        <f t="array" ref="N45">_xll.BCC(DB,_xll.ArrayDPT($AA45:$AG45),_xll.ArrayCOA($AI45:$BB45),YR,PRD,RV,_xll.ArrayDIM($BD45:$BG45))</f>
        <v>0</v>
      </c>
      <c r="O45" s="237">
        <f t="shared" si="34"/>
        <v>0</v>
      </c>
      <c r="P45" s="237">
        <f t="shared" si="35"/>
        <v>0</v>
      </c>
      <c r="Q45" s="237">
        <f t="shared" si="36"/>
        <v>0</v>
      </c>
      <c r="R45" s="254">
        <f t="array" ref="R45">_xll.ACC(DB,_xll.ArrayDPT($AA45:$AG45),_xll.ArrayCOA($AI45:$BB45),YR-1,PRD,_xll.ArrayDIM($BD45:$BG45))</f>
        <v>0</v>
      </c>
      <c r="S45" s="237">
        <f t="shared" si="37"/>
        <v>0</v>
      </c>
      <c r="T45" s="295"/>
      <c r="U45" s="295"/>
      <c r="V45" s="295"/>
      <c r="W45" s="295"/>
      <c r="X45" s="295"/>
      <c r="Y45" s="295"/>
      <c r="Z45" s="295"/>
      <c r="AA45" s="95" t="s">
        <v>756</v>
      </c>
      <c r="AB45" s="96" t="s">
        <v>743</v>
      </c>
      <c r="AC45" s="96" t="s">
        <v>744</v>
      </c>
      <c r="AD45" s="96" t="s">
        <v>745</v>
      </c>
      <c r="AE45" s="96" t="s">
        <v>746</v>
      </c>
      <c r="AF45" s="96"/>
      <c r="AG45" s="96"/>
      <c r="AH45" s="97"/>
      <c r="AI45" s="95" t="s">
        <v>793</v>
      </c>
      <c r="AJ45" s="96" t="s">
        <v>793</v>
      </c>
      <c r="AK45" s="95"/>
      <c r="AL45" s="96"/>
      <c r="AM45" s="95"/>
      <c r="AN45" s="96"/>
      <c r="AO45" s="95"/>
      <c r="AP45" s="98"/>
      <c r="AQ45" s="96"/>
      <c r="AR45" s="96"/>
      <c r="AS45" s="95"/>
      <c r="AT45" s="98"/>
      <c r="AU45" s="96"/>
      <c r="AV45" s="96"/>
      <c r="AW45" s="95"/>
      <c r="AX45" s="98"/>
      <c r="AY45" s="96"/>
      <c r="AZ45" s="96"/>
      <c r="BA45" s="95"/>
      <c r="BB45" s="98"/>
      <c r="BC45" s="99"/>
      <c r="BD45" s="95"/>
      <c r="BE45" s="96"/>
      <c r="BF45" s="96"/>
      <c r="BG45" s="98"/>
    </row>
    <row r="46" spans="1:59" ht="12" customHeight="1">
      <c r="A46" s="254">
        <f t="array" ref="A46">_xll.AC(DB,_xll.ArrayDPT($AA46:$AG46),_xll.ArrayCOA($AI46:$BB46),YR-1,PRD,_xll.ArrayDIM($BD46:$BG46))</f>
        <v>0</v>
      </c>
      <c r="B46" s="237">
        <f t="shared" si="28"/>
        <v>0</v>
      </c>
      <c r="C46" s="237">
        <f t="shared" si="29"/>
        <v>0</v>
      </c>
      <c r="D46" s="237">
        <f t="shared" si="30"/>
        <v>0</v>
      </c>
      <c r="E46" s="254">
        <f t="array" ref="E46">_xll.BC(DB,_xll.ArrayDPT($AA46:$AG46),_xll.ArrayCOA($AI46:$BB46),YR,PRD,RV,_xll.ArrayDIM($BD46:$BG46))</f>
        <v>0</v>
      </c>
      <c r="F46" s="237">
        <f t="shared" si="31"/>
        <v>0</v>
      </c>
      <c r="G46" s="254">
        <f t="array" ref="G46">_xll.AC(DB,_xll.ArrayDPT($AA46:$AG46),_xll.ArrayCOA($AI46:$BB46),YR,PRD,_xll.ArrayDIM($BD46:$BG46))</f>
        <v>0</v>
      </c>
      <c r="H46" s="237">
        <f t="shared" si="32"/>
        <v>0</v>
      </c>
      <c r="I46" s="237"/>
      <c r="J46" s="328" t="s">
        <v>794</v>
      </c>
      <c r="K46" s="237"/>
      <c r="L46" s="254">
        <f t="array" ref="L46">_xll.ACC(DB,_xll.ArrayDPT($AA46:$AG46),_xll.ArrayCOA($AI46:$BB46),YR,PRD,_xll.ArrayDIM($BD46:$BG46))</f>
        <v>0</v>
      </c>
      <c r="M46" s="237">
        <f t="shared" si="33"/>
        <v>0</v>
      </c>
      <c r="N46" s="254">
        <f t="array" ref="N46">_xll.BCC(DB,_xll.ArrayDPT($AA46:$AG46),_xll.ArrayCOA($AI46:$BB46),YR,PRD,RV,_xll.ArrayDIM($BD46:$BG46))</f>
        <v>0</v>
      </c>
      <c r="O46" s="237">
        <f t="shared" si="34"/>
        <v>0</v>
      </c>
      <c r="P46" s="237">
        <f t="shared" si="35"/>
        <v>0</v>
      </c>
      <c r="Q46" s="237">
        <f t="shared" si="36"/>
        <v>0</v>
      </c>
      <c r="R46" s="254">
        <f t="array" ref="R46">_xll.ACC(DB,_xll.ArrayDPT($AA46:$AG46),_xll.ArrayCOA($AI46:$BB46),YR-1,PRD,_xll.ArrayDIM($BD46:$BG46))</f>
        <v>0</v>
      </c>
      <c r="S46" s="237">
        <f t="shared" si="37"/>
        <v>0</v>
      </c>
      <c r="T46" s="295"/>
      <c r="U46" s="295"/>
      <c r="V46" s="295"/>
      <c r="W46" s="295"/>
      <c r="X46" s="295"/>
      <c r="Y46" s="295"/>
      <c r="Z46" s="295"/>
      <c r="AA46" s="95" t="s">
        <v>756</v>
      </c>
      <c r="AB46" s="96" t="s">
        <v>743</v>
      </c>
      <c r="AC46" s="96" t="s">
        <v>744</v>
      </c>
      <c r="AD46" s="96" t="s">
        <v>745</v>
      </c>
      <c r="AE46" s="96" t="s">
        <v>746</v>
      </c>
      <c r="AF46" s="96"/>
      <c r="AG46" s="96"/>
      <c r="AH46" s="97"/>
      <c r="AI46" s="95"/>
      <c r="AJ46" s="96"/>
      <c r="AK46" s="95"/>
      <c r="AL46" s="96"/>
      <c r="AM46" s="95"/>
      <c r="AN46" s="96"/>
      <c r="AO46" s="95"/>
      <c r="AP46" s="98"/>
      <c r="AQ46" s="96"/>
      <c r="AR46" s="96"/>
      <c r="AS46" s="95"/>
      <c r="AT46" s="98"/>
      <c r="AU46" s="96"/>
      <c r="AV46" s="96"/>
      <c r="AW46" s="95"/>
      <c r="AX46" s="98"/>
      <c r="AY46" s="96"/>
      <c r="AZ46" s="96"/>
      <c r="BA46" s="95"/>
      <c r="BB46" s="98"/>
      <c r="BC46" s="99"/>
      <c r="BD46" s="95"/>
      <c r="BE46" s="96"/>
      <c r="BF46" s="96"/>
      <c r="BG46" s="98"/>
    </row>
    <row r="47" spans="1:59" ht="12" customHeight="1">
      <c r="A47" s="254">
        <f t="array" ref="A47">_xll.AC(DB,_xll.ArrayDPT($AA47:$AG47),_xll.ArrayCOA($AI47:$BB47),YR-1,PRD,_xll.ArrayDIM($BD47:$BG47))</f>
        <v>0</v>
      </c>
      <c r="B47" s="237">
        <f t="shared" si="28"/>
        <v>0</v>
      </c>
      <c r="C47" s="237">
        <f t="shared" si="29"/>
        <v>0</v>
      </c>
      <c r="D47" s="237">
        <f t="shared" si="30"/>
        <v>0</v>
      </c>
      <c r="E47" s="254">
        <f t="array" ref="E47">_xll.BC(DB,_xll.ArrayDPT($AA47:$AG47),_xll.ArrayCOA($AI47:$BB47),YR,PRD,RV,_xll.ArrayDIM($BD47:$BG47))</f>
        <v>0</v>
      </c>
      <c r="F47" s="237">
        <f t="shared" si="31"/>
        <v>0</v>
      </c>
      <c r="G47" s="254">
        <f t="array" ref="G47">_xll.AC(DB,_xll.ArrayDPT($AA47:$AG47),_xll.ArrayCOA($AI47:$BB47),YR,PRD,_xll.ArrayDIM($BD47:$BG47))</f>
        <v>0</v>
      </c>
      <c r="H47" s="237">
        <f t="shared" si="32"/>
        <v>0</v>
      </c>
      <c r="I47" s="237"/>
      <c r="J47" s="328" t="s">
        <v>795</v>
      </c>
      <c r="K47" s="237"/>
      <c r="L47" s="254">
        <f t="array" ref="L47">_xll.ACC(DB,_xll.ArrayDPT($AA47:$AG47),_xll.ArrayCOA($AI47:$BB47),YR,PRD,_xll.ArrayDIM($BD47:$BG47))</f>
        <v>0</v>
      </c>
      <c r="M47" s="237">
        <f t="shared" si="33"/>
        <v>0</v>
      </c>
      <c r="N47" s="254">
        <f t="array" ref="N47">_xll.BCC(DB,_xll.ArrayDPT($AA47:$AG47),_xll.ArrayCOA($AI47:$BB47),YR,PRD,RV,_xll.ArrayDIM($BD47:$BG47))</f>
        <v>0</v>
      </c>
      <c r="O47" s="237">
        <f t="shared" si="34"/>
        <v>0</v>
      </c>
      <c r="P47" s="237">
        <f t="shared" si="35"/>
        <v>0</v>
      </c>
      <c r="Q47" s="237">
        <f t="shared" si="36"/>
        <v>0</v>
      </c>
      <c r="R47" s="254">
        <f t="array" ref="R47">_xll.ACC(DB,_xll.ArrayDPT($AA47:$AG47),_xll.ArrayCOA($AI47:$BB47),YR-1,PRD,_xll.ArrayDIM($BD47:$BG47))</f>
        <v>0</v>
      </c>
      <c r="S47" s="237">
        <f t="shared" si="37"/>
        <v>0</v>
      </c>
      <c r="T47" s="295"/>
      <c r="U47" s="295"/>
      <c r="V47" s="295"/>
      <c r="W47" s="295"/>
      <c r="X47" s="295"/>
      <c r="Y47" s="295"/>
      <c r="Z47" s="295"/>
      <c r="AA47" s="95" t="s">
        <v>756</v>
      </c>
      <c r="AB47" s="96" t="s">
        <v>743</v>
      </c>
      <c r="AC47" s="96" t="s">
        <v>744</v>
      </c>
      <c r="AD47" s="96" t="s">
        <v>745</v>
      </c>
      <c r="AE47" s="96" t="s">
        <v>746</v>
      </c>
      <c r="AF47" s="96"/>
      <c r="AG47" s="96"/>
      <c r="AH47" s="97"/>
      <c r="AI47" s="95"/>
      <c r="AJ47" s="96"/>
      <c r="AK47" s="95"/>
      <c r="AL47" s="96"/>
      <c r="AM47" s="95"/>
      <c r="AN47" s="96"/>
      <c r="AO47" s="95"/>
      <c r="AP47" s="98"/>
      <c r="AQ47" s="96"/>
      <c r="AR47" s="96"/>
      <c r="AS47" s="95"/>
      <c r="AT47" s="98"/>
      <c r="AU47" s="96"/>
      <c r="AV47" s="96"/>
      <c r="AW47" s="95"/>
      <c r="AX47" s="98"/>
      <c r="AY47" s="96"/>
      <c r="AZ47" s="96"/>
      <c r="BA47" s="95"/>
      <c r="BB47" s="98"/>
      <c r="BC47" s="99"/>
      <c r="BD47" s="95"/>
      <c r="BE47" s="96"/>
      <c r="BF47" s="96"/>
      <c r="BG47" s="98"/>
    </row>
    <row r="48" spans="1:59" ht="12" customHeight="1">
      <c r="A48" s="254">
        <f t="array" ref="A48">_xll.AC(DB,_xll.ArrayDPT($AA48:$AG48),_xll.ArrayCOA($AI48:$BB48),YR-1,PRD,_xll.ArrayDIM($BD48:$BG48))</f>
        <v>0</v>
      </c>
      <c r="B48" s="237">
        <f t="shared" si="28"/>
        <v>0</v>
      </c>
      <c r="C48" s="237">
        <f t="shared" si="29"/>
        <v>0</v>
      </c>
      <c r="D48" s="237">
        <f t="shared" si="30"/>
        <v>0</v>
      </c>
      <c r="E48" s="254">
        <f t="array" ref="E48">_xll.BC(DB,_xll.ArrayDPT($AA48:$AG48),_xll.ArrayCOA($AI48:$BB48),YR,PRD,RV,_xll.ArrayDIM($BD48:$BG48))</f>
        <v>0</v>
      </c>
      <c r="F48" s="237">
        <f t="shared" si="31"/>
        <v>0</v>
      </c>
      <c r="G48" s="254">
        <f t="array" ref="G48">_xll.AC(DB,_xll.ArrayDPT($AA48:$AG48),_xll.ArrayCOA($AI48:$BB48),YR,PRD,_xll.ArrayDIM($BD48:$BG48))</f>
        <v>0</v>
      </c>
      <c r="H48" s="237">
        <f t="shared" si="32"/>
        <v>0</v>
      </c>
      <c r="I48" s="237"/>
      <c r="J48" s="328" t="s">
        <v>796</v>
      </c>
      <c r="K48" s="237"/>
      <c r="L48" s="254">
        <f t="array" ref="L48">_xll.ACC(DB,_xll.ArrayDPT($AA48:$AG48),_xll.ArrayCOA($AI48:$BB48),YR,PRD,_xll.ArrayDIM($BD48:$BG48))</f>
        <v>0</v>
      </c>
      <c r="M48" s="237">
        <f t="shared" si="33"/>
        <v>0</v>
      </c>
      <c r="N48" s="254">
        <f t="array" ref="N48">_xll.BCC(DB,_xll.ArrayDPT($AA48:$AG48),_xll.ArrayCOA($AI48:$BB48),YR,PRD,RV,_xll.ArrayDIM($BD48:$BG48))</f>
        <v>0</v>
      </c>
      <c r="O48" s="237">
        <f t="shared" si="34"/>
        <v>0</v>
      </c>
      <c r="P48" s="237">
        <f t="shared" si="35"/>
        <v>0</v>
      </c>
      <c r="Q48" s="237">
        <f t="shared" si="36"/>
        <v>0</v>
      </c>
      <c r="R48" s="254">
        <f t="array" ref="R48">_xll.ACC(DB,_xll.ArrayDPT($AA48:$AG48),_xll.ArrayCOA($AI48:$BB48),YR-1,PRD,_xll.ArrayDIM($BD48:$BG48))</f>
        <v>0</v>
      </c>
      <c r="S48" s="237">
        <f t="shared" si="37"/>
        <v>0</v>
      </c>
      <c r="T48" s="295"/>
      <c r="U48" s="295"/>
      <c r="V48" s="295"/>
      <c r="W48" s="295"/>
      <c r="X48" s="295"/>
      <c r="Y48" s="295"/>
      <c r="Z48" s="295"/>
      <c r="AA48" s="95" t="s">
        <v>756</v>
      </c>
      <c r="AB48" s="96" t="s">
        <v>743</v>
      </c>
      <c r="AC48" s="96" t="s">
        <v>744</v>
      </c>
      <c r="AD48" s="96" t="s">
        <v>745</v>
      </c>
      <c r="AE48" s="96" t="s">
        <v>746</v>
      </c>
      <c r="AF48" s="96"/>
      <c r="AG48" s="96"/>
      <c r="AH48" s="97"/>
      <c r="AI48" s="95"/>
      <c r="AJ48" s="96"/>
      <c r="AK48" s="95"/>
      <c r="AL48" s="96"/>
      <c r="AM48" s="95"/>
      <c r="AN48" s="96"/>
      <c r="AO48" s="95"/>
      <c r="AP48" s="98"/>
      <c r="AQ48" s="96"/>
      <c r="AR48" s="96"/>
      <c r="AS48" s="95"/>
      <c r="AT48" s="98"/>
      <c r="AU48" s="96"/>
      <c r="AV48" s="96"/>
      <c r="AW48" s="95"/>
      <c r="AX48" s="98"/>
      <c r="AY48" s="96"/>
      <c r="AZ48" s="96"/>
      <c r="BA48" s="95"/>
      <c r="BB48" s="98"/>
      <c r="BC48" s="99"/>
      <c r="BD48" s="95"/>
      <c r="BE48" s="96"/>
      <c r="BF48" s="96"/>
      <c r="BG48" s="98"/>
    </row>
    <row r="49" spans="1:59" ht="12" customHeight="1">
      <c r="A49" s="254">
        <f t="array" ref="A49">_xll.AC(DB,_xll.ArrayDPT($AA49:$AG49),_xll.ArrayCOA($AI49:$BB49),YR-1,PRD,_xll.ArrayDIM($BD49:$BG49))</f>
        <v>0</v>
      </c>
      <c r="B49" s="237">
        <f t="shared" si="28"/>
        <v>0</v>
      </c>
      <c r="C49" s="237">
        <f t="shared" si="29"/>
        <v>0</v>
      </c>
      <c r="D49" s="237">
        <f t="shared" si="30"/>
        <v>0</v>
      </c>
      <c r="E49" s="254">
        <f t="array" ref="E49">_xll.BC(DB,_xll.ArrayDPT($AA49:$AG49),_xll.ArrayCOA($AI49:$BB49),YR,PRD,RV,_xll.ArrayDIM($BD49:$BG49))</f>
        <v>0</v>
      </c>
      <c r="F49" s="237">
        <f t="shared" si="31"/>
        <v>0</v>
      </c>
      <c r="G49" s="254">
        <f t="array" ref="G49">_xll.AC(DB,_xll.ArrayDPT($AA49:$AG49),_xll.ArrayCOA($AI49:$BB49),YR,PRD,_xll.ArrayDIM($BD49:$BG49))</f>
        <v>0</v>
      </c>
      <c r="H49" s="237">
        <f t="shared" si="32"/>
        <v>0</v>
      </c>
      <c r="I49" s="237"/>
      <c r="J49" s="328" t="s">
        <v>797</v>
      </c>
      <c r="K49" s="237"/>
      <c r="L49" s="254">
        <f t="array" ref="L49">_xll.ACC(DB,_xll.ArrayDPT($AA49:$AG49),_xll.ArrayCOA($AI49:$BB49),YR,PRD,_xll.ArrayDIM($BD49:$BG49))</f>
        <v>0</v>
      </c>
      <c r="M49" s="237">
        <f t="shared" si="33"/>
        <v>0</v>
      </c>
      <c r="N49" s="254">
        <f t="array" ref="N49">_xll.BCC(DB,_xll.ArrayDPT($AA49:$AG49),_xll.ArrayCOA($AI49:$BB49),YR,PRD,RV,_xll.ArrayDIM($BD49:$BG49))</f>
        <v>0</v>
      </c>
      <c r="O49" s="237">
        <f t="shared" si="34"/>
        <v>0</v>
      </c>
      <c r="P49" s="237">
        <f t="shared" si="35"/>
        <v>0</v>
      </c>
      <c r="Q49" s="237">
        <f t="shared" si="36"/>
        <v>0</v>
      </c>
      <c r="R49" s="254">
        <f t="array" ref="R49">_xll.ACC(DB,_xll.ArrayDPT($AA49:$AG49),_xll.ArrayCOA($AI49:$BB49),YR-1,PRD,_xll.ArrayDIM($BD49:$BG49))</f>
        <v>0</v>
      </c>
      <c r="S49" s="237">
        <f t="shared" si="37"/>
        <v>0</v>
      </c>
      <c r="T49" s="295"/>
      <c r="U49" s="295"/>
      <c r="V49" s="295"/>
      <c r="W49" s="295"/>
      <c r="X49" s="295"/>
      <c r="Y49" s="295"/>
      <c r="Z49" s="295"/>
      <c r="AA49" s="95" t="s">
        <v>756</v>
      </c>
      <c r="AB49" s="96" t="s">
        <v>743</v>
      </c>
      <c r="AC49" s="96" t="s">
        <v>744</v>
      </c>
      <c r="AD49" s="96" t="s">
        <v>745</v>
      </c>
      <c r="AE49" s="96" t="s">
        <v>746</v>
      </c>
      <c r="AF49" s="96"/>
      <c r="AG49" s="96"/>
      <c r="AH49" s="97"/>
      <c r="AI49" s="95" t="s">
        <v>798</v>
      </c>
      <c r="AJ49" s="96" t="s">
        <v>798</v>
      </c>
      <c r="AK49" s="95"/>
      <c r="AL49" s="96"/>
      <c r="AM49" s="95"/>
      <c r="AN49" s="96"/>
      <c r="AO49" s="95"/>
      <c r="AP49" s="98"/>
      <c r="AQ49" s="96"/>
      <c r="AR49" s="96"/>
      <c r="AS49" s="95"/>
      <c r="AT49" s="98"/>
      <c r="AU49" s="96"/>
      <c r="AV49" s="96"/>
      <c r="AW49" s="95"/>
      <c r="AX49" s="98"/>
      <c r="AY49" s="96"/>
      <c r="AZ49" s="96"/>
      <c r="BA49" s="95"/>
      <c r="BB49" s="98"/>
      <c r="BC49" s="99"/>
      <c r="BD49" s="95"/>
      <c r="BE49" s="96"/>
      <c r="BF49" s="96"/>
      <c r="BG49" s="98"/>
    </row>
    <row r="50" spans="1:59" ht="12" customHeight="1">
      <c r="A50" s="254">
        <f t="array" ref="A50">_xll.AC(DB,_xll.ArrayDPT($AA50:$AG50),_xll.ArrayCOA($AI50:$BB50),YR-1,PRD,_xll.ArrayDIM($BD50:$BG50))</f>
        <v>0</v>
      </c>
      <c r="B50" s="237">
        <f t="shared" si="28"/>
        <v>0</v>
      </c>
      <c r="C50" s="237">
        <f t="shared" si="29"/>
        <v>0</v>
      </c>
      <c r="D50" s="237">
        <f t="shared" si="30"/>
        <v>0</v>
      </c>
      <c r="E50" s="254">
        <f t="array" ref="E50">_xll.BC(DB,_xll.ArrayDPT($AA50:$AG50),_xll.ArrayCOA($AI50:$BB50),YR,PRD,RV,_xll.ArrayDIM($BD50:$BG50))</f>
        <v>0</v>
      </c>
      <c r="F50" s="237">
        <f t="shared" si="31"/>
        <v>0</v>
      </c>
      <c r="G50" s="254">
        <f t="array" ref="G50">_xll.AC(DB,_xll.ArrayDPT($AA50:$AG50),_xll.ArrayCOA($AI50:$BB50),YR,PRD,_xll.ArrayDIM($BD50:$BG50))</f>
        <v>0</v>
      </c>
      <c r="H50" s="237">
        <f t="shared" si="32"/>
        <v>0</v>
      </c>
      <c r="I50" s="237"/>
      <c r="J50" s="328" t="s">
        <v>799</v>
      </c>
      <c r="K50" s="237"/>
      <c r="L50" s="254">
        <f t="array" ref="L50">_xll.ACC(DB,_xll.ArrayDPT($AA50:$AG50),_xll.ArrayCOA($AI50:$BB50),YR,PRD,_xll.ArrayDIM($BD50:$BG50))</f>
        <v>0</v>
      </c>
      <c r="M50" s="237">
        <f t="shared" si="33"/>
        <v>0</v>
      </c>
      <c r="N50" s="254">
        <f t="array" ref="N50">_xll.BCC(DB,_xll.ArrayDPT($AA50:$AG50),_xll.ArrayCOA($AI50:$BB50),YR,PRD,RV,_xll.ArrayDIM($BD50:$BG50))</f>
        <v>0</v>
      </c>
      <c r="O50" s="237">
        <f t="shared" si="34"/>
        <v>0</v>
      </c>
      <c r="P50" s="237">
        <f t="shared" si="35"/>
        <v>0</v>
      </c>
      <c r="Q50" s="237">
        <f t="shared" si="36"/>
        <v>0</v>
      </c>
      <c r="R50" s="254">
        <f t="array" ref="R50">_xll.ACC(DB,_xll.ArrayDPT($AA50:$AG50),_xll.ArrayCOA($AI50:$BB50),YR-1,PRD,_xll.ArrayDIM($BD50:$BG50))</f>
        <v>0</v>
      </c>
      <c r="S50" s="237">
        <f t="shared" si="37"/>
        <v>0</v>
      </c>
      <c r="T50" s="295"/>
      <c r="U50" s="295"/>
      <c r="V50" s="295"/>
      <c r="W50" s="295"/>
      <c r="X50" s="295"/>
      <c r="Y50" s="295"/>
      <c r="Z50" s="295"/>
      <c r="AA50" s="95" t="s">
        <v>756</v>
      </c>
      <c r="AB50" s="96" t="s">
        <v>743</v>
      </c>
      <c r="AC50" s="96" t="s">
        <v>744</v>
      </c>
      <c r="AD50" s="96" t="s">
        <v>745</v>
      </c>
      <c r="AE50" s="96" t="s">
        <v>746</v>
      </c>
      <c r="AF50" s="96"/>
      <c r="AG50" s="96"/>
      <c r="AH50" s="97"/>
      <c r="AI50" s="95"/>
      <c r="AJ50" s="96"/>
      <c r="AK50" s="95"/>
      <c r="AL50" s="96"/>
      <c r="AM50" s="95"/>
      <c r="AN50" s="96"/>
      <c r="AO50" s="95"/>
      <c r="AP50" s="98"/>
      <c r="AQ50" s="96"/>
      <c r="AR50" s="96"/>
      <c r="AS50" s="95"/>
      <c r="AT50" s="98"/>
      <c r="AU50" s="96"/>
      <c r="AV50" s="96"/>
      <c r="AW50" s="95"/>
      <c r="AX50" s="98"/>
      <c r="AY50" s="96"/>
      <c r="AZ50" s="96"/>
      <c r="BA50" s="95"/>
      <c r="BB50" s="98"/>
      <c r="BC50" s="99"/>
      <c r="BD50" s="95"/>
      <c r="BE50" s="96"/>
      <c r="BF50" s="96"/>
      <c r="BG50" s="98"/>
    </row>
    <row r="51" spans="1:59" ht="12" customHeight="1">
      <c r="A51" s="254">
        <f t="array" ref="A51">_xll.AC(DB,_xll.ArrayDPT($AA51:$AG51),_xll.ArrayCOA($AI51:$BB51),YR-1,PRD,_xll.ArrayDIM($BD51:$BG51))</f>
        <v>0</v>
      </c>
      <c r="B51" s="237">
        <f t="shared" si="28"/>
        <v>0</v>
      </c>
      <c r="C51" s="237">
        <f t="shared" si="29"/>
        <v>-15113.16</v>
      </c>
      <c r="D51" s="237">
        <f t="shared" si="30"/>
        <v>2.9447998216888323</v>
      </c>
      <c r="E51" s="254">
        <f t="array" ref="E51">_xll.BC(DB,_xll.ArrayDPT($AA51:$AG51),_xll.ArrayCOA($AI51:$BB51),YR,PRD,RV,_xll.ArrayDIM($BD51:$BG51))</f>
        <v>0</v>
      </c>
      <c r="F51" s="237">
        <f t="shared" si="31"/>
        <v>0</v>
      </c>
      <c r="G51" s="254">
        <f t="array" ref="G51">_xll.AC(DB,_xll.ArrayDPT($AA51:$AG51),_xll.ArrayCOA($AI51:$BB51),YR,PRD,_xll.ArrayDIM($BD51:$BG51))</f>
        <v>15113.16</v>
      </c>
      <c r="H51" s="237">
        <f t="shared" si="32"/>
        <v>2.9447998216888323</v>
      </c>
      <c r="I51" s="237"/>
      <c r="J51" s="328" t="s">
        <v>800</v>
      </c>
      <c r="K51" s="237"/>
      <c r="L51" s="254">
        <f t="array" ref="L51">_xll.ACC(DB,_xll.ArrayDPT($AA51:$AG51),_xll.ArrayCOA($AI51:$BB51),YR,PRD,_xll.ArrayDIM($BD51:$BG51))</f>
        <v>15113.16</v>
      </c>
      <c r="M51" s="237">
        <f t="shared" si="33"/>
        <v>0.72647591997445571</v>
      </c>
      <c r="N51" s="254">
        <f t="array" ref="N51">_xll.BCC(DB,_xll.ArrayDPT($AA51:$AG51),_xll.ArrayCOA($AI51:$BB51),YR,PRD,RV,_xll.ArrayDIM($BD51:$BG51))</f>
        <v>0</v>
      </c>
      <c r="O51" s="237">
        <f t="shared" si="34"/>
        <v>0</v>
      </c>
      <c r="P51" s="237">
        <f t="shared" si="35"/>
        <v>-15113.16</v>
      </c>
      <c r="Q51" s="237">
        <f t="shared" si="36"/>
        <v>0.72647591997445571</v>
      </c>
      <c r="R51" s="254">
        <f t="array" ref="R51">_xll.ACC(DB,_xll.ArrayDPT($AA51:$AG51),_xll.ArrayCOA($AI51:$BB51),YR-1,PRD,_xll.ArrayDIM($BD51:$BG51))</f>
        <v>0</v>
      </c>
      <c r="S51" s="237">
        <f t="shared" si="37"/>
        <v>0</v>
      </c>
      <c r="T51" s="295"/>
      <c r="U51" s="295"/>
      <c r="V51" s="295"/>
      <c r="W51" s="295"/>
      <c r="X51" s="295"/>
      <c r="Y51" s="295"/>
      <c r="Z51" s="295"/>
      <c r="AA51" s="95" t="s">
        <v>756</v>
      </c>
      <c r="AB51" s="96" t="s">
        <v>743</v>
      </c>
      <c r="AC51" s="96" t="s">
        <v>744</v>
      </c>
      <c r="AD51" s="96" t="s">
        <v>745</v>
      </c>
      <c r="AE51" s="96" t="s">
        <v>746</v>
      </c>
      <c r="AF51" s="96"/>
      <c r="AG51" s="96"/>
      <c r="AH51" s="97"/>
      <c r="AI51" s="95" t="s">
        <v>681</v>
      </c>
      <c r="AJ51" s="96" t="s">
        <v>681</v>
      </c>
      <c r="AK51" s="95"/>
      <c r="AL51" s="96"/>
      <c r="AM51" s="95"/>
      <c r="AN51" s="96"/>
      <c r="AO51" s="95"/>
      <c r="AP51" s="98"/>
      <c r="AQ51" s="96"/>
      <c r="AR51" s="96"/>
      <c r="AS51" s="95"/>
      <c r="AT51" s="98"/>
      <c r="AU51" s="96"/>
      <c r="AV51" s="96"/>
      <c r="AW51" s="95"/>
      <c r="AX51" s="98"/>
      <c r="AY51" s="96"/>
      <c r="AZ51" s="96"/>
      <c r="BA51" s="95"/>
      <c r="BB51" s="98"/>
      <c r="BC51" s="99"/>
      <c r="BD51" s="95"/>
      <c r="BE51" s="96"/>
      <c r="BF51" s="96"/>
      <c r="BG51" s="98"/>
    </row>
    <row r="52" spans="1:59" ht="12" hidden="1" customHeight="1">
      <c r="A52" s="254">
        <f t="array" ref="A52">_xll.AC(DB,_xll.ArrayDPT($AA52:$AG52),_xll.ArrayCOA($AI52:$BB52),YR-1,PRD,_xll.ArrayDIM($BD52:$BG52))</f>
        <v>0</v>
      </c>
      <c r="B52" s="237">
        <f t="shared" si="28"/>
        <v>0</v>
      </c>
      <c r="C52" s="237">
        <f t="shared" si="29"/>
        <v>0</v>
      </c>
      <c r="D52" s="237">
        <f t="shared" si="30"/>
        <v>0</v>
      </c>
      <c r="E52" s="254">
        <f t="array" ref="E52">_xll.BC(DB,_xll.ArrayDPT($AA52:$AG52),_xll.ArrayCOA($AI52:$BB52),YR,PRD,RV,_xll.ArrayDIM($BD52:$BG52))</f>
        <v>0</v>
      </c>
      <c r="F52" s="237">
        <f t="shared" si="31"/>
        <v>0</v>
      </c>
      <c r="G52" s="254">
        <f t="array" ref="G52">_xll.AC(DB,_xll.ArrayDPT($AA52:$AG52),_xll.ArrayCOA($AI52:$BB52),YR,PRD,_xll.ArrayDIM($BD52:$BG52))</f>
        <v>0</v>
      </c>
      <c r="H52" s="237">
        <f t="shared" si="32"/>
        <v>0</v>
      </c>
      <c r="I52" s="237"/>
      <c r="J52" s="328" t="s">
        <v>677</v>
      </c>
      <c r="K52" s="237"/>
      <c r="L52" s="254">
        <f t="array" ref="L52">_xll.ACC(DB,_xll.ArrayDPT($AA52:$AG52),_xll.ArrayCOA($AI52:$BB52),YR,PRD,_xll.ArrayDIM($BD52:$BG52))</f>
        <v>0</v>
      </c>
      <c r="M52" s="237">
        <f t="shared" si="33"/>
        <v>0</v>
      </c>
      <c r="N52" s="254">
        <f t="array" ref="N52">_xll.BCC(DB,_xll.ArrayDPT($AA52:$AG52),_xll.ArrayCOA($AI52:$BB52),YR,PRD,RV,_xll.ArrayDIM($BD52:$BG52))</f>
        <v>0</v>
      </c>
      <c r="O52" s="237">
        <f t="shared" si="34"/>
        <v>0</v>
      </c>
      <c r="P52" s="237">
        <f t="shared" si="35"/>
        <v>0</v>
      </c>
      <c r="Q52" s="237">
        <f t="shared" si="36"/>
        <v>0</v>
      </c>
      <c r="R52" s="254">
        <f t="array" ref="R52">_xll.ACC(DB,_xll.ArrayDPT($AA52:$AG52),_xll.ArrayCOA($AI52:$BB52),YR-1,PRD,_xll.ArrayDIM($BD52:$BG52))</f>
        <v>0</v>
      </c>
      <c r="S52" s="237">
        <f t="shared" si="37"/>
        <v>0</v>
      </c>
      <c r="T52" s="295"/>
      <c r="U52" s="295"/>
      <c r="V52" s="295"/>
      <c r="W52" s="295"/>
      <c r="X52" s="295"/>
      <c r="Y52" s="295"/>
      <c r="Z52" s="295"/>
      <c r="AA52" s="95" t="s">
        <v>756</v>
      </c>
      <c r="AB52" s="96" t="s">
        <v>743</v>
      </c>
      <c r="AC52" s="96" t="s">
        <v>744</v>
      </c>
      <c r="AD52" s="96" t="s">
        <v>745</v>
      </c>
      <c r="AE52" s="96" t="s">
        <v>746</v>
      </c>
      <c r="AF52" s="96"/>
      <c r="AG52" s="96"/>
      <c r="AH52" s="97"/>
      <c r="AI52" s="95"/>
      <c r="AJ52" s="96"/>
      <c r="AK52" s="95"/>
      <c r="AL52" s="96"/>
      <c r="AM52" s="95"/>
      <c r="AN52" s="96"/>
      <c r="AO52" s="95"/>
      <c r="AP52" s="98"/>
      <c r="AQ52" s="96"/>
      <c r="AR52" s="96"/>
      <c r="AS52" s="95"/>
      <c r="AT52" s="98"/>
      <c r="AU52" s="96"/>
      <c r="AV52" s="96"/>
      <c r="AW52" s="95"/>
      <c r="AX52" s="98"/>
      <c r="AY52" s="96"/>
      <c r="AZ52" s="96"/>
      <c r="BA52" s="95"/>
      <c r="BB52" s="98"/>
      <c r="BC52" s="99"/>
      <c r="BD52" s="95"/>
      <c r="BE52" s="96"/>
      <c r="BF52" s="96"/>
      <c r="BG52" s="98"/>
    </row>
    <row r="53" spans="1:59" ht="12" customHeight="1">
      <c r="A53" s="254">
        <f t="array" ref="A53">_xll.AC(DB,_xll.ArrayDPT($AA53:$AG53),_xll.ArrayCOA($AI53:$BB53),YR-1,PRD,_xll.ArrayDIM($BD53:$BG53))</f>
        <v>0</v>
      </c>
      <c r="B53" s="237">
        <f t="shared" si="28"/>
        <v>0</v>
      </c>
      <c r="C53" s="237">
        <f t="shared" si="29"/>
        <v>0</v>
      </c>
      <c r="D53" s="237">
        <f t="shared" si="30"/>
        <v>0</v>
      </c>
      <c r="E53" s="254">
        <f t="array" ref="E53">_xll.BC(DB,_xll.ArrayDPT($AA53:$AG53),_xll.ArrayCOA($AI53:$BB53),YR,PRD,RV,_xll.ArrayDIM($BD53:$BG53))</f>
        <v>0</v>
      </c>
      <c r="F53" s="237">
        <f t="shared" si="31"/>
        <v>0</v>
      </c>
      <c r="G53" s="254">
        <f t="array" ref="G53">_xll.AC(DB,_xll.ArrayDPT($AA53:$AG53),_xll.ArrayCOA($AI53:$BB53),YR,PRD,_xll.ArrayDIM($BD53:$BG53))</f>
        <v>0</v>
      </c>
      <c r="H53" s="237">
        <f t="shared" si="32"/>
        <v>0</v>
      </c>
      <c r="I53" s="237"/>
      <c r="J53" s="328" t="s">
        <v>801</v>
      </c>
      <c r="K53" s="237"/>
      <c r="L53" s="254">
        <f t="array" ref="L53">_xll.ACC(DB,_xll.ArrayDPT($AA53:$AG53),_xll.ArrayCOA($AI53:$BB53),YR,PRD,_xll.ArrayDIM($BD53:$BG53))</f>
        <v>0</v>
      </c>
      <c r="M53" s="237">
        <f t="shared" si="33"/>
        <v>0</v>
      </c>
      <c r="N53" s="254">
        <f t="array" ref="N53">_xll.BCC(DB,_xll.ArrayDPT($AA53:$AG53),_xll.ArrayCOA($AI53:$BB53),YR,PRD,RV,_xll.ArrayDIM($BD53:$BG53))</f>
        <v>0</v>
      </c>
      <c r="O53" s="237">
        <f t="shared" si="34"/>
        <v>0</v>
      </c>
      <c r="P53" s="237">
        <f t="shared" si="35"/>
        <v>0</v>
      </c>
      <c r="Q53" s="237">
        <f t="shared" si="36"/>
        <v>0</v>
      </c>
      <c r="R53" s="254">
        <f t="array" ref="R53">_xll.ACC(DB,_xll.ArrayDPT($AA53:$AG53),_xll.ArrayCOA($AI53:$BB53),YR-1,PRD,_xll.ArrayDIM($BD53:$BG53))</f>
        <v>0</v>
      </c>
      <c r="S53" s="237">
        <f t="shared" si="37"/>
        <v>0</v>
      </c>
      <c r="T53" s="295"/>
      <c r="U53" s="295"/>
      <c r="V53" s="295"/>
      <c r="W53" s="295"/>
      <c r="X53" s="295"/>
      <c r="Y53" s="295"/>
      <c r="Z53" s="295"/>
      <c r="AA53" s="95" t="s">
        <v>756</v>
      </c>
      <c r="AB53" s="96" t="s">
        <v>743</v>
      </c>
      <c r="AC53" s="96" t="s">
        <v>744</v>
      </c>
      <c r="AD53" s="96" t="s">
        <v>745</v>
      </c>
      <c r="AE53" s="96" t="s">
        <v>746</v>
      </c>
      <c r="AF53" s="96"/>
      <c r="AG53" s="96"/>
      <c r="AH53" s="97"/>
      <c r="AI53" s="95" t="s">
        <v>802</v>
      </c>
      <c r="AJ53" s="96" t="s">
        <v>802</v>
      </c>
      <c r="AK53" s="95"/>
      <c r="AL53" s="96"/>
      <c r="AM53" s="95"/>
      <c r="AN53" s="96"/>
      <c r="AO53" s="95"/>
      <c r="AP53" s="98"/>
      <c r="AQ53" s="96"/>
      <c r="AR53" s="96"/>
      <c r="AS53" s="95"/>
      <c r="AT53" s="98"/>
      <c r="AU53" s="96"/>
      <c r="AV53" s="96"/>
      <c r="AW53" s="95"/>
      <c r="AX53" s="98"/>
      <c r="AY53" s="96"/>
      <c r="AZ53" s="96"/>
      <c r="BA53" s="95"/>
      <c r="BB53" s="98"/>
      <c r="BC53" s="99"/>
      <c r="BD53" s="95"/>
      <c r="BE53" s="96"/>
      <c r="BF53" s="96"/>
      <c r="BG53" s="98"/>
    </row>
    <row r="54" spans="1:59" ht="12" customHeight="1">
      <c r="A54" s="254">
        <f t="array" ref="A54">_xll.AC(DB,_xll.ArrayDPT($AA54:$AG54),_xll.ArrayCOA($AI54:$BB54),YR-1,PRD,_xll.ArrayDIM($BD54:$BG54))</f>
        <v>0</v>
      </c>
      <c r="B54" s="237">
        <f t="shared" si="28"/>
        <v>0</v>
      </c>
      <c r="C54" s="237">
        <f t="shared" si="29"/>
        <v>-170</v>
      </c>
      <c r="D54" s="237">
        <f t="shared" si="30"/>
        <v>3.312450670059084E-2</v>
      </c>
      <c r="E54" s="254">
        <f t="array" ref="E54">_xll.BC(DB,_xll.ArrayDPT($AA54:$AG54),_xll.ArrayCOA($AI54:$BB54),YR,PRD,RV,_xll.ArrayDIM($BD54:$BG54))</f>
        <v>0</v>
      </c>
      <c r="F54" s="237">
        <f t="shared" si="31"/>
        <v>0</v>
      </c>
      <c r="G54" s="254">
        <f t="array" ref="G54">_xll.AC(DB,_xll.ArrayDPT($AA54:$AG54),_xll.ArrayCOA($AI54:$BB54),YR,PRD,_xll.ArrayDIM($BD54:$BG54))</f>
        <v>170</v>
      </c>
      <c r="H54" s="237">
        <f t="shared" si="32"/>
        <v>3.312450670059084E-2</v>
      </c>
      <c r="I54" s="237"/>
      <c r="J54" s="328" t="s">
        <v>803</v>
      </c>
      <c r="K54" s="237"/>
      <c r="L54" s="254">
        <f t="array" ref="L54">_xll.ACC(DB,_xll.ArrayDPT($AA54:$AG54),_xll.ArrayCOA($AI54:$BB54),YR,PRD,_xll.ArrayDIM($BD54:$BG54))</f>
        <v>170</v>
      </c>
      <c r="M54" s="237">
        <f t="shared" si="33"/>
        <v>8.1717461070786954E-3</v>
      </c>
      <c r="N54" s="254">
        <f t="array" ref="N54">_xll.BCC(DB,_xll.ArrayDPT($AA54:$AG54),_xll.ArrayCOA($AI54:$BB54),YR,PRD,RV,_xll.ArrayDIM($BD54:$BG54))</f>
        <v>0</v>
      </c>
      <c r="O54" s="237">
        <f t="shared" si="34"/>
        <v>0</v>
      </c>
      <c r="P54" s="237">
        <f t="shared" si="35"/>
        <v>-170</v>
      </c>
      <c r="Q54" s="237">
        <f t="shared" si="36"/>
        <v>8.1717461070786954E-3</v>
      </c>
      <c r="R54" s="254">
        <f t="array" ref="R54">_xll.ACC(DB,_xll.ArrayDPT($AA54:$AG54),_xll.ArrayCOA($AI54:$BB54),YR-1,PRD,_xll.ArrayDIM($BD54:$BG54))</f>
        <v>0</v>
      </c>
      <c r="S54" s="237">
        <f t="shared" si="37"/>
        <v>0</v>
      </c>
      <c r="T54" s="295"/>
      <c r="U54" s="295"/>
      <c r="V54" s="295"/>
      <c r="W54" s="295"/>
      <c r="X54" s="295"/>
      <c r="Y54" s="295"/>
      <c r="Z54" s="295"/>
      <c r="AA54" s="95" t="s">
        <v>756</v>
      </c>
      <c r="AB54" s="96" t="s">
        <v>743</v>
      </c>
      <c r="AC54" s="96" t="s">
        <v>744</v>
      </c>
      <c r="AD54" s="96" t="s">
        <v>745</v>
      </c>
      <c r="AE54" s="96" t="s">
        <v>746</v>
      </c>
      <c r="AF54" s="96"/>
      <c r="AG54" s="96"/>
      <c r="AH54" s="97"/>
      <c r="AI54" s="95" t="s">
        <v>804</v>
      </c>
      <c r="AJ54" s="96" t="s">
        <v>804</v>
      </c>
      <c r="AK54" s="95"/>
      <c r="AL54" s="96"/>
      <c r="AM54" s="95"/>
      <c r="AN54" s="96"/>
      <c r="AO54" s="95"/>
      <c r="AP54" s="98"/>
      <c r="AQ54" s="96"/>
      <c r="AR54" s="96"/>
      <c r="AS54" s="95"/>
      <c r="AT54" s="98"/>
      <c r="AU54" s="96"/>
      <c r="AV54" s="96"/>
      <c r="AW54" s="95"/>
      <c r="AX54" s="98"/>
      <c r="AY54" s="96"/>
      <c r="AZ54" s="96"/>
      <c r="BA54" s="95"/>
      <c r="BB54" s="98"/>
      <c r="BC54" s="99"/>
      <c r="BD54" s="95"/>
      <c r="BE54" s="96"/>
      <c r="BF54" s="96"/>
      <c r="BG54" s="98"/>
    </row>
    <row r="55" spans="1:59" ht="12" customHeight="1">
      <c r="A55" s="254">
        <f t="array" ref="A55">_xll.AC(DB,_xll.ArrayDPT($AA55:$AG55),_xll.ArrayCOA($AI55:$BB55),YR-1,PRD,_xll.ArrayDIM($BD55:$BG55))</f>
        <v>0</v>
      </c>
      <c r="B55" s="237">
        <f t="shared" si="28"/>
        <v>0</v>
      </c>
      <c r="C55" s="237">
        <f t="shared" si="29"/>
        <v>-18104.39</v>
      </c>
      <c r="D55" s="237">
        <f t="shared" si="30"/>
        <v>3.5276411050888812</v>
      </c>
      <c r="E55" s="254">
        <f t="array" ref="E55">_xll.BC(DB,_xll.ArrayDPT($AA55:$AG55),_xll.ArrayCOA($AI55:$BB55),YR,PRD,RV,_xll.ArrayDIM($BD55:$BG55))</f>
        <v>0</v>
      </c>
      <c r="F55" s="237">
        <f t="shared" si="31"/>
        <v>0</v>
      </c>
      <c r="G55" s="254">
        <f t="array" ref="G55">_xll.AC(DB,_xll.ArrayDPT($AA55:$AG55),_xll.ArrayCOA($AI55:$BB55),YR,PRD,_xll.ArrayDIM($BD55:$BG55))</f>
        <v>18104.39</v>
      </c>
      <c r="H55" s="237">
        <f t="shared" si="32"/>
        <v>3.5276411050888812</v>
      </c>
      <c r="I55" s="237"/>
      <c r="J55" s="328" t="s">
        <v>805</v>
      </c>
      <c r="K55" s="237"/>
      <c r="L55" s="254">
        <f t="array" ref="L55">_xll.ACC(DB,_xll.ArrayDPT($AA55:$AG55),_xll.ArrayCOA($AI55:$BB55),YR,PRD,_xll.ArrayDIM($BD55:$BG55))</f>
        <v>18104.39</v>
      </c>
      <c r="M55" s="237">
        <f t="shared" si="33"/>
        <v>0.87026163825608516</v>
      </c>
      <c r="N55" s="254">
        <f t="array" ref="N55">_xll.BCC(DB,_xll.ArrayDPT($AA55:$AG55),_xll.ArrayCOA($AI55:$BB55),YR,PRD,RV,_xll.ArrayDIM($BD55:$BG55))</f>
        <v>0</v>
      </c>
      <c r="O55" s="237">
        <f t="shared" si="34"/>
        <v>0</v>
      </c>
      <c r="P55" s="237">
        <f t="shared" si="35"/>
        <v>-18104.39</v>
      </c>
      <c r="Q55" s="237">
        <f t="shared" si="36"/>
        <v>0.87026163825608516</v>
      </c>
      <c r="R55" s="254">
        <f t="array" ref="R55">_xll.ACC(DB,_xll.ArrayDPT($AA55:$AG55),_xll.ArrayCOA($AI55:$BB55),YR-1,PRD,_xll.ArrayDIM($BD55:$BG55))</f>
        <v>0</v>
      </c>
      <c r="S55" s="237">
        <f t="shared" si="37"/>
        <v>0</v>
      </c>
      <c r="T55" s="295"/>
      <c r="U55" s="295"/>
      <c r="V55" s="295"/>
      <c r="W55" s="295"/>
      <c r="X55" s="295"/>
      <c r="Y55" s="295"/>
      <c r="Z55" s="295"/>
      <c r="AA55" s="95" t="s">
        <v>756</v>
      </c>
      <c r="AB55" s="96" t="s">
        <v>743</v>
      </c>
      <c r="AC55" s="96" t="s">
        <v>744</v>
      </c>
      <c r="AD55" s="96" t="s">
        <v>745</v>
      </c>
      <c r="AE55" s="96" t="s">
        <v>746</v>
      </c>
      <c r="AF55" s="96"/>
      <c r="AG55" s="96"/>
      <c r="AH55" s="97"/>
      <c r="AI55" s="95" t="s">
        <v>679</v>
      </c>
      <c r="AJ55" s="96" t="s">
        <v>679</v>
      </c>
      <c r="AK55" s="95" t="s">
        <v>806</v>
      </c>
      <c r="AL55" s="96" t="s">
        <v>806</v>
      </c>
      <c r="AM55" s="95"/>
      <c r="AN55" s="96"/>
      <c r="AO55" s="95"/>
      <c r="AP55" s="98"/>
      <c r="AQ55" s="96"/>
      <c r="AR55" s="96"/>
      <c r="AS55" s="95"/>
      <c r="AT55" s="98"/>
      <c r="AU55" s="96"/>
      <c r="AV55" s="96"/>
      <c r="AW55" s="95"/>
      <c r="AX55" s="98"/>
      <c r="AY55" s="96"/>
      <c r="AZ55" s="96"/>
      <c r="BA55" s="95"/>
      <c r="BB55" s="98"/>
      <c r="BC55" s="99"/>
      <c r="BD55" s="95"/>
      <c r="BE55" s="96"/>
      <c r="BF55" s="96"/>
      <c r="BG55" s="98"/>
    </row>
    <row r="56" spans="1:59" ht="12" customHeight="1">
      <c r="A56" s="254">
        <f t="array" ref="A56">_xll.AC(DB,_xll.ArrayDPT($AA56:$AG56),_xll.ArrayCOA($AI56:$BB56),YR-1,PRD,_xll.ArrayDIM($BD56:$BG56))</f>
        <v>10186.17</v>
      </c>
      <c r="B56" s="237">
        <f t="shared" si="28"/>
        <v>1.2579269781006914</v>
      </c>
      <c r="C56" s="237">
        <f t="shared" si="29"/>
        <v>0</v>
      </c>
      <c r="D56" s="237">
        <f t="shared" si="30"/>
        <v>0</v>
      </c>
      <c r="E56" s="254">
        <f t="array" ref="E56">_xll.BC(DB,_xll.ArrayDPT($AA56:$AG56),_xll.ArrayCOA($AI56:$BB56),YR,PRD,RV,_xll.ArrayDIM($BD56:$BG56))</f>
        <v>0</v>
      </c>
      <c r="F56" s="237">
        <f t="shared" si="31"/>
        <v>0</v>
      </c>
      <c r="G56" s="254">
        <f t="array" ref="G56">_xll.AC(DB,_xll.ArrayDPT($AA56:$AG56),_xll.ArrayCOA($AI56:$BB56),YR,PRD,_xll.ArrayDIM($BD56:$BG56))</f>
        <v>0</v>
      </c>
      <c r="H56" s="237">
        <f t="shared" si="32"/>
        <v>0</v>
      </c>
      <c r="I56" s="237"/>
      <c r="J56" s="328" t="s">
        <v>807</v>
      </c>
      <c r="K56" s="237"/>
      <c r="L56" s="254">
        <f t="array" ref="L56">_xll.ACC(DB,_xll.ArrayDPT($AA56:$AG56),_xll.ArrayCOA($AI56:$BB56),YR,PRD,_xll.ArrayDIM($BD56:$BG56))</f>
        <v>0</v>
      </c>
      <c r="M56" s="237">
        <f t="shared" si="33"/>
        <v>0</v>
      </c>
      <c r="N56" s="254">
        <f t="array" ref="N56">_xll.BCC(DB,_xll.ArrayDPT($AA56:$AG56),_xll.ArrayCOA($AI56:$BB56),YR,PRD,RV,_xll.ArrayDIM($BD56:$BG56))</f>
        <v>0</v>
      </c>
      <c r="O56" s="237">
        <f t="shared" si="34"/>
        <v>0</v>
      </c>
      <c r="P56" s="237">
        <f t="shared" si="35"/>
        <v>0</v>
      </c>
      <c r="Q56" s="237">
        <f t="shared" si="36"/>
        <v>0</v>
      </c>
      <c r="R56" s="254">
        <f t="array" ref="R56">_xll.ACC(DB,_xll.ArrayDPT($AA56:$AG56),_xll.ArrayCOA($AI56:$BB56),YR-1,PRD,_xll.ArrayDIM($BD56:$BG56))</f>
        <v>10186.17</v>
      </c>
      <c r="S56" s="237">
        <f t="shared" si="37"/>
        <v>0.43793872518310895</v>
      </c>
      <c r="T56" s="295"/>
      <c r="U56" s="295"/>
      <c r="V56" s="295"/>
      <c r="W56" s="295"/>
      <c r="X56" s="295"/>
      <c r="Y56" s="295"/>
      <c r="Z56" s="295"/>
      <c r="AA56" s="95" t="s">
        <v>756</v>
      </c>
      <c r="AB56" s="96" t="s">
        <v>743</v>
      </c>
      <c r="AC56" s="96" t="s">
        <v>744</v>
      </c>
      <c r="AD56" s="96" t="s">
        <v>745</v>
      </c>
      <c r="AE56" s="96" t="s">
        <v>746</v>
      </c>
      <c r="AF56" s="96"/>
      <c r="AG56" s="96"/>
      <c r="AH56" s="97"/>
      <c r="AI56" s="95" t="s">
        <v>808</v>
      </c>
      <c r="AJ56" s="96" t="s">
        <v>808</v>
      </c>
      <c r="AK56" s="95"/>
      <c r="AL56" s="96"/>
      <c r="AM56" s="95"/>
      <c r="AN56" s="96"/>
      <c r="AO56" s="95"/>
      <c r="AP56" s="98"/>
      <c r="AQ56" s="96"/>
      <c r="AR56" s="96"/>
      <c r="AS56" s="95"/>
      <c r="AT56" s="98"/>
      <c r="AU56" s="96"/>
      <c r="AV56" s="96"/>
      <c r="AW56" s="95"/>
      <c r="AX56" s="98"/>
      <c r="AY56" s="96"/>
      <c r="AZ56" s="96"/>
      <c r="BA56" s="95"/>
      <c r="BB56" s="98"/>
      <c r="BC56" s="99"/>
      <c r="BD56" s="95"/>
      <c r="BE56" s="96"/>
      <c r="BF56" s="96"/>
      <c r="BG56" s="98"/>
    </row>
    <row r="57" spans="1:59" ht="12" customHeight="1">
      <c r="A57" s="254">
        <f t="array" ref="A57">_xll.AC(DB,_xll.ArrayDPT($AA57:$AG57),_xll.ArrayCOA($AI57:$BB57),YR-1,PRD,_xll.ArrayDIM($BD57:$BG57))</f>
        <v>0</v>
      </c>
      <c r="B57" s="237">
        <f t="shared" si="28"/>
        <v>0</v>
      </c>
      <c r="C57" s="237">
        <f t="shared" si="29"/>
        <v>-1293.45</v>
      </c>
      <c r="D57" s="237">
        <f t="shared" si="30"/>
        <v>0.25202878348164248</v>
      </c>
      <c r="E57" s="254">
        <f t="array" ref="E57">_xll.BC(DB,_xll.ArrayDPT($AA57:$AG57),_xll.ArrayCOA($AI57:$BB57),YR,PRD,RV,_xll.ArrayDIM($BD57:$BG57))</f>
        <v>0</v>
      </c>
      <c r="F57" s="237">
        <f t="shared" si="31"/>
        <v>0</v>
      </c>
      <c r="G57" s="254">
        <f t="array" ref="G57">_xll.AC(DB,_xll.ArrayDPT($AA57:$AG57),_xll.ArrayCOA($AI57:$BB57),YR,PRD,_xll.ArrayDIM($BD57:$BG57))</f>
        <v>1293.45</v>
      </c>
      <c r="H57" s="237">
        <f t="shared" si="32"/>
        <v>0.25202878348164248</v>
      </c>
      <c r="I57" s="237"/>
      <c r="J57" s="328" t="s">
        <v>809</v>
      </c>
      <c r="K57" s="237"/>
      <c r="L57" s="254">
        <f t="array" ref="L57">_xll.ACC(DB,_xll.ArrayDPT($AA57:$AG57),_xll.ArrayCOA($AI57:$BB57),YR,PRD,_xll.ArrayDIM($BD57:$BG57))</f>
        <v>1293.45</v>
      </c>
      <c r="M57" s="237">
        <f t="shared" si="33"/>
        <v>6.2174970601181996E-2</v>
      </c>
      <c r="N57" s="254">
        <f t="array" ref="N57">_xll.BCC(DB,_xll.ArrayDPT($AA57:$AG57),_xll.ArrayCOA($AI57:$BB57),YR,PRD,RV,_xll.ArrayDIM($BD57:$BG57))</f>
        <v>0</v>
      </c>
      <c r="O57" s="237">
        <f t="shared" si="34"/>
        <v>0</v>
      </c>
      <c r="P57" s="237">
        <f t="shared" si="35"/>
        <v>-1293.45</v>
      </c>
      <c r="Q57" s="237">
        <f t="shared" si="36"/>
        <v>6.2174970601181996E-2</v>
      </c>
      <c r="R57" s="254">
        <f t="array" ref="R57">_xll.ACC(DB,_xll.ArrayDPT($AA57:$AG57),_xll.ArrayCOA($AI57:$BB57),YR-1,PRD,_xll.ArrayDIM($BD57:$BG57))</f>
        <v>0</v>
      </c>
      <c r="S57" s="237">
        <f t="shared" si="37"/>
        <v>0</v>
      </c>
      <c r="T57" s="295"/>
      <c r="U57" s="295"/>
      <c r="V57" s="295"/>
      <c r="W57" s="295"/>
      <c r="X57" s="295"/>
      <c r="Y57" s="295"/>
      <c r="Z57" s="295"/>
      <c r="AA57" s="95" t="s">
        <v>756</v>
      </c>
      <c r="AB57" s="96" t="s">
        <v>743</v>
      </c>
      <c r="AC57" s="96" t="s">
        <v>744</v>
      </c>
      <c r="AD57" s="96" t="s">
        <v>745</v>
      </c>
      <c r="AE57" s="96" t="s">
        <v>746</v>
      </c>
      <c r="AF57" s="96"/>
      <c r="AG57" s="96"/>
      <c r="AH57" s="97"/>
      <c r="AI57" s="95" t="s">
        <v>683</v>
      </c>
      <c r="AJ57" s="96" t="s">
        <v>683</v>
      </c>
      <c r="AK57" s="95"/>
      <c r="AL57" s="96"/>
      <c r="AM57" s="95"/>
      <c r="AN57" s="96"/>
      <c r="AO57" s="95"/>
      <c r="AP57" s="98"/>
      <c r="AQ57" s="96"/>
      <c r="AR57" s="96"/>
      <c r="AS57" s="95"/>
      <c r="AT57" s="98"/>
      <c r="AU57" s="96"/>
      <c r="AV57" s="96"/>
      <c r="AW57" s="95"/>
      <c r="AX57" s="98"/>
      <c r="AY57" s="96"/>
      <c r="AZ57" s="96"/>
      <c r="BA57" s="95"/>
      <c r="BB57" s="98"/>
      <c r="BC57" s="99"/>
      <c r="BD57" s="95"/>
      <c r="BE57" s="96"/>
      <c r="BF57" s="96"/>
      <c r="BG57" s="98"/>
    </row>
    <row r="58" spans="1:59" ht="12" customHeight="1">
      <c r="A58" s="254">
        <f t="array" ref="A58">_xll.AC(DB,_xll.ArrayDPT($AA58:$AG58),_xll.ArrayCOA($AI58:$BB58),YR-1,PRD,_xll.ArrayDIM($BD58:$BG58))</f>
        <v>6140</v>
      </c>
      <c r="B58" s="237">
        <f t="shared" si="28"/>
        <v>0.7582508092382364</v>
      </c>
      <c r="C58" s="237">
        <f t="shared" si="29"/>
        <v>0</v>
      </c>
      <c r="D58" s="237">
        <f t="shared" si="30"/>
        <v>0</v>
      </c>
      <c r="E58" s="254">
        <f t="array" ref="E58">_xll.BC(DB,_xll.ArrayDPT($AA58:$AG58),_xll.ArrayCOA($AI58:$BB58),YR,PRD,RV,_xll.ArrayDIM($BD58:$BG58))</f>
        <v>0</v>
      </c>
      <c r="F58" s="237">
        <f t="shared" si="31"/>
        <v>0</v>
      </c>
      <c r="G58" s="254">
        <f t="array" ref="G58">_xll.AC(DB,_xll.ArrayDPT($AA58:$AG58),_xll.ArrayCOA($AI58:$BB58),YR,PRD,_xll.ArrayDIM($BD58:$BG58))</f>
        <v>0</v>
      </c>
      <c r="H58" s="237">
        <f t="shared" si="32"/>
        <v>0</v>
      </c>
      <c r="I58" s="237"/>
      <c r="J58" s="328" t="s">
        <v>810</v>
      </c>
      <c r="K58" s="237"/>
      <c r="L58" s="254">
        <f t="array" ref="L58">_xll.ACC(DB,_xll.ArrayDPT($AA58:$AG58),_xll.ArrayCOA($AI58:$BB58),YR,PRD,_xll.ArrayDIM($BD58:$BG58))</f>
        <v>0</v>
      </c>
      <c r="M58" s="237">
        <f t="shared" si="33"/>
        <v>0</v>
      </c>
      <c r="N58" s="254">
        <f t="array" ref="N58">_xll.BCC(DB,_xll.ArrayDPT($AA58:$AG58),_xll.ArrayCOA($AI58:$BB58),YR,PRD,RV,_xll.ArrayDIM($BD58:$BG58))</f>
        <v>0</v>
      </c>
      <c r="O58" s="237">
        <f t="shared" si="34"/>
        <v>0</v>
      </c>
      <c r="P58" s="237">
        <f t="shared" si="35"/>
        <v>0</v>
      </c>
      <c r="Q58" s="237">
        <f t="shared" si="36"/>
        <v>0</v>
      </c>
      <c r="R58" s="254">
        <f t="array" ref="R58">_xll.ACC(DB,_xll.ArrayDPT($AA58:$AG58),_xll.ArrayCOA($AI58:$BB58),YR-1,PRD,_xll.ArrayDIM($BD58:$BG58))</f>
        <v>6140</v>
      </c>
      <c r="S58" s="237">
        <f t="shared" si="37"/>
        <v>0.26397986413188557</v>
      </c>
      <c r="T58" s="295"/>
      <c r="U58" s="295"/>
      <c r="V58" s="295"/>
      <c r="W58" s="295"/>
      <c r="X58" s="295"/>
      <c r="Y58" s="295"/>
      <c r="Z58" s="295"/>
      <c r="AA58" s="95" t="s">
        <v>756</v>
      </c>
      <c r="AB58" s="96" t="s">
        <v>743</v>
      </c>
      <c r="AC58" s="96" t="s">
        <v>744</v>
      </c>
      <c r="AD58" s="96" t="s">
        <v>745</v>
      </c>
      <c r="AE58" s="96" t="s">
        <v>746</v>
      </c>
      <c r="AF58" s="96"/>
      <c r="AG58" s="96"/>
      <c r="AH58" s="97"/>
      <c r="AI58" s="95" t="s">
        <v>685</v>
      </c>
      <c r="AJ58" s="96" t="s">
        <v>685</v>
      </c>
      <c r="AK58" s="95"/>
      <c r="AL58" s="96"/>
      <c r="AM58" s="95"/>
      <c r="AN58" s="96"/>
      <c r="AO58" s="95"/>
      <c r="AP58" s="98"/>
      <c r="AQ58" s="96"/>
      <c r="AR58" s="96"/>
      <c r="AS58" s="95"/>
      <c r="AT58" s="98"/>
      <c r="AU58" s="96"/>
      <c r="AV58" s="96"/>
      <c r="AW58" s="95"/>
      <c r="AX58" s="98"/>
      <c r="AY58" s="96"/>
      <c r="AZ58" s="96"/>
      <c r="BA58" s="95"/>
      <c r="BB58" s="98"/>
      <c r="BC58" s="99"/>
      <c r="BD58" s="95"/>
      <c r="BE58" s="96"/>
      <c r="BF58" s="96"/>
      <c r="BG58" s="98"/>
    </row>
    <row r="59" spans="1:59" ht="12" customHeight="1">
      <c r="A59" s="254">
        <f t="array" ref="A59">_xll.AC(DB,_xll.ArrayDPT($AA59:$AG59),_xll.ArrayCOA($AI59:$BB59),YR-1,PRD,_xll.ArrayDIM($BD59:$BG59))</f>
        <v>0</v>
      </c>
      <c r="B59" s="237">
        <f t="shared" si="28"/>
        <v>0</v>
      </c>
      <c r="C59" s="237">
        <f t="shared" si="29"/>
        <v>0</v>
      </c>
      <c r="D59" s="237">
        <f t="shared" si="30"/>
        <v>0</v>
      </c>
      <c r="E59" s="254">
        <f t="array" ref="E59">_xll.BC(DB,_xll.ArrayDPT($AA59:$AG59),_xll.ArrayCOA($AI59:$BB59),YR,PRD,RV,_xll.ArrayDIM($BD59:$BG59))</f>
        <v>0</v>
      </c>
      <c r="F59" s="237">
        <f t="shared" si="31"/>
        <v>0</v>
      </c>
      <c r="G59" s="254">
        <f t="array" ref="G59">_xll.AC(DB,_xll.ArrayDPT($AA59:$AG59),_xll.ArrayCOA($AI59:$BB59),YR,PRD,_xll.ArrayDIM($BD59:$BG59))</f>
        <v>0</v>
      </c>
      <c r="H59" s="237">
        <f t="shared" si="32"/>
        <v>0</v>
      </c>
      <c r="I59" s="237"/>
      <c r="J59" s="328" t="s">
        <v>686</v>
      </c>
      <c r="K59" s="237"/>
      <c r="L59" s="254">
        <f t="array" ref="L59">_xll.ACC(DB,_xll.ArrayDPT($AA59:$AG59),_xll.ArrayCOA($AI59:$BB59),YR,PRD,_xll.ArrayDIM($BD59:$BG59))</f>
        <v>0</v>
      </c>
      <c r="M59" s="237">
        <f t="shared" si="33"/>
        <v>0</v>
      </c>
      <c r="N59" s="254">
        <f t="array" ref="N59">_xll.BCC(DB,_xll.ArrayDPT($AA59:$AG59),_xll.ArrayCOA($AI59:$BB59),YR,PRD,RV,_xll.ArrayDIM($BD59:$BG59))</f>
        <v>0</v>
      </c>
      <c r="O59" s="237">
        <f t="shared" si="34"/>
        <v>0</v>
      </c>
      <c r="P59" s="237">
        <f t="shared" si="35"/>
        <v>0</v>
      </c>
      <c r="Q59" s="237">
        <f t="shared" si="36"/>
        <v>0</v>
      </c>
      <c r="R59" s="254">
        <f t="array" ref="R59">_xll.ACC(DB,_xll.ArrayDPT($AA59:$AG59),_xll.ArrayCOA($AI59:$BB59),YR-1,PRD,_xll.ArrayDIM($BD59:$BG59))</f>
        <v>0</v>
      </c>
      <c r="S59" s="237">
        <f t="shared" si="37"/>
        <v>0</v>
      </c>
      <c r="T59" s="295"/>
      <c r="U59" s="295"/>
      <c r="V59" s="295"/>
      <c r="W59" s="295"/>
      <c r="X59" s="295"/>
      <c r="Y59" s="295"/>
      <c r="Z59" s="295"/>
      <c r="AA59" s="95" t="s">
        <v>756</v>
      </c>
      <c r="AB59" s="96" t="s">
        <v>743</v>
      </c>
      <c r="AC59" s="96" t="s">
        <v>744</v>
      </c>
      <c r="AD59" s="96" t="s">
        <v>745</v>
      </c>
      <c r="AE59" s="96" t="s">
        <v>746</v>
      </c>
      <c r="AF59" s="96"/>
      <c r="AG59" s="96"/>
      <c r="AH59" s="97"/>
      <c r="AI59" s="95"/>
      <c r="AJ59" s="96"/>
      <c r="AK59" s="95"/>
      <c r="AL59" s="96"/>
      <c r="AM59" s="95"/>
      <c r="AN59" s="96"/>
      <c r="AO59" s="95"/>
      <c r="AP59" s="98"/>
      <c r="AQ59" s="96"/>
      <c r="AR59" s="96"/>
      <c r="AS59" s="95"/>
      <c r="AT59" s="98"/>
      <c r="AU59" s="96"/>
      <c r="AV59" s="96"/>
      <c r="AW59" s="95"/>
      <c r="AX59" s="98"/>
      <c r="AY59" s="96"/>
      <c r="AZ59" s="96"/>
      <c r="BA59" s="95"/>
      <c r="BB59" s="98"/>
      <c r="BC59" s="99"/>
      <c r="BD59" s="95"/>
      <c r="BE59" s="96"/>
      <c r="BF59" s="96"/>
      <c r="BG59" s="98"/>
    </row>
    <row r="60" spans="1:59" ht="12" customHeight="1">
      <c r="A60" s="254">
        <f t="array" ref="A60">_xll.AC(DB,_xll.ArrayDPT($AA60:$AG60),_xll.ArrayCOA($AI60:$BB60),YR-1,PRD,_xll.ArrayDIM($BD60:$BG60))</f>
        <v>0</v>
      </c>
      <c r="B60" s="237">
        <f t="shared" si="28"/>
        <v>0</v>
      </c>
      <c r="C60" s="237">
        <f t="shared" si="29"/>
        <v>0</v>
      </c>
      <c r="D60" s="237">
        <f t="shared" si="30"/>
        <v>0</v>
      </c>
      <c r="E60" s="254">
        <f t="array" ref="E60">_xll.BC(DB,_xll.ArrayDPT($AA60:$AG60),_xll.ArrayCOA($AI60:$BB60),YR,PRD,RV,_xll.ArrayDIM($BD60:$BG60))</f>
        <v>0</v>
      </c>
      <c r="F60" s="237">
        <f t="shared" si="31"/>
        <v>0</v>
      </c>
      <c r="G60" s="254">
        <f t="array" ref="G60">_xll.AC(DB,_xll.ArrayDPT($AA60:$AG60),_xll.ArrayCOA($AI60:$BB60),YR,PRD,_xll.ArrayDIM($BD60:$BG60))</f>
        <v>0</v>
      </c>
      <c r="H60" s="237">
        <f t="shared" si="32"/>
        <v>0</v>
      </c>
      <c r="I60" s="237"/>
      <c r="J60" s="328" t="s">
        <v>811</v>
      </c>
      <c r="K60" s="237"/>
      <c r="L60" s="254">
        <f t="array" ref="L60">_xll.ACC(DB,_xll.ArrayDPT($AA60:$AG60),_xll.ArrayCOA($AI60:$BB60),YR,PRD,_xll.ArrayDIM($BD60:$BG60))</f>
        <v>0</v>
      </c>
      <c r="M60" s="237">
        <f t="shared" si="33"/>
        <v>0</v>
      </c>
      <c r="N60" s="254">
        <f t="array" ref="N60">_xll.BCC(DB,_xll.ArrayDPT($AA60:$AG60),_xll.ArrayCOA($AI60:$BB60),YR,PRD,RV,_xll.ArrayDIM($BD60:$BG60))</f>
        <v>0</v>
      </c>
      <c r="O60" s="237">
        <f t="shared" si="34"/>
        <v>0</v>
      </c>
      <c r="P60" s="237">
        <f t="shared" si="35"/>
        <v>0</v>
      </c>
      <c r="Q60" s="237">
        <f t="shared" si="36"/>
        <v>0</v>
      </c>
      <c r="R60" s="254">
        <f t="array" ref="R60">_xll.ACC(DB,_xll.ArrayDPT($AA60:$AG60),_xll.ArrayCOA($AI60:$BB60),YR-1,PRD,_xll.ArrayDIM($BD60:$BG60))</f>
        <v>0</v>
      </c>
      <c r="S60" s="237">
        <f t="shared" si="37"/>
        <v>0</v>
      </c>
      <c r="T60" s="295"/>
      <c r="U60" s="295"/>
      <c r="V60" s="295"/>
      <c r="W60" s="295"/>
      <c r="X60" s="295"/>
      <c r="Y60" s="295"/>
      <c r="Z60" s="295"/>
      <c r="AA60" s="95" t="s">
        <v>756</v>
      </c>
      <c r="AB60" s="96" t="s">
        <v>743</v>
      </c>
      <c r="AC60" s="96" t="s">
        <v>744</v>
      </c>
      <c r="AD60" s="96" t="s">
        <v>745</v>
      </c>
      <c r="AE60" s="96" t="s">
        <v>746</v>
      </c>
      <c r="AF60" s="96"/>
      <c r="AG60" s="96"/>
      <c r="AH60" s="97"/>
      <c r="AI60" s="95" t="s">
        <v>812</v>
      </c>
      <c r="AJ60" s="96" t="s">
        <v>812</v>
      </c>
      <c r="AK60" s="95"/>
      <c r="AL60" s="96"/>
      <c r="AM60" s="95"/>
      <c r="AN60" s="96"/>
      <c r="AO60" s="95"/>
      <c r="AP60" s="98"/>
      <c r="AQ60" s="96"/>
      <c r="AR60" s="96"/>
      <c r="AS60" s="95"/>
      <c r="AT60" s="98"/>
      <c r="AU60" s="96"/>
      <c r="AV60" s="96"/>
      <c r="AW60" s="95"/>
      <c r="AX60" s="98"/>
      <c r="AY60" s="96"/>
      <c r="AZ60" s="96"/>
      <c r="BA60" s="95"/>
      <c r="BB60" s="98"/>
      <c r="BC60" s="99"/>
      <c r="BD60" s="95"/>
      <c r="BE60" s="96"/>
      <c r="BF60" s="96"/>
      <c r="BG60" s="98"/>
    </row>
    <row r="61" spans="1:59" ht="12" customHeight="1">
      <c r="A61" s="254">
        <f t="array" ref="A61">_xll.AC(DB,_xll.ArrayDPT($AA61:$AG61),_xll.ArrayCOA($AI61:$BB61),YR-1,PRD,_xll.ArrayDIM($BD61:$BG61))</f>
        <v>0</v>
      </c>
      <c r="B61" s="237">
        <f t="shared" si="28"/>
        <v>0</v>
      </c>
      <c r="C61" s="237">
        <f t="shared" si="29"/>
        <v>0</v>
      </c>
      <c r="D61" s="237">
        <f t="shared" si="30"/>
        <v>0</v>
      </c>
      <c r="E61" s="254">
        <f t="array" ref="E61">_xll.BC(DB,_xll.ArrayDPT($AA61:$AG61),_xll.ArrayCOA($AI61:$BB61),YR,PRD,RV,_xll.ArrayDIM($BD61:$BG61))</f>
        <v>0</v>
      </c>
      <c r="F61" s="237">
        <f t="shared" si="31"/>
        <v>0</v>
      </c>
      <c r="G61" s="254">
        <f t="array" ref="G61">_xll.AC(DB,_xll.ArrayDPT($AA61:$AG61),_xll.ArrayCOA($AI61:$BB61),YR,PRD,_xll.ArrayDIM($BD61:$BG61))</f>
        <v>0</v>
      </c>
      <c r="H61" s="237">
        <f t="shared" si="32"/>
        <v>0</v>
      </c>
      <c r="I61" s="237"/>
      <c r="J61" s="328" t="s">
        <v>813</v>
      </c>
      <c r="K61" s="237"/>
      <c r="L61" s="254">
        <f t="array" ref="L61">_xll.ACC(DB,_xll.ArrayDPT($AA61:$AG61),_xll.ArrayCOA($AI61:$BB61),YR,PRD,_xll.ArrayDIM($BD61:$BG61))</f>
        <v>0</v>
      </c>
      <c r="M61" s="237">
        <f t="shared" si="33"/>
        <v>0</v>
      </c>
      <c r="N61" s="254">
        <f t="array" ref="N61">_xll.BCC(DB,_xll.ArrayDPT($AA61:$AG61),_xll.ArrayCOA($AI61:$BB61),YR,PRD,RV,_xll.ArrayDIM($BD61:$BG61))</f>
        <v>0</v>
      </c>
      <c r="O61" s="237">
        <f t="shared" si="34"/>
        <v>0</v>
      </c>
      <c r="P61" s="237">
        <f t="shared" si="35"/>
        <v>0</v>
      </c>
      <c r="Q61" s="237">
        <f t="shared" si="36"/>
        <v>0</v>
      </c>
      <c r="R61" s="254">
        <f t="array" ref="R61">_xll.ACC(DB,_xll.ArrayDPT($AA61:$AG61),_xll.ArrayCOA($AI61:$BB61),YR-1,PRD,_xll.ArrayDIM($BD61:$BG61))</f>
        <v>0</v>
      </c>
      <c r="S61" s="237">
        <f t="shared" si="37"/>
        <v>0</v>
      </c>
      <c r="T61" s="295"/>
      <c r="U61" s="295"/>
      <c r="V61" s="295"/>
      <c r="W61" s="295"/>
      <c r="X61" s="295"/>
      <c r="Y61" s="295"/>
      <c r="Z61" s="295"/>
      <c r="AA61" s="95" t="s">
        <v>756</v>
      </c>
      <c r="AB61" s="96" t="s">
        <v>743</v>
      </c>
      <c r="AC61" s="96" t="s">
        <v>744</v>
      </c>
      <c r="AD61" s="96" t="s">
        <v>745</v>
      </c>
      <c r="AE61" s="96" t="s">
        <v>746</v>
      </c>
      <c r="AF61" s="96"/>
      <c r="AG61" s="96"/>
      <c r="AH61" s="97"/>
      <c r="AI61" s="95" t="s">
        <v>814</v>
      </c>
      <c r="AJ61" s="96" t="s">
        <v>814</v>
      </c>
      <c r="AK61" s="95"/>
      <c r="AL61" s="96"/>
      <c r="AM61" s="95"/>
      <c r="AN61" s="96"/>
      <c r="AO61" s="95"/>
      <c r="AP61" s="98"/>
      <c r="AQ61" s="96"/>
      <c r="AR61" s="96"/>
      <c r="AS61" s="95"/>
      <c r="AT61" s="98"/>
      <c r="AU61" s="96"/>
      <c r="AV61" s="96"/>
      <c r="AW61" s="95"/>
      <c r="AX61" s="98"/>
      <c r="AY61" s="96"/>
      <c r="AZ61" s="96"/>
      <c r="BA61" s="95"/>
      <c r="BB61" s="98"/>
      <c r="BC61" s="99"/>
      <c r="BD61" s="95"/>
      <c r="BE61" s="96"/>
      <c r="BF61" s="96"/>
      <c r="BG61" s="98"/>
    </row>
    <row r="62" spans="1:59" ht="12" customHeight="1">
      <c r="A62" s="254">
        <f t="array" ref="A62">_xll.AC(DB,_xll.ArrayDPT($AA62:$AG62),_xll.ArrayCOA($AI62:$BB62),YR-1,PRD,_xll.ArrayDIM($BD62:$BG62))</f>
        <v>0</v>
      </c>
      <c r="B62" s="237">
        <f t="shared" si="28"/>
        <v>0</v>
      </c>
      <c r="C62" s="237">
        <f t="shared" si="29"/>
        <v>0</v>
      </c>
      <c r="D62" s="237">
        <f t="shared" si="30"/>
        <v>0</v>
      </c>
      <c r="E62" s="254">
        <f t="array" ref="E62">_xll.BC(DB,_xll.ArrayDPT($AA62:$AG62),_xll.ArrayCOA($AI62:$BB62),YR,PRD,RV,_xll.ArrayDIM($BD62:$BG62))</f>
        <v>0</v>
      </c>
      <c r="F62" s="237">
        <f t="shared" si="31"/>
        <v>0</v>
      </c>
      <c r="G62" s="254">
        <f t="array" ref="G62">_xll.AC(DB,_xll.ArrayDPT($AA62:$AG62),_xll.ArrayCOA($AI62:$BB62),YR,PRD,_xll.ArrayDIM($BD62:$BG62))</f>
        <v>0</v>
      </c>
      <c r="H62" s="237">
        <f t="shared" si="32"/>
        <v>0</v>
      </c>
      <c r="I62" s="237"/>
      <c r="J62" s="328" t="s">
        <v>815</v>
      </c>
      <c r="K62" s="237"/>
      <c r="L62" s="254">
        <f t="array" ref="L62">_xll.ACC(DB,_xll.ArrayDPT($AA62:$AG62),_xll.ArrayCOA($AI62:$BB62),YR,PRD,_xll.ArrayDIM($BD62:$BG62))</f>
        <v>0</v>
      </c>
      <c r="M62" s="237">
        <f t="shared" si="33"/>
        <v>0</v>
      </c>
      <c r="N62" s="254">
        <f t="array" ref="N62">_xll.BCC(DB,_xll.ArrayDPT($AA62:$AG62),_xll.ArrayCOA($AI62:$BB62),YR,PRD,RV,_xll.ArrayDIM($BD62:$BG62))</f>
        <v>0</v>
      </c>
      <c r="O62" s="237">
        <f t="shared" si="34"/>
        <v>0</v>
      </c>
      <c r="P62" s="237">
        <f t="shared" si="35"/>
        <v>0</v>
      </c>
      <c r="Q62" s="237">
        <f t="shared" si="36"/>
        <v>0</v>
      </c>
      <c r="R62" s="254">
        <f t="array" ref="R62">_xll.ACC(DB,_xll.ArrayDPT($AA62:$AG62),_xll.ArrayCOA($AI62:$BB62),YR-1,PRD,_xll.ArrayDIM($BD62:$BG62))</f>
        <v>0</v>
      </c>
      <c r="S62" s="237">
        <f t="shared" si="37"/>
        <v>0</v>
      </c>
      <c r="T62" s="295"/>
      <c r="U62" s="295"/>
      <c r="V62" s="295"/>
      <c r="W62" s="295"/>
      <c r="X62" s="295"/>
      <c r="Y62" s="295"/>
      <c r="Z62" s="295"/>
      <c r="AA62" s="95" t="s">
        <v>756</v>
      </c>
      <c r="AB62" s="96" t="s">
        <v>743</v>
      </c>
      <c r="AC62" s="96" t="s">
        <v>744</v>
      </c>
      <c r="AD62" s="96" t="s">
        <v>745</v>
      </c>
      <c r="AE62" s="96" t="s">
        <v>746</v>
      </c>
      <c r="AF62" s="96"/>
      <c r="AG62" s="96"/>
      <c r="AH62" s="97"/>
      <c r="AI62" s="95" t="s">
        <v>688</v>
      </c>
      <c r="AJ62" s="96" t="s">
        <v>688</v>
      </c>
      <c r="AK62" s="95"/>
      <c r="AL62" s="96"/>
      <c r="AM62" s="95"/>
      <c r="AN62" s="96"/>
      <c r="AO62" s="95"/>
      <c r="AP62" s="98"/>
      <c r="AQ62" s="96"/>
      <c r="AR62" s="96"/>
      <c r="AS62" s="95"/>
      <c r="AT62" s="98"/>
      <c r="AU62" s="96"/>
      <c r="AV62" s="96"/>
      <c r="AW62" s="95"/>
      <c r="AX62" s="98"/>
      <c r="AY62" s="96"/>
      <c r="AZ62" s="96"/>
      <c r="BA62" s="95"/>
      <c r="BB62" s="98"/>
      <c r="BC62" s="99"/>
      <c r="BD62" s="95"/>
      <c r="BE62" s="96"/>
      <c r="BF62" s="96"/>
      <c r="BG62" s="98"/>
    </row>
    <row r="63" spans="1:59" ht="12" customHeight="1">
      <c r="A63" s="254">
        <f t="array" ref="A63">_xll.AC(DB,_xll.ArrayDPT($AA63:$AG63),_xll.ArrayCOA($AI63:$BB63),YR-1,PRD,_xll.ArrayDIM($BD63:$BG63))</f>
        <v>0</v>
      </c>
      <c r="B63" s="237">
        <f t="shared" si="28"/>
        <v>0</v>
      </c>
      <c r="C63" s="237">
        <f t="shared" si="29"/>
        <v>0</v>
      </c>
      <c r="D63" s="237">
        <f t="shared" si="30"/>
        <v>0</v>
      </c>
      <c r="E63" s="254">
        <f t="array" ref="E63">_xll.BC(DB,_xll.ArrayDPT($AA63:$AG63),_xll.ArrayCOA($AI63:$BB63),YR,PRD,RV,_xll.ArrayDIM($BD63:$BG63))</f>
        <v>0</v>
      </c>
      <c r="F63" s="237">
        <f t="shared" si="31"/>
        <v>0</v>
      </c>
      <c r="G63" s="254">
        <f t="array" ref="G63">_xll.AC(DB,_xll.ArrayDPT($AA63:$AG63),_xll.ArrayCOA($AI63:$BB63),YR,PRD,_xll.ArrayDIM($BD63:$BG63))</f>
        <v>0</v>
      </c>
      <c r="H63" s="237">
        <f t="shared" si="32"/>
        <v>0</v>
      </c>
      <c r="I63" s="237"/>
      <c r="J63" s="328" t="s">
        <v>816</v>
      </c>
      <c r="K63" s="237"/>
      <c r="L63" s="254">
        <f t="array" ref="L63">_xll.ACC(DB,_xll.ArrayDPT($AA63:$AG63),_xll.ArrayCOA($AI63:$BB63),YR,PRD,_xll.ArrayDIM($BD63:$BG63))</f>
        <v>0</v>
      </c>
      <c r="M63" s="237">
        <f t="shared" si="33"/>
        <v>0</v>
      </c>
      <c r="N63" s="254">
        <f t="array" ref="N63">_xll.BCC(DB,_xll.ArrayDPT($AA63:$AG63),_xll.ArrayCOA($AI63:$BB63),YR,PRD,RV,_xll.ArrayDIM($BD63:$BG63))</f>
        <v>0</v>
      </c>
      <c r="O63" s="237">
        <f t="shared" si="34"/>
        <v>0</v>
      </c>
      <c r="P63" s="237">
        <f t="shared" si="35"/>
        <v>0</v>
      </c>
      <c r="Q63" s="237">
        <f t="shared" si="36"/>
        <v>0</v>
      </c>
      <c r="R63" s="254">
        <f t="array" ref="R63">_xll.ACC(DB,_xll.ArrayDPT($AA63:$AG63),_xll.ArrayCOA($AI63:$BB63),YR-1,PRD,_xll.ArrayDIM($BD63:$BG63))</f>
        <v>0</v>
      </c>
      <c r="S63" s="237">
        <f t="shared" si="37"/>
        <v>0</v>
      </c>
      <c r="T63" s="295"/>
      <c r="U63" s="295"/>
      <c r="V63" s="295"/>
      <c r="W63" s="295"/>
      <c r="X63" s="295"/>
      <c r="Y63" s="295"/>
      <c r="Z63" s="295"/>
      <c r="AA63" s="95" t="s">
        <v>756</v>
      </c>
      <c r="AB63" s="96" t="s">
        <v>743</v>
      </c>
      <c r="AC63" s="96" t="s">
        <v>744</v>
      </c>
      <c r="AD63" s="96" t="s">
        <v>745</v>
      </c>
      <c r="AE63" s="96" t="s">
        <v>746</v>
      </c>
      <c r="AF63" s="96"/>
      <c r="AG63" s="96"/>
      <c r="AH63" s="97"/>
      <c r="AI63" s="95" t="s">
        <v>692</v>
      </c>
      <c r="AJ63" s="96" t="s">
        <v>692</v>
      </c>
      <c r="AK63" s="95"/>
      <c r="AL63" s="96"/>
      <c r="AM63" s="95"/>
      <c r="AN63" s="96"/>
      <c r="AO63" s="95"/>
      <c r="AP63" s="98"/>
      <c r="AQ63" s="96"/>
      <c r="AR63" s="96"/>
      <c r="AS63" s="95"/>
      <c r="AT63" s="98"/>
      <c r="AU63" s="96"/>
      <c r="AV63" s="96"/>
      <c r="AW63" s="95"/>
      <c r="AX63" s="98"/>
      <c r="AY63" s="96"/>
      <c r="AZ63" s="96"/>
      <c r="BA63" s="95"/>
      <c r="BB63" s="98"/>
      <c r="BC63" s="99"/>
      <c r="BD63" s="95"/>
      <c r="BE63" s="96"/>
      <c r="BF63" s="96"/>
      <c r="BG63" s="98"/>
    </row>
    <row r="64" spans="1:59" ht="12" customHeight="1">
      <c r="A64" s="254">
        <f t="array" ref="A64">_xll.AC(DB,_xll.ArrayDPT($AA64:$AG64),_xll.ArrayCOA($AI64:$BB64),YR-1,PRD,_xll.ArrayDIM($BD64:$BG64))</f>
        <v>0</v>
      </c>
      <c r="B64" s="237">
        <f t="shared" si="28"/>
        <v>0</v>
      </c>
      <c r="C64" s="237">
        <f t="shared" si="29"/>
        <v>0</v>
      </c>
      <c r="D64" s="237">
        <f t="shared" si="30"/>
        <v>0</v>
      </c>
      <c r="E64" s="254">
        <f t="array" ref="E64">_xll.BC(DB,_xll.ArrayDPT($AA64:$AG64),_xll.ArrayCOA($AI64:$BB64),YR,PRD,RV,_xll.ArrayDIM($BD64:$BG64))</f>
        <v>0</v>
      </c>
      <c r="F64" s="237">
        <f t="shared" si="31"/>
        <v>0</v>
      </c>
      <c r="G64" s="254">
        <f t="array" ref="G64">_xll.AC(DB,_xll.ArrayDPT($AA64:$AG64),_xll.ArrayCOA($AI64:$BB64),YR,PRD,_xll.ArrayDIM($BD64:$BG64))</f>
        <v>0</v>
      </c>
      <c r="H64" s="237">
        <f t="shared" si="32"/>
        <v>0</v>
      </c>
      <c r="I64" s="237"/>
      <c r="J64" s="328" t="s">
        <v>817</v>
      </c>
      <c r="K64" s="237"/>
      <c r="L64" s="254">
        <f t="array" ref="L64">_xll.ACC(DB,_xll.ArrayDPT($AA64:$AG64),_xll.ArrayCOA($AI64:$BB64),YR,PRD,_xll.ArrayDIM($BD64:$BG64))</f>
        <v>0</v>
      </c>
      <c r="M64" s="237">
        <f t="shared" si="33"/>
        <v>0</v>
      </c>
      <c r="N64" s="254">
        <f t="array" ref="N64">_xll.BCC(DB,_xll.ArrayDPT($AA64:$AG64),_xll.ArrayCOA($AI64:$BB64),YR,PRD,RV,_xll.ArrayDIM($BD64:$BG64))</f>
        <v>0</v>
      </c>
      <c r="O64" s="237">
        <f t="shared" si="34"/>
        <v>0</v>
      </c>
      <c r="P64" s="237">
        <f t="shared" si="35"/>
        <v>0</v>
      </c>
      <c r="Q64" s="237">
        <f t="shared" si="36"/>
        <v>0</v>
      </c>
      <c r="R64" s="254">
        <f t="array" ref="R64">_xll.ACC(DB,_xll.ArrayDPT($AA64:$AG64),_xll.ArrayCOA($AI64:$BB64),YR-1,PRD,_xll.ArrayDIM($BD64:$BG64))</f>
        <v>0</v>
      </c>
      <c r="S64" s="237">
        <f t="shared" si="37"/>
        <v>0</v>
      </c>
      <c r="T64" s="295"/>
      <c r="U64" s="295"/>
      <c r="V64" s="295"/>
      <c r="W64" s="295"/>
      <c r="X64" s="295"/>
      <c r="Y64" s="295"/>
      <c r="Z64" s="295"/>
      <c r="AA64" s="95" t="s">
        <v>756</v>
      </c>
      <c r="AB64" s="96" t="s">
        <v>743</v>
      </c>
      <c r="AC64" s="96" t="s">
        <v>744</v>
      </c>
      <c r="AD64" s="96" t="s">
        <v>745</v>
      </c>
      <c r="AE64" s="96" t="s">
        <v>746</v>
      </c>
      <c r="AF64" s="96"/>
      <c r="AG64" s="96"/>
      <c r="AH64" s="97"/>
      <c r="AI64" s="95" t="s">
        <v>818</v>
      </c>
      <c r="AJ64" s="96" t="s">
        <v>818</v>
      </c>
      <c r="AK64" s="95"/>
      <c r="AL64" s="96"/>
      <c r="AM64" s="95"/>
      <c r="AN64" s="96"/>
      <c r="AO64" s="95"/>
      <c r="AP64" s="98"/>
      <c r="AQ64" s="96"/>
      <c r="AR64" s="96"/>
      <c r="AS64" s="95"/>
      <c r="AT64" s="98"/>
      <c r="AU64" s="96"/>
      <c r="AV64" s="96"/>
      <c r="AW64" s="95"/>
      <c r="AX64" s="98"/>
      <c r="AY64" s="96"/>
      <c r="AZ64" s="96"/>
      <c r="BA64" s="95"/>
      <c r="BB64" s="98"/>
      <c r="BC64" s="99"/>
      <c r="BD64" s="95"/>
      <c r="BE64" s="96"/>
      <c r="BF64" s="96"/>
      <c r="BG64" s="98"/>
    </row>
    <row r="65" spans="1:59" ht="12" customHeight="1">
      <c r="A65" s="254">
        <f t="array" ref="A65">_xll.AC(DB,_xll.ArrayDPT($AA65:$AG65),_xll.ArrayCOA($AI65:$BB65),YR-1,PRD,_xll.ArrayDIM($BD65:$BG65))</f>
        <v>0</v>
      </c>
      <c r="B65" s="237">
        <f t="shared" si="28"/>
        <v>0</v>
      </c>
      <c r="C65" s="237">
        <f t="shared" si="29"/>
        <v>0</v>
      </c>
      <c r="D65" s="237">
        <f t="shared" si="30"/>
        <v>0</v>
      </c>
      <c r="E65" s="254">
        <f t="array" ref="E65">_xll.BC(DB,_xll.ArrayDPT($AA65:$AG65),_xll.ArrayCOA($AI65:$BB65),YR,PRD,RV,_xll.ArrayDIM($BD65:$BG65))</f>
        <v>0</v>
      </c>
      <c r="F65" s="237">
        <f t="shared" si="31"/>
        <v>0</v>
      </c>
      <c r="G65" s="254">
        <f t="array" ref="G65">_xll.AC(DB,_xll.ArrayDPT($AA65:$AG65),_xll.ArrayCOA($AI65:$BB65),YR,PRD,_xll.ArrayDIM($BD65:$BG65))</f>
        <v>0</v>
      </c>
      <c r="H65" s="237">
        <f t="shared" si="32"/>
        <v>0</v>
      </c>
      <c r="I65" s="237"/>
      <c r="J65" s="328" t="s">
        <v>819</v>
      </c>
      <c r="K65" s="237"/>
      <c r="L65" s="254">
        <f t="array" ref="L65">_xll.ACC(DB,_xll.ArrayDPT($AA65:$AG65),_xll.ArrayCOA($AI65:$BB65),YR,PRD,_xll.ArrayDIM($BD65:$BG65))</f>
        <v>0</v>
      </c>
      <c r="M65" s="237">
        <f t="shared" si="33"/>
        <v>0</v>
      </c>
      <c r="N65" s="254">
        <f t="array" ref="N65">_xll.BCC(DB,_xll.ArrayDPT($AA65:$AG65),_xll.ArrayCOA($AI65:$BB65),YR,PRD,RV,_xll.ArrayDIM($BD65:$BG65))</f>
        <v>0</v>
      </c>
      <c r="O65" s="237">
        <f t="shared" si="34"/>
        <v>0</v>
      </c>
      <c r="P65" s="237">
        <f t="shared" si="35"/>
        <v>0</v>
      </c>
      <c r="Q65" s="237">
        <f t="shared" si="36"/>
        <v>0</v>
      </c>
      <c r="R65" s="254">
        <f t="array" ref="R65">_xll.ACC(DB,_xll.ArrayDPT($AA65:$AG65),_xll.ArrayCOA($AI65:$BB65),YR-1,PRD,_xll.ArrayDIM($BD65:$BG65))</f>
        <v>0</v>
      </c>
      <c r="S65" s="237">
        <f t="shared" si="37"/>
        <v>0</v>
      </c>
      <c r="T65" s="295"/>
      <c r="U65" s="295"/>
      <c r="V65" s="295"/>
      <c r="W65" s="295"/>
      <c r="X65" s="295"/>
      <c r="Y65" s="295"/>
      <c r="Z65" s="295"/>
      <c r="AA65" s="95" t="s">
        <v>756</v>
      </c>
      <c r="AB65" s="96" t="s">
        <v>743</v>
      </c>
      <c r="AC65" s="96" t="s">
        <v>744</v>
      </c>
      <c r="AD65" s="96" t="s">
        <v>745</v>
      </c>
      <c r="AE65" s="96" t="s">
        <v>746</v>
      </c>
      <c r="AF65" s="96"/>
      <c r="AG65" s="96"/>
      <c r="AH65" s="97"/>
      <c r="AI65" s="95"/>
      <c r="AJ65" s="96"/>
      <c r="AK65" s="95"/>
      <c r="AL65" s="96"/>
      <c r="AM65" s="95"/>
      <c r="AN65" s="96"/>
      <c r="AO65" s="95"/>
      <c r="AP65" s="98"/>
      <c r="AQ65" s="96"/>
      <c r="AR65" s="96"/>
      <c r="AS65" s="95"/>
      <c r="AT65" s="98"/>
      <c r="AU65" s="96"/>
      <c r="AV65" s="96"/>
      <c r="AW65" s="95"/>
      <c r="AX65" s="98"/>
      <c r="AY65" s="96"/>
      <c r="AZ65" s="96"/>
      <c r="BA65" s="95"/>
      <c r="BB65" s="98"/>
      <c r="BC65" s="99"/>
      <c r="BD65" s="95"/>
      <c r="BE65" s="96"/>
      <c r="BF65" s="96"/>
      <c r="BG65" s="98"/>
    </row>
    <row r="66" spans="1:59" ht="12" customHeight="1">
      <c r="A66" s="254">
        <f t="array" ref="A66">_xll.AC(DB,_xll.ArrayDPT($AA66:$AG66),_xll.ArrayCOA($AI66:$BB66),YR-1,PRD,_xll.ArrayDIM($BD66:$BG66))</f>
        <v>5500</v>
      </c>
      <c r="B66" s="237">
        <f t="shared" si="28"/>
        <v>0.67921489426877846</v>
      </c>
      <c r="C66" s="237">
        <f t="shared" si="29"/>
        <v>-5500</v>
      </c>
      <c r="D66" s="237">
        <f t="shared" si="30"/>
        <v>1.0716752167838213</v>
      </c>
      <c r="E66" s="254">
        <f t="array" ref="E66">_xll.BC(DB,_xll.ArrayDPT($AA66:$AG66),_xll.ArrayCOA($AI66:$BB66),YR,PRD,RV,_xll.ArrayDIM($BD66:$BG66))</f>
        <v>0</v>
      </c>
      <c r="F66" s="237">
        <f t="shared" si="31"/>
        <v>0</v>
      </c>
      <c r="G66" s="254">
        <f t="array" ref="G66">_xll.AC(DB,_xll.ArrayDPT($AA66:$AG66),_xll.ArrayCOA($AI66:$BB66),YR,PRD,_xll.ArrayDIM($BD66:$BG66))</f>
        <v>5500</v>
      </c>
      <c r="H66" s="237">
        <f t="shared" si="32"/>
        <v>1.0716752167838213</v>
      </c>
      <c r="I66" s="237"/>
      <c r="J66" s="328" t="s">
        <v>820</v>
      </c>
      <c r="K66" s="237"/>
      <c r="L66" s="254">
        <f t="array" ref="L66">_xll.ACC(DB,_xll.ArrayDPT($AA66:$AG66),_xll.ArrayCOA($AI66:$BB66),YR,PRD,_xll.ArrayDIM($BD66:$BG66))</f>
        <v>5500</v>
      </c>
      <c r="M66" s="237">
        <f t="shared" si="33"/>
        <v>0.2643800211113696</v>
      </c>
      <c r="N66" s="254">
        <f t="array" ref="N66">_xll.BCC(DB,_xll.ArrayDPT($AA66:$AG66),_xll.ArrayCOA($AI66:$BB66),YR,PRD,RV,_xll.ArrayDIM($BD66:$BG66))</f>
        <v>0</v>
      </c>
      <c r="O66" s="237">
        <f t="shared" si="34"/>
        <v>0</v>
      </c>
      <c r="P66" s="237">
        <f t="shared" si="35"/>
        <v>-5500</v>
      </c>
      <c r="Q66" s="237">
        <f t="shared" si="36"/>
        <v>0.2643800211113696</v>
      </c>
      <c r="R66" s="254">
        <f t="array" ref="R66">_xll.ACC(DB,_xll.ArrayDPT($AA66:$AG66),_xll.ArrayCOA($AI66:$BB66),YR-1,PRD,_xll.ArrayDIM($BD66:$BG66))</f>
        <v>5500</v>
      </c>
      <c r="S66" s="237">
        <f t="shared" si="37"/>
        <v>0.23646404767514181</v>
      </c>
      <c r="T66" s="295"/>
      <c r="U66" s="295"/>
      <c r="V66" s="295"/>
      <c r="W66" s="295"/>
      <c r="X66" s="295"/>
      <c r="Y66" s="295"/>
      <c r="Z66" s="295"/>
      <c r="AA66" s="95" t="s">
        <v>756</v>
      </c>
      <c r="AB66" s="96" t="s">
        <v>743</v>
      </c>
      <c r="AC66" s="96" t="s">
        <v>744</v>
      </c>
      <c r="AD66" s="96" t="s">
        <v>745</v>
      </c>
      <c r="AE66" s="96" t="s">
        <v>746</v>
      </c>
      <c r="AF66" s="96"/>
      <c r="AG66" s="96"/>
      <c r="AH66" s="97"/>
      <c r="AI66" s="95" t="s">
        <v>668</v>
      </c>
      <c r="AJ66" s="96" t="s">
        <v>668</v>
      </c>
      <c r="AK66" s="95"/>
      <c r="AL66" s="96"/>
      <c r="AM66" s="95"/>
      <c r="AN66" s="96"/>
      <c r="AO66" s="95"/>
      <c r="AP66" s="98"/>
      <c r="AQ66" s="96"/>
      <c r="AR66" s="96"/>
      <c r="AS66" s="95"/>
      <c r="AT66" s="98"/>
      <c r="AU66" s="96"/>
      <c r="AV66" s="96"/>
      <c r="AW66" s="95"/>
      <c r="AX66" s="98"/>
      <c r="AY66" s="96"/>
      <c r="AZ66" s="96"/>
      <c r="BA66" s="95"/>
      <c r="BB66" s="98"/>
      <c r="BC66" s="99"/>
      <c r="BD66" s="95"/>
      <c r="BE66" s="96"/>
      <c r="BF66" s="96"/>
      <c r="BG66" s="98"/>
    </row>
    <row r="67" spans="1:59" ht="12" customHeight="1">
      <c r="A67" s="254">
        <f t="array" ref="A67">_xll.AC(DB,_xll.ArrayDPT($AA67:$AG67),_xll.ArrayCOA($AI67:$BB67),YR-1,PRD,_xll.ArrayDIM($BD67:$BG67))</f>
        <v>0</v>
      </c>
      <c r="B67" s="237">
        <f t="shared" si="28"/>
        <v>0</v>
      </c>
      <c r="C67" s="237">
        <f t="shared" si="29"/>
        <v>0</v>
      </c>
      <c r="D67" s="237">
        <f t="shared" si="30"/>
        <v>0</v>
      </c>
      <c r="E67" s="254">
        <f t="array" ref="E67">_xll.BC(DB,_xll.ArrayDPT($AA67:$AG67),_xll.ArrayCOA($AI67:$BB67),YR,PRD,RV,_xll.ArrayDIM($BD67:$BG67))</f>
        <v>0</v>
      </c>
      <c r="F67" s="237">
        <f t="shared" si="31"/>
        <v>0</v>
      </c>
      <c r="G67" s="254">
        <f t="array" ref="G67">_xll.AC(DB,_xll.ArrayDPT($AA67:$AG67),_xll.ArrayCOA($AI67:$BB67),YR,PRD,_xll.ArrayDIM($BD67:$BG67))</f>
        <v>0</v>
      </c>
      <c r="H67" s="237">
        <f t="shared" si="32"/>
        <v>0</v>
      </c>
      <c r="I67" s="237"/>
      <c r="J67" s="328" t="s">
        <v>821</v>
      </c>
      <c r="K67" s="237"/>
      <c r="L67" s="254">
        <f t="array" ref="L67">_xll.ACC(DB,_xll.ArrayDPT($AA67:$AG67),_xll.ArrayCOA($AI67:$BB67),YR,PRD,_xll.ArrayDIM($BD67:$BG67))</f>
        <v>0</v>
      </c>
      <c r="M67" s="237">
        <f t="shared" si="33"/>
        <v>0</v>
      </c>
      <c r="N67" s="254">
        <f t="array" ref="N67">_xll.BCC(DB,_xll.ArrayDPT($AA67:$AG67),_xll.ArrayCOA($AI67:$BB67),YR,PRD,RV,_xll.ArrayDIM($BD67:$BG67))</f>
        <v>0</v>
      </c>
      <c r="O67" s="237">
        <f t="shared" si="34"/>
        <v>0</v>
      </c>
      <c r="P67" s="237">
        <f t="shared" si="35"/>
        <v>0</v>
      </c>
      <c r="Q67" s="237">
        <f t="shared" si="36"/>
        <v>0</v>
      </c>
      <c r="R67" s="254">
        <f t="array" ref="R67">_xll.ACC(DB,_xll.ArrayDPT($AA67:$AG67),_xll.ArrayCOA($AI67:$BB67),YR-1,PRD,_xll.ArrayDIM($BD67:$BG67))</f>
        <v>0</v>
      </c>
      <c r="S67" s="237">
        <f t="shared" si="37"/>
        <v>0</v>
      </c>
      <c r="T67" s="295"/>
      <c r="U67" s="295"/>
      <c r="V67" s="295"/>
      <c r="W67" s="295"/>
      <c r="X67" s="295"/>
      <c r="Y67" s="295"/>
      <c r="Z67" s="295"/>
      <c r="AA67" s="95" t="s">
        <v>756</v>
      </c>
      <c r="AB67" s="96" t="s">
        <v>743</v>
      </c>
      <c r="AC67" s="96" t="s">
        <v>744</v>
      </c>
      <c r="AD67" s="96" t="s">
        <v>745</v>
      </c>
      <c r="AE67" s="96" t="s">
        <v>746</v>
      </c>
      <c r="AF67" s="96"/>
      <c r="AG67" s="96"/>
      <c r="AH67" s="97"/>
      <c r="AI67" s="95" t="s">
        <v>822</v>
      </c>
      <c r="AJ67" s="96" t="s">
        <v>822</v>
      </c>
      <c r="AK67" s="95"/>
      <c r="AL67" s="96"/>
      <c r="AM67" s="95"/>
      <c r="AN67" s="96"/>
      <c r="AO67" s="95"/>
      <c r="AP67" s="98"/>
      <c r="AQ67" s="96"/>
      <c r="AR67" s="96"/>
      <c r="AS67" s="95"/>
      <c r="AT67" s="98"/>
      <c r="AU67" s="96"/>
      <c r="AV67" s="96"/>
      <c r="AW67" s="95"/>
      <c r="AX67" s="98"/>
      <c r="AY67" s="96"/>
      <c r="AZ67" s="96"/>
      <c r="BA67" s="95"/>
      <c r="BB67" s="98"/>
      <c r="BC67" s="99"/>
      <c r="BD67" s="95"/>
      <c r="BE67" s="96"/>
      <c r="BF67" s="96"/>
      <c r="BG67" s="98"/>
    </row>
    <row r="68" spans="1:59" ht="12" customHeight="1">
      <c r="A68" s="254">
        <f t="array" ref="A68">_xll.AC(DB,_xll.ArrayDPT($AA68:$AG68),_xll.ArrayCOA($AI68:$BB68),YR-1,PRD,_xll.ArrayDIM($BD68:$BG68))</f>
        <v>0</v>
      </c>
      <c r="B68" s="237">
        <f t="shared" si="28"/>
        <v>0</v>
      </c>
      <c r="C68" s="237">
        <f t="shared" si="29"/>
        <v>0</v>
      </c>
      <c r="D68" s="237">
        <f t="shared" si="30"/>
        <v>0</v>
      </c>
      <c r="E68" s="254">
        <f t="array" ref="E68">_xll.BC(DB,_xll.ArrayDPT($AA68:$AG68),_xll.ArrayCOA($AI68:$BB68),YR,PRD,RV,_xll.ArrayDIM($BD68:$BG68))</f>
        <v>0</v>
      </c>
      <c r="F68" s="237">
        <f t="shared" si="31"/>
        <v>0</v>
      </c>
      <c r="G68" s="254">
        <f t="array" ref="G68">_xll.AC(DB,_xll.ArrayDPT($AA68:$AG68),_xll.ArrayCOA($AI68:$BB68),YR,PRD,_xll.ArrayDIM($BD68:$BG68))</f>
        <v>0</v>
      </c>
      <c r="H68" s="237">
        <f t="shared" si="32"/>
        <v>0</v>
      </c>
      <c r="I68" s="237"/>
      <c r="J68" s="328" t="s">
        <v>823</v>
      </c>
      <c r="K68" s="237"/>
      <c r="L68" s="254">
        <f t="array" ref="L68">_xll.ACC(DB,_xll.ArrayDPT($AA68:$AG68),_xll.ArrayCOA($AI68:$BB68),YR,PRD,_xll.ArrayDIM($BD68:$BG68))</f>
        <v>0</v>
      </c>
      <c r="M68" s="237">
        <f t="shared" si="33"/>
        <v>0</v>
      </c>
      <c r="N68" s="254">
        <f t="array" ref="N68">_xll.BCC(DB,_xll.ArrayDPT($AA68:$AG68),_xll.ArrayCOA($AI68:$BB68),YR,PRD,RV,_xll.ArrayDIM($BD68:$BG68))</f>
        <v>0</v>
      </c>
      <c r="O68" s="237">
        <f t="shared" si="34"/>
        <v>0</v>
      </c>
      <c r="P68" s="237">
        <f t="shared" si="35"/>
        <v>0</v>
      </c>
      <c r="Q68" s="237">
        <f t="shared" si="36"/>
        <v>0</v>
      </c>
      <c r="R68" s="254">
        <f t="array" ref="R68">_xll.ACC(DB,_xll.ArrayDPT($AA68:$AG68),_xll.ArrayCOA($AI68:$BB68),YR-1,PRD,_xll.ArrayDIM($BD68:$BG68))</f>
        <v>0</v>
      </c>
      <c r="S68" s="237">
        <f t="shared" si="37"/>
        <v>0</v>
      </c>
      <c r="T68" s="295"/>
      <c r="U68" s="295"/>
      <c r="V68" s="295"/>
      <c r="W68" s="295"/>
      <c r="X68" s="295"/>
      <c r="Y68" s="295"/>
      <c r="Z68" s="295"/>
      <c r="AA68" s="95" t="s">
        <v>756</v>
      </c>
      <c r="AB68" s="96" t="s">
        <v>743</v>
      </c>
      <c r="AC68" s="96" t="s">
        <v>744</v>
      </c>
      <c r="AD68" s="96" t="s">
        <v>745</v>
      </c>
      <c r="AE68" s="96" t="s">
        <v>746</v>
      </c>
      <c r="AF68" s="96"/>
      <c r="AG68" s="96"/>
      <c r="AH68" s="97"/>
      <c r="AI68" s="95" t="s">
        <v>824</v>
      </c>
      <c r="AJ68" s="96" t="s">
        <v>824</v>
      </c>
      <c r="AK68" s="95"/>
      <c r="AL68" s="96"/>
      <c r="AM68" s="95"/>
      <c r="AN68" s="96"/>
      <c r="AO68" s="95"/>
      <c r="AP68" s="98"/>
      <c r="AQ68" s="96"/>
      <c r="AR68" s="96"/>
      <c r="AS68" s="95"/>
      <c r="AT68" s="98"/>
      <c r="AU68" s="96"/>
      <c r="AV68" s="96"/>
      <c r="AW68" s="95"/>
      <c r="AX68" s="98"/>
      <c r="AY68" s="96"/>
      <c r="AZ68" s="96"/>
      <c r="BA68" s="95"/>
      <c r="BB68" s="98"/>
      <c r="BC68" s="99"/>
      <c r="BD68" s="95"/>
      <c r="BE68" s="96"/>
      <c r="BF68" s="96"/>
      <c r="BG68" s="98"/>
    </row>
    <row r="69" spans="1:59" ht="12" customHeight="1">
      <c r="A69" s="254">
        <f t="array" ref="A69">_xll.AC(DB,_xll.ArrayDPT($AA69:$AG69),_xll.ArrayCOA($AI69:$BB69),YR-1,PRD,_xll.ArrayDIM($BD69:$BG69))</f>
        <v>0</v>
      </c>
      <c r="B69" s="237">
        <f t="shared" si="28"/>
        <v>0</v>
      </c>
      <c r="C69" s="237">
        <f t="shared" si="29"/>
        <v>0</v>
      </c>
      <c r="D69" s="237">
        <f t="shared" si="30"/>
        <v>0</v>
      </c>
      <c r="E69" s="254">
        <f t="array" ref="E69">_xll.BC(DB,_xll.ArrayDPT($AA69:$AG69),_xll.ArrayCOA($AI69:$BB69),YR,PRD,RV,_xll.ArrayDIM($BD69:$BG69))</f>
        <v>0</v>
      </c>
      <c r="F69" s="237">
        <f t="shared" si="31"/>
        <v>0</v>
      </c>
      <c r="G69" s="254">
        <f t="array" ref="G69">_xll.AC(DB,_xll.ArrayDPT($AA69:$AG69),_xll.ArrayCOA($AI69:$BB69),YR,PRD,_xll.ArrayDIM($BD69:$BG69))</f>
        <v>0</v>
      </c>
      <c r="H69" s="237">
        <f t="shared" si="32"/>
        <v>0</v>
      </c>
      <c r="I69" s="237"/>
      <c r="J69" s="328" t="s">
        <v>825</v>
      </c>
      <c r="K69" s="237"/>
      <c r="L69" s="254">
        <f t="array" ref="L69">_xll.ACC(DB,_xll.ArrayDPT($AA69:$AG69),_xll.ArrayCOA($AI69:$BB69),YR,PRD,_xll.ArrayDIM($BD69:$BG69))</f>
        <v>0</v>
      </c>
      <c r="M69" s="237">
        <f t="shared" si="33"/>
        <v>0</v>
      </c>
      <c r="N69" s="254">
        <f t="array" ref="N69">_xll.BCC(DB,_xll.ArrayDPT($AA69:$AG69),_xll.ArrayCOA($AI69:$BB69),YR,PRD,RV,_xll.ArrayDIM($BD69:$BG69))</f>
        <v>0</v>
      </c>
      <c r="O69" s="237">
        <f t="shared" si="34"/>
        <v>0</v>
      </c>
      <c r="P69" s="237">
        <f t="shared" si="35"/>
        <v>0</v>
      </c>
      <c r="Q69" s="237">
        <f t="shared" si="36"/>
        <v>0</v>
      </c>
      <c r="R69" s="254">
        <f t="array" ref="R69">_xll.ACC(DB,_xll.ArrayDPT($AA69:$AG69),_xll.ArrayCOA($AI69:$BB69),YR-1,PRD,_xll.ArrayDIM($BD69:$BG69))</f>
        <v>0</v>
      </c>
      <c r="S69" s="237">
        <f t="shared" si="37"/>
        <v>0</v>
      </c>
      <c r="T69" s="295"/>
      <c r="U69" s="295"/>
      <c r="V69" s="295"/>
      <c r="W69" s="295"/>
      <c r="X69" s="295"/>
      <c r="Y69" s="295"/>
      <c r="Z69" s="295"/>
      <c r="AA69" s="95" t="s">
        <v>756</v>
      </c>
      <c r="AB69" s="96" t="s">
        <v>743</v>
      </c>
      <c r="AC69" s="96" t="s">
        <v>744</v>
      </c>
      <c r="AD69" s="96" t="s">
        <v>745</v>
      </c>
      <c r="AE69" s="96" t="s">
        <v>746</v>
      </c>
      <c r="AF69" s="96"/>
      <c r="AG69" s="96"/>
      <c r="AH69" s="97"/>
      <c r="AI69" s="95" t="s">
        <v>708</v>
      </c>
      <c r="AJ69" s="96" t="s">
        <v>708</v>
      </c>
      <c r="AK69" s="95"/>
      <c r="AL69" s="96"/>
      <c r="AM69" s="95"/>
      <c r="AN69" s="96"/>
      <c r="AO69" s="95"/>
      <c r="AP69" s="98"/>
      <c r="AQ69" s="96"/>
      <c r="AR69" s="96"/>
      <c r="AS69" s="95"/>
      <c r="AT69" s="98"/>
      <c r="AU69" s="96"/>
      <c r="AV69" s="96"/>
      <c r="AW69" s="95"/>
      <c r="AX69" s="98"/>
      <c r="AY69" s="96"/>
      <c r="AZ69" s="96"/>
      <c r="BA69" s="95"/>
      <c r="BB69" s="98"/>
      <c r="BC69" s="99"/>
      <c r="BD69" s="95"/>
      <c r="BE69" s="96"/>
      <c r="BF69" s="96"/>
      <c r="BG69" s="98"/>
    </row>
    <row r="70" spans="1:59" ht="12" customHeight="1">
      <c r="A70" s="254">
        <f t="array" ref="A70">_xll.AC(DB,_xll.ArrayDPT($AA70:$AG70),_xll.ArrayCOA($AI70:$BB70),YR-1,PRD,_xll.ArrayDIM($BD70:$BG70))</f>
        <v>0</v>
      </c>
      <c r="B70" s="237">
        <f t="shared" si="28"/>
        <v>0</v>
      </c>
      <c r="C70" s="237">
        <f t="shared" si="29"/>
        <v>-925.83</v>
      </c>
      <c r="D70" s="237">
        <f t="shared" si="30"/>
        <v>0.18039801199181188</v>
      </c>
      <c r="E70" s="254">
        <f t="array" ref="E70">_xll.BC(DB,_xll.ArrayDPT($AA70:$AG70),_xll.ArrayCOA($AI70:$BB70),YR,PRD,RV,_xll.ArrayDIM($BD70:$BG70))</f>
        <v>0</v>
      </c>
      <c r="F70" s="237">
        <f t="shared" si="31"/>
        <v>0</v>
      </c>
      <c r="G70" s="254">
        <f t="array" ref="G70">_xll.AC(DB,_xll.ArrayDPT($AA70:$AG70),_xll.ArrayCOA($AI70:$BB70),YR,PRD,_xll.ArrayDIM($BD70:$BG70))</f>
        <v>925.83</v>
      </c>
      <c r="H70" s="237">
        <f t="shared" si="32"/>
        <v>0.18039801199181188</v>
      </c>
      <c r="I70" s="237"/>
      <c r="J70" s="328" t="s">
        <v>717</v>
      </c>
      <c r="K70" s="237"/>
      <c r="L70" s="254">
        <f t="array" ref="L70">_xll.ACC(DB,_xll.ArrayDPT($AA70:$AG70),_xll.ArrayCOA($AI70:$BB70),YR,PRD,_xll.ArrayDIM($BD70:$BG70))</f>
        <v>925.83</v>
      </c>
      <c r="M70" s="237">
        <f t="shared" si="33"/>
        <v>4.4503809990098057E-2</v>
      </c>
      <c r="N70" s="254">
        <f t="array" ref="N70">_xll.BCC(DB,_xll.ArrayDPT($AA70:$AG70),_xll.ArrayCOA($AI70:$BB70),YR,PRD,RV,_xll.ArrayDIM($BD70:$BG70))</f>
        <v>0</v>
      </c>
      <c r="O70" s="237">
        <f t="shared" si="34"/>
        <v>0</v>
      </c>
      <c r="P70" s="237">
        <f t="shared" si="35"/>
        <v>-925.83</v>
      </c>
      <c r="Q70" s="237">
        <f t="shared" si="36"/>
        <v>4.4503809990098057E-2</v>
      </c>
      <c r="R70" s="254">
        <f t="array" ref="R70">_xll.ACC(DB,_xll.ArrayDPT($AA70:$AG70),_xll.ArrayCOA($AI70:$BB70),YR-1,PRD,_xll.ArrayDIM($BD70:$BG70))</f>
        <v>0</v>
      </c>
      <c r="S70" s="237">
        <f t="shared" si="37"/>
        <v>0</v>
      </c>
      <c r="T70" s="295"/>
      <c r="U70" s="295"/>
      <c r="V70" s="295"/>
      <c r="W70" s="295"/>
      <c r="X70" s="295"/>
      <c r="Y70" s="295"/>
      <c r="Z70" s="295"/>
      <c r="AA70" s="95" t="s">
        <v>756</v>
      </c>
      <c r="AB70" s="96" t="s">
        <v>743</v>
      </c>
      <c r="AC70" s="96" t="s">
        <v>744</v>
      </c>
      <c r="AD70" s="96" t="s">
        <v>745</v>
      </c>
      <c r="AE70" s="96" t="s">
        <v>746</v>
      </c>
      <c r="AF70" s="96"/>
      <c r="AG70" s="96"/>
      <c r="AH70" s="97"/>
      <c r="AI70" s="95" t="s">
        <v>718</v>
      </c>
      <c r="AJ70" s="96" t="s">
        <v>718</v>
      </c>
      <c r="AK70" s="95"/>
      <c r="AL70" s="96"/>
      <c r="AM70" s="95"/>
      <c r="AN70" s="96"/>
      <c r="AO70" s="95"/>
      <c r="AP70" s="98"/>
      <c r="AQ70" s="96"/>
      <c r="AR70" s="96"/>
      <c r="AS70" s="95"/>
      <c r="AT70" s="98"/>
      <c r="AU70" s="96"/>
      <c r="AV70" s="96"/>
      <c r="AW70" s="95"/>
      <c r="AX70" s="98"/>
      <c r="AY70" s="96"/>
      <c r="AZ70" s="96"/>
      <c r="BA70" s="95"/>
      <c r="BB70" s="98"/>
      <c r="BC70" s="99"/>
      <c r="BD70" s="95"/>
      <c r="BE70" s="96"/>
      <c r="BF70" s="96"/>
      <c r="BG70" s="98"/>
    </row>
    <row r="71" spans="1:59" ht="12" customHeight="1">
      <c r="A71" s="254">
        <f t="array" ref="A71">_xll.AC(DB,_xll.ArrayDPT($AA71:$AG71),_xll.ArrayCOA($AI71:$BB71),YR-1,PRD,_xll.ArrayDIM($BD71:$BG71))</f>
        <v>0</v>
      </c>
      <c r="B71" s="237">
        <f t="shared" si="28"/>
        <v>0</v>
      </c>
      <c r="C71" s="237">
        <f t="shared" si="29"/>
        <v>0</v>
      </c>
      <c r="D71" s="237">
        <f t="shared" si="30"/>
        <v>0</v>
      </c>
      <c r="E71" s="254">
        <f t="array" ref="E71">_xll.BC(DB,_xll.ArrayDPT($AA71:$AG71),_xll.ArrayCOA($AI71:$BB71),YR,PRD,RV,_xll.ArrayDIM($BD71:$BG71))</f>
        <v>0</v>
      </c>
      <c r="F71" s="237">
        <f t="shared" si="31"/>
        <v>0</v>
      </c>
      <c r="G71" s="254">
        <f t="array" ref="G71">_xll.AC(DB,_xll.ArrayDPT($AA71:$AG71),_xll.ArrayCOA($AI71:$BB71),YR,PRD,_xll.ArrayDIM($BD71:$BG71))</f>
        <v>0</v>
      </c>
      <c r="H71" s="237">
        <f t="shared" si="32"/>
        <v>0</v>
      </c>
      <c r="I71" s="237"/>
      <c r="J71" s="328" t="s">
        <v>826</v>
      </c>
      <c r="K71" s="237"/>
      <c r="L71" s="254">
        <f t="array" ref="L71">_xll.ACC(DB,_xll.ArrayDPT($AA71:$AG71),_xll.ArrayCOA($AI71:$BB71),YR,PRD,_xll.ArrayDIM($BD71:$BG71))</f>
        <v>0</v>
      </c>
      <c r="M71" s="237">
        <f t="shared" si="33"/>
        <v>0</v>
      </c>
      <c r="N71" s="254">
        <f t="array" ref="N71">_xll.BCC(DB,_xll.ArrayDPT($AA71:$AG71),_xll.ArrayCOA($AI71:$BB71),YR,PRD,RV,_xll.ArrayDIM($BD71:$BG71))</f>
        <v>0</v>
      </c>
      <c r="O71" s="237">
        <f t="shared" si="34"/>
        <v>0</v>
      </c>
      <c r="P71" s="237">
        <f t="shared" si="35"/>
        <v>0</v>
      </c>
      <c r="Q71" s="237">
        <f t="shared" si="36"/>
        <v>0</v>
      </c>
      <c r="R71" s="254">
        <f t="array" ref="R71">_xll.ACC(DB,_xll.ArrayDPT($AA71:$AG71),_xll.ArrayCOA($AI71:$BB71),YR-1,PRD,_xll.ArrayDIM($BD71:$BG71))</f>
        <v>0</v>
      </c>
      <c r="S71" s="237">
        <f t="shared" si="37"/>
        <v>0</v>
      </c>
      <c r="T71" s="295"/>
      <c r="U71" s="295"/>
      <c r="V71" s="295"/>
      <c r="W71" s="295"/>
      <c r="X71" s="295"/>
      <c r="Y71" s="295"/>
      <c r="Z71" s="295"/>
      <c r="AA71" s="95" t="s">
        <v>756</v>
      </c>
      <c r="AB71" s="96" t="s">
        <v>743</v>
      </c>
      <c r="AC71" s="96" t="s">
        <v>744</v>
      </c>
      <c r="AD71" s="96" t="s">
        <v>745</v>
      </c>
      <c r="AE71" s="96" t="s">
        <v>746</v>
      </c>
      <c r="AF71" s="96"/>
      <c r="AG71" s="96"/>
      <c r="AH71" s="97"/>
      <c r="AI71" s="95" t="s">
        <v>578</v>
      </c>
      <c r="AJ71" s="96" t="s">
        <v>578</v>
      </c>
      <c r="AK71" s="95"/>
      <c r="AL71" s="96"/>
      <c r="AM71" s="95"/>
      <c r="AN71" s="96"/>
      <c r="AO71" s="95"/>
      <c r="AP71" s="98"/>
      <c r="AQ71" s="96"/>
      <c r="AR71" s="96"/>
      <c r="AS71" s="95"/>
      <c r="AT71" s="98"/>
      <c r="AU71" s="96"/>
      <c r="AV71" s="96"/>
      <c r="AW71" s="95"/>
      <c r="AX71" s="98"/>
      <c r="AY71" s="96"/>
      <c r="AZ71" s="96"/>
      <c r="BA71" s="95"/>
      <c r="BB71" s="98"/>
      <c r="BC71" s="99"/>
      <c r="BD71" s="95"/>
      <c r="BE71" s="96"/>
      <c r="BF71" s="96"/>
      <c r="BG71" s="98"/>
    </row>
    <row r="72" spans="1:59" ht="12" customHeight="1">
      <c r="A72" s="254">
        <f t="array" ref="A72">_xll.AC(DB,_xll.ArrayDPT($AA72:$AG72),_xll.ArrayCOA($AI72:$BB72),YR-1,PRD,_xll.ArrayDIM($BD72:$BG72))</f>
        <v>0</v>
      </c>
      <c r="B72" s="237">
        <f t="shared" si="28"/>
        <v>0</v>
      </c>
      <c r="C72" s="237">
        <f t="shared" si="29"/>
        <v>0</v>
      </c>
      <c r="D72" s="237">
        <f t="shared" si="30"/>
        <v>0</v>
      </c>
      <c r="E72" s="254">
        <f t="array" ref="E72">_xll.BC(DB,_xll.ArrayDPT($AA72:$AG72),_xll.ArrayCOA($AI72:$BB72),YR,PRD,RV,_xll.ArrayDIM($BD72:$BG72))</f>
        <v>0</v>
      </c>
      <c r="F72" s="237">
        <f t="shared" si="31"/>
        <v>0</v>
      </c>
      <c r="G72" s="254">
        <f t="array" ref="G72">_xll.AC(DB,_xll.ArrayDPT($AA72:$AG72),_xll.ArrayCOA($AI72:$BB72),YR,PRD,_xll.ArrayDIM($BD72:$BG72))</f>
        <v>0</v>
      </c>
      <c r="H72" s="237">
        <f t="shared" si="32"/>
        <v>0</v>
      </c>
      <c r="I72" s="237"/>
      <c r="J72" s="328" t="s">
        <v>827</v>
      </c>
      <c r="K72" s="237"/>
      <c r="L72" s="254">
        <f t="array" ref="L72">_xll.ACC(DB,_xll.ArrayDPT($AA72:$AG72),_xll.ArrayCOA($AI72:$BB72),YR,PRD,_xll.ArrayDIM($BD72:$BG72))</f>
        <v>0</v>
      </c>
      <c r="M72" s="237">
        <f t="shared" si="33"/>
        <v>0</v>
      </c>
      <c r="N72" s="254">
        <f t="array" ref="N72">_xll.BCC(DB,_xll.ArrayDPT($AA72:$AG72),_xll.ArrayCOA($AI72:$BB72),YR,PRD,RV,_xll.ArrayDIM($BD72:$BG72))</f>
        <v>0</v>
      </c>
      <c r="O72" s="237">
        <f t="shared" si="34"/>
        <v>0</v>
      </c>
      <c r="P72" s="237">
        <f t="shared" si="35"/>
        <v>0</v>
      </c>
      <c r="Q72" s="237">
        <f t="shared" si="36"/>
        <v>0</v>
      </c>
      <c r="R72" s="254">
        <f t="array" ref="R72">_xll.ACC(DB,_xll.ArrayDPT($AA72:$AG72),_xll.ArrayCOA($AI72:$BB72),YR-1,PRD,_xll.ArrayDIM($BD72:$BG72))</f>
        <v>0</v>
      </c>
      <c r="S72" s="237">
        <f t="shared" si="37"/>
        <v>0</v>
      </c>
      <c r="T72" s="295"/>
      <c r="U72" s="295"/>
      <c r="V72" s="295"/>
      <c r="W72" s="295"/>
      <c r="X72" s="295"/>
      <c r="Y72" s="295"/>
      <c r="Z72" s="295"/>
      <c r="AA72" s="95" t="s">
        <v>756</v>
      </c>
      <c r="AB72" s="96" t="s">
        <v>743</v>
      </c>
      <c r="AC72" s="96" t="s">
        <v>744</v>
      </c>
      <c r="AD72" s="96" t="s">
        <v>745</v>
      </c>
      <c r="AE72" s="96" t="s">
        <v>746</v>
      </c>
      <c r="AF72" s="96"/>
      <c r="AG72" s="96"/>
      <c r="AH72" s="97"/>
      <c r="AI72" s="95" t="s">
        <v>828</v>
      </c>
      <c r="AJ72" s="96" t="s">
        <v>828</v>
      </c>
      <c r="AK72" s="95"/>
      <c r="AL72" s="96"/>
      <c r="AM72" s="95"/>
      <c r="AN72" s="96"/>
      <c r="AO72" s="95"/>
      <c r="AP72" s="98"/>
      <c r="AQ72" s="96"/>
      <c r="AR72" s="96"/>
      <c r="AS72" s="95"/>
      <c r="AT72" s="98"/>
      <c r="AU72" s="96"/>
      <c r="AV72" s="96"/>
      <c r="AW72" s="95"/>
      <c r="AX72" s="98"/>
      <c r="AY72" s="96"/>
      <c r="AZ72" s="96"/>
      <c r="BA72" s="95"/>
      <c r="BB72" s="98"/>
      <c r="BC72" s="99"/>
      <c r="BD72" s="95"/>
      <c r="BE72" s="96"/>
      <c r="BF72" s="96"/>
      <c r="BG72" s="98"/>
    </row>
    <row r="73" spans="1:59" ht="12" customHeight="1">
      <c r="A73" s="254">
        <f t="array" ref="A73">_xll.AC(DB,_xll.ArrayDPT($AA73:$AG73),_xll.ArrayCOA($AI73:$BB73),YR-1,PRD,_xll.ArrayDIM($BD73:$BG73))</f>
        <v>1740</v>
      </c>
      <c r="B73" s="237">
        <f t="shared" si="28"/>
        <v>0.21487889382321357</v>
      </c>
      <c r="C73" s="237">
        <f t="shared" si="29"/>
        <v>0</v>
      </c>
      <c r="D73" s="237">
        <f t="shared" si="30"/>
        <v>0</v>
      </c>
      <c r="E73" s="254">
        <f t="array" ref="E73">_xll.BC(DB,_xll.ArrayDPT($AA73:$AG73),_xll.ArrayCOA($AI73:$BB73),YR,PRD,RV,_xll.ArrayDIM($BD73:$BG73))</f>
        <v>0</v>
      </c>
      <c r="F73" s="237">
        <f t="shared" si="31"/>
        <v>0</v>
      </c>
      <c r="G73" s="254">
        <f t="array" ref="G73">_xll.AC(DB,_xll.ArrayDPT($AA73:$AG73),_xll.ArrayCOA($AI73:$BB73),YR,PRD,_xll.ArrayDIM($BD73:$BG73))</f>
        <v>0</v>
      </c>
      <c r="H73" s="237">
        <f t="shared" si="32"/>
        <v>0</v>
      </c>
      <c r="I73" s="237"/>
      <c r="J73" s="328" t="s">
        <v>829</v>
      </c>
      <c r="K73" s="237"/>
      <c r="L73" s="254">
        <f t="array" ref="L73">_xll.ACC(DB,_xll.ArrayDPT($AA73:$AG73),_xll.ArrayCOA($AI73:$BB73),YR,PRD,_xll.ArrayDIM($BD73:$BG73))</f>
        <v>0</v>
      </c>
      <c r="M73" s="237">
        <f t="shared" si="33"/>
        <v>0</v>
      </c>
      <c r="N73" s="254">
        <f t="array" ref="N73">_xll.BCC(DB,_xll.ArrayDPT($AA73:$AG73),_xll.ArrayCOA($AI73:$BB73),YR,PRD,RV,_xll.ArrayDIM($BD73:$BG73))</f>
        <v>0</v>
      </c>
      <c r="O73" s="237">
        <f t="shared" si="34"/>
        <v>0</v>
      </c>
      <c r="P73" s="237">
        <f t="shared" si="35"/>
        <v>0</v>
      </c>
      <c r="Q73" s="237">
        <f t="shared" si="36"/>
        <v>0</v>
      </c>
      <c r="R73" s="254">
        <f t="array" ref="R73">_xll.ACC(DB,_xll.ArrayDPT($AA73:$AG73),_xll.ArrayCOA($AI73:$BB73),YR-1,PRD,_xll.ArrayDIM($BD73:$BG73))</f>
        <v>1740</v>
      </c>
      <c r="S73" s="237">
        <f t="shared" si="37"/>
        <v>7.480862599177214E-2</v>
      </c>
      <c r="T73" s="295"/>
      <c r="U73" s="295"/>
      <c r="V73" s="295"/>
      <c r="W73" s="295"/>
      <c r="X73" s="295"/>
      <c r="Y73" s="295"/>
      <c r="Z73" s="295"/>
      <c r="AA73" s="95" t="s">
        <v>756</v>
      </c>
      <c r="AB73" s="96" t="s">
        <v>743</v>
      </c>
      <c r="AC73" s="96" t="s">
        <v>744</v>
      </c>
      <c r="AD73" s="96" t="s">
        <v>745</v>
      </c>
      <c r="AE73" s="96" t="s">
        <v>746</v>
      </c>
      <c r="AF73" s="96"/>
      <c r="AG73" s="96"/>
      <c r="AH73" s="97"/>
      <c r="AI73" s="95" t="s">
        <v>720</v>
      </c>
      <c r="AJ73" s="96" t="s">
        <v>720</v>
      </c>
      <c r="AK73" s="95"/>
      <c r="AL73" s="96"/>
      <c r="AM73" s="95"/>
      <c r="AN73" s="96"/>
      <c r="AO73" s="95"/>
      <c r="AP73" s="98"/>
      <c r="AQ73" s="96"/>
      <c r="AR73" s="96"/>
      <c r="AS73" s="95"/>
      <c r="AT73" s="98"/>
      <c r="AU73" s="96"/>
      <c r="AV73" s="96"/>
      <c r="AW73" s="95"/>
      <c r="AX73" s="98"/>
      <c r="AY73" s="96"/>
      <c r="AZ73" s="96"/>
      <c r="BA73" s="95"/>
      <c r="BB73" s="98"/>
      <c r="BC73" s="99"/>
      <c r="BD73" s="95"/>
      <c r="BE73" s="96"/>
      <c r="BF73" s="96"/>
      <c r="BG73" s="98"/>
    </row>
    <row r="74" spans="1:59" ht="12" customHeight="1">
      <c r="A74" s="254">
        <f t="array" ref="A74">_xll.AC(DB,_xll.ArrayDPT($AA74:$AG74),_xll.ArrayCOA($AI74:$BB74),YR-1,PRD,_xll.ArrayDIM($BD74:$BG74))</f>
        <v>0</v>
      </c>
      <c r="B74" s="237">
        <f t="shared" si="28"/>
        <v>0</v>
      </c>
      <c r="C74" s="237">
        <f t="shared" si="29"/>
        <v>0</v>
      </c>
      <c r="D74" s="237">
        <f t="shared" si="30"/>
        <v>0</v>
      </c>
      <c r="E74" s="254">
        <f t="array" ref="E74">_xll.BC(DB,_xll.ArrayDPT($AA74:$AG74),_xll.ArrayCOA($AI74:$BB74),YR,PRD,RV,_xll.ArrayDIM($BD74:$BG74))</f>
        <v>0</v>
      </c>
      <c r="F74" s="237">
        <f t="shared" si="31"/>
        <v>0</v>
      </c>
      <c r="G74" s="254">
        <f t="array" ref="G74">_xll.AC(DB,_xll.ArrayDPT($AA74:$AG74),_xll.ArrayCOA($AI74:$BB74),YR,PRD,_xll.ArrayDIM($BD74:$BG74))</f>
        <v>0</v>
      </c>
      <c r="H74" s="237">
        <f t="shared" si="32"/>
        <v>0</v>
      </c>
      <c r="I74" s="237"/>
      <c r="J74" s="328" t="s">
        <v>830</v>
      </c>
      <c r="K74" s="237"/>
      <c r="L74" s="254">
        <f t="array" ref="L74">_xll.ACC(DB,_xll.ArrayDPT($AA74:$AG74),_xll.ArrayCOA($AI74:$BB74),YR,PRD,_xll.ArrayDIM($BD74:$BG74))</f>
        <v>0</v>
      </c>
      <c r="M74" s="237">
        <f t="shared" si="33"/>
        <v>0</v>
      </c>
      <c r="N74" s="254">
        <f t="array" ref="N74">_xll.BCC(DB,_xll.ArrayDPT($AA74:$AG74),_xll.ArrayCOA($AI74:$BB74),YR,PRD,RV,_xll.ArrayDIM($BD74:$BG74))</f>
        <v>0</v>
      </c>
      <c r="O74" s="237">
        <f t="shared" si="34"/>
        <v>0</v>
      </c>
      <c r="P74" s="237">
        <f t="shared" si="35"/>
        <v>0</v>
      </c>
      <c r="Q74" s="237">
        <f t="shared" si="36"/>
        <v>0</v>
      </c>
      <c r="R74" s="254">
        <f t="array" ref="R74">_xll.ACC(DB,_xll.ArrayDPT($AA74:$AG74),_xll.ArrayCOA($AI74:$BB74),YR-1,PRD,_xll.ArrayDIM($BD74:$BG74))</f>
        <v>0</v>
      </c>
      <c r="S74" s="237">
        <f t="shared" si="37"/>
        <v>0</v>
      </c>
      <c r="T74" s="295"/>
      <c r="U74" s="295"/>
      <c r="V74" s="295"/>
      <c r="W74" s="295"/>
      <c r="X74" s="295"/>
      <c r="Y74" s="295"/>
      <c r="Z74" s="295"/>
      <c r="AA74" s="95" t="s">
        <v>756</v>
      </c>
      <c r="AB74" s="96" t="s">
        <v>743</v>
      </c>
      <c r="AC74" s="96" t="s">
        <v>744</v>
      </c>
      <c r="AD74" s="96" t="s">
        <v>745</v>
      </c>
      <c r="AE74" s="96" t="s">
        <v>746</v>
      </c>
      <c r="AF74" s="96"/>
      <c r="AG74" s="96"/>
      <c r="AH74" s="97"/>
      <c r="AI74" s="95" t="s">
        <v>715</v>
      </c>
      <c r="AJ74" s="96" t="s">
        <v>715</v>
      </c>
      <c r="AK74" s="95" t="s">
        <v>716</v>
      </c>
      <c r="AL74" s="96" t="s">
        <v>716</v>
      </c>
      <c r="AM74" s="95"/>
      <c r="AN74" s="96"/>
      <c r="AO74" s="95"/>
      <c r="AP74" s="98"/>
      <c r="AQ74" s="96"/>
      <c r="AR74" s="96"/>
      <c r="AS74" s="95"/>
      <c r="AT74" s="98"/>
      <c r="AU74" s="96"/>
      <c r="AV74" s="96"/>
      <c r="AW74" s="95"/>
      <c r="AX74" s="98"/>
      <c r="AY74" s="96"/>
      <c r="AZ74" s="96"/>
      <c r="BA74" s="95"/>
      <c r="BB74" s="98"/>
      <c r="BC74" s="99"/>
      <c r="BD74" s="95"/>
      <c r="BE74" s="96"/>
      <c r="BF74" s="96"/>
      <c r="BG74" s="98"/>
    </row>
    <row r="75" spans="1:59" ht="12" customHeight="1">
      <c r="A75" s="254">
        <f t="array" ref="A75">_xll.AC(DB,_xll.ArrayDPT($AA75:$AG75),_xll.ArrayCOA($AI75:$BB75),YR-1,PRD,_xll.ArrayDIM($BD75:$BG75))</f>
        <v>0</v>
      </c>
      <c r="B75" s="237">
        <f t="shared" si="28"/>
        <v>0</v>
      </c>
      <c r="C75" s="237">
        <f t="shared" si="29"/>
        <v>0</v>
      </c>
      <c r="D75" s="237">
        <f t="shared" si="30"/>
        <v>0</v>
      </c>
      <c r="E75" s="254">
        <f t="array" ref="E75">_xll.BC(DB,_xll.ArrayDPT($AA75:$AG75),_xll.ArrayCOA($AI75:$BB75),YR,PRD,RV,_xll.ArrayDIM($BD75:$BG75))</f>
        <v>0</v>
      </c>
      <c r="F75" s="237">
        <f t="shared" si="31"/>
        <v>0</v>
      </c>
      <c r="G75" s="254">
        <f t="array" ref="G75">_xll.AC(DB,_xll.ArrayDPT($AA75:$AG75),_xll.ArrayCOA($AI75:$BB75),YR,PRD,_xll.ArrayDIM($BD75:$BG75))</f>
        <v>0</v>
      </c>
      <c r="H75" s="237">
        <f t="shared" si="32"/>
        <v>0</v>
      </c>
      <c r="I75" s="237"/>
      <c r="J75" s="328" t="s">
        <v>721</v>
      </c>
      <c r="K75" s="237"/>
      <c r="L75" s="254">
        <f t="array" ref="L75">_xll.ACC(DB,_xll.ArrayDPT($AA75:$AG75),_xll.ArrayCOA($AI75:$BB75),YR,PRD,_xll.ArrayDIM($BD75:$BG75))</f>
        <v>0</v>
      </c>
      <c r="M75" s="237">
        <f t="shared" si="33"/>
        <v>0</v>
      </c>
      <c r="N75" s="254">
        <f t="array" ref="N75">_xll.BCC(DB,_xll.ArrayDPT($AA75:$AG75),_xll.ArrayCOA($AI75:$BB75),YR,PRD,RV,_xll.ArrayDIM($BD75:$BG75))</f>
        <v>0</v>
      </c>
      <c r="O75" s="237">
        <f t="shared" si="34"/>
        <v>0</v>
      </c>
      <c r="P75" s="237">
        <f t="shared" si="35"/>
        <v>0</v>
      </c>
      <c r="Q75" s="237">
        <f t="shared" si="36"/>
        <v>0</v>
      </c>
      <c r="R75" s="254">
        <f t="array" ref="R75">_xll.ACC(DB,_xll.ArrayDPT($AA75:$AG75),_xll.ArrayCOA($AI75:$BB75),YR-1,PRD,_xll.ArrayDIM($BD75:$BG75))</f>
        <v>0</v>
      </c>
      <c r="S75" s="237">
        <f t="shared" si="37"/>
        <v>0</v>
      </c>
      <c r="T75" s="295"/>
      <c r="U75" s="295"/>
      <c r="V75" s="295"/>
      <c r="W75" s="295"/>
      <c r="X75" s="295"/>
      <c r="Y75" s="295"/>
      <c r="Z75" s="295"/>
      <c r="AA75" s="95" t="s">
        <v>756</v>
      </c>
      <c r="AB75" s="96" t="s">
        <v>743</v>
      </c>
      <c r="AC75" s="96" t="s">
        <v>744</v>
      </c>
      <c r="AD75" s="96" t="s">
        <v>745</v>
      </c>
      <c r="AE75" s="96" t="s">
        <v>746</v>
      </c>
      <c r="AF75" s="96"/>
      <c r="AG75" s="96"/>
      <c r="AH75" s="97"/>
      <c r="AI75" s="95" t="s">
        <v>722</v>
      </c>
      <c r="AJ75" s="96" t="s">
        <v>722</v>
      </c>
      <c r="AK75" s="95"/>
      <c r="AL75" s="96"/>
      <c r="AM75" s="95"/>
      <c r="AN75" s="96"/>
      <c r="AO75" s="95"/>
      <c r="AP75" s="98"/>
      <c r="AQ75" s="96"/>
      <c r="AR75" s="96"/>
      <c r="AS75" s="95"/>
      <c r="AT75" s="98"/>
      <c r="AU75" s="96"/>
      <c r="AV75" s="96"/>
      <c r="AW75" s="95"/>
      <c r="AX75" s="98"/>
      <c r="AY75" s="96"/>
      <c r="AZ75" s="96"/>
      <c r="BA75" s="95"/>
      <c r="BB75" s="98"/>
      <c r="BC75" s="99"/>
      <c r="BD75" s="95"/>
      <c r="BE75" s="96"/>
      <c r="BF75" s="96"/>
      <c r="BG75" s="98"/>
    </row>
    <row r="76" spans="1:59" ht="6" customHeight="1">
      <c r="A76" s="330"/>
      <c r="B76" s="329"/>
      <c r="C76" s="392"/>
      <c r="D76" s="329"/>
      <c r="E76" s="392"/>
      <c r="F76" s="329"/>
      <c r="G76" s="392"/>
      <c r="H76" s="329"/>
      <c r="I76" s="331"/>
      <c r="J76" s="392"/>
      <c r="K76" s="393"/>
      <c r="L76" s="333"/>
      <c r="M76" s="393"/>
      <c r="N76" s="333"/>
      <c r="O76" s="393"/>
      <c r="P76" s="333"/>
      <c r="Q76" s="393"/>
      <c r="R76" s="333"/>
      <c r="S76" s="403"/>
      <c r="T76" s="328"/>
      <c r="U76" s="328"/>
      <c r="V76" s="328"/>
      <c r="W76" s="328"/>
      <c r="X76" s="328"/>
      <c r="Y76" s="328"/>
      <c r="Z76" s="328"/>
      <c r="AA76" s="95"/>
      <c r="AB76" s="96"/>
      <c r="AC76" s="96"/>
      <c r="AD76" s="96"/>
      <c r="AE76" s="96"/>
      <c r="AF76" s="96"/>
      <c r="AG76" s="96"/>
      <c r="AH76" s="97"/>
      <c r="AI76" s="95"/>
      <c r="AJ76" s="96"/>
      <c r="AK76" s="95"/>
      <c r="AL76" s="96"/>
      <c r="AM76" s="95"/>
      <c r="AN76" s="96"/>
      <c r="AO76" s="95"/>
      <c r="AP76" s="98"/>
      <c r="AQ76" s="96"/>
      <c r="AR76" s="96"/>
      <c r="AS76" s="95"/>
      <c r="AT76" s="98"/>
      <c r="AU76" s="96"/>
      <c r="AV76" s="96"/>
      <c r="AW76" s="95"/>
      <c r="AX76" s="98"/>
      <c r="AY76" s="96"/>
      <c r="AZ76" s="96"/>
      <c r="BA76" s="95"/>
      <c r="BB76" s="98"/>
      <c r="BC76" s="99"/>
      <c r="BD76" s="95"/>
      <c r="BE76" s="96"/>
      <c r="BF76" s="96"/>
      <c r="BG76" s="98"/>
    </row>
    <row r="77" spans="1:59" ht="12" customHeight="1">
      <c r="A77" s="406">
        <f>SUM(A36:A75)</f>
        <v>29066.17</v>
      </c>
      <c r="B77" s="407">
        <f>IF(A77=0,0,(A77*100/A$14))</f>
        <v>3.5894864696996982</v>
      </c>
      <c r="C77" s="262">
        <f>SUM(C36:C75)</f>
        <v>-73088.92</v>
      </c>
      <c r="D77" s="407">
        <f>IF(C77=0,0,(C77*100/C$14))</f>
        <v>14.241378942817342</v>
      </c>
      <c r="E77" s="262">
        <f>SUM(E36:E75)</f>
        <v>0</v>
      </c>
      <c r="F77" s="407">
        <f>IF(E77=0,0,(E77*100/E$14))</f>
        <v>0</v>
      </c>
      <c r="G77" s="262">
        <f>SUM(G36:G75)</f>
        <v>73088.92</v>
      </c>
      <c r="H77" s="407">
        <f>IF(G77=0,0,(G77*100/G$14))</f>
        <v>14.241378942817342</v>
      </c>
      <c r="I77" s="262"/>
      <c r="J77" s="339" t="s">
        <v>727</v>
      </c>
      <c r="K77" s="262"/>
      <c r="L77" s="407">
        <f>SUM(L36:L75)</f>
        <v>73088.92</v>
      </c>
      <c r="M77" s="262">
        <f>IF(L77=0,0,(L77*100/L$14))</f>
        <v>3.5133182204740367</v>
      </c>
      <c r="N77" s="407">
        <f>SUM(N36:N75)</f>
        <v>0</v>
      </c>
      <c r="O77" s="262">
        <f>IF(N77=0,0,(N77*100/N$14))</f>
        <v>0</v>
      </c>
      <c r="P77" s="407">
        <f>SUM(P36:P75)</f>
        <v>-73088.92</v>
      </c>
      <c r="Q77" s="262">
        <f>IF(P77=0,0,(P77*100/P$14))</f>
        <v>3.5133182204740367</v>
      </c>
      <c r="R77" s="407">
        <f>SUM(R36:R75)</f>
        <v>29066.17</v>
      </c>
      <c r="S77" s="408">
        <f>IF(R77=0,0,(R77*100/R$14))</f>
        <v>1.2496553106570503</v>
      </c>
      <c r="T77" s="397"/>
      <c r="U77" s="397"/>
      <c r="V77" s="397"/>
      <c r="W77" s="397"/>
      <c r="X77" s="397"/>
      <c r="Y77" s="397"/>
      <c r="Z77" s="397"/>
      <c r="AA77" s="95"/>
      <c r="AB77" s="96"/>
      <c r="AC77" s="96"/>
      <c r="AD77" s="96"/>
      <c r="AE77" s="96"/>
      <c r="AF77" s="96"/>
      <c r="AG77" s="96"/>
      <c r="AH77" s="97"/>
      <c r="AI77" s="95"/>
      <c r="AJ77" s="96"/>
      <c r="AK77" s="95"/>
      <c r="AL77" s="96"/>
      <c r="AM77" s="95"/>
      <c r="AN77" s="96"/>
      <c r="AO77" s="95"/>
      <c r="AP77" s="98"/>
      <c r="AQ77" s="96"/>
      <c r="AR77" s="96"/>
      <c r="AS77" s="95"/>
      <c r="AT77" s="98"/>
      <c r="AU77" s="96"/>
      <c r="AV77" s="96"/>
      <c r="AW77" s="95"/>
      <c r="AX77" s="98"/>
      <c r="AY77" s="96"/>
      <c r="AZ77" s="96"/>
      <c r="BA77" s="95"/>
      <c r="BB77" s="98"/>
      <c r="BC77" s="99"/>
      <c r="BD77" s="95"/>
      <c r="BE77" s="96"/>
      <c r="BF77" s="96"/>
      <c r="BG77" s="98"/>
    </row>
    <row r="78" spans="1:59" ht="6" customHeight="1">
      <c r="A78" s="330"/>
      <c r="B78" s="329"/>
      <c r="C78" s="392"/>
      <c r="D78" s="329"/>
      <c r="E78" s="392"/>
      <c r="F78" s="329"/>
      <c r="G78" s="392"/>
      <c r="H78" s="329"/>
      <c r="I78" s="331"/>
      <c r="J78" s="392"/>
      <c r="K78" s="393"/>
      <c r="L78" s="333"/>
      <c r="M78" s="393"/>
      <c r="N78" s="333"/>
      <c r="O78" s="393"/>
      <c r="P78" s="333"/>
      <c r="Q78" s="393"/>
      <c r="R78" s="333"/>
      <c r="S78" s="403"/>
      <c r="T78" s="328"/>
      <c r="U78" s="328"/>
      <c r="V78" s="328"/>
      <c r="W78" s="328"/>
      <c r="X78" s="328"/>
      <c r="Y78" s="328"/>
      <c r="Z78" s="328"/>
      <c r="AA78" s="95"/>
      <c r="AB78" s="96"/>
      <c r="AC78" s="96"/>
      <c r="AD78" s="96"/>
      <c r="AE78" s="96"/>
      <c r="AF78" s="96"/>
      <c r="AG78" s="96"/>
      <c r="AH78" s="97"/>
      <c r="AI78" s="95"/>
      <c r="AJ78" s="96"/>
      <c r="AK78" s="95"/>
      <c r="AL78" s="96"/>
      <c r="AM78" s="95"/>
      <c r="AN78" s="96"/>
      <c r="AO78" s="95"/>
      <c r="AP78" s="98"/>
      <c r="AQ78" s="96"/>
      <c r="AR78" s="96"/>
      <c r="AS78" s="95"/>
      <c r="AT78" s="98"/>
      <c r="AU78" s="96"/>
      <c r="AV78" s="96"/>
      <c r="AW78" s="95"/>
      <c r="AX78" s="98"/>
      <c r="AY78" s="96"/>
      <c r="AZ78" s="96"/>
      <c r="BA78" s="95"/>
      <c r="BB78" s="98"/>
      <c r="BC78" s="99"/>
      <c r="BD78" s="95"/>
      <c r="BE78" s="96"/>
      <c r="BF78" s="96"/>
      <c r="BG78" s="98"/>
    </row>
    <row r="79" spans="1:59" ht="12" customHeight="1">
      <c r="A79" s="394">
        <f>+A23+A34+A77</f>
        <v>397018.85</v>
      </c>
      <c r="B79" s="338">
        <f>IF(A79=0,0,(A79*100/A$14))</f>
        <v>49.029293859174913</v>
      </c>
      <c r="C79" s="395">
        <f>+C23+C34+C77</f>
        <v>-343274</v>
      </c>
      <c r="D79" s="338">
        <f>IF(C79=0,0,(C79*100/C$14))</f>
        <v>66.886952430227183</v>
      </c>
      <c r="E79" s="395">
        <f>+E23+E34+E77</f>
        <v>0</v>
      </c>
      <c r="F79" s="338">
        <f>IF(E79=0,0,(E79*100/E$14))</f>
        <v>0</v>
      </c>
      <c r="G79" s="395">
        <f>+G23+G34+G77</f>
        <v>343274</v>
      </c>
      <c r="H79" s="338">
        <f>IF(G79=0,0,(G79*100/G$14))</f>
        <v>66.886952430227183</v>
      </c>
      <c r="I79" s="395"/>
      <c r="J79" s="336" t="s">
        <v>831</v>
      </c>
      <c r="K79" s="395"/>
      <c r="L79" s="338">
        <f>+L23+L34+L77</f>
        <v>343274</v>
      </c>
      <c r="M79" s="395">
        <f>IF(L79=0,0,(L79*100/L$14))</f>
        <v>16.500870430360777</v>
      </c>
      <c r="N79" s="338">
        <f>+N23+N34+N77</f>
        <v>0</v>
      </c>
      <c r="O79" s="395">
        <f>IF(N79=0,0,(N79*100/N$14))</f>
        <v>0</v>
      </c>
      <c r="P79" s="338">
        <f>+P23+P34+P77</f>
        <v>-343274</v>
      </c>
      <c r="Q79" s="395">
        <f>IF(P79=0,0,(P79*100/P$14))</f>
        <v>16.500870430360777</v>
      </c>
      <c r="R79" s="338">
        <f>+R23+R34+R77</f>
        <v>397018.85</v>
      </c>
      <c r="S79" s="400">
        <f>IF(R79=0,0,(R79*100/R$14))</f>
        <v>17.069215322605451</v>
      </c>
      <c r="T79" s="397"/>
      <c r="U79" s="397"/>
      <c r="V79" s="397"/>
      <c r="W79" s="397"/>
      <c r="X79" s="397"/>
      <c r="Y79" s="397"/>
      <c r="Z79" s="397"/>
      <c r="AA79" s="95"/>
      <c r="AB79" s="96"/>
      <c r="AC79" s="96"/>
      <c r="AD79" s="96"/>
      <c r="AE79" s="96"/>
      <c r="AF79" s="96"/>
      <c r="AG79" s="96"/>
      <c r="AH79" s="97"/>
      <c r="AI79" s="95"/>
      <c r="AJ79" s="96"/>
      <c r="AK79" s="95"/>
      <c r="AL79" s="96"/>
      <c r="AM79" s="95"/>
      <c r="AN79" s="96"/>
      <c r="AO79" s="95"/>
      <c r="AP79" s="98"/>
      <c r="AQ79" s="96"/>
      <c r="AR79" s="96"/>
      <c r="AS79" s="95"/>
      <c r="AT79" s="98"/>
      <c r="AU79" s="96"/>
      <c r="AV79" s="96"/>
      <c r="AW79" s="95"/>
      <c r="AX79" s="98"/>
      <c r="AY79" s="96"/>
      <c r="AZ79" s="96"/>
      <c r="BA79" s="95"/>
      <c r="BB79" s="98"/>
      <c r="BC79" s="99"/>
      <c r="BD79" s="95"/>
      <c r="BE79" s="96"/>
      <c r="BF79" s="96"/>
      <c r="BG79" s="98"/>
    </row>
    <row r="80" spans="1:59" ht="6" customHeight="1">
      <c r="A80" s="409"/>
      <c r="B80" s="410"/>
      <c r="C80" s="254"/>
      <c r="D80" s="410"/>
      <c r="E80" s="254"/>
      <c r="F80" s="410"/>
      <c r="G80" s="254"/>
      <c r="H80" s="410"/>
      <c r="I80" s="328"/>
      <c r="J80" s="254"/>
      <c r="K80" s="237"/>
      <c r="L80" s="411"/>
      <c r="M80" s="237"/>
      <c r="N80" s="411"/>
      <c r="O80" s="237"/>
      <c r="P80" s="411"/>
      <c r="Q80" s="237"/>
      <c r="R80" s="411"/>
      <c r="S80" s="412"/>
      <c r="T80" s="328"/>
      <c r="U80" s="328"/>
      <c r="V80" s="328"/>
      <c r="W80" s="328"/>
      <c r="X80" s="328"/>
      <c r="Y80" s="328"/>
      <c r="Z80" s="328"/>
      <c r="AA80" s="95"/>
      <c r="AB80" s="96"/>
      <c r="AC80" s="96"/>
      <c r="AD80" s="96"/>
      <c r="AE80" s="96"/>
      <c r="AF80" s="96"/>
      <c r="AG80" s="96"/>
      <c r="AH80" s="97"/>
      <c r="AI80" s="95"/>
      <c r="AJ80" s="96"/>
      <c r="AK80" s="95"/>
      <c r="AL80" s="96"/>
      <c r="AM80" s="95"/>
      <c r="AN80" s="96"/>
      <c r="AO80" s="95"/>
      <c r="AP80" s="98"/>
      <c r="AQ80" s="96"/>
      <c r="AR80" s="96"/>
      <c r="AS80" s="95"/>
      <c r="AT80" s="98"/>
      <c r="AU80" s="96"/>
      <c r="AV80" s="96"/>
      <c r="AW80" s="95"/>
      <c r="AX80" s="98"/>
      <c r="AY80" s="96"/>
      <c r="AZ80" s="96"/>
      <c r="BA80" s="95"/>
      <c r="BB80" s="98"/>
      <c r="BC80" s="99"/>
      <c r="BD80" s="95"/>
      <c r="BE80" s="96"/>
      <c r="BF80" s="96"/>
      <c r="BG80" s="98"/>
    </row>
    <row r="81" spans="1:59" ht="12" customHeight="1">
      <c r="A81" s="394">
        <f>+A14-A79</f>
        <v>412739.60000000009</v>
      </c>
      <c r="B81" s="338">
        <f>IF(A81=0,0,(A81*100/A$14))</f>
        <v>50.970706140825087</v>
      </c>
      <c r="C81" s="395">
        <f>+C14-C79</f>
        <v>-169941.18999999994</v>
      </c>
      <c r="D81" s="338">
        <f>IF(C81=0,0,(C81*100/C$14))</f>
        <v>33.113047569772817</v>
      </c>
      <c r="E81" s="395">
        <f>+E14-E79</f>
        <v>0</v>
      </c>
      <c r="F81" s="338">
        <f>IF(E81=0,0,(E81*100/E$14))</f>
        <v>0</v>
      </c>
      <c r="G81" s="395">
        <f>+G14-G79</f>
        <v>169941.18999999994</v>
      </c>
      <c r="H81" s="338">
        <f>IF(G81=0,0,(G81*100/G$14))</f>
        <v>33.113047569772817</v>
      </c>
      <c r="I81" s="395"/>
      <c r="J81" s="336" t="s">
        <v>832</v>
      </c>
      <c r="K81" s="395"/>
      <c r="L81" s="338">
        <f>+L14-L79</f>
        <v>1737064.74</v>
      </c>
      <c r="M81" s="395">
        <f>IF(L81=0,0,(L81*100/L$14))</f>
        <v>83.499129569639223</v>
      </c>
      <c r="N81" s="338">
        <f>+N14-N79</f>
        <v>0</v>
      </c>
      <c r="O81" s="395">
        <f>IF(N81=0,0,(N81*100/N$14))</f>
        <v>0</v>
      </c>
      <c r="P81" s="338">
        <f>+P14-P79</f>
        <v>-1737064.74</v>
      </c>
      <c r="Q81" s="395">
        <f>IF(P81=0,0,(P81*100/P$14))</f>
        <v>83.499129569639223</v>
      </c>
      <c r="R81" s="338">
        <f>+R14-R79</f>
        <v>1928916.13</v>
      </c>
      <c r="S81" s="400">
        <f>IF(R81=0,0,(R81*100/R$14))</f>
        <v>82.930784677394556</v>
      </c>
      <c r="T81" s="397"/>
      <c r="U81" s="397"/>
      <c r="V81" s="397"/>
      <c r="W81" s="397"/>
      <c r="X81" s="397"/>
      <c r="Y81" s="397"/>
      <c r="Z81" s="397"/>
      <c r="AA81" s="95"/>
      <c r="AB81" s="96"/>
      <c r="AC81" s="96"/>
      <c r="AD81" s="96"/>
      <c r="AE81" s="96"/>
      <c r="AF81" s="96"/>
      <c r="AG81" s="96"/>
      <c r="AH81" s="97"/>
      <c r="AI81" s="95"/>
      <c r="AJ81" s="96"/>
      <c r="AK81" s="95"/>
      <c r="AL81" s="96"/>
      <c r="AM81" s="95"/>
      <c r="AN81" s="96"/>
      <c r="AO81" s="95"/>
      <c r="AP81" s="98"/>
      <c r="AQ81" s="96"/>
      <c r="AR81" s="96"/>
      <c r="AS81" s="95"/>
      <c r="AT81" s="98"/>
      <c r="AU81" s="96"/>
      <c r="AV81" s="96"/>
      <c r="AW81" s="95"/>
      <c r="AX81" s="98"/>
      <c r="AY81" s="96"/>
      <c r="AZ81" s="96"/>
      <c r="BA81" s="95"/>
      <c r="BB81" s="98"/>
      <c r="BC81" s="99"/>
      <c r="BD81" s="95"/>
      <c r="BE81" s="96"/>
      <c r="BF81" s="96"/>
      <c r="BG81" s="98"/>
    </row>
    <row r="82" spans="1:59" ht="12" customHeight="1">
      <c r="A82" s="413"/>
      <c r="B82" s="414"/>
      <c r="C82" s="413"/>
      <c r="D82" s="414"/>
      <c r="E82" s="413"/>
      <c r="F82" s="414"/>
      <c r="G82" s="413"/>
      <c r="H82" s="414"/>
      <c r="I82" s="414"/>
      <c r="J82" s="415"/>
      <c r="K82" s="414"/>
      <c r="L82" s="413"/>
      <c r="M82" s="414"/>
      <c r="N82" s="413"/>
      <c r="O82" s="414"/>
      <c r="P82" s="413"/>
      <c r="Q82" s="414"/>
      <c r="R82" s="413"/>
      <c r="S82" s="262"/>
      <c r="T82" s="391"/>
      <c r="U82" s="391"/>
      <c r="V82" s="391"/>
      <c r="W82" s="391"/>
      <c r="X82" s="391"/>
      <c r="Y82" s="391"/>
      <c r="Z82" s="391"/>
    </row>
    <row r="83" spans="1:59" ht="12" customHeight="1">
      <c r="A83" s="239"/>
      <c r="B83" s="239"/>
      <c r="C83" s="239"/>
      <c r="D83" s="239"/>
      <c r="E83" s="239"/>
      <c r="F83" s="239"/>
      <c r="G83" s="239"/>
      <c r="H83" s="239"/>
      <c r="I83" s="239"/>
      <c r="J83" s="239"/>
      <c r="K83" s="239"/>
      <c r="L83" s="239"/>
      <c r="M83" s="239"/>
      <c r="N83" s="239"/>
      <c r="O83" s="239"/>
      <c r="P83" s="239"/>
      <c r="Q83" s="239"/>
      <c r="R83" s="239"/>
      <c r="S83" s="239"/>
      <c r="T83" s="226"/>
      <c r="U83" s="226"/>
      <c r="V83" s="226"/>
      <c r="W83" s="226"/>
      <c r="X83" s="226"/>
      <c r="Y83" s="226"/>
      <c r="Z83" s="226"/>
    </row>
    <row r="84" spans="1:59" ht="12" customHeight="1">
      <c r="A84" s="237"/>
      <c r="B84" s="244"/>
      <c r="C84" s="237"/>
      <c r="D84" s="244"/>
      <c r="E84" s="237"/>
      <c r="F84" s="244"/>
      <c r="G84" s="244"/>
      <c r="H84" s="244"/>
      <c r="I84" s="244"/>
      <c r="J84" s="244"/>
      <c r="K84" s="244"/>
      <c r="L84" s="237"/>
      <c r="M84" s="244"/>
      <c r="N84" s="237"/>
      <c r="O84" s="244"/>
      <c r="P84" s="237"/>
      <c r="Q84" s="244"/>
      <c r="R84" s="244"/>
      <c r="S84" s="244"/>
      <c r="T84" s="226"/>
      <c r="U84" s="226"/>
      <c r="V84" s="226"/>
      <c r="W84" s="226"/>
      <c r="X84" s="226"/>
      <c r="Y84" s="226"/>
      <c r="Z84" s="226"/>
    </row>
    <row r="85" spans="1:59" ht="12" customHeight="1">
      <c r="A85" s="244"/>
      <c r="B85" s="244"/>
      <c r="C85" s="244"/>
      <c r="D85" s="244"/>
      <c r="E85" s="244"/>
      <c r="F85" s="244"/>
      <c r="G85" s="244"/>
      <c r="H85" s="244"/>
      <c r="I85" s="244"/>
      <c r="J85" s="365"/>
      <c r="K85" s="244"/>
      <c r="L85" s="244"/>
      <c r="M85" s="244"/>
      <c r="N85" s="244"/>
      <c r="O85" s="244"/>
      <c r="P85" s="244"/>
      <c r="Q85" s="244"/>
      <c r="R85" s="244"/>
      <c r="S85" s="244"/>
      <c r="T85" s="226"/>
      <c r="U85" s="226"/>
      <c r="V85" s="226"/>
      <c r="W85" s="226"/>
      <c r="X85" s="226"/>
      <c r="Y85" s="226"/>
      <c r="Z85" s="226"/>
    </row>
    <row r="86" spans="1:59" ht="12" customHeight="1">
      <c r="A86" s="239"/>
      <c r="B86" s="239"/>
      <c r="C86" s="239"/>
      <c r="D86" s="239"/>
      <c r="E86" s="239"/>
      <c r="F86" s="239"/>
      <c r="G86" s="239"/>
      <c r="H86" s="239"/>
      <c r="I86" s="239"/>
      <c r="J86" s="364"/>
      <c r="K86" s="239"/>
      <c r="L86" s="239"/>
      <c r="M86" s="239"/>
      <c r="N86" s="239"/>
      <c r="O86" s="239"/>
      <c r="P86" s="239"/>
      <c r="Q86" s="239"/>
      <c r="R86" s="239"/>
      <c r="S86" s="239"/>
      <c r="T86" s="226"/>
      <c r="U86" s="226"/>
      <c r="V86" s="226"/>
      <c r="W86" s="226"/>
      <c r="X86" s="226"/>
      <c r="Y86" s="226"/>
      <c r="Z86" s="226"/>
    </row>
    <row r="87" spans="1:59" ht="12" customHeight="1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60"/>
      <c r="U87" s="60"/>
      <c r="V87" s="137"/>
      <c r="W87" s="137"/>
      <c r="X87" s="137"/>
      <c r="Y87" s="137"/>
      <c r="Z87" s="137"/>
    </row>
    <row r="88" spans="1:59" ht="12" customHeight="1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60"/>
      <c r="U88" s="60"/>
      <c r="V88" s="137"/>
      <c r="W88" s="137"/>
      <c r="X88" s="137"/>
      <c r="Y88" s="137"/>
      <c r="Z88" s="137"/>
    </row>
    <row r="89" spans="1:59" ht="12" customHeight="1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60"/>
      <c r="U89" s="60"/>
      <c r="V89" s="137"/>
      <c r="W89" s="137"/>
      <c r="X89" s="137"/>
      <c r="Y89" s="137"/>
      <c r="Z89" s="137"/>
    </row>
    <row r="90" spans="1:59" ht="12" customHeight="1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60"/>
      <c r="U90" s="60"/>
      <c r="V90" s="137"/>
      <c r="W90" s="137"/>
      <c r="X90" s="137"/>
      <c r="Y90" s="137"/>
      <c r="Z90" s="137"/>
    </row>
    <row r="91" spans="1:59" ht="12" customHeight="1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60"/>
      <c r="U91" s="60"/>
      <c r="V91" s="137"/>
      <c r="W91" s="137"/>
      <c r="X91" s="137"/>
      <c r="Y91" s="137"/>
      <c r="Z91" s="137"/>
    </row>
    <row r="92" spans="1:59" ht="12" customHeight="1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60"/>
      <c r="U92" s="60"/>
      <c r="V92" s="137"/>
      <c r="W92" s="137"/>
      <c r="X92" s="137"/>
      <c r="Y92" s="137"/>
      <c r="Z92" s="137"/>
    </row>
    <row r="93" spans="1:59" ht="12" customHeight="1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60"/>
      <c r="U93" s="60"/>
      <c r="V93" s="137"/>
      <c r="W93" s="137"/>
      <c r="X93" s="137"/>
      <c r="Y93" s="137"/>
      <c r="Z93" s="137"/>
    </row>
    <row r="94" spans="1:59" ht="12" customHeight="1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60"/>
      <c r="U94" s="60"/>
      <c r="V94" s="137"/>
      <c r="W94" s="137"/>
      <c r="X94" s="137"/>
      <c r="Y94" s="137"/>
      <c r="Z94" s="137"/>
    </row>
    <row r="95" spans="1:59" ht="12" customHeight="1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60"/>
      <c r="U95" s="60"/>
      <c r="V95" s="137"/>
      <c r="W95" s="137"/>
      <c r="X95" s="137"/>
      <c r="Y95" s="137"/>
      <c r="Z95" s="137"/>
    </row>
    <row r="96" spans="1:59" ht="12" customHeight="1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60"/>
      <c r="U96" s="60"/>
      <c r="V96" s="137"/>
      <c r="W96" s="137"/>
      <c r="X96" s="137"/>
      <c r="Y96" s="137"/>
      <c r="Z96" s="137"/>
    </row>
    <row r="97" spans="1:26" ht="12" customHeight="1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60"/>
      <c r="U97" s="60"/>
      <c r="V97" s="137"/>
      <c r="W97" s="137"/>
      <c r="X97" s="137"/>
      <c r="Y97" s="137"/>
      <c r="Z97" s="137"/>
    </row>
    <row r="98" spans="1:26" ht="12" customHeight="1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60"/>
      <c r="U98" s="60"/>
      <c r="V98" s="137"/>
      <c r="W98" s="137"/>
      <c r="X98" s="137"/>
      <c r="Y98" s="137"/>
      <c r="Z98" s="137"/>
    </row>
    <row r="99" spans="1:26" ht="12" customHeight="1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60"/>
      <c r="U99" s="60"/>
      <c r="V99" s="137"/>
      <c r="W99" s="137"/>
      <c r="X99" s="137"/>
      <c r="Y99" s="137"/>
      <c r="Z99" s="137"/>
    </row>
    <row r="100" spans="1:26" ht="12" customHeight="1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60"/>
      <c r="U100" s="60"/>
      <c r="V100" s="137"/>
      <c r="W100" s="137"/>
      <c r="X100" s="137"/>
      <c r="Y100" s="137"/>
      <c r="Z100" s="137"/>
    </row>
    <row r="101" spans="1:26" ht="12" customHeight="1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60"/>
      <c r="U101" s="60"/>
      <c r="V101" s="137"/>
      <c r="W101" s="137"/>
      <c r="X101" s="137"/>
      <c r="Y101" s="137"/>
      <c r="Z101" s="137"/>
    </row>
    <row r="102" spans="1:26" ht="12" customHeight="1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60"/>
      <c r="U102" s="60"/>
      <c r="V102" s="137"/>
      <c r="W102" s="137"/>
      <c r="X102" s="137"/>
      <c r="Y102" s="137"/>
      <c r="Z102" s="137"/>
    </row>
    <row r="103" spans="1:26" ht="12" customHeight="1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60"/>
      <c r="U103" s="60"/>
      <c r="V103" s="137"/>
      <c r="W103" s="137"/>
      <c r="X103" s="137"/>
      <c r="Y103" s="137"/>
      <c r="Z103" s="137"/>
    </row>
    <row r="104" spans="1:26" ht="12" customHeight="1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60"/>
      <c r="U104" s="60"/>
      <c r="V104" s="137"/>
      <c r="W104" s="137"/>
      <c r="X104" s="137"/>
      <c r="Y104" s="137"/>
      <c r="Z104" s="137"/>
    </row>
    <row r="105" spans="1:26" ht="12" customHeight="1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60"/>
      <c r="U105" s="60"/>
      <c r="V105" s="137"/>
      <c r="W105" s="137"/>
      <c r="X105" s="137"/>
      <c r="Y105" s="137"/>
      <c r="Z105" s="137"/>
    </row>
    <row r="106" spans="1:26" ht="12" customHeight="1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60"/>
      <c r="U106" s="60"/>
      <c r="V106" s="137"/>
      <c r="W106" s="137"/>
      <c r="X106" s="137"/>
      <c r="Y106" s="137"/>
      <c r="Z106" s="137"/>
    </row>
    <row r="107" spans="1:26" ht="12" customHeight="1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60"/>
      <c r="U107" s="60"/>
      <c r="V107" s="137"/>
      <c r="W107" s="137"/>
      <c r="X107" s="137"/>
      <c r="Y107" s="137"/>
      <c r="Z107" s="137"/>
    </row>
    <row r="108" spans="1:26" ht="12" customHeight="1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60"/>
      <c r="U108" s="60"/>
      <c r="V108" s="137"/>
      <c r="W108" s="137"/>
      <c r="X108" s="137"/>
      <c r="Y108" s="137"/>
      <c r="Z108" s="137"/>
    </row>
    <row r="109" spans="1:26" ht="12" customHeight="1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60"/>
      <c r="U109" s="60"/>
      <c r="V109" s="137"/>
      <c r="W109" s="137"/>
      <c r="X109" s="137"/>
      <c r="Y109" s="137"/>
      <c r="Z109" s="137"/>
    </row>
    <row r="110" spans="1:26" ht="12" customHeight="1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60"/>
      <c r="U110" s="60"/>
      <c r="V110" s="137"/>
      <c r="W110" s="137"/>
      <c r="X110" s="137"/>
      <c r="Y110" s="137"/>
      <c r="Z110" s="137"/>
    </row>
    <row r="111" spans="1:26" ht="12" customHeight="1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60"/>
      <c r="U111" s="60"/>
      <c r="V111" s="137"/>
      <c r="W111" s="137"/>
      <c r="X111" s="137"/>
      <c r="Y111" s="137"/>
      <c r="Z111" s="137"/>
    </row>
    <row r="112" spans="1:26" ht="12" customHeight="1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60"/>
      <c r="U112" s="60"/>
      <c r="V112" s="137"/>
      <c r="W112" s="137"/>
      <c r="X112" s="137"/>
      <c r="Y112" s="137"/>
      <c r="Z112" s="137"/>
    </row>
    <row r="113" spans="1:26" ht="12" customHeight="1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60"/>
      <c r="U113" s="60"/>
      <c r="V113" s="137"/>
      <c r="W113" s="137"/>
      <c r="X113" s="137"/>
      <c r="Y113" s="137"/>
      <c r="Z113" s="137"/>
    </row>
    <row r="114" spans="1:26" ht="12" customHeight="1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60"/>
      <c r="U114" s="60"/>
      <c r="V114" s="137"/>
      <c r="W114" s="137"/>
      <c r="X114" s="137"/>
      <c r="Y114" s="137"/>
      <c r="Z114" s="137"/>
    </row>
    <row r="115" spans="1:26" ht="12" customHeight="1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60"/>
      <c r="U115" s="60"/>
      <c r="V115" s="137"/>
      <c r="W115" s="137"/>
      <c r="X115" s="137"/>
      <c r="Y115" s="137"/>
      <c r="Z115" s="137"/>
    </row>
    <row r="116" spans="1:26" ht="12" customHeight="1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60"/>
      <c r="U116" s="60"/>
      <c r="V116" s="137"/>
      <c r="W116" s="137"/>
      <c r="X116" s="137"/>
      <c r="Y116" s="137"/>
      <c r="Z116" s="137"/>
    </row>
    <row r="117" spans="1:26" ht="12" customHeight="1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60"/>
      <c r="U117" s="60"/>
      <c r="V117" s="137"/>
      <c r="W117" s="137"/>
      <c r="X117" s="137"/>
      <c r="Y117" s="137"/>
      <c r="Z117" s="137"/>
    </row>
    <row r="118" spans="1:26" ht="12" customHeight="1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60"/>
      <c r="U118" s="60"/>
      <c r="V118" s="137"/>
      <c r="W118" s="137"/>
      <c r="X118" s="137"/>
      <c r="Y118" s="137"/>
      <c r="Z118" s="137"/>
    </row>
    <row r="119" spans="1:26" ht="12" customHeight="1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60"/>
      <c r="U119" s="60"/>
      <c r="V119" s="137"/>
      <c r="W119" s="137"/>
      <c r="X119" s="137"/>
      <c r="Y119" s="137"/>
      <c r="Z119" s="137"/>
    </row>
    <row r="120" spans="1:26" ht="12" customHeight="1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60"/>
      <c r="U120" s="60"/>
      <c r="V120" s="137"/>
      <c r="W120" s="137"/>
      <c r="X120" s="137"/>
      <c r="Y120" s="137"/>
      <c r="Z120" s="137"/>
    </row>
    <row r="121" spans="1:26" ht="12" customHeight="1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60"/>
      <c r="U121" s="60"/>
      <c r="V121" s="137"/>
      <c r="W121" s="137"/>
      <c r="X121" s="137"/>
      <c r="Y121" s="137"/>
      <c r="Z121" s="137"/>
    </row>
    <row r="122" spans="1:26" ht="12" customHeight="1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60"/>
      <c r="U122" s="60"/>
      <c r="V122" s="137"/>
      <c r="W122" s="137"/>
      <c r="X122" s="137"/>
      <c r="Y122" s="137"/>
      <c r="Z122" s="137"/>
    </row>
    <row r="123" spans="1:26" ht="12" customHeight="1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60"/>
      <c r="U123" s="60"/>
      <c r="V123" s="137"/>
      <c r="W123" s="137"/>
      <c r="X123" s="137"/>
      <c r="Y123" s="137"/>
      <c r="Z123" s="137"/>
    </row>
    <row r="124" spans="1:26" ht="12" customHeight="1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60"/>
      <c r="U124" s="60"/>
      <c r="V124" s="137"/>
      <c r="W124" s="137"/>
      <c r="X124" s="137"/>
      <c r="Y124" s="137"/>
      <c r="Z124" s="137"/>
    </row>
    <row r="125" spans="1:26" ht="12" customHeight="1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60"/>
      <c r="U125" s="60"/>
      <c r="V125" s="137"/>
      <c r="W125" s="137"/>
      <c r="X125" s="137"/>
      <c r="Y125" s="137"/>
      <c r="Z125" s="137"/>
    </row>
    <row r="126" spans="1:26" ht="12" customHeight="1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60"/>
      <c r="U126" s="60"/>
      <c r="V126" s="137"/>
      <c r="W126" s="137"/>
      <c r="X126" s="137"/>
      <c r="Y126" s="137"/>
      <c r="Z126" s="137"/>
    </row>
    <row r="127" spans="1:26" ht="12" customHeight="1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60"/>
      <c r="U127" s="60"/>
      <c r="V127" s="137"/>
      <c r="W127" s="137"/>
      <c r="X127" s="137"/>
      <c r="Y127" s="137"/>
      <c r="Z127" s="137"/>
    </row>
    <row r="128" spans="1:26" ht="12" customHeight="1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60"/>
      <c r="U128" s="60"/>
      <c r="V128" s="137"/>
      <c r="W128" s="137"/>
      <c r="X128" s="137"/>
      <c r="Y128" s="137"/>
      <c r="Z128" s="137"/>
    </row>
    <row r="129" spans="1:26" ht="12" customHeight="1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60"/>
      <c r="U129" s="60"/>
      <c r="V129" s="137"/>
      <c r="W129" s="137"/>
      <c r="X129" s="137"/>
      <c r="Y129" s="137"/>
      <c r="Z129" s="137"/>
    </row>
    <row r="130" spans="1:26" ht="12" customHeight="1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60"/>
      <c r="U130" s="60"/>
      <c r="V130" s="137"/>
      <c r="W130" s="137"/>
      <c r="X130" s="137"/>
      <c r="Y130" s="137"/>
      <c r="Z130" s="137"/>
    </row>
    <row r="131" spans="1:26" ht="12" customHeight="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60"/>
      <c r="U131" s="60"/>
      <c r="V131" s="137"/>
      <c r="W131" s="137"/>
      <c r="X131" s="137"/>
      <c r="Y131" s="137"/>
      <c r="Z131" s="137"/>
    </row>
    <row r="132" spans="1:26" ht="12" customHeight="1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60"/>
      <c r="U132" s="60"/>
      <c r="V132" s="137"/>
      <c r="W132" s="137"/>
      <c r="X132" s="137"/>
      <c r="Y132" s="137"/>
      <c r="Z132" s="137"/>
    </row>
    <row r="133" spans="1:26" ht="12" customHeight="1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60"/>
      <c r="U133" s="60"/>
      <c r="V133" s="137"/>
      <c r="W133" s="137"/>
      <c r="X133" s="137"/>
      <c r="Y133" s="137"/>
      <c r="Z133" s="137"/>
    </row>
    <row r="134" spans="1:26" ht="12" customHeight="1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60"/>
      <c r="U134" s="60"/>
      <c r="V134" s="137"/>
      <c r="W134" s="137"/>
      <c r="X134" s="137"/>
      <c r="Y134" s="137"/>
      <c r="Z134" s="137"/>
    </row>
    <row r="135" spans="1:26" ht="12" customHeight="1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60"/>
      <c r="U135" s="60"/>
      <c r="V135" s="137"/>
      <c r="W135" s="137"/>
      <c r="X135" s="137"/>
      <c r="Y135" s="137"/>
      <c r="Z135" s="137"/>
    </row>
    <row r="136" spans="1:26" ht="12" customHeight="1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60"/>
      <c r="U136" s="60"/>
      <c r="V136" s="137"/>
      <c r="W136" s="137"/>
      <c r="X136" s="137"/>
      <c r="Y136" s="137"/>
      <c r="Z136" s="137"/>
    </row>
    <row r="137" spans="1:26" ht="12" customHeight="1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60"/>
      <c r="U137" s="60"/>
      <c r="V137" s="137"/>
      <c r="W137" s="137"/>
      <c r="X137" s="137"/>
      <c r="Y137" s="137"/>
      <c r="Z137" s="137"/>
    </row>
    <row r="138" spans="1:26" ht="12" customHeight="1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60"/>
      <c r="U138" s="60"/>
      <c r="V138" s="137"/>
      <c r="W138" s="137"/>
      <c r="X138" s="137"/>
      <c r="Y138" s="137"/>
      <c r="Z138" s="137"/>
    </row>
    <row r="139" spans="1:26" ht="12" customHeight="1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60"/>
      <c r="U139" s="60"/>
      <c r="V139" s="137"/>
      <c r="W139" s="137"/>
      <c r="X139" s="137"/>
      <c r="Y139" s="137"/>
      <c r="Z139" s="137"/>
    </row>
    <row r="140" spans="1:26" ht="12" customHeight="1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60"/>
      <c r="U140" s="60"/>
      <c r="V140" s="137"/>
      <c r="W140" s="137"/>
      <c r="X140" s="137"/>
      <c r="Y140" s="137"/>
      <c r="Z140" s="137"/>
    </row>
    <row r="141" spans="1:26" ht="12" customHeight="1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60"/>
      <c r="U141" s="60"/>
      <c r="V141" s="137"/>
      <c r="W141" s="137"/>
      <c r="X141" s="137"/>
      <c r="Y141" s="137"/>
      <c r="Z141" s="137"/>
    </row>
    <row r="142" spans="1:26" ht="12" customHeight="1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60"/>
      <c r="U142" s="60"/>
      <c r="V142" s="137"/>
      <c r="W142" s="137"/>
      <c r="X142" s="137"/>
      <c r="Y142" s="137"/>
      <c r="Z142" s="137"/>
    </row>
    <row r="143" spans="1:26" ht="12" customHeight="1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60"/>
      <c r="U143" s="60"/>
      <c r="V143" s="137"/>
      <c r="W143" s="137"/>
      <c r="X143" s="137"/>
      <c r="Y143" s="137"/>
      <c r="Z143" s="137"/>
    </row>
    <row r="144" spans="1:26" ht="12" customHeight="1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60"/>
      <c r="U144" s="60"/>
      <c r="V144" s="137"/>
      <c r="W144" s="137"/>
      <c r="X144" s="137"/>
      <c r="Y144" s="137"/>
      <c r="Z144" s="137"/>
    </row>
    <row r="145" spans="1:26" ht="12" customHeight="1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60"/>
      <c r="U145" s="60"/>
      <c r="V145" s="137"/>
      <c r="W145" s="137"/>
      <c r="X145" s="137"/>
      <c r="Y145" s="137"/>
      <c r="Z145" s="137"/>
    </row>
    <row r="146" spans="1:26" ht="12" customHeight="1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60"/>
      <c r="U146" s="60"/>
      <c r="V146" s="137"/>
      <c r="W146" s="137"/>
      <c r="X146" s="137"/>
      <c r="Y146" s="137"/>
      <c r="Z146" s="137"/>
    </row>
    <row r="147" spans="1:26" ht="12" customHeight="1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60"/>
      <c r="U147" s="60"/>
      <c r="V147" s="137"/>
      <c r="W147" s="137"/>
      <c r="X147" s="137"/>
      <c r="Y147" s="137"/>
      <c r="Z147" s="137"/>
    </row>
    <row r="148" spans="1:26" ht="12" customHeight="1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60"/>
      <c r="U148" s="60"/>
      <c r="V148" s="137"/>
      <c r="W148" s="137"/>
      <c r="X148" s="137"/>
      <c r="Y148" s="137"/>
      <c r="Z148" s="137"/>
    </row>
    <row r="149" spans="1:26" ht="12" customHeight="1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60"/>
      <c r="U149" s="60"/>
      <c r="V149" s="137"/>
      <c r="W149" s="137"/>
      <c r="X149" s="137"/>
      <c r="Y149" s="137"/>
      <c r="Z149" s="137"/>
    </row>
    <row r="150" spans="1:26" ht="12" customHeight="1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60"/>
      <c r="U150" s="60"/>
      <c r="V150" s="137"/>
      <c r="W150" s="137"/>
      <c r="X150" s="137"/>
      <c r="Y150" s="137"/>
      <c r="Z150" s="137"/>
    </row>
    <row r="151" spans="1:26" ht="12" customHeight="1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60"/>
      <c r="U151" s="60"/>
      <c r="V151" s="137"/>
      <c r="W151" s="137"/>
      <c r="X151" s="137"/>
      <c r="Y151" s="137"/>
      <c r="Z151" s="137"/>
    </row>
    <row r="152" spans="1:26" ht="12" customHeight="1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60"/>
      <c r="U152" s="60"/>
      <c r="V152" s="137"/>
      <c r="W152" s="137"/>
      <c r="X152" s="137"/>
      <c r="Y152" s="137"/>
      <c r="Z152" s="137"/>
    </row>
    <row r="153" spans="1:26" ht="12" customHeight="1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60"/>
      <c r="U153" s="60"/>
      <c r="V153" s="137"/>
      <c r="W153" s="137"/>
      <c r="X153" s="137"/>
      <c r="Y153" s="137"/>
      <c r="Z153" s="137"/>
    </row>
    <row r="154" spans="1:26" ht="12" customHeight="1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60"/>
      <c r="U154" s="60"/>
      <c r="V154" s="137"/>
      <c r="W154" s="137"/>
      <c r="X154" s="137"/>
      <c r="Y154" s="137"/>
      <c r="Z154" s="137"/>
    </row>
    <row r="155" spans="1:26" ht="12" customHeight="1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60"/>
      <c r="U155" s="60"/>
      <c r="V155" s="137"/>
      <c r="W155" s="137"/>
      <c r="X155" s="137"/>
      <c r="Y155" s="137"/>
      <c r="Z155" s="137"/>
    </row>
    <row r="156" spans="1:26" ht="12" customHeight="1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60"/>
      <c r="U156" s="60"/>
      <c r="V156" s="137"/>
      <c r="W156" s="137"/>
      <c r="X156" s="137"/>
      <c r="Y156" s="137"/>
      <c r="Z156" s="137"/>
    </row>
    <row r="157" spans="1:26" ht="12" customHeight="1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60"/>
      <c r="U157" s="60"/>
      <c r="V157" s="137"/>
      <c r="W157" s="137"/>
      <c r="X157" s="137"/>
      <c r="Y157" s="137"/>
      <c r="Z157" s="137"/>
    </row>
    <row r="158" spans="1:26" ht="12" customHeight="1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60"/>
      <c r="U158" s="60"/>
      <c r="V158" s="137"/>
      <c r="W158" s="137"/>
      <c r="X158" s="137"/>
      <c r="Y158" s="137"/>
      <c r="Z158" s="137"/>
    </row>
    <row r="159" spans="1:26" ht="12" customHeight="1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60"/>
      <c r="U159" s="60"/>
      <c r="V159" s="137"/>
      <c r="W159" s="137"/>
      <c r="X159" s="137"/>
      <c r="Y159" s="137"/>
      <c r="Z159" s="137"/>
    </row>
    <row r="160" spans="1:26" ht="12" customHeight="1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60"/>
      <c r="U160" s="60"/>
      <c r="V160" s="137"/>
      <c r="W160" s="137"/>
      <c r="X160" s="137"/>
      <c r="Y160" s="137"/>
      <c r="Z160" s="137"/>
    </row>
    <row r="161" spans="1:26" ht="12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</row>
    <row r="162" spans="1:26" ht="12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</row>
    <row r="163" spans="1:26" ht="12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</row>
    <row r="164" spans="1:26" ht="12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</row>
    <row r="165" spans="1:26" ht="12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</row>
    <row r="166" spans="1:26" ht="12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</row>
    <row r="167" spans="1:26" ht="12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</row>
    <row r="168" spans="1:26" ht="12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</row>
    <row r="169" spans="1:26" ht="12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</row>
    <row r="170" spans="1:26" ht="12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</row>
    <row r="171" spans="1:26" ht="12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</row>
    <row r="172" spans="1:26" ht="12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</row>
    <row r="173" spans="1:26" ht="12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</row>
    <row r="174" spans="1:26" ht="12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</row>
    <row r="175" spans="1:26" ht="12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</row>
    <row r="176" spans="1:26" ht="12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</row>
    <row r="177" spans="1:26" ht="12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</row>
    <row r="178" spans="1:26" ht="12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</row>
    <row r="179" spans="1:26" ht="12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</row>
    <row r="180" spans="1:26" ht="12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</row>
    <row r="181" spans="1:26" ht="12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</row>
    <row r="182" spans="1:26" ht="12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</row>
    <row r="183" spans="1:26" ht="12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</row>
    <row r="184" spans="1:26" ht="12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</row>
    <row r="185" spans="1:26" ht="12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</row>
    <row r="186" spans="1:26" ht="12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</row>
    <row r="187" spans="1:26" ht="12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</row>
    <row r="188" spans="1:26" ht="12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</row>
    <row r="189" spans="1:26" ht="12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</row>
    <row r="190" spans="1:26" ht="12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</row>
    <row r="191" spans="1:26" ht="12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</row>
    <row r="192" spans="1:26" ht="12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</row>
    <row r="193" spans="1:26" ht="12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</row>
    <row r="194" spans="1:26" ht="12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</row>
    <row r="195" spans="1:26" ht="12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</row>
    <row r="196" spans="1:26" ht="12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</row>
    <row r="197" spans="1:26" ht="12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</row>
    <row r="198" spans="1:26" ht="12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</row>
    <row r="199" spans="1:26" ht="12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</row>
    <row r="200" spans="1:26" ht="12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</row>
    <row r="201" spans="1:26" ht="12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</row>
    <row r="202" spans="1:26" ht="12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</row>
    <row r="203" spans="1:26" ht="12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</row>
    <row r="204" spans="1:26" ht="12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</row>
    <row r="205" spans="1:26" ht="12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</row>
    <row r="206" spans="1:26" ht="12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</row>
    <row r="207" spans="1:26" ht="12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</row>
    <row r="208" spans="1:26" ht="12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</row>
    <row r="209" spans="1:26" ht="12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</row>
    <row r="210" spans="1:26" ht="12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</row>
    <row r="211" spans="1:26" ht="12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</row>
    <row r="212" spans="1:26" ht="12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</row>
    <row r="213" spans="1:26" ht="12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</row>
    <row r="214" spans="1:26" ht="12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</row>
    <row r="215" spans="1:26" ht="12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</row>
    <row r="216" spans="1:26" ht="12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</row>
    <row r="217" spans="1:26" ht="12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</row>
    <row r="218" spans="1:26" ht="12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</row>
    <row r="219" spans="1:26" ht="12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</row>
    <row r="220" spans="1:26" ht="12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</row>
    <row r="221" spans="1:26" ht="12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</row>
    <row r="222" spans="1:26" ht="12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</row>
    <row r="223" spans="1:26" ht="12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</row>
    <row r="224" spans="1:26" ht="12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</row>
    <row r="225" spans="1:26" ht="12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</row>
    <row r="226" spans="1:26" ht="12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</row>
    <row r="227" spans="1:26" ht="12" customHeight="1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</row>
    <row r="228" spans="1:26" ht="12" customHeight="1">
      <c r="A228" s="137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</row>
    <row r="229" spans="1:26" ht="12" customHeight="1">
      <c r="A229" s="137"/>
      <c r="B229" s="137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</row>
    <row r="230" spans="1:26" ht="12" customHeight="1">
      <c r="A230" s="137"/>
      <c r="B230" s="137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</row>
    <row r="231" spans="1:26" ht="12" customHeight="1">
      <c r="A231" s="137"/>
      <c r="B231" s="137"/>
      <c r="C231" s="137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</row>
    <row r="232" spans="1:26" ht="12" customHeight="1">
      <c r="A232" s="137"/>
      <c r="B232" s="137"/>
      <c r="C232" s="137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</row>
    <row r="233" spans="1:26" ht="12" customHeight="1">
      <c r="A233" s="137"/>
      <c r="B233" s="137"/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</row>
    <row r="234" spans="1:26" ht="12" customHeight="1">
      <c r="A234" s="137"/>
      <c r="B234" s="137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</row>
    <row r="235" spans="1:26" ht="12" customHeight="1">
      <c r="A235" s="137"/>
      <c r="B235" s="137"/>
      <c r="C235" s="137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</row>
    <row r="236" spans="1:26" ht="12" customHeight="1">
      <c r="A236" s="137"/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</row>
    <row r="237" spans="1:26" ht="12" customHeight="1">
      <c r="A237" s="137"/>
      <c r="B237" s="137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</row>
    <row r="238" spans="1:26" ht="12" customHeight="1">
      <c r="A238" s="137"/>
      <c r="B238" s="137"/>
      <c r="C238" s="137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</row>
    <row r="239" spans="1:26" ht="12" customHeight="1">
      <c r="A239" s="137"/>
      <c r="B239" s="137"/>
      <c r="C239" s="137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</row>
    <row r="240" spans="1:26" ht="12" customHeight="1">
      <c r="A240" s="137"/>
      <c r="B240" s="137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</row>
    <row r="241" spans="1:26" ht="12" customHeight="1">
      <c r="A241" s="137"/>
      <c r="B241" s="137"/>
      <c r="C241" s="137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</row>
    <row r="242" spans="1:26" ht="12" customHeight="1">
      <c r="A242" s="137"/>
      <c r="B242" s="137"/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</row>
    <row r="243" spans="1:26" ht="12" customHeight="1">
      <c r="A243" s="137"/>
      <c r="B243" s="137"/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</row>
    <row r="244" spans="1:26" ht="12" customHeight="1">
      <c r="A244" s="137"/>
      <c r="B244" s="137"/>
      <c r="C244" s="137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</row>
    <row r="245" spans="1:26" ht="12" customHeight="1">
      <c r="A245" s="137"/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</row>
    <row r="246" spans="1:26" ht="12" customHeight="1">
      <c r="A246" s="137"/>
      <c r="B246" s="137"/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</row>
    <row r="247" spans="1:26" ht="12" customHeight="1">
      <c r="A247" s="137"/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</row>
    <row r="248" spans="1:26" ht="12" customHeight="1">
      <c r="A248" s="137"/>
      <c r="B248" s="137"/>
      <c r="C248" s="137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</row>
    <row r="249" spans="1:26" ht="12" customHeight="1">
      <c r="A249" s="137"/>
      <c r="B249" s="137"/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</row>
    <row r="250" spans="1:26" ht="12" customHeight="1">
      <c r="A250" s="137"/>
      <c r="B250" s="137"/>
      <c r="C250" s="137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</row>
    <row r="251" spans="1:26" ht="12" customHeight="1">
      <c r="A251" s="137"/>
      <c r="B251" s="137"/>
      <c r="C251" s="137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</row>
    <row r="252" spans="1:26" ht="12" customHeight="1">
      <c r="A252" s="137"/>
      <c r="B252" s="137"/>
      <c r="C252" s="137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</row>
    <row r="253" spans="1:26" ht="12" customHeight="1">
      <c r="A253" s="137"/>
      <c r="B253" s="137"/>
      <c r="C253" s="137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</row>
    <row r="254" spans="1:26" ht="12" customHeight="1">
      <c r="A254" s="137"/>
      <c r="B254" s="137"/>
      <c r="C254" s="137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</row>
    <row r="255" spans="1:26" ht="12" customHeight="1">
      <c r="A255" s="137"/>
      <c r="B255" s="137"/>
      <c r="C255" s="137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</row>
    <row r="256" spans="1:26" ht="12" customHeight="1">
      <c r="A256" s="137"/>
      <c r="B256" s="137"/>
      <c r="C256" s="137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</row>
    <row r="257" spans="1:26" ht="12" customHeight="1">
      <c r="A257" s="137"/>
      <c r="B257" s="137"/>
      <c r="C257" s="137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</row>
    <row r="258" spans="1:26" ht="12" customHeight="1">
      <c r="A258" s="137"/>
      <c r="B258" s="137"/>
      <c r="C258" s="137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</row>
    <row r="259" spans="1:26" ht="12" customHeight="1">
      <c r="A259" s="137"/>
      <c r="B259" s="137"/>
      <c r="C259" s="137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</row>
    <row r="260" spans="1:26" ht="12" customHeight="1">
      <c r="A260" s="137"/>
      <c r="B260" s="137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</row>
    <row r="261" spans="1:26" ht="12" customHeight="1">
      <c r="A261" s="137"/>
      <c r="B261" s="137"/>
      <c r="C261" s="137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</row>
    <row r="262" spans="1:26" ht="12" customHeight="1">
      <c r="A262" s="137"/>
      <c r="B262" s="137"/>
      <c r="C262" s="137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</row>
    <row r="263" spans="1:26" ht="12" customHeight="1">
      <c r="A263" s="137"/>
      <c r="B263" s="137"/>
      <c r="C263" s="137"/>
      <c r="D263" s="137"/>
      <c r="E263" s="137"/>
      <c r="F263" s="137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</row>
    <row r="264" spans="1:26" ht="12" customHeight="1">
      <c r="A264" s="137"/>
      <c r="B264" s="137"/>
      <c r="C264" s="137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</row>
    <row r="265" spans="1:26" ht="12" customHeight="1">
      <c r="A265" s="137"/>
      <c r="B265" s="137"/>
      <c r="C265" s="137"/>
      <c r="D265" s="137"/>
      <c r="E265" s="137"/>
      <c r="F265" s="137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</row>
    <row r="266" spans="1:26" ht="12" customHeight="1">
      <c r="A266" s="137"/>
      <c r="B266" s="137"/>
      <c r="C266" s="137"/>
      <c r="D266" s="137"/>
      <c r="E266" s="137"/>
      <c r="F266" s="137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</row>
    <row r="267" spans="1:26" ht="12" customHeight="1">
      <c r="A267" s="137"/>
      <c r="B267" s="137"/>
      <c r="C267" s="137"/>
      <c r="D267" s="137"/>
      <c r="E267" s="137"/>
      <c r="F267" s="137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</row>
    <row r="268" spans="1:26" ht="12" customHeight="1">
      <c r="A268" s="137"/>
      <c r="B268" s="137"/>
      <c r="C268" s="137"/>
      <c r="D268" s="137"/>
      <c r="E268" s="137"/>
      <c r="F268" s="137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</row>
    <row r="269" spans="1:26" ht="12" customHeight="1">
      <c r="A269" s="137"/>
      <c r="B269" s="137"/>
      <c r="C269" s="137"/>
      <c r="D269" s="137"/>
      <c r="E269" s="137"/>
      <c r="F269" s="137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</row>
    <row r="270" spans="1:26" ht="12" customHeight="1">
      <c r="A270" s="137"/>
      <c r="B270" s="137"/>
      <c r="C270" s="137"/>
      <c r="D270" s="137"/>
      <c r="E270" s="137"/>
      <c r="F270" s="137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</row>
    <row r="271" spans="1:26" ht="12" customHeight="1">
      <c r="A271" s="137"/>
      <c r="B271" s="137"/>
      <c r="C271" s="137"/>
      <c r="D271" s="137"/>
      <c r="E271" s="137"/>
      <c r="F271" s="137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</row>
    <row r="272" spans="1:26" ht="12" customHeight="1">
      <c r="A272" s="137"/>
      <c r="B272" s="137"/>
      <c r="C272" s="137"/>
      <c r="D272" s="137"/>
      <c r="E272" s="137"/>
      <c r="F272" s="137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</row>
    <row r="273" spans="1:26" ht="12" customHeight="1">
      <c r="A273" s="137"/>
      <c r="B273" s="137"/>
      <c r="C273" s="137"/>
      <c r="D273" s="137"/>
      <c r="E273" s="137"/>
      <c r="F273" s="137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</row>
    <row r="274" spans="1:26" ht="12" customHeight="1">
      <c r="A274" s="137"/>
      <c r="B274" s="137"/>
      <c r="C274" s="137"/>
      <c r="D274" s="137"/>
      <c r="E274" s="137"/>
      <c r="F274" s="137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</row>
    <row r="275" spans="1:26" ht="12" customHeight="1">
      <c r="A275" s="137"/>
      <c r="B275" s="137"/>
      <c r="C275" s="137"/>
      <c r="D275" s="137"/>
      <c r="E275" s="137"/>
      <c r="F275" s="137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</row>
    <row r="276" spans="1:26" ht="12" customHeight="1">
      <c r="A276" s="137"/>
      <c r="B276" s="137"/>
      <c r="C276" s="137"/>
      <c r="D276" s="137"/>
      <c r="E276" s="137"/>
      <c r="F276" s="137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</row>
    <row r="277" spans="1:26" ht="12" customHeight="1">
      <c r="A277" s="137"/>
      <c r="B277" s="137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</row>
    <row r="278" spans="1:26" ht="12" customHeight="1">
      <c r="A278" s="137"/>
      <c r="B278" s="137"/>
      <c r="C278" s="137"/>
      <c r="D278" s="137"/>
      <c r="E278" s="137"/>
      <c r="F278" s="137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</row>
    <row r="279" spans="1:26" ht="12" customHeight="1">
      <c r="A279" s="137"/>
      <c r="B279" s="137"/>
      <c r="C279" s="137"/>
      <c r="D279" s="137"/>
      <c r="E279" s="137"/>
      <c r="F279" s="137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</row>
    <row r="280" spans="1:26" ht="12" customHeight="1">
      <c r="A280" s="137"/>
      <c r="B280" s="137"/>
      <c r="C280" s="137"/>
      <c r="D280" s="137"/>
      <c r="E280" s="137"/>
      <c r="F280" s="137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</row>
    <row r="281" spans="1:26" ht="12" customHeight="1">
      <c r="A281" s="137"/>
      <c r="B281" s="137"/>
      <c r="C281" s="137"/>
      <c r="D281" s="137"/>
      <c r="E281" s="137"/>
      <c r="F281" s="137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</row>
    <row r="282" spans="1:26" ht="15.75" customHeight="1"/>
    <row r="283" spans="1:26" ht="15.75" customHeight="1"/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Q5:AR5"/>
    <mergeCell ref="AS5:AT5"/>
    <mergeCell ref="AU5:AV5"/>
    <mergeCell ref="AW5:AX5"/>
    <mergeCell ref="AY5:AZ5"/>
    <mergeCell ref="BA5:BB5"/>
    <mergeCell ref="A2:S2"/>
    <mergeCell ref="AA3:BG3"/>
    <mergeCell ref="A4:H4"/>
    <mergeCell ref="L4:S4"/>
    <mergeCell ref="AA4:AG4"/>
    <mergeCell ref="AI4:BB4"/>
    <mergeCell ref="BD4:BG5"/>
    <mergeCell ref="A5:B5"/>
    <mergeCell ref="C5:D5"/>
    <mergeCell ref="E5:F5"/>
    <mergeCell ref="G5:H5"/>
    <mergeCell ref="L5:M5"/>
    <mergeCell ref="N5:O5"/>
    <mergeCell ref="AF5:AF6"/>
    <mergeCell ref="AG5:AG6"/>
    <mergeCell ref="P5:Q5"/>
    <mergeCell ref="R5:S5"/>
    <mergeCell ref="AA5:AA6"/>
    <mergeCell ref="AB5:AB6"/>
    <mergeCell ref="AC5:AC6"/>
    <mergeCell ref="AO5:AP5"/>
    <mergeCell ref="AD5:AD6"/>
    <mergeCell ref="AE5:AE6"/>
    <mergeCell ref="AI5:AJ5"/>
    <mergeCell ref="AK5:AL5"/>
    <mergeCell ref="AM5:AN5"/>
  </mergeCells>
  <dataValidations count="1">
    <dataValidation type="list" allowBlank="1" showErrorMessage="1" sqref="BD7:BD27 BB28 BF28 BD29:BD81" xr:uid="{00000000-0002-0000-0900-000000000000}">
      <formula1>"A,O"</formula1>
    </dataValidation>
  </dataValidations>
  <printOptions horizontalCentered="1"/>
  <pageMargins left="0.02" right="0.02" top="0.17" bottom="0.2" header="0" footer="0"/>
  <pageSetup paperSize="9" scale="88" orientation="landscape"/>
  <headerFooter>
    <oddFooter>&amp;L&amp;F; &amp;A&amp;CPage &amp;P of &amp;RPrint on &amp;D, &amp;T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1000"/>
  <sheetViews>
    <sheetView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Q67" sqref="Q67"/>
    </sheetView>
  </sheetViews>
  <sheetFormatPr defaultColWidth="14.42578125" defaultRowHeight="15" customHeight="1"/>
  <cols>
    <col min="1" max="1" width="11.7109375" customWidth="1"/>
    <col min="2" max="2" width="6" customWidth="1"/>
    <col min="3" max="3" width="11.7109375" customWidth="1"/>
    <col min="4" max="4" width="6" customWidth="1"/>
    <col min="5" max="5" width="11.7109375" customWidth="1"/>
    <col min="6" max="6" width="6" customWidth="1"/>
    <col min="7" max="7" width="11.7109375" customWidth="1"/>
    <col min="8" max="8" width="6" customWidth="1"/>
    <col min="9" max="9" width="2.28515625" customWidth="1"/>
    <col min="10" max="10" width="35" customWidth="1"/>
    <col min="11" max="11" width="2.28515625" customWidth="1"/>
    <col min="12" max="12" width="11.7109375" customWidth="1"/>
    <col min="13" max="13" width="6" customWidth="1"/>
    <col min="14" max="14" width="11.7109375" customWidth="1"/>
    <col min="15" max="15" width="6" customWidth="1"/>
    <col min="16" max="16" width="11.7109375" customWidth="1"/>
    <col min="17" max="17" width="6" customWidth="1"/>
    <col min="18" max="18" width="11.7109375" customWidth="1"/>
    <col min="19" max="19" width="6" customWidth="1"/>
    <col min="20" max="20" width="10.42578125" customWidth="1"/>
    <col min="21" max="21" width="5.5703125" customWidth="1"/>
    <col min="22" max="25" width="10.42578125" hidden="1" customWidth="1"/>
    <col min="26" max="26" width="5.5703125" customWidth="1"/>
  </cols>
  <sheetData>
    <row r="1" spans="1:57" ht="15" customHeight="1">
      <c r="A1" s="308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382"/>
      <c r="U1" s="382"/>
      <c r="V1" s="382"/>
      <c r="W1" s="382"/>
      <c r="X1" s="382"/>
      <c r="Y1" s="382"/>
      <c r="Z1" s="382"/>
      <c r="AC1" s="416" t="s">
        <v>833</v>
      </c>
    </row>
    <row r="2" spans="1:57" ht="15" customHeight="1">
      <c r="A2" s="664" t="s">
        <v>26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665"/>
      <c r="O2" s="665"/>
      <c r="P2" s="665"/>
      <c r="Q2" s="665"/>
      <c r="R2" s="665"/>
      <c r="S2" s="665"/>
      <c r="T2" s="64" t="s">
        <v>506</v>
      </c>
      <c r="U2" s="64">
        <f>PRD</f>
        <v>1</v>
      </c>
      <c r="V2" s="382"/>
      <c r="W2" s="382"/>
      <c r="X2" s="382"/>
      <c r="Y2" s="382"/>
      <c r="Z2" s="382"/>
    </row>
    <row r="3" spans="1:57" ht="15" customHeight="1">
      <c r="A3" s="417"/>
      <c r="B3" s="418"/>
      <c r="C3" s="419"/>
      <c r="D3" s="420" t="s">
        <v>507</v>
      </c>
      <c r="E3" s="419"/>
      <c r="F3" s="421"/>
      <c r="G3" s="419"/>
      <c r="H3" s="421"/>
      <c r="I3" s="386"/>
      <c r="J3" s="387" t="s">
        <v>536</v>
      </c>
      <c r="K3" s="386"/>
      <c r="L3" s="419"/>
      <c r="M3" s="421"/>
      <c r="N3" s="419"/>
      <c r="O3" s="421"/>
      <c r="P3" s="67"/>
      <c r="Q3" s="388" t="s">
        <v>834</v>
      </c>
      <c r="R3" s="67"/>
      <c r="S3" s="67"/>
      <c r="T3" s="382"/>
      <c r="U3" s="382"/>
      <c r="V3" s="382"/>
      <c r="W3" s="382"/>
      <c r="X3" s="382"/>
      <c r="Y3" s="382"/>
      <c r="Z3" s="382"/>
      <c r="AA3" s="656" t="s">
        <v>29</v>
      </c>
      <c r="AB3" s="660"/>
      <c r="AC3" s="660"/>
      <c r="AD3" s="660"/>
      <c r="AE3" s="660"/>
      <c r="AF3" s="660"/>
      <c r="AG3" s="660"/>
      <c r="AH3" s="660"/>
      <c r="AI3" s="660"/>
      <c r="AJ3" s="660"/>
      <c r="AK3" s="660"/>
      <c r="AL3" s="660"/>
      <c r="AM3" s="660"/>
      <c r="AN3" s="660"/>
      <c r="AO3" s="660"/>
      <c r="AP3" s="660"/>
      <c r="AQ3" s="660"/>
      <c r="AR3" s="660"/>
      <c r="AS3" s="660"/>
      <c r="AT3" s="660"/>
      <c r="AU3" s="660"/>
      <c r="AV3" s="660"/>
      <c r="AW3" s="660"/>
      <c r="AX3" s="660"/>
      <c r="AY3" s="660"/>
      <c r="AZ3" s="660"/>
      <c r="BA3" s="660"/>
      <c r="BB3" s="660"/>
      <c r="BC3" s="660"/>
      <c r="BD3" s="660"/>
      <c r="BE3" s="657"/>
    </row>
    <row r="4" spans="1:57" ht="13.5" customHeight="1">
      <c r="A4" s="666" t="s">
        <v>509</v>
      </c>
      <c r="B4" s="667"/>
      <c r="C4" s="667"/>
      <c r="D4" s="667"/>
      <c r="E4" s="667"/>
      <c r="F4" s="667"/>
      <c r="G4" s="667"/>
      <c r="H4" s="668"/>
      <c r="I4" s="223"/>
      <c r="J4" s="225"/>
      <c r="K4" s="223"/>
      <c r="L4" s="669" t="s">
        <v>510</v>
      </c>
      <c r="M4" s="667"/>
      <c r="N4" s="667"/>
      <c r="O4" s="667"/>
      <c r="P4" s="667"/>
      <c r="Q4" s="667"/>
      <c r="R4" s="667"/>
      <c r="S4" s="670"/>
      <c r="T4" s="226"/>
      <c r="U4" s="226"/>
      <c r="V4" s="226"/>
      <c r="W4" s="226"/>
      <c r="X4" s="226"/>
      <c r="Y4" s="226"/>
      <c r="Z4" s="226"/>
      <c r="AA4" s="671" t="s">
        <v>30</v>
      </c>
      <c r="AB4" s="665"/>
      <c r="AC4" s="665"/>
      <c r="AD4" s="665"/>
      <c r="AE4" s="665"/>
      <c r="AF4" s="73"/>
      <c r="AG4" s="671" t="s">
        <v>31</v>
      </c>
      <c r="AH4" s="665"/>
      <c r="AI4" s="665"/>
      <c r="AJ4" s="665"/>
      <c r="AK4" s="665"/>
      <c r="AL4" s="665"/>
      <c r="AM4" s="665"/>
      <c r="AN4" s="665"/>
      <c r="AO4" s="665"/>
      <c r="AP4" s="665"/>
      <c r="AQ4" s="665"/>
      <c r="AR4" s="665"/>
      <c r="AS4" s="665"/>
      <c r="AT4" s="665"/>
      <c r="AU4" s="665"/>
      <c r="AV4" s="665"/>
      <c r="AW4" s="665"/>
      <c r="AX4" s="665"/>
      <c r="AY4" s="665"/>
      <c r="AZ4" s="672"/>
      <c r="BA4" s="74"/>
      <c r="BB4" s="673" t="s">
        <v>32</v>
      </c>
      <c r="BC4" s="674"/>
      <c r="BD4" s="674"/>
      <c r="BE4" s="675"/>
    </row>
    <row r="5" spans="1:57" ht="13.5" customHeight="1">
      <c r="A5" s="679" t="s">
        <v>511</v>
      </c>
      <c r="B5" s="662"/>
      <c r="C5" s="661" t="s">
        <v>512</v>
      </c>
      <c r="D5" s="662"/>
      <c r="E5" s="661" t="s">
        <v>513</v>
      </c>
      <c r="F5" s="662"/>
      <c r="G5" s="661" t="s">
        <v>514</v>
      </c>
      <c r="H5" s="662"/>
      <c r="I5" s="227"/>
      <c r="J5" s="229" t="s">
        <v>515</v>
      </c>
      <c r="K5" s="227"/>
      <c r="L5" s="661" t="s">
        <v>514</v>
      </c>
      <c r="M5" s="662"/>
      <c r="N5" s="661" t="s">
        <v>513</v>
      </c>
      <c r="O5" s="662"/>
      <c r="P5" s="661" t="s">
        <v>512</v>
      </c>
      <c r="Q5" s="662"/>
      <c r="R5" s="661" t="s">
        <v>511</v>
      </c>
      <c r="S5" s="663"/>
      <c r="T5" s="226"/>
      <c r="U5" s="226"/>
      <c r="V5" s="226"/>
      <c r="W5" s="226"/>
      <c r="X5" s="226"/>
      <c r="Y5" s="226"/>
      <c r="Z5" s="226"/>
      <c r="AA5" s="658" t="s">
        <v>38</v>
      </c>
      <c r="AB5" s="658" t="s">
        <v>39</v>
      </c>
      <c r="AC5" s="658" t="s">
        <v>40</v>
      </c>
      <c r="AD5" s="658" t="s">
        <v>41</v>
      </c>
      <c r="AE5" s="673" t="s">
        <v>42</v>
      </c>
      <c r="AF5" s="80"/>
      <c r="AG5" s="656" t="s">
        <v>43</v>
      </c>
      <c r="AH5" s="660"/>
      <c r="AI5" s="656" t="s">
        <v>44</v>
      </c>
      <c r="AJ5" s="660"/>
      <c r="AK5" s="656" t="s">
        <v>45</v>
      </c>
      <c r="AL5" s="660"/>
      <c r="AM5" s="656" t="s">
        <v>46</v>
      </c>
      <c r="AN5" s="657"/>
      <c r="AO5" s="680" t="s">
        <v>47</v>
      </c>
      <c r="AP5" s="660"/>
      <c r="AQ5" s="656" t="s">
        <v>48</v>
      </c>
      <c r="AR5" s="657"/>
      <c r="AS5" s="680" t="s">
        <v>49</v>
      </c>
      <c r="AT5" s="660"/>
      <c r="AU5" s="656" t="s">
        <v>50</v>
      </c>
      <c r="AV5" s="657"/>
      <c r="AW5" s="680" t="s">
        <v>51</v>
      </c>
      <c r="AX5" s="657"/>
      <c r="AY5" s="656" t="s">
        <v>52</v>
      </c>
      <c r="AZ5" s="657"/>
      <c r="BA5" s="81"/>
      <c r="BB5" s="676"/>
      <c r="BC5" s="677"/>
      <c r="BD5" s="677"/>
      <c r="BE5" s="678"/>
    </row>
    <row r="6" spans="1:57" ht="13.5" customHeight="1">
      <c r="A6" s="230" t="s">
        <v>526</v>
      </c>
      <c r="B6" s="231" t="s">
        <v>37</v>
      </c>
      <c r="C6" s="232" t="s">
        <v>526</v>
      </c>
      <c r="D6" s="231" t="s">
        <v>37</v>
      </c>
      <c r="E6" s="232" t="s">
        <v>526</v>
      </c>
      <c r="F6" s="231" t="s">
        <v>37</v>
      </c>
      <c r="G6" s="232" t="s">
        <v>526</v>
      </c>
      <c r="H6" s="231" t="s">
        <v>37</v>
      </c>
      <c r="I6" s="233"/>
      <c r="J6" s="235"/>
      <c r="K6" s="233"/>
      <c r="L6" s="232" t="s">
        <v>526</v>
      </c>
      <c r="M6" s="231" t="s">
        <v>37</v>
      </c>
      <c r="N6" s="232" t="s">
        <v>526</v>
      </c>
      <c r="O6" s="231" t="s">
        <v>37</v>
      </c>
      <c r="P6" s="232" t="s">
        <v>526</v>
      </c>
      <c r="Q6" s="231" t="s">
        <v>37</v>
      </c>
      <c r="R6" s="232" t="s">
        <v>526</v>
      </c>
      <c r="S6" s="236" t="s">
        <v>37</v>
      </c>
      <c r="T6" s="226"/>
      <c r="U6" s="226"/>
      <c r="V6" s="226"/>
      <c r="W6" s="226"/>
      <c r="X6" s="226"/>
      <c r="Y6" s="226"/>
      <c r="Z6" s="226"/>
      <c r="AA6" s="659"/>
      <c r="AB6" s="659"/>
      <c r="AC6" s="659"/>
      <c r="AD6" s="659"/>
      <c r="AE6" s="676"/>
      <c r="AF6" s="84"/>
      <c r="AG6" s="85" t="s">
        <v>56</v>
      </c>
      <c r="AH6" s="86" t="s">
        <v>57</v>
      </c>
      <c r="AI6" s="85" t="s">
        <v>56</v>
      </c>
      <c r="AJ6" s="86" t="s">
        <v>57</v>
      </c>
      <c r="AK6" s="85" t="s">
        <v>56</v>
      </c>
      <c r="AL6" s="86" t="s">
        <v>57</v>
      </c>
      <c r="AM6" s="64" t="s">
        <v>56</v>
      </c>
      <c r="AN6" s="87" t="s">
        <v>57</v>
      </c>
      <c r="AO6" s="88" t="s">
        <v>56</v>
      </c>
      <c r="AP6" s="86" t="s">
        <v>57</v>
      </c>
      <c r="AQ6" s="85" t="s">
        <v>56</v>
      </c>
      <c r="AR6" s="89" t="s">
        <v>57</v>
      </c>
      <c r="AS6" s="88" t="s">
        <v>56</v>
      </c>
      <c r="AT6" s="86" t="s">
        <v>57</v>
      </c>
      <c r="AU6" s="85" t="s">
        <v>56</v>
      </c>
      <c r="AV6" s="89" t="s">
        <v>57</v>
      </c>
      <c r="AW6" s="88" t="s">
        <v>56</v>
      </c>
      <c r="AX6" s="89" t="s">
        <v>57</v>
      </c>
      <c r="AY6" s="85" t="s">
        <v>56</v>
      </c>
      <c r="AZ6" s="89" t="s">
        <v>57</v>
      </c>
      <c r="BA6" s="90"/>
      <c r="BB6" s="64" t="s">
        <v>58</v>
      </c>
      <c r="BC6" s="64" t="s">
        <v>59</v>
      </c>
      <c r="BD6" s="64" t="s">
        <v>60</v>
      </c>
      <c r="BE6" s="91" t="s">
        <v>61</v>
      </c>
    </row>
    <row r="7" spans="1:57" ht="12" customHeight="1">
      <c r="A7" s="422"/>
      <c r="B7" s="422"/>
      <c r="C7" s="422"/>
      <c r="D7" s="422"/>
      <c r="E7" s="422"/>
      <c r="F7" s="422"/>
      <c r="G7" s="422"/>
      <c r="H7" s="422"/>
      <c r="I7" s="422"/>
      <c r="J7" s="423" t="s">
        <v>615</v>
      </c>
      <c r="K7" s="422"/>
      <c r="L7" s="422"/>
      <c r="M7" s="422"/>
      <c r="N7" s="422"/>
      <c r="O7" s="422"/>
      <c r="P7" s="422"/>
      <c r="Q7" s="422"/>
      <c r="R7" s="422"/>
      <c r="S7" s="422"/>
      <c r="T7" s="391"/>
      <c r="U7" s="391"/>
      <c r="V7" s="391"/>
      <c r="W7" s="391"/>
      <c r="X7" s="391"/>
      <c r="Y7" s="391"/>
      <c r="Z7" s="391"/>
      <c r="AA7" s="95"/>
      <c r="AB7" s="96"/>
      <c r="AC7" s="96"/>
      <c r="AD7" s="96"/>
      <c r="AE7" s="96"/>
      <c r="AF7" s="97"/>
      <c r="AG7" s="95"/>
      <c r="AH7" s="96"/>
      <c r="AI7" s="95"/>
      <c r="AJ7" s="96"/>
      <c r="AK7" s="95"/>
      <c r="AL7" s="96"/>
      <c r="AM7" s="95"/>
      <c r="AN7" s="98"/>
      <c r="AO7" s="96"/>
      <c r="AP7" s="96"/>
      <c r="AQ7" s="95"/>
      <c r="AR7" s="98"/>
      <c r="AS7" s="96"/>
      <c r="AT7" s="96"/>
      <c r="AU7" s="95"/>
      <c r="AV7" s="98"/>
      <c r="AW7" s="96"/>
      <c r="AX7" s="96"/>
      <c r="AY7" s="95"/>
      <c r="AZ7" s="98"/>
      <c r="BA7" s="99"/>
      <c r="BB7" s="95"/>
      <c r="BC7" s="100"/>
      <c r="BD7" s="100"/>
      <c r="BE7" s="98"/>
    </row>
    <row r="8" spans="1:57" ht="11.25" customHeight="1">
      <c r="A8" s="254">
        <f t="array" ref="A8">_xll.AC(DB,_xll.ArrayDPT($AA8:$AE8),_xll.ArrayCOA($AG8:$AZ8),YR-1,PRD,_xll.ArrayDIM($BB8:$BE8))</f>
        <v>0</v>
      </c>
      <c r="B8" s="237">
        <f t="shared" ref="B8:B15" si="0">IF(A8=0,0,(A8*100)/A$17)</f>
        <v>0</v>
      </c>
      <c r="C8" s="237">
        <f t="shared" ref="C8:C15" si="1">+E8-G8</f>
        <v>0</v>
      </c>
      <c r="D8" s="237">
        <f t="shared" ref="D8:D15" si="2">IF(C8=0,0,(C8*100)/C$17)</f>
        <v>0</v>
      </c>
      <c r="E8" s="254">
        <f t="array" ref="E8">_xll.BC(DB,_xll.ArrayDPT($AA8:$AE8),_xll.ArrayCOA($AG8:$AZ8),YR,PRD,RV,_xll.ArrayDIM($BB8:$BE8))</f>
        <v>0</v>
      </c>
      <c r="F8" s="237">
        <f t="shared" ref="F8:F15" si="3">IF(E8=0,0,(E8*100)/E$17)</f>
        <v>0</v>
      </c>
      <c r="G8" s="254">
        <f t="array" ref="G8">_xll.AC(DB,_xll.ArrayDPT($AA8:$AE8),_xll.ArrayCOA($AG8:$AZ8),YR,PRD,_xll.ArrayDIM($BB8:$BE8))</f>
        <v>0</v>
      </c>
      <c r="H8" s="237">
        <f t="shared" ref="H8:H15" si="4">IF(G8=0,0,(G8*100)/G$17)</f>
        <v>0</v>
      </c>
      <c r="I8" s="237"/>
      <c r="J8" s="328" t="s">
        <v>835</v>
      </c>
      <c r="K8" s="237"/>
      <c r="L8" s="254">
        <f t="array" ref="L8">_xll.ACC(DB,_xll.ArrayDPT($AA8:$AE8),_xll.ArrayCOA($AG8:$AZ8),YR,PRD,_xll.ArrayDIM($BB8:$BE8))</f>
        <v>0</v>
      </c>
      <c r="M8" s="237">
        <f t="shared" ref="M8:M15" si="5">IF(L8=0,0,(L8*100)/L$17)</f>
        <v>0</v>
      </c>
      <c r="N8" s="254">
        <f t="array" ref="N8">_xll.BCC(DB,_xll.ArrayDPT($AA8:$AE8),_xll.ArrayCOA($AG8:$AZ8),YR,PRD,RV,_xll.ArrayDIM($BB8:$BE8))</f>
        <v>0</v>
      </c>
      <c r="O8" s="237">
        <f t="shared" ref="O8:O15" si="6">IF(N8=0,0,(N8*100)/N$17)</f>
        <v>0</v>
      </c>
      <c r="P8" s="237">
        <f t="shared" ref="P8:P15" si="7">+N8-L8</f>
        <v>0</v>
      </c>
      <c r="Q8" s="237">
        <f t="shared" ref="Q8:Q15" si="8">IF(P8=0,0,(P8*100)/P$17)</f>
        <v>0</v>
      </c>
      <c r="R8" s="254">
        <f t="array" ref="R8">_xll.ACC(DB,_xll.ArrayDPT($AA8:$AE8),_xll.ArrayCOA($AG8:$AZ8),YR-1,PRD,_xll.ArrayDIM($BB8:$BE8))</f>
        <v>0</v>
      </c>
      <c r="S8" s="237">
        <f t="shared" ref="S8:S15" si="9">IF(R8=0,0,(R8*100)/R$17)</f>
        <v>0</v>
      </c>
      <c r="T8" s="295"/>
      <c r="U8" s="295"/>
      <c r="V8" s="295"/>
      <c r="W8" s="295"/>
      <c r="X8" s="295"/>
      <c r="Y8" s="295"/>
      <c r="Z8" s="295"/>
      <c r="AA8" s="95" t="s">
        <v>836</v>
      </c>
      <c r="AB8" s="96"/>
      <c r="AC8" s="96"/>
      <c r="AD8" s="96"/>
      <c r="AE8" s="96"/>
      <c r="AF8" s="97"/>
      <c r="AG8" s="95" t="s">
        <v>837</v>
      </c>
      <c r="AH8" s="96" t="s">
        <v>837</v>
      </c>
      <c r="AI8" s="95"/>
      <c r="AJ8" s="96"/>
      <c r="AK8" s="95"/>
      <c r="AL8" s="96"/>
      <c r="AM8" s="95"/>
      <c r="AN8" s="98"/>
      <c r="AO8" s="96"/>
      <c r="AP8" s="96"/>
      <c r="AQ8" s="95"/>
      <c r="AR8" s="98"/>
      <c r="AS8" s="96"/>
      <c r="AT8" s="96"/>
      <c r="AU8" s="95"/>
      <c r="AV8" s="98"/>
      <c r="AW8" s="96"/>
      <c r="AX8" s="96"/>
      <c r="AY8" s="95"/>
      <c r="AZ8" s="98"/>
      <c r="BA8" s="99"/>
      <c r="BB8" s="95"/>
      <c r="BC8" s="96"/>
      <c r="BD8" s="96"/>
      <c r="BE8" s="98"/>
    </row>
    <row r="9" spans="1:57" ht="11.25" customHeight="1">
      <c r="A9" s="254">
        <f t="array" ref="A9">_xll.AC(DB,_xll.ArrayDPT($AA9:$AE9),_xll.ArrayCOA($AG9:$AZ9),YR-1,PRD,_xll.ArrayDIM($BB9:$BE9))</f>
        <v>32939.71</v>
      </c>
      <c r="B9" s="237">
        <f t="shared" si="0"/>
        <v>55.330392879483504</v>
      </c>
      <c r="C9" s="237">
        <f t="shared" si="1"/>
        <v>0</v>
      </c>
      <c r="D9" s="237">
        <f t="shared" si="2"/>
        <v>0</v>
      </c>
      <c r="E9" s="254">
        <f t="array" ref="E9">_xll.BC(DB,_xll.ArrayDPT($AA9:$AE9),_xll.ArrayCOA($AG9:$AZ9),YR,PRD,RV,_xll.ArrayDIM($BB9:$BE9))</f>
        <v>0</v>
      </c>
      <c r="F9" s="237">
        <f t="shared" si="3"/>
        <v>0</v>
      </c>
      <c r="G9" s="254">
        <f t="array" ref="G9">_xll.AC(DB,_xll.ArrayDPT($AA9:$AE9),_xll.ArrayCOA($AG9:$AZ9),YR,PRD,_xll.ArrayDIM($BB9:$BE9))</f>
        <v>0</v>
      </c>
      <c r="H9" s="237">
        <f t="shared" si="4"/>
        <v>0</v>
      </c>
      <c r="I9" s="237"/>
      <c r="J9" s="328" t="s">
        <v>838</v>
      </c>
      <c r="K9" s="237"/>
      <c r="L9" s="254">
        <f t="array" ref="L9">_xll.ACC(DB,_xll.ArrayDPT($AA9:$AE9),_xll.ArrayCOA($AG9:$AZ9),YR,PRD,_xll.ArrayDIM($BB9:$BE9))</f>
        <v>0</v>
      </c>
      <c r="M9" s="237">
        <f t="shared" si="5"/>
        <v>0</v>
      </c>
      <c r="N9" s="254">
        <f t="array" ref="N9">_xll.BCC(DB,_xll.ArrayDPT($AA9:$AE9),_xll.ArrayCOA($AG9:$AZ9),YR,PRD,RV,_xll.ArrayDIM($BB9:$BE9))</f>
        <v>0</v>
      </c>
      <c r="O9" s="237">
        <f t="shared" si="6"/>
        <v>0</v>
      </c>
      <c r="P9" s="237">
        <f t="shared" si="7"/>
        <v>0</v>
      </c>
      <c r="Q9" s="237">
        <f t="shared" si="8"/>
        <v>0</v>
      </c>
      <c r="R9" s="254">
        <f t="array" ref="R9">_xll.ACC(DB,_xll.ArrayDPT($AA9:$AE9),_xll.ArrayCOA($AG9:$AZ9),YR-1,PRD,_xll.ArrayDIM($BB9:$BE9))</f>
        <v>32939.71</v>
      </c>
      <c r="S9" s="237">
        <f t="shared" si="9"/>
        <v>55.330392879483504</v>
      </c>
      <c r="T9" s="295"/>
      <c r="U9" s="295"/>
      <c r="V9" s="295"/>
      <c r="W9" s="295"/>
      <c r="X9" s="295"/>
      <c r="Y9" s="295"/>
      <c r="Z9" s="295"/>
      <c r="AA9" s="95" t="s">
        <v>836</v>
      </c>
      <c r="AB9" s="96"/>
      <c r="AC9" s="96"/>
      <c r="AD9" s="96"/>
      <c r="AE9" s="96"/>
      <c r="AF9" s="97"/>
      <c r="AG9" s="95" t="s">
        <v>839</v>
      </c>
      <c r="AH9" s="96" t="s">
        <v>839</v>
      </c>
      <c r="AI9" s="95"/>
      <c r="AJ9" s="96"/>
      <c r="AK9" s="95"/>
      <c r="AL9" s="96"/>
      <c r="AM9" s="95"/>
      <c r="AN9" s="98"/>
      <c r="AO9" s="96"/>
      <c r="AP9" s="96"/>
      <c r="AQ9" s="95"/>
      <c r="AR9" s="98"/>
      <c r="AS9" s="96"/>
      <c r="AT9" s="96"/>
      <c r="AU9" s="95"/>
      <c r="AV9" s="98"/>
      <c r="AW9" s="96"/>
      <c r="AX9" s="96"/>
      <c r="AY9" s="95"/>
      <c r="AZ9" s="98"/>
      <c r="BA9" s="99"/>
      <c r="BB9" s="95"/>
      <c r="BC9" s="96"/>
      <c r="BD9" s="96"/>
      <c r="BE9" s="98"/>
    </row>
    <row r="10" spans="1:57" ht="11.25" customHeight="1">
      <c r="A10" s="254">
        <f t="array" ref="A10">_xll.AC(DB,_xll.ArrayDPT($AA10:$AE10),_xll.ArrayCOA($AG10:$AZ10),YR-1,PRD,_xll.ArrayDIM($BB10:$BE10))</f>
        <v>0</v>
      </c>
      <c r="B10" s="237">
        <f t="shared" si="0"/>
        <v>0</v>
      </c>
      <c r="C10" s="237">
        <f t="shared" si="1"/>
        <v>0</v>
      </c>
      <c r="D10" s="237">
        <f t="shared" si="2"/>
        <v>0</v>
      </c>
      <c r="E10" s="254">
        <f t="array" ref="E10">_xll.BC(DB,_xll.ArrayDPT($AA10:$AE10),_xll.ArrayCOA($AG10:$AZ10),YR,PRD,RV,_xll.ArrayDIM($BB10:$BE10))</f>
        <v>0</v>
      </c>
      <c r="F10" s="237">
        <f t="shared" si="3"/>
        <v>0</v>
      </c>
      <c r="G10" s="254">
        <f t="array" ref="G10">_xll.AC(DB,_xll.ArrayDPT($AA10:$AE10),_xll.ArrayCOA($AG10:$AZ10),YR,PRD,_xll.ArrayDIM($BB10:$BE10))</f>
        <v>0</v>
      </c>
      <c r="H10" s="237">
        <f t="shared" si="4"/>
        <v>0</v>
      </c>
      <c r="I10" s="237"/>
      <c r="J10" s="328" t="s">
        <v>840</v>
      </c>
      <c r="K10" s="237"/>
      <c r="L10" s="254">
        <f t="array" ref="L10">_xll.ACC(DB,_xll.ArrayDPT($AA10:$AE10),_xll.ArrayCOA($AG10:$AZ10),YR,PRD,_xll.ArrayDIM($BB10:$BE10))</f>
        <v>0</v>
      </c>
      <c r="M10" s="237">
        <f t="shared" si="5"/>
        <v>0</v>
      </c>
      <c r="N10" s="254">
        <f t="array" ref="N10">_xll.BCC(DB,_xll.ArrayDPT($AA10:$AE10),_xll.ArrayCOA($AG10:$AZ10),YR,PRD,RV,_xll.ArrayDIM($BB10:$BE10))</f>
        <v>0</v>
      </c>
      <c r="O10" s="237">
        <f t="shared" si="6"/>
        <v>0</v>
      </c>
      <c r="P10" s="237">
        <f t="shared" si="7"/>
        <v>0</v>
      </c>
      <c r="Q10" s="237">
        <f t="shared" si="8"/>
        <v>0</v>
      </c>
      <c r="R10" s="254">
        <f t="array" ref="R10">_xll.ACC(DB,_xll.ArrayDPT($AA10:$AE10),_xll.ArrayCOA($AG10:$AZ10),YR-1,PRD,_xll.ArrayDIM($BB10:$BE10))</f>
        <v>0</v>
      </c>
      <c r="S10" s="237">
        <f t="shared" si="9"/>
        <v>0</v>
      </c>
      <c r="T10" s="295"/>
      <c r="U10" s="295"/>
      <c r="V10" s="295"/>
      <c r="W10" s="295"/>
      <c r="X10" s="295"/>
      <c r="Y10" s="295"/>
      <c r="Z10" s="295"/>
      <c r="AA10" s="95" t="s">
        <v>836</v>
      </c>
      <c r="AB10" s="96"/>
      <c r="AC10" s="96"/>
      <c r="AD10" s="96"/>
      <c r="AE10" s="96"/>
      <c r="AF10" s="97"/>
      <c r="AG10" s="95" t="s">
        <v>841</v>
      </c>
      <c r="AH10" s="96" t="s">
        <v>841</v>
      </c>
      <c r="AI10" s="95"/>
      <c r="AJ10" s="96"/>
      <c r="AK10" s="95"/>
      <c r="AL10" s="96"/>
      <c r="AM10" s="95"/>
      <c r="AN10" s="98"/>
      <c r="AO10" s="96"/>
      <c r="AP10" s="96"/>
      <c r="AQ10" s="95"/>
      <c r="AR10" s="98"/>
      <c r="AS10" s="96"/>
      <c r="AT10" s="96"/>
      <c r="AU10" s="95"/>
      <c r="AV10" s="98"/>
      <c r="AW10" s="96"/>
      <c r="AX10" s="96"/>
      <c r="AY10" s="95"/>
      <c r="AZ10" s="98"/>
      <c r="BA10" s="99"/>
      <c r="BB10" s="95"/>
      <c r="BC10" s="96"/>
      <c r="BD10" s="96"/>
      <c r="BE10" s="98"/>
    </row>
    <row r="11" spans="1:57" ht="11.25" customHeight="1">
      <c r="A11" s="254">
        <f t="array" ref="A11">_xll.AC(DB,_xll.ArrayDPT($AA11:$AE11),_xll.ArrayCOA($AG11:$AZ11),YR-1,PRD,_xll.ArrayDIM($BB11:$BE11))</f>
        <v>11979.61</v>
      </c>
      <c r="B11" s="237">
        <f t="shared" si="0"/>
        <v>20.122718986991366</v>
      </c>
      <c r="C11" s="237">
        <f t="shared" si="1"/>
        <v>0</v>
      </c>
      <c r="D11" s="237">
        <f t="shared" si="2"/>
        <v>0</v>
      </c>
      <c r="E11" s="254">
        <f t="array" ref="E11">_xll.BC(DB,_xll.ArrayDPT($AA11:$AE11),_xll.ArrayCOA($AG11:$AZ11),YR,PRD,RV,_xll.ArrayDIM($BB11:$BE11))</f>
        <v>0</v>
      </c>
      <c r="F11" s="237">
        <f t="shared" si="3"/>
        <v>0</v>
      </c>
      <c r="G11" s="254">
        <f t="array" ref="G11">_xll.AC(DB,_xll.ArrayDPT($AA11:$AE11),_xll.ArrayCOA($AG11:$AZ11),YR,PRD,_xll.ArrayDIM($BB11:$BE11))</f>
        <v>0</v>
      </c>
      <c r="H11" s="237">
        <f t="shared" si="4"/>
        <v>0</v>
      </c>
      <c r="I11" s="237"/>
      <c r="J11" s="328" t="s">
        <v>842</v>
      </c>
      <c r="K11" s="237"/>
      <c r="L11" s="254">
        <f t="array" ref="L11">_xll.ACC(DB,_xll.ArrayDPT($AA11:$AE11),_xll.ArrayCOA($AG11:$AZ11),YR,PRD,_xll.ArrayDIM($BB11:$BE11))</f>
        <v>0</v>
      </c>
      <c r="M11" s="237">
        <f t="shared" si="5"/>
        <v>0</v>
      </c>
      <c r="N11" s="254">
        <f t="array" ref="N11">_xll.BCC(DB,_xll.ArrayDPT($AA11:$AE11),_xll.ArrayCOA($AG11:$AZ11),YR,PRD,RV,_xll.ArrayDIM($BB11:$BE11))</f>
        <v>0</v>
      </c>
      <c r="O11" s="237">
        <f t="shared" si="6"/>
        <v>0</v>
      </c>
      <c r="P11" s="237">
        <f t="shared" si="7"/>
        <v>0</v>
      </c>
      <c r="Q11" s="237">
        <f t="shared" si="8"/>
        <v>0</v>
      </c>
      <c r="R11" s="254">
        <f t="array" ref="R11">_xll.ACC(DB,_xll.ArrayDPT($AA11:$AE11),_xll.ArrayCOA($AG11:$AZ11),YR-1,PRD,_xll.ArrayDIM($BB11:$BE11))</f>
        <v>11979.61</v>
      </c>
      <c r="S11" s="237">
        <f t="shared" si="9"/>
        <v>20.122718986991366</v>
      </c>
      <c r="T11" s="295"/>
      <c r="U11" s="295"/>
      <c r="V11" s="295"/>
      <c r="W11" s="295"/>
      <c r="X11" s="295"/>
      <c r="Y11" s="295"/>
      <c r="Z11" s="295"/>
      <c r="AA11" s="95" t="s">
        <v>836</v>
      </c>
      <c r="AB11" s="96"/>
      <c r="AC11" s="96"/>
      <c r="AD11" s="96"/>
      <c r="AE11" s="96"/>
      <c r="AF11" s="97"/>
      <c r="AG11" s="95" t="s">
        <v>843</v>
      </c>
      <c r="AH11" s="96" t="s">
        <v>843</v>
      </c>
      <c r="AI11" s="95"/>
      <c r="AJ11" s="96"/>
      <c r="AK11" s="95"/>
      <c r="AL11" s="96"/>
      <c r="AM11" s="95"/>
      <c r="AN11" s="98"/>
      <c r="AO11" s="96"/>
      <c r="AP11" s="96"/>
      <c r="AQ11" s="95"/>
      <c r="AR11" s="98"/>
      <c r="AS11" s="96"/>
      <c r="AT11" s="96"/>
      <c r="AU11" s="95"/>
      <c r="AV11" s="98"/>
      <c r="AW11" s="96"/>
      <c r="AX11" s="96"/>
      <c r="AY11" s="95"/>
      <c r="AZ11" s="98"/>
      <c r="BA11" s="99"/>
      <c r="BB11" s="95"/>
      <c r="BC11" s="96"/>
      <c r="BD11" s="96"/>
      <c r="BE11" s="98"/>
    </row>
    <row r="12" spans="1:57" ht="11.25" customHeight="1">
      <c r="A12" s="254">
        <f t="array" ref="A12">_xll.AC(DB,_xll.ArrayDPT($AA12:$AE12),_xll.ArrayCOA($AG12:$AZ12),YR-1,PRD,_xll.ArrayDIM($BB12:$BE12))</f>
        <v>0</v>
      </c>
      <c r="B12" s="237">
        <f t="shared" si="0"/>
        <v>0</v>
      </c>
      <c r="C12" s="237">
        <f t="shared" si="1"/>
        <v>0</v>
      </c>
      <c r="D12" s="237">
        <f t="shared" si="2"/>
        <v>0</v>
      </c>
      <c r="E12" s="254">
        <f t="array" ref="E12">_xll.BC(DB,_xll.ArrayDPT($AA12:$AE12),_xll.ArrayCOA($AG12:$AZ12),YR,PRD,RV,_xll.ArrayDIM($BB12:$BE12))</f>
        <v>0</v>
      </c>
      <c r="F12" s="237">
        <f t="shared" si="3"/>
        <v>0</v>
      </c>
      <c r="G12" s="254">
        <f t="array" ref="G12">_xll.AC(DB,_xll.ArrayDPT($AA12:$AE12),_xll.ArrayCOA($AG12:$AZ12),YR,PRD,_xll.ArrayDIM($BB12:$BE12))</f>
        <v>0</v>
      </c>
      <c r="H12" s="237">
        <f t="shared" si="4"/>
        <v>0</v>
      </c>
      <c r="I12" s="237"/>
      <c r="J12" s="328" t="s">
        <v>844</v>
      </c>
      <c r="K12" s="237"/>
      <c r="L12" s="254">
        <f t="array" ref="L12">_xll.ACC(DB,_xll.ArrayDPT($AA12:$AE12),_xll.ArrayCOA($AG12:$AZ12),YR,PRD,_xll.ArrayDIM($BB12:$BE12))</f>
        <v>0</v>
      </c>
      <c r="M12" s="237">
        <f t="shared" si="5"/>
        <v>0</v>
      </c>
      <c r="N12" s="254">
        <f t="array" ref="N12">_xll.BCC(DB,_xll.ArrayDPT($AA12:$AE12),_xll.ArrayCOA($AG12:$AZ12),YR,PRD,RV,_xll.ArrayDIM($BB12:$BE12))</f>
        <v>0</v>
      </c>
      <c r="O12" s="237">
        <f t="shared" si="6"/>
        <v>0</v>
      </c>
      <c r="P12" s="237">
        <f t="shared" si="7"/>
        <v>0</v>
      </c>
      <c r="Q12" s="237">
        <f t="shared" si="8"/>
        <v>0</v>
      </c>
      <c r="R12" s="254">
        <f t="array" ref="R12">_xll.ACC(DB,_xll.ArrayDPT($AA12:$AE12),_xll.ArrayCOA($AG12:$AZ12),YR-1,PRD,_xll.ArrayDIM($BB12:$BE12))</f>
        <v>0</v>
      </c>
      <c r="S12" s="237">
        <f t="shared" si="9"/>
        <v>0</v>
      </c>
      <c r="T12" s="295"/>
      <c r="U12" s="295"/>
      <c r="V12" s="295"/>
      <c r="W12" s="295"/>
      <c r="X12" s="295"/>
      <c r="Y12" s="295"/>
      <c r="Z12" s="295"/>
      <c r="AA12" s="95" t="s">
        <v>836</v>
      </c>
      <c r="AB12" s="96"/>
      <c r="AC12" s="96"/>
      <c r="AD12" s="96"/>
      <c r="AE12" s="96"/>
      <c r="AF12" s="97"/>
      <c r="AG12" s="95" t="s">
        <v>845</v>
      </c>
      <c r="AH12" s="96" t="s">
        <v>845</v>
      </c>
      <c r="AI12" s="95"/>
      <c r="AJ12" s="96"/>
      <c r="AK12" s="95"/>
      <c r="AL12" s="96"/>
      <c r="AM12" s="95"/>
      <c r="AN12" s="98"/>
      <c r="AO12" s="96"/>
      <c r="AP12" s="96"/>
      <c r="AQ12" s="95"/>
      <c r="AR12" s="98"/>
      <c r="AS12" s="96"/>
      <c r="AT12" s="96"/>
      <c r="AU12" s="95"/>
      <c r="AV12" s="98"/>
      <c r="AW12" s="96"/>
      <c r="AX12" s="96"/>
      <c r="AY12" s="95"/>
      <c r="AZ12" s="98"/>
      <c r="BA12" s="99"/>
      <c r="BB12" s="95"/>
      <c r="BC12" s="96"/>
      <c r="BD12" s="96"/>
      <c r="BE12" s="98"/>
    </row>
    <row r="13" spans="1:57" ht="11.25" customHeight="1">
      <c r="A13" s="254">
        <f t="array" ref="A13">_xll.AC(DB,_xll.ArrayDPT($AA13:$AE13),_xll.ArrayCOA($AG13:$AZ13),YR-1,PRD,_xll.ArrayDIM($BB13:$BE13))</f>
        <v>2973.67</v>
      </c>
      <c r="B13" s="237">
        <f t="shared" si="0"/>
        <v>4.9950145096582119</v>
      </c>
      <c r="C13" s="237">
        <f t="shared" si="1"/>
        <v>-424.81</v>
      </c>
      <c r="D13" s="237">
        <f t="shared" si="2"/>
        <v>100</v>
      </c>
      <c r="E13" s="254">
        <f t="array" ref="E13">_xll.BC(DB,_xll.ArrayDPT($AA13:$AE13),_xll.ArrayCOA($AG13:$AZ13),YR,PRD,RV,_xll.ArrayDIM($BB13:$BE13))</f>
        <v>0</v>
      </c>
      <c r="F13" s="237">
        <f t="shared" si="3"/>
        <v>0</v>
      </c>
      <c r="G13" s="254">
        <f t="array" ref="G13">_xll.AC(DB,_xll.ArrayDPT($AA13:$AE13),_xll.ArrayCOA($AG13:$AZ13),YR,PRD,_xll.ArrayDIM($BB13:$BE13))</f>
        <v>424.81</v>
      </c>
      <c r="H13" s="237">
        <f t="shared" si="4"/>
        <v>100</v>
      </c>
      <c r="I13" s="237"/>
      <c r="J13" s="328" t="s">
        <v>846</v>
      </c>
      <c r="K13" s="237"/>
      <c r="L13" s="254">
        <f t="array" ref="L13">_xll.ACC(DB,_xll.ArrayDPT($AA13:$AE13),_xll.ArrayCOA($AG13:$AZ13),YR,PRD,_xll.ArrayDIM($BB13:$BE13))</f>
        <v>424.81</v>
      </c>
      <c r="M13" s="237">
        <f t="shared" si="5"/>
        <v>100</v>
      </c>
      <c r="N13" s="254">
        <f t="array" ref="N13">_xll.BCC(DB,_xll.ArrayDPT($AA13:$AE13),_xll.ArrayCOA($AG13:$AZ13),YR,PRD,RV,_xll.ArrayDIM($BB13:$BE13))</f>
        <v>0</v>
      </c>
      <c r="O13" s="237">
        <f t="shared" si="6"/>
        <v>0</v>
      </c>
      <c r="P13" s="237">
        <f t="shared" si="7"/>
        <v>-424.81</v>
      </c>
      <c r="Q13" s="237">
        <f t="shared" si="8"/>
        <v>100</v>
      </c>
      <c r="R13" s="254">
        <f t="array" ref="R13">_xll.ACC(DB,_xll.ArrayDPT($AA13:$AE13),_xll.ArrayCOA($AG13:$AZ13),YR-1,PRD,_xll.ArrayDIM($BB13:$BE13))</f>
        <v>2973.67</v>
      </c>
      <c r="S13" s="237">
        <f t="shared" si="9"/>
        <v>4.9950145096582119</v>
      </c>
      <c r="T13" s="295"/>
      <c r="U13" s="295"/>
      <c r="V13" s="295"/>
      <c r="W13" s="295"/>
      <c r="X13" s="295"/>
      <c r="Y13" s="295"/>
      <c r="Z13" s="295"/>
      <c r="AA13" s="95" t="s">
        <v>836</v>
      </c>
      <c r="AB13" s="96"/>
      <c r="AC13" s="96"/>
      <c r="AD13" s="96"/>
      <c r="AE13" s="96"/>
      <c r="AF13" s="97"/>
      <c r="AG13" s="95" t="s">
        <v>847</v>
      </c>
      <c r="AH13" s="96" t="s">
        <v>847</v>
      </c>
      <c r="AI13" s="95"/>
      <c r="AJ13" s="96"/>
      <c r="AK13" s="95"/>
      <c r="AL13" s="96"/>
      <c r="AM13" s="95"/>
      <c r="AN13" s="98"/>
      <c r="AO13" s="96"/>
      <c r="AP13" s="96"/>
      <c r="AQ13" s="95"/>
      <c r="AR13" s="98"/>
      <c r="AS13" s="96"/>
      <c r="AT13" s="96"/>
      <c r="AU13" s="95"/>
      <c r="AV13" s="98"/>
      <c r="AW13" s="96"/>
      <c r="AX13" s="96"/>
      <c r="AY13" s="95"/>
      <c r="AZ13" s="98"/>
      <c r="BA13" s="99"/>
      <c r="BB13" s="95"/>
      <c r="BC13" s="96"/>
      <c r="BD13" s="96"/>
      <c r="BE13" s="98"/>
    </row>
    <row r="14" spans="1:57" ht="11.25" customHeight="1">
      <c r="A14" s="254">
        <f t="array" ref="A14">_xll.AC(DB,_xll.ArrayDPT($AA14:$AE14),_xll.ArrayCOA($AG14:$AZ14),YR-1,PRD,_xll.ArrayDIM($BB14:$BE14))</f>
        <v>0</v>
      </c>
      <c r="B14" s="237">
        <f t="shared" si="0"/>
        <v>0</v>
      </c>
      <c r="C14" s="237">
        <f t="shared" si="1"/>
        <v>0</v>
      </c>
      <c r="D14" s="237">
        <f t="shared" si="2"/>
        <v>0</v>
      </c>
      <c r="E14" s="254">
        <f t="array" ref="E14">_xll.BC(DB,_xll.ArrayDPT($AA14:$AE14),_xll.ArrayCOA($AG14:$AZ14),YR,PRD,RV,_xll.ArrayDIM($BB14:$BE14))</f>
        <v>0</v>
      </c>
      <c r="F14" s="237">
        <f t="shared" si="3"/>
        <v>0</v>
      </c>
      <c r="G14" s="254">
        <f t="array" ref="G14">_xll.AC(DB,_xll.ArrayDPT($AA14:$AE14),_xll.ArrayCOA($AG14:$AZ14),YR,PRD,_xll.ArrayDIM($BB14:$BE14))</f>
        <v>0</v>
      </c>
      <c r="H14" s="237">
        <f t="shared" si="4"/>
        <v>0</v>
      </c>
      <c r="I14" s="237"/>
      <c r="J14" s="328" t="s">
        <v>628</v>
      </c>
      <c r="K14" s="237"/>
      <c r="L14" s="254">
        <f t="array" ref="L14">_xll.ACC(DB,_xll.ArrayDPT($AA14:$AE14),_xll.ArrayCOA($AG14:$AZ14),YR,PRD,_xll.ArrayDIM($BB14:$BE14))</f>
        <v>0</v>
      </c>
      <c r="M14" s="237">
        <f t="shared" si="5"/>
        <v>0</v>
      </c>
      <c r="N14" s="254">
        <f t="array" ref="N14">_xll.BCC(DB,_xll.ArrayDPT($AA14:$AE14),_xll.ArrayCOA($AG14:$AZ14),YR,PRD,RV,_xll.ArrayDIM($BB14:$BE14))</f>
        <v>0</v>
      </c>
      <c r="O14" s="237">
        <f t="shared" si="6"/>
        <v>0</v>
      </c>
      <c r="P14" s="237">
        <f t="shared" si="7"/>
        <v>0</v>
      </c>
      <c r="Q14" s="237">
        <f t="shared" si="8"/>
        <v>0</v>
      </c>
      <c r="R14" s="254">
        <f t="array" ref="R14">_xll.ACC(DB,_xll.ArrayDPT($AA14:$AE14),_xll.ArrayCOA($AG14:$AZ14),YR-1,PRD,_xll.ArrayDIM($BB14:$BE14))</f>
        <v>0</v>
      </c>
      <c r="S14" s="237">
        <f t="shared" si="9"/>
        <v>0</v>
      </c>
      <c r="T14" s="295"/>
      <c r="U14" s="295"/>
      <c r="V14" s="295"/>
      <c r="W14" s="295"/>
      <c r="X14" s="295"/>
      <c r="Y14" s="295"/>
      <c r="Z14" s="295"/>
      <c r="AA14" s="95" t="s">
        <v>836</v>
      </c>
      <c r="AB14" s="96"/>
      <c r="AC14" s="96"/>
      <c r="AD14" s="96"/>
      <c r="AE14" s="96"/>
      <c r="AF14" s="97"/>
      <c r="AG14" s="95" t="s">
        <v>629</v>
      </c>
      <c r="AH14" s="96" t="s">
        <v>629</v>
      </c>
      <c r="AI14" s="95" t="s">
        <v>759</v>
      </c>
      <c r="AJ14" s="96" t="s">
        <v>759</v>
      </c>
      <c r="AK14" s="95"/>
      <c r="AL14" s="96"/>
      <c r="AM14" s="95"/>
      <c r="AN14" s="98"/>
      <c r="AO14" s="96"/>
      <c r="AP14" s="96"/>
      <c r="AQ14" s="95"/>
      <c r="AR14" s="98"/>
      <c r="AS14" s="96"/>
      <c r="AT14" s="96"/>
      <c r="AU14" s="95"/>
      <c r="AV14" s="98"/>
      <c r="AW14" s="96"/>
      <c r="AX14" s="96"/>
      <c r="AY14" s="95"/>
      <c r="AZ14" s="98"/>
      <c r="BA14" s="99"/>
      <c r="BB14" s="95"/>
      <c r="BC14" s="96"/>
      <c r="BD14" s="96"/>
      <c r="BE14" s="98"/>
    </row>
    <row r="15" spans="1:57" ht="11.25" customHeight="1">
      <c r="A15" s="254">
        <f t="array" ref="A15">_xll.AC(DB,_xll.ArrayDPT($AA15:$AE15),_xll.ArrayCOA($AG15:$AZ15),YR-1,PRD,_xll.ArrayDIM($BB15:$BE15))</f>
        <v>11639.77</v>
      </c>
      <c r="B15" s="237">
        <f t="shared" si="0"/>
        <v>19.551873623866928</v>
      </c>
      <c r="C15" s="237">
        <f t="shared" si="1"/>
        <v>0</v>
      </c>
      <c r="D15" s="237">
        <f t="shared" si="2"/>
        <v>0</v>
      </c>
      <c r="E15" s="254">
        <f t="array" ref="E15">_xll.BC(DB,_xll.ArrayDPT($AA15:$AE15),_xll.ArrayCOA($AG15:$AZ15),YR,PRD,RV,_xll.ArrayDIM($BB15:$BE15))</f>
        <v>0</v>
      </c>
      <c r="F15" s="237">
        <f t="shared" si="3"/>
        <v>0</v>
      </c>
      <c r="G15" s="254">
        <f t="array" ref="G15">_xll.AC(DB,_xll.ArrayDPT($AA15:$AE15),_xll.ArrayCOA($AG15:$AZ15),YR,PRD,_xll.ArrayDIM($BB15:$BE15))</f>
        <v>0</v>
      </c>
      <c r="H15" s="237">
        <f t="shared" si="4"/>
        <v>0</v>
      </c>
      <c r="I15" s="237"/>
      <c r="J15" s="328" t="s">
        <v>848</v>
      </c>
      <c r="K15" s="237"/>
      <c r="L15" s="254">
        <f t="array" ref="L15">_xll.ACC(DB,_xll.ArrayDPT($AA15:$AE15),_xll.ArrayCOA($AG15:$AZ15),YR,PRD,_xll.ArrayDIM($BB15:$BE15))</f>
        <v>0</v>
      </c>
      <c r="M15" s="237">
        <f t="shared" si="5"/>
        <v>0</v>
      </c>
      <c r="N15" s="254">
        <f t="array" ref="N15">_xll.BCC(DB,_xll.ArrayDPT($AA15:$AE15),_xll.ArrayCOA($AG15:$AZ15),YR,PRD,RV,_xll.ArrayDIM($BB15:$BE15))</f>
        <v>0</v>
      </c>
      <c r="O15" s="237">
        <f t="shared" si="6"/>
        <v>0</v>
      </c>
      <c r="P15" s="237">
        <f t="shared" si="7"/>
        <v>0</v>
      </c>
      <c r="Q15" s="237">
        <f t="shared" si="8"/>
        <v>0</v>
      </c>
      <c r="R15" s="254">
        <f t="array" ref="R15">_xll.ACC(DB,_xll.ArrayDPT($AA15:$AE15),_xll.ArrayCOA($AG15:$AZ15),YR-1,PRD,_xll.ArrayDIM($BB15:$BE15))</f>
        <v>11639.77</v>
      </c>
      <c r="S15" s="237">
        <f t="shared" si="9"/>
        <v>19.551873623866928</v>
      </c>
      <c r="T15" s="397"/>
      <c r="U15" s="397"/>
      <c r="V15" s="397"/>
      <c r="W15" s="397"/>
      <c r="X15" s="397"/>
      <c r="Y15" s="397"/>
      <c r="Z15" s="397"/>
      <c r="AA15" s="95" t="s">
        <v>836</v>
      </c>
      <c r="AB15" s="96"/>
      <c r="AC15" s="96"/>
      <c r="AD15" s="96"/>
      <c r="AE15" s="96"/>
      <c r="AF15" s="97"/>
      <c r="AG15" s="95" t="s">
        <v>849</v>
      </c>
      <c r="AH15" s="96" t="s">
        <v>849</v>
      </c>
      <c r="AI15" s="95"/>
      <c r="AJ15" s="96"/>
      <c r="AK15" s="95"/>
      <c r="AL15" s="96"/>
      <c r="AM15" s="95"/>
      <c r="AN15" s="98"/>
      <c r="AO15" s="96"/>
      <c r="AP15" s="96"/>
      <c r="AQ15" s="95"/>
      <c r="AR15" s="98"/>
      <c r="AS15" s="96"/>
      <c r="AT15" s="96"/>
      <c r="AU15" s="95"/>
      <c r="AV15" s="98"/>
      <c r="AW15" s="96"/>
      <c r="AX15" s="96"/>
      <c r="AY15" s="95"/>
      <c r="AZ15" s="98"/>
      <c r="BA15" s="99"/>
      <c r="BB15" s="95"/>
      <c r="BC15" s="96"/>
      <c r="BD15" s="96"/>
      <c r="BE15" s="98"/>
    </row>
    <row r="16" spans="1:57" ht="6" customHeight="1">
      <c r="A16" s="330"/>
      <c r="B16" s="329"/>
      <c r="C16" s="392"/>
      <c r="D16" s="329"/>
      <c r="E16" s="392"/>
      <c r="F16" s="329"/>
      <c r="G16" s="392"/>
      <c r="H16" s="329"/>
      <c r="I16" s="398"/>
      <c r="J16" s="392"/>
      <c r="K16" s="399"/>
      <c r="L16" s="393"/>
      <c r="M16" s="333"/>
      <c r="N16" s="393"/>
      <c r="O16" s="333"/>
      <c r="P16" s="393"/>
      <c r="Q16" s="333"/>
      <c r="R16" s="393"/>
      <c r="S16" s="341"/>
      <c r="T16" s="328"/>
      <c r="U16" s="328"/>
      <c r="V16" s="328"/>
      <c r="W16" s="328"/>
      <c r="X16" s="328"/>
      <c r="Y16" s="328"/>
      <c r="Z16" s="328"/>
      <c r="AA16" s="95"/>
      <c r="AB16" s="96"/>
      <c r="AC16" s="96"/>
      <c r="AD16" s="96"/>
      <c r="AE16" s="96"/>
      <c r="AF16" s="97"/>
      <c r="AG16" s="95"/>
      <c r="AH16" s="96"/>
      <c r="AI16" s="95"/>
      <c r="AJ16" s="96"/>
      <c r="AK16" s="95"/>
      <c r="AL16" s="96"/>
      <c r="AM16" s="95"/>
      <c r="AN16" s="98"/>
      <c r="AO16" s="96"/>
      <c r="AP16" s="96"/>
      <c r="AQ16" s="95"/>
      <c r="AR16" s="98"/>
      <c r="AS16" s="96"/>
      <c r="AT16" s="96"/>
      <c r="AU16" s="95"/>
      <c r="AV16" s="98"/>
      <c r="AW16" s="96"/>
      <c r="AX16" s="96"/>
      <c r="AY16" s="95"/>
      <c r="AZ16" s="98"/>
      <c r="BA16" s="99"/>
      <c r="BB16" s="95"/>
      <c r="BC16" s="96"/>
      <c r="BD16" s="96"/>
      <c r="BE16" s="98"/>
    </row>
    <row r="17" spans="1:57" ht="12" customHeight="1">
      <c r="A17" s="394">
        <f>SUM(A8:A15)</f>
        <v>59532.759999999995</v>
      </c>
      <c r="B17" s="338">
        <f>IF(A17=0,0,(A17*100)/A$17)</f>
        <v>100</v>
      </c>
      <c r="C17" s="395">
        <f>SUM(C8:C15)</f>
        <v>-424.81</v>
      </c>
      <c r="D17" s="338">
        <f>IF(C17=0,0,(C17*100)/C$17)</f>
        <v>100</v>
      </c>
      <c r="E17" s="395">
        <f>SUM(E8:E15)</f>
        <v>0</v>
      </c>
      <c r="F17" s="338">
        <f>IF(E17=0,0,(E17*100)/E$17)</f>
        <v>0</v>
      </c>
      <c r="G17" s="395">
        <f>SUM(G8:G15)</f>
        <v>424.81</v>
      </c>
      <c r="H17" s="338">
        <f>IF(G17=0,0,(G17*100)/G$17)</f>
        <v>100</v>
      </c>
      <c r="I17" s="394"/>
      <c r="J17" s="396" t="s">
        <v>850</v>
      </c>
      <c r="K17" s="400"/>
      <c r="L17" s="395">
        <f>SUM(L8:L15)</f>
        <v>424.81</v>
      </c>
      <c r="M17" s="338">
        <f>IF(L17=0,0,(L17*100)/L$17)</f>
        <v>100</v>
      </c>
      <c r="N17" s="395">
        <f>SUM(N8:N15)</f>
        <v>0</v>
      </c>
      <c r="O17" s="338">
        <f>IF(N17=0,0,(N17*100)/N$17)</f>
        <v>0</v>
      </c>
      <c r="P17" s="395">
        <f>SUM(P8:P15)</f>
        <v>-424.81</v>
      </c>
      <c r="Q17" s="338">
        <f>IF(P17=0,0,(P17*100)/P$17)</f>
        <v>100</v>
      </c>
      <c r="R17" s="395">
        <f>SUM(R8:R15)</f>
        <v>59532.759999999995</v>
      </c>
      <c r="S17" s="338">
        <f>IF(R17=0,0,(R17*100)/R$17)</f>
        <v>100</v>
      </c>
      <c r="T17" s="295"/>
      <c r="U17" s="295"/>
      <c r="V17" s="295"/>
      <c r="W17" s="295"/>
      <c r="X17" s="295"/>
      <c r="Y17" s="295"/>
      <c r="Z17" s="295"/>
      <c r="AA17" s="95"/>
      <c r="AB17" s="96"/>
      <c r="AC17" s="96"/>
      <c r="AD17" s="96"/>
      <c r="AE17" s="96"/>
      <c r="AF17" s="97"/>
      <c r="AG17" s="95"/>
      <c r="AH17" s="96"/>
      <c r="AI17" s="95"/>
      <c r="AJ17" s="96"/>
      <c r="AK17" s="95"/>
      <c r="AL17" s="96"/>
      <c r="AM17" s="95"/>
      <c r="AN17" s="98"/>
      <c r="AO17" s="96"/>
      <c r="AP17" s="96"/>
      <c r="AQ17" s="95"/>
      <c r="AR17" s="98"/>
      <c r="AS17" s="96"/>
      <c r="AT17" s="96"/>
      <c r="AU17" s="95"/>
      <c r="AV17" s="98"/>
      <c r="AW17" s="96"/>
      <c r="AX17" s="96"/>
      <c r="AY17" s="95"/>
      <c r="AZ17" s="98"/>
      <c r="BA17" s="99"/>
      <c r="BB17" s="95"/>
      <c r="BC17" s="96"/>
      <c r="BD17" s="96"/>
      <c r="BE17" s="98"/>
    </row>
    <row r="18" spans="1:57" ht="12" customHeight="1">
      <c r="A18" s="237"/>
      <c r="B18" s="237"/>
      <c r="C18" s="237"/>
      <c r="D18" s="237"/>
      <c r="E18" s="237"/>
      <c r="F18" s="237"/>
      <c r="G18" s="237"/>
      <c r="H18" s="237"/>
      <c r="I18" s="237"/>
      <c r="J18" s="340" t="s">
        <v>851</v>
      </c>
      <c r="K18" s="237"/>
      <c r="L18" s="237"/>
      <c r="M18" s="237"/>
      <c r="N18" s="237"/>
      <c r="O18" s="237"/>
      <c r="P18" s="237"/>
      <c r="Q18" s="237"/>
      <c r="R18" s="237"/>
      <c r="S18" s="237"/>
      <c r="T18" s="295"/>
      <c r="U18" s="295"/>
      <c r="V18" s="295"/>
      <c r="W18" s="295"/>
      <c r="X18" s="295"/>
      <c r="Y18" s="295"/>
      <c r="Z18" s="295"/>
      <c r="AA18" s="95"/>
      <c r="AB18" s="96"/>
      <c r="AC18" s="96"/>
      <c r="AD18" s="96"/>
      <c r="AE18" s="96"/>
      <c r="AF18" s="97"/>
      <c r="AG18" s="95"/>
      <c r="AH18" s="96"/>
      <c r="AI18" s="95"/>
      <c r="AJ18" s="96"/>
      <c r="AK18" s="95"/>
      <c r="AL18" s="96"/>
      <c r="AM18" s="95"/>
      <c r="AN18" s="98"/>
      <c r="AO18" s="96"/>
      <c r="AP18" s="96"/>
      <c r="AQ18" s="95"/>
      <c r="AR18" s="98"/>
      <c r="AS18" s="96"/>
      <c r="AT18" s="96"/>
      <c r="AU18" s="95"/>
      <c r="AV18" s="98"/>
      <c r="AW18" s="96"/>
      <c r="AX18" s="96"/>
      <c r="AY18" s="95"/>
      <c r="AZ18" s="98"/>
      <c r="BA18" s="99"/>
      <c r="BB18" s="95"/>
      <c r="BC18" s="96"/>
      <c r="BD18" s="96"/>
      <c r="BE18" s="98"/>
    </row>
    <row r="19" spans="1:57" ht="11.25" customHeight="1">
      <c r="A19" s="254">
        <f t="array" ref="A19">_xll.AC(DB,_xll.ArrayDPT($AA19:$AE19),_xll.ArrayCOA($AG19:$AZ19),YR-1,PRD,_xll.ArrayDIM($BB19:$BE19))</f>
        <v>0</v>
      </c>
      <c r="B19" s="237">
        <f t="shared" ref="B19:B25" si="10">IF(A19=0,0,(A19*100)/A$17)</f>
        <v>0</v>
      </c>
      <c r="C19" s="237">
        <f t="shared" ref="C19:C25" si="11">+E19-G19</f>
        <v>0</v>
      </c>
      <c r="D19" s="237">
        <f t="shared" ref="D19:D25" si="12">IF(C19=0,0,(C19*100)/C$17)</f>
        <v>0</v>
      </c>
      <c r="E19" s="254">
        <f t="array" ref="E19">_xll.BC(DB,_xll.ArrayDPT($AA19:$AE19),_xll.ArrayCOA($AG19:$AZ19),YR,PRD,RV,_xll.ArrayDIM($BB19:$BE19))</f>
        <v>0</v>
      </c>
      <c r="F19" s="237">
        <f t="shared" ref="F19:F25" si="13">IF(E19=0,0,(E19*100)/E$17)</f>
        <v>0</v>
      </c>
      <c r="G19" s="254">
        <f t="array" ref="G19">_xll.AC(DB,_xll.ArrayDPT($AA19:$AE19),_xll.ArrayCOA($AG19:$AZ19),YR,PRD,_xll.ArrayDIM($BB19:$BE19))</f>
        <v>0</v>
      </c>
      <c r="H19" s="237">
        <f t="shared" ref="H19:H25" si="14">IF(G19=0,0,(G19*100)/G$17)</f>
        <v>0</v>
      </c>
      <c r="I19" s="237"/>
      <c r="J19" s="328" t="s">
        <v>852</v>
      </c>
      <c r="K19" s="237"/>
      <c r="L19" s="254">
        <f t="array" ref="L19">_xll.ACC(DB,_xll.ArrayDPT($AA19:$AE19),_xll.ArrayCOA($AG19:$AZ19),YR,PRD,_xll.ArrayDIM($BB19:$BE19))</f>
        <v>0</v>
      </c>
      <c r="M19" s="237">
        <f t="shared" ref="M19:M25" si="15">IF(L19=0,0,(L19*100)/L$17)</f>
        <v>0</v>
      </c>
      <c r="N19" s="254">
        <f t="array" ref="N19">_xll.BCC(DB,_xll.ArrayDPT($AA19:$AE19),_xll.ArrayCOA($AG19:$AZ19),YR,PRD,RV,_xll.ArrayDIM($BB19:$BE19))</f>
        <v>0</v>
      </c>
      <c r="O19" s="237">
        <f t="shared" ref="O19:O25" si="16">IF(N19=0,0,(N19*100)/N$17)</f>
        <v>0</v>
      </c>
      <c r="P19" s="237">
        <f t="shared" ref="P19:P25" si="17">+N19-L19</f>
        <v>0</v>
      </c>
      <c r="Q19" s="237">
        <f t="shared" ref="Q19:Q25" si="18">IF(P19=0,0,(P19*100)/P$17)</f>
        <v>0</v>
      </c>
      <c r="R19" s="254">
        <f t="array" ref="R19">_xll.ACC(DB,_xll.ArrayDPT($AA19:$AE19),_xll.ArrayCOA($AG19:$AZ19),YR-1,PRD,_xll.ArrayDIM($BB19:$BE19))</f>
        <v>0</v>
      </c>
      <c r="S19" s="237">
        <f t="shared" ref="S19:S25" si="19">IF(R19=0,0,(R19*100)/R$17)</f>
        <v>0</v>
      </c>
      <c r="T19" s="295"/>
      <c r="U19" s="295"/>
      <c r="V19" s="295"/>
      <c r="W19" s="295"/>
      <c r="X19" s="295"/>
      <c r="Y19" s="295"/>
      <c r="Z19" s="295"/>
      <c r="AA19" s="95"/>
      <c r="AB19" s="96"/>
      <c r="AC19" s="96"/>
      <c r="AD19" s="96"/>
      <c r="AE19" s="96"/>
      <c r="AF19" s="97"/>
      <c r="AG19" s="95"/>
      <c r="AH19" s="96"/>
      <c r="AI19" s="95"/>
      <c r="AJ19" s="96"/>
      <c r="AK19" s="95"/>
      <c r="AL19" s="96"/>
      <c r="AM19" s="95"/>
      <c r="AN19" s="98"/>
      <c r="AO19" s="96"/>
      <c r="AP19" s="96"/>
      <c r="AQ19" s="95"/>
      <c r="AR19" s="98"/>
      <c r="AS19" s="96"/>
      <c r="AT19" s="96"/>
      <c r="AU19" s="95"/>
      <c r="AV19" s="98"/>
      <c r="AW19" s="96"/>
      <c r="AX19" s="96"/>
      <c r="AY19" s="95"/>
      <c r="AZ19" s="98"/>
      <c r="BA19" s="99"/>
      <c r="BB19" s="95"/>
      <c r="BC19" s="96"/>
      <c r="BD19" s="96"/>
      <c r="BE19" s="98"/>
    </row>
    <row r="20" spans="1:57" ht="11.25" customHeight="1">
      <c r="A20" s="254">
        <f t="array" ref="A20">_xll.AC(DB,_xll.ArrayDPT($AA20:$AE20),_xll.ArrayCOA($AG20:$AZ20),YR-1,PRD,_xll.ArrayDIM($BB20:$BE20))</f>
        <v>0</v>
      </c>
      <c r="B20" s="237">
        <f t="shared" si="10"/>
        <v>0</v>
      </c>
      <c r="C20" s="237">
        <f t="shared" si="11"/>
        <v>0</v>
      </c>
      <c r="D20" s="237">
        <f t="shared" si="12"/>
        <v>0</v>
      </c>
      <c r="E20" s="254">
        <f t="array" ref="E20">_xll.BC(DB,_xll.ArrayDPT($AA20:$AE20),_xll.ArrayCOA($AG20:$AZ20),YR,PRD,RV,_xll.ArrayDIM($BB20:$BE20))</f>
        <v>0</v>
      </c>
      <c r="F20" s="237">
        <f t="shared" si="13"/>
        <v>0</v>
      </c>
      <c r="G20" s="254">
        <f t="array" ref="G20">_xll.AC(DB,_xll.ArrayDPT($AA20:$AE20),_xll.ArrayCOA($AG20:$AZ20),YR,PRD,_xll.ArrayDIM($BB20:$BE20))</f>
        <v>0</v>
      </c>
      <c r="H20" s="237">
        <f t="shared" si="14"/>
        <v>0</v>
      </c>
      <c r="I20" s="237"/>
      <c r="J20" s="328" t="s">
        <v>853</v>
      </c>
      <c r="K20" s="237"/>
      <c r="L20" s="254">
        <f t="array" ref="L20">_xll.ACC(DB,_xll.ArrayDPT($AA20:$AE20),_xll.ArrayCOA($AG20:$AZ20),YR,PRD,_xll.ArrayDIM($BB20:$BE20))</f>
        <v>0</v>
      </c>
      <c r="M20" s="237">
        <f t="shared" si="15"/>
        <v>0</v>
      </c>
      <c r="N20" s="254">
        <f t="array" ref="N20">_xll.BCC(DB,_xll.ArrayDPT($AA20:$AE20),_xll.ArrayCOA($AG20:$AZ20),YR,PRD,RV,_xll.ArrayDIM($BB20:$BE20))</f>
        <v>0</v>
      </c>
      <c r="O20" s="237">
        <f t="shared" si="16"/>
        <v>0</v>
      </c>
      <c r="P20" s="237">
        <f t="shared" si="17"/>
        <v>0</v>
      </c>
      <c r="Q20" s="237">
        <f t="shared" si="18"/>
        <v>0</v>
      </c>
      <c r="R20" s="254">
        <f t="array" ref="R20">_xll.ACC(DB,_xll.ArrayDPT($AA20:$AE20),_xll.ArrayCOA($AG20:$AZ20),YR-1,PRD,_xll.ArrayDIM($BB20:$BE20))</f>
        <v>0</v>
      </c>
      <c r="S20" s="237">
        <f t="shared" si="19"/>
        <v>0</v>
      </c>
      <c r="T20" s="295"/>
      <c r="U20" s="295"/>
      <c r="V20" s="295"/>
      <c r="W20" s="295"/>
      <c r="X20" s="295"/>
      <c r="Y20" s="295"/>
      <c r="Z20" s="295"/>
      <c r="AA20" s="95"/>
      <c r="AB20" s="96"/>
      <c r="AC20" s="96"/>
      <c r="AD20" s="96"/>
      <c r="AE20" s="96"/>
      <c r="AF20" s="97"/>
      <c r="AG20" s="95"/>
      <c r="AH20" s="96"/>
      <c r="AI20" s="95"/>
      <c r="AJ20" s="96"/>
      <c r="AK20" s="95"/>
      <c r="AL20" s="96"/>
      <c r="AM20" s="95"/>
      <c r="AN20" s="98"/>
      <c r="AO20" s="96"/>
      <c r="AP20" s="96"/>
      <c r="AQ20" s="95"/>
      <c r="AR20" s="98"/>
      <c r="AS20" s="96"/>
      <c r="AT20" s="96"/>
      <c r="AU20" s="95"/>
      <c r="AV20" s="98"/>
      <c r="AW20" s="96"/>
      <c r="AX20" s="96"/>
      <c r="AY20" s="95"/>
      <c r="AZ20" s="98"/>
      <c r="BA20" s="99"/>
      <c r="BB20" s="95"/>
      <c r="BC20" s="96"/>
      <c r="BD20" s="96"/>
      <c r="BE20" s="98"/>
    </row>
    <row r="21" spans="1:57" ht="11.25" customHeight="1">
      <c r="A21" s="254">
        <f t="array" ref="A21">_xll.AC(DB,_xll.ArrayDPT($AA21:$AE21),_xll.ArrayCOA($AG21:$AZ21),YR-1,PRD,_xll.ArrayDIM($BB21:$BE21))</f>
        <v>0</v>
      </c>
      <c r="B21" s="237">
        <f t="shared" si="10"/>
        <v>0</v>
      </c>
      <c r="C21" s="237">
        <f t="shared" si="11"/>
        <v>0</v>
      </c>
      <c r="D21" s="237">
        <f t="shared" si="12"/>
        <v>0</v>
      </c>
      <c r="E21" s="254">
        <f t="array" ref="E21">_xll.BC(DB,_xll.ArrayDPT($AA21:$AE21),_xll.ArrayCOA($AG21:$AZ21),YR,PRD,RV,_xll.ArrayDIM($BB21:$BE21))</f>
        <v>0</v>
      </c>
      <c r="F21" s="237">
        <f t="shared" si="13"/>
        <v>0</v>
      </c>
      <c r="G21" s="254">
        <f t="array" ref="G21">_xll.AC(DB,_xll.ArrayDPT($AA21:$AE21),_xll.ArrayCOA($AG21:$AZ21),YR,PRD,_xll.ArrayDIM($BB21:$BE21))</f>
        <v>0</v>
      </c>
      <c r="H21" s="237">
        <f t="shared" si="14"/>
        <v>0</v>
      </c>
      <c r="I21" s="237"/>
      <c r="J21" s="328" t="s">
        <v>854</v>
      </c>
      <c r="K21" s="237"/>
      <c r="L21" s="254">
        <f t="array" ref="L21">_xll.ACC(DB,_xll.ArrayDPT($AA21:$AE21),_xll.ArrayCOA($AG21:$AZ21),YR,PRD,_xll.ArrayDIM($BB21:$BE21))</f>
        <v>0</v>
      </c>
      <c r="M21" s="237">
        <f t="shared" si="15"/>
        <v>0</v>
      </c>
      <c r="N21" s="254">
        <f t="array" ref="N21">_xll.BCC(DB,_xll.ArrayDPT($AA21:$AE21),_xll.ArrayCOA($AG21:$AZ21),YR,PRD,RV,_xll.ArrayDIM($BB21:$BE21))</f>
        <v>0</v>
      </c>
      <c r="O21" s="237">
        <f t="shared" si="16"/>
        <v>0</v>
      </c>
      <c r="P21" s="237">
        <f t="shared" si="17"/>
        <v>0</v>
      </c>
      <c r="Q21" s="237">
        <f t="shared" si="18"/>
        <v>0</v>
      </c>
      <c r="R21" s="254">
        <f t="array" ref="R21">_xll.ACC(DB,_xll.ArrayDPT($AA21:$AE21),_xll.ArrayCOA($AG21:$AZ21),YR-1,PRD,_xll.ArrayDIM($BB21:$BE21))</f>
        <v>0</v>
      </c>
      <c r="S21" s="237">
        <f t="shared" si="19"/>
        <v>0</v>
      </c>
      <c r="T21" s="295"/>
      <c r="U21" s="295"/>
      <c r="V21" s="295"/>
      <c r="W21" s="295"/>
      <c r="X21" s="295"/>
      <c r="Y21" s="295"/>
      <c r="Z21" s="295"/>
      <c r="AA21" s="95"/>
      <c r="AB21" s="96"/>
      <c r="AC21" s="96"/>
      <c r="AD21" s="96"/>
      <c r="AE21" s="96"/>
      <c r="AF21" s="97"/>
      <c r="AG21" s="95"/>
      <c r="AH21" s="96"/>
      <c r="AI21" s="95"/>
      <c r="AJ21" s="96"/>
      <c r="AK21" s="95"/>
      <c r="AL21" s="96"/>
      <c r="AM21" s="95"/>
      <c r="AN21" s="98"/>
      <c r="AO21" s="96"/>
      <c r="AP21" s="96"/>
      <c r="AQ21" s="95"/>
      <c r="AR21" s="98"/>
      <c r="AS21" s="96"/>
      <c r="AT21" s="96"/>
      <c r="AU21" s="95"/>
      <c r="AV21" s="98"/>
      <c r="AW21" s="96"/>
      <c r="AX21" s="96"/>
      <c r="AY21" s="95"/>
      <c r="AZ21" s="98"/>
      <c r="BA21" s="99"/>
      <c r="BB21" s="95"/>
      <c r="BC21" s="96"/>
      <c r="BD21" s="96"/>
      <c r="BE21" s="98"/>
    </row>
    <row r="22" spans="1:57" ht="11.25" customHeight="1">
      <c r="A22" s="254">
        <f t="array" ref="A22">_xll.AC(DB,_xll.ArrayDPT($AA22:$AE22),_xll.ArrayCOA($AG22:$AZ22),YR-1,PRD,_xll.ArrayDIM($BB22:$BE22))</f>
        <v>0</v>
      </c>
      <c r="B22" s="237">
        <f t="shared" si="10"/>
        <v>0</v>
      </c>
      <c r="C22" s="237">
        <f t="shared" si="11"/>
        <v>0</v>
      </c>
      <c r="D22" s="237">
        <f t="shared" si="12"/>
        <v>0</v>
      </c>
      <c r="E22" s="254">
        <f t="array" ref="E22">_xll.BC(DB,_xll.ArrayDPT($AA22:$AE22),_xll.ArrayCOA($AG22:$AZ22),YR,PRD,RV,_xll.ArrayDIM($BB22:$BE22))</f>
        <v>0</v>
      </c>
      <c r="F22" s="237">
        <f t="shared" si="13"/>
        <v>0</v>
      </c>
      <c r="G22" s="254">
        <f t="array" ref="G22">_xll.AC(DB,_xll.ArrayDPT($AA22:$AE22),_xll.ArrayCOA($AG22:$AZ22),YR,PRD,_xll.ArrayDIM($BB22:$BE22))</f>
        <v>0</v>
      </c>
      <c r="H22" s="237">
        <f t="shared" si="14"/>
        <v>0</v>
      </c>
      <c r="I22" s="237"/>
      <c r="J22" s="328" t="s">
        <v>855</v>
      </c>
      <c r="K22" s="237"/>
      <c r="L22" s="254">
        <f t="array" ref="L22">_xll.ACC(DB,_xll.ArrayDPT($AA22:$AE22),_xll.ArrayCOA($AG22:$AZ22),YR,PRD,_xll.ArrayDIM($BB22:$BE22))</f>
        <v>0</v>
      </c>
      <c r="M22" s="237">
        <f t="shared" si="15"/>
        <v>0</v>
      </c>
      <c r="N22" s="254">
        <f t="array" ref="N22">_xll.BCC(DB,_xll.ArrayDPT($AA22:$AE22),_xll.ArrayCOA($AG22:$AZ22),YR,PRD,RV,_xll.ArrayDIM($BB22:$BE22))</f>
        <v>0</v>
      </c>
      <c r="O22" s="237">
        <f t="shared" si="16"/>
        <v>0</v>
      </c>
      <c r="P22" s="237">
        <f t="shared" si="17"/>
        <v>0</v>
      </c>
      <c r="Q22" s="237">
        <f t="shared" si="18"/>
        <v>0</v>
      </c>
      <c r="R22" s="254">
        <f t="array" ref="R22">_xll.ACC(DB,_xll.ArrayDPT($AA22:$AE22),_xll.ArrayCOA($AG22:$AZ22),YR-1,PRD,_xll.ArrayDIM($BB22:$BE22))</f>
        <v>0</v>
      </c>
      <c r="S22" s="237">
        <f t="shared" si="19"/>
        <v>0</v>
      </c>
      <c r="T22" s="295"/>
      <c r="U22" s="295"/>
      <c r="V22" s="295"/>
      <c r="W22" s="295"/>
      <c r="X22" s="295"/>
      <c r="Y22" s="295"/>
      <c r="Z22" s="295"/>
      <c r="AA22" s="95"/>
      <c r="AB22" s="96"/>
      <c r="AC22" s="96"/>
      <c r="AD22" s="96"/>
      <c r="AE22" s="96"/>
      <c r="AF22" s="97"/>
      <c r="AG22" s="95"/>
      <c r="AH22" s="96"/>
      <c r="AI22" s="95"/>
      <c r="AJ22" s="96"/>
      <c r="AK22" s="95"/>
      <c r="AL22" s="96"/>
      <c r="AM22" s="95"/>
      <c r="AN22" s="98"/>
      <c r="AO22" s="96"/>
      <c r="AP22" s="96"/>
      <c r="AQ22" s="95"/>
      <c r="AR22" s="98"/>
      <c r="AS22" s="96"/>
      <c r="AT22" s="96"/>
      <c r="AU22" s="95"/>
      <c r="AV22" s="98"/>
      <c r="AW22" s="96"/>
      <c r="AX22" s="96"/>
      <c r="AY22" s="95"/>
      <c r="AZ22" s="98"/>
      <c r="BA22" s="99"/>
      <c r="BB22" s="95"/>
      <c r="BC22" s="96"/>
      <c r="BD22" s="96"/>
      <c r="BE22" s="98"/>
    </row>
    <row r="23" spans="1:57" ht="11.25" customHeight="1">
      <c r="A23" s="254">
        <f t="array" ref="A23">_xll.AC(DB,_xll.ArrayDPT($AA23:$AE23),_xll.ArrayCOA($AG23:$AZ23),YR-1,PRD,_xll.ArrayDIM($BB23:$BE23))</f>
        <v>0</v>
      </c>
      <c r="B23" s="237">
        <f t="shared" si="10"/>
        <v>0</v>
      </c>
      <c r="C23" s="237">
        <f t="shared" si="11"/>
        <v>0</v>
      </c>
      <c r="D23" s="237">
        <f t="shared" si="12"/>
        <v>0</v>
      </c>
      <c r="E23" s="254">
        <f t="array" ref="E23">_xll.BC(DB,_xll.ArrayDPT($AA23:$AE23),_xll.ArrayCOA($AG23:$AZ23),YR,PRD,RV,_xll.ArrayDIM($BB23:$BE23))</f>
        <v>0</v>
      </c>
      <c r="F23" s="237">
        <f t="shared" si="13"/>
        <v>0</v>
      </c>
      <c r="G23" s="254">
        <f t="array" ref="G23">_xll.AC(DB,_xll.ArrayDPT($AA23:$AE23),_xll.ArrayCOA($AG23:$AZ23),YR,PRD,_xll.ArrayDIM($BB23:$BE23))</f>
        <v>0</v>
      </c>
      <c r="H23" s="237">
        <f t="shared" si="14"/>
        <v>0</v>
      </c>
      <c r="I23" s="237"/>
      <c r="J23" s="328" t="s">
        <v>856</v>
      </c>
      <c r="K23" s="237"/>
      <c r="L23" s="254">
        <f t="array" ref="L23">_xll.ACC(DB,_xll.ArrayDPT($AA23:$AE23),_xll.ArrayCOA($AG23:$AZ23),YR,PRD,_xll.ArrayDIM($BB23:$BE23))</f>
        <v>0</v>
      </c>
      <c r="M23" s="237">
        <f t="shared" si="15"/>
        <v>0</v>
      </c>
      <c r="N23" s="254">
        <f t="array" ref="N23">_xll.BCC(DB,_xll.ArrayDPT($AA23:$AE23),_xll.ArrayCOA($AG23:$AZ23),YR,PRD,RV,_xll.ArrayDIM($BB23:$BE23))</f>
        <v>0</v>
      </c>
      <c r="O23" s="237">
        <f t="shared" si="16"/>
        <v>0</v>
      </c>
      <c r="P23" s="237">
        <f t="shared" si="17"/>
        <v>0</v>
      </c>
      <c r="Q23" s="237">
        <f t="shared" si="18"/>
        <v>0</v>
      </c>
      <c r="R23" s="254">
        <f t="array" ref="R23">_xll.ACC(DB,_xll.ArrayDPT($AA23:$AE23),_xll.ArrayCOA($AG23:$AZ23),YR-1,PRD,_xll.ArrayDIM($BB23:$BE23))</f>
        <v>0</v>
      </c>
      <c r="S23" s="237">
        <f t="shared" si="19"/>
        <v>0</v>
      </c>
      <c r="T23" s="295"/>
      <c r="U23" s="295"/>
      <c r="V23" s="295"/>
      <c r="W23" s="295"/>
      <c r="X23" s="295"/>
      <c r="Y23" s="295"/>
      <c r="Z23" s="295"/>
      <c r="AA23" s="95"/>
      <c r="AB23" s="96"/>
      <c r="AC23" s="96"/>
      <c r="AD23" s="96"/>
      <c r="AE23" s="96"/>
      <c r="AF23" s="97"/>
      <c r="AG23" s="95"/>
      <c r="AH23" s="96"/>
      <c r="AI23" s="95"/>
      <c r="AJ23" s="96"/>
      <c r="AK23" s="95"/>
      <c r="AL23" s="96"/>
      <c r="AM23" s="95"/>
      <c r="AN23" s="98"/>
      <c r="AO23" s="96"/>
      <c r="AP23" s="96"/>
      <c r="AQ23" s="95"/>
      <c r="AR23" s="98"/>
      <c r="AS23" s="96"/>
      <c r="AT23" s="96"/>
      <c r="AU23" s="95"/>
      <c r="AV23" s="98"/>
      <c r="AW23" s="96"/>
      <c r="AX23" s="96"/>
      <c r="AY23" s="95"/>
      <c r="AZ23" s="98"/>
      <c r="BA23" s="99"/>
      <c r="BB23" s="95"/>
      <c r="BC23" s="96"/>
      <c r="BD23" s="96"/>
      <c r="BE23" s="98"/>
    </row>
    <row r="24" spans="1:57" ht="11.25" customHeight="1">
      <c r="A24" s="254">
        <f t="array" ref="A24">_xll.AC(DB,_xll.ArrayDPT($AA24:$AE24),_xll.ArrayCOA($AG24:$AZ24),YR-1,PRD,_xll.ArrayDIM($BB24:$BE24))</f>
        <v>4509.3500000000004</v>
      </c>
      <c r="B24" s="237">
        <f t="shared" si="10"/>
        <v>7.574569027204519</v>
      </c>
      <c r="C24" s="237">
        <f t="shared" si="11"/>
        <v>0</v>
      </c>
      <c r="D24" s="237">
        <f t="shared" si="12"/>
        <v>0</v>
      </c>
      <c r="E24" s="254">
        <f t="array" ref="E24">_xll.BC(DB,_xll.ArrayDPT($AA24:$AE24),_xll.ArrayCOA($AG24:$AZ24),YR,PRD,RV,_xll.ArrayDIM($BB24:$BE24))</f>
        <v>0</v>
      </c>
      <c r="F24" s="237">
        <f t="shared" si="13"/>
        <v>0</v>
      </c>
      <c r="G24" s="254">
        <f t="array" ref="G24">_xll.AC(DB,_xll.ArrayDPT($AA24:$AE24),_xll.ArrayCOA($AG24:$AZ24),YR,PRD,_xll.ArrayDIM($BB24:$BE24))</f>
        <v>0</v>
      </c>
      <c r="H24" s="237">
        <f t="shared" si="14"/>
        <v>0</v>
      </c>
      <c r="I24" s="237"/>
      <c r="J24" s="328" t="s">
        <v>857</v>
      </c>
      <c r="K24" s="237"/>
      <c r="L24" s="254">
        <f t="array" ref="L24">_xll.ACC(DB,_xll.ArrayDPT($AA24:$AE24),_xll.ArrayCOA($AG24:$AZ24),YR,PRD,_xll.ArrayDIM($BB24:$BE24))</f>
        <v>0</v>
      </c>
      <c r="M24" s="237">
        <f t="shared" si="15"/>
        <v>0</v>
      </c>
      <c r="N24" s="254">
        <f t="array" ref="N24">_xll.BCC(DB,_xll.ArrayDPT($AA24:$AE24),_xll.ArrayCOA($AG24:$AZ24),YR,PRD,RV,_xll.ArrayDIM($BB24:$BE24))</f>
        <v>0</v>
      </c>
      <c r="O24" s="237">
        <f t="shared" si="16"/>
        <v>0</v>
      </c>
      <c r="P24" s="237">
        <f t="shared" si="17"/>
        <v>0</v>
      </c>
      <c r="Q24" s="237">
        <f t="shared" si="18"/>
        <v>0</v>
      </c>
      <c r="R24" s="254">
        <f t="array" ref="R24">_xll.ACC(DB,_xll.ArrayDPT($AA24:$AE24),_xll.ArrayCOA($AG24:$AZ24),YR-1,PRD,_xll.ArrayDIM($BB24:$BE24))</f>
        <v>4509.3500000000004</v>
      </c>
      <c r="S24" s="237">
        <f t="shared" si="19"/>
        <v>7.574569027204519</v>
      </c>
      <c r="T24" s="295"/>
      <c r="U24" s="295"/>
      <c r="V24" s="295"/>
      <c r="W24" s="295"/>
      <c r="X24" s="295"/>
      <c r="Y24" s="295"/>
      <c r="Z24" s="295"/>
      <c r="AA24" s="95" t="s">
        <v>836</v>
      </c>
      <c r="AB24" s="96"/>
      <c r="AC24" s="96"/>
      <c r="AD24" s="96"/>
      <c r="AE24" s="96"/>
      <c r="AF24" s="97"/>
      <c r="AG24" s="95" t="s">
        <v>858</v>
      </c>
      <c r="AH24" s="96" t="s">
        <v>858</v>
      </c>
      <c r="AI24" s="95"/>
      <c r="AJ24" s="96"/>
      <c r="AK24" s="95"/>
      <c r="AL24" s="96"/>
      <c r="AM24" s="95"/>
      <c r="AN24" s="98"/>
      <c r="AO24" s="96"/>
      <c r="AP24" s="96"/>
      <c r="AQ24" s="95"/>
      <c r="AR24" s="98"/>
      <c r="AS24" s="96"/>
      <c r="AT24" s="96"/>
      <c r="AU24" s="95"/>
      <c r="AV24" s="98"/>
      <c r="AW24" s="96"/>
      <c r="AX24" s="96"/>
      <c r="AY24" s="95"/>
      <c r="AZ24" s="98"/>
      <c r="BA24" s="99"/>
      <c r="BB24" s="95"/>
      <c r="BC24" s="96"/>
      <c r="BD24" s="96"/>
      <c r="BE24" s="98"/>
    </row>
    <row r="25" spans="1:57" ht="11.25" customHeight="1">
      <c r="A25" s="254">
        <f t="array" ref="A25">_xll.AC(DB,_xll.ArrayDPT($AA25:$AE25),_xll.ArrayCOA($AG25:$AZ25),YR-1,PRD,_xll.ArrayDIM($BB25:$BE25))</f>
        <v>23175</v>
      </c>
      <c r="B25" s="237">
        <f t="shared" si="10"/>
        <v>38.928146452474238</v>
      </c>
      <c r="C25" s="237">
        <f t="shared" si="11"/>
        <v>0</v>
      </c>
      <c r="D25" s="237">
        <f t="shared" si="12"/>
        <v>0</v>
      </c>
      <c r="E25" s="254">
        <f t="array" ref="E25">_xll.BC(DB,_xll.ArrayDPT($AA25:$AE25),_xll.ArrayCOA($AG25:$AZ25),YR,PRD,RV,_xll.ArrayDIM($BB25:$BE25))</f>
        <v>0</v>
      </c>
      <c r="F25" s="237">
        <f t="shared" si="13"/>
        <v>0</v>
      </c>
      <c r="G25" s="254">
        <f t="array" ref="G25">_xll.AC(DB,_xll.ArrayDPT($AA25:$AE25),_xll.ArrayCOA($AG25:$AZ25),YR,PRD,_xll.ArrayDIM($BB25:$BE25))</f>
        <v>0</v>
      </c>
      <c r="H25" s="237">
        <f t="shared" si="14"/>
        <v>0</v>
      </c>
      <c r="I25" s="237"/>
      <c r="J25" s="328" t="s">
        <v>859</v>
      </c>
      <c r="K25" s="237"/>
      <c r="L25" s="254">
        <f t="array" ref="L25">_xll.ACC(DB,_xll.ArrayDPT($AA25:$AE25),_xll.ArrayCOA($AG25:$AZ25),YR,PRD,_xll.ArrayDIM($BB25:$BE25))</f>
        <v>0</v>
      </c>
      <c r="M25" s="237">
        <f t="shared" si="15"/>
        <v>0</v>
      </c>
      <c r="N25" s="254">
        <f t="array" ref="N25">_xll.BCC(DB,_xll.ArrayDPT($AA25:$AE25),_xll.ArrayCOA($AG25:$AZ25),YR,PRD,RV,_xll.ArrayDIM($BB25:$BE25))</f>
        <v>0</v>
      </c>
      <c r="O25" s="237">
        <f t="shared" si="16"/>
        <v>0</v>
      </c>
      <c r="P25" s="237">
        <f t="shared" si="17"/>
        <v>0</v>
      </c>
      <c r="Q25" s="237">
        <f t="shared" si="18"/>
        <v>0</v>
      </c>
      <c r="R25" s="254">
        <f t="array" ref="R25">_xll.ACC(DB,_xll.ArrayDPT($AA25:$AE25),_xll.ArrayCOA($AG25:$AZ25),YR-1,PRD,_xll.ArrayDIM($BB25:$BE25))</f>
        <v>23175</v>
      </c>
      <c r="S25" s="237">
        <f t="shared" si="19"/>
        <v>38.928146452474238</v>
      </c>
      <c r="T25" s="295"/>
      <c r="U25" s="295"/>
      <c r="V25" s="295"/>
      <c r="W25" s="295"/>
      <c r="X25" s="295"/>
      <c r="Y25" s="295"/>
      <c r="Z25" s="295"/>
      <c r="AA25" s="95" t="s">
        <v>836</v>
      </c>
      <c r="AB25" s="96"/>
      <c r="AC25" s="96"/>
      <c r="AD25" s="96"/>
      <c r="AE25" s="96"/>
      <c r="AF25" s="97"/>
      <c r="AG25" s="95" t="s">
        <v>860</v>
      </c>
      <c r="AH25" s="96" t="s">
        <v>860</v>
      </c>
      <c r="AI25" s="95" t="s">
        <v>726</v>
      </c>
      <c r="AJ25" s="96" t="s">
        <v>726</v>
      </c>
      <c r="AK25" s="95"/>
      <c r="AL25" s="96"/>
      <c r="AM25" s="95"/>
      <c r="AN25" s="98"/>
      <c r="AO25" s="96"/>
      <c r="AP25" s="96"/>
      <c r="AQ25" s="95"/>
      <c r="AR25" s="98"/>
      <c r="AS25" s="96"/>
      <c r="AT25" s="96"/>
      <c r="AU25" s="95"/>
      <c r="AV25" s="98"/>
      <c r="AW25" s="96"/>
      <c r="AX25" s="96"/>
      <c r="AY25" s="95"/>
      <c r="AZ25" s="98"/>
      <c r="BA25" s="99"/>
      <c r="BB25" s="95"/>
      <c r="BC25" s="96"/>
      <c r="BD25" s="96"/>
      <c r="BE25" s="98"/>
    </row>
    <row r="26" spans="1:57" ht="6" customHeight="1">
      <c r="A26" s="330"/>
      <c r="B26" s="329"/>
      <c r="C26" s="392"/>
      <c r="D26" s="329"/>
      <c r="E26" s="392"/>
      <c r="F26" s="329"/>
      <c r="G26" s="392"/>
      <c r="H26" s="329"/>
      <c r="I26" s="398"/>
      <c r="J26" s="392"/>
      <c r="K26" s="399"/>
      <c r="L26" s="393"/>
      <c r="M26" s="333"/>
      <c r="N26" s="393"/>
      <c r="O26" s="333"/>
      <c r="P26" s="393"/>
      <c r="Q26" s="333"/>
      <c r="R26" s="393"/>
      <c r="S26" s="341"/>
      <c r="T26" s="328"/>
      <c r="U26" s="328"/>
      <c r="V26" s="328"/>
      <c r="W26" s="328"/>
      <c r="X26" s="328"/>
      <c r="Y26" s="328"/>
      <c r="Z26" s="328"/>
      <c r="AA26" s="95"/>
      <c r="AB26" s="96"/>
      <c r="AC26" s="96"/>
      <c r="AD26" s="96"/>
      <c r="AE26" s="96"/>
      <c r="AF26" s="97"/>
      <c r="AG26" s="95"/>
      <c r="AH26" s="96"/>
      <c r="AI26" s="95"/>
      <c r="AJ26" s="96"/>
      <c r="AK26" s="95"/>
      <c r="AL26" s="96"/>
      <c r="AM26" s="95"/>
      <c r="AN26" s="98"/>
      <c r="AO26" s="96"/>
      <c r="AP26" s="96"/>
      <c r="AQ26" s="95"/>
      <c r="AR26" s="98"/>
      <c r="AS26" s="96"/>
      <c r="AT26" s="96"/>
      <c r="AU26" s="95"/>
      <c r="AV26" s="98"/>
      <c r="AW26" s="96"/>
      <c r="AX26" s="96"/>
      <c r="AY26" s="95"/>
      <c r="AZ26" s="98"/>
      <c r="BA26" s="99"/>
      <c r="BB26" s="95"/>
      <c r="BC26" s="96"/>
      <c r="BD26" s="96"/>
      <c r="BE26" s="98"/>
    </row>
    <row r="27" spans="1:57" ht="12" customHeight="1">
      <c r="A27" s="394">
        <f>SUM(A19:A25)</f>
        <v>27684.35</v>
      </c>
      <c r="B27" s="338">
        <f>IF(A27=0,0,(A27*100)/A$17)</f>
        <v>46.502715479678756</v>
      </c>
      <c r="C27" s="395">
        <f>SUM(C19:C25)</f>
        <v>0</v>
      </c>
      <c r="D27" s="338">
        <f>IF(C27=0,0,(C27*100)/C$17)</f>
        <v>0</v>
      </c>
      <c r="E27" s="395">
        <f>SUM(E19:E25)</f>
        <v>0</v>
      </c>
      <c r="F27" s="338">
        <f>IF(E27=0,0,(E27*100)/E$17)</f>
        <v>0</v>
      </c>
      <c r="G27" s="395">
        <f>SUM(G19:G25)</f>
        <v>0</v>
      </c>
      <c r="H27" s="338">
        <f>IF(G27=0,0,(G27*100)/G$17)</f>
        <v>0</v>
      </c>
      <c r="I27" s="404"/>
      <c r="J27" s="336" t="s">
        <v>541</v>
      </c>
      <c r="K27" s="405"/>
      <c r="L27" s="395">
        <f>SUM(L19:L25)</f>
        <v>0</v>
      </c>
      <c r="M27" s="338">
        <f>IF(L27=0,0,(L27*100)/L$17)</f>
        <v>0</v>
      </c>
      <c r="N27" s="395">
        <f>SUM(N19:N25)</f>
        <v>0</v>
      </c>
      <c r="O27" s="338">
        <f>IF(N27=0,0,(N27*100)/N$17)</f>
        <v>0</v>
      </c>
      <c r="P27" s="395">
        <f>SUM(P19:P25)</f>
        <v>0</v>
      </c>
      <c r="Q27" s="338">
        <f>IF(P27=0,0,(P27*100)/P$17)</f>
        <v>0</v>
      </c>
      <c r="R27" s="395">
        <f>SUM(R19:R25)</f>
        <v>27684.35</v>
      </c>
      <c r="S27" s="338">
        <f>IF(R27=0,0,(R27*100)/R$17)</f>
        <v>46.502715479678756</v>
      </c>
      <c r="T27" s="397"/>
      <c r="U27" s="397"/>
      <c r="V27" s="397"/>
      <c r="W27" s="397"/>
      <c r="X27" s="397"/>
      <c r="Y27" s="397"/>
      <c r="Z27" s="397"/>
      <c r="AA27" s="95"/>
      <c r="AB27" s="96"/>
      <c r="AC27" s="96"/>
      <c r="AD27" s="96"/>
      <c r="AE27" s="96"/>
      <c r="AF27" s="97"/>
      <c r="AG27" s="95"/>
      <c r="AH27" s="96"/>
      <c r="AI27" s="95"/>
      <c r="AJ27" s="96"/>
      <c r="AK27" s="95"/>
      <c r="AL27" s="96"/>
      <c r="AM27" s="95"/>
      <c r="AN27" s="98"/>
      <c r="AO27" s="96"/>
      <c r="AP27" s="96"/>
      <c r="AQ27" s="95"/>
      <c r="AR27" s="98"/>
      <c r="AS27" s="96"/>
      <c r="AT27" s="96"/>
      <c r="AU27" s="95"/>
      <c r="AV27" s="98"/>
      <c r="AW27" s="96"/>
      <c r="AX27" s="96"/>
      <c r="AY27" s="95"/>
      <c r="AZ27" s="98"/>
      <c r="BA27" s="99"/>
      <c r="BB27" s="95"/>
      <c r="BC27" s="96"/>
      <c r="BD27" s="96"/>
      <c r="BE27" s="98"/>
    </row>
    <row r="28" spans="1:57" ht="12" customHeight="1">
      <c r="A28" s="262"/>
      <c r="B28" s="262"/>
      <c r="C28" s="262"/>
      <c r="D28" s="262"/>
      <c r="E28" s="262"/>
      <c r="F28" s="262"/>
      <c r="G28" s="262"/>
      <c r="H28" s="262"/>
      <c r="I28" s="237"/>
      <c r="J28" s="340" t="s">
        <v>772</v>
      </c>
      <c r="K28" s="237"/>
      <c r="L28" s="262"/>
      <c r="M28" s="262"/>
      <c r="N28" s="262"/>
      <c r="O28" s="262"/>
      <c r="P28" s="262"/>
      <c r="Q28" s="262"/>
      <c r="R28" s="262"/>
      <c r="S28" s="262"/>
      <c r="T28" s="397"/>
      <c r="U28" s="397"/>
      <c r="V28" s="397"/>
      <c r="W28" s="397"/>
      <c r="X28" s="397"/>
      <c r="Y28" s="397"/>
      <c r="Z28" s="397"/>
      <c r="AA28" s="95"/>
      <c r="AB28" s="96"/>
      <c r="AC28" s="96"/>
      <c r="AD28" s="96"/>
      <c r="AE28" s="96"/>
      <c r="AF28" s="97"/>
      <c r="AG28" s="95"/>
      <c r="AH28" s="96"/>
      <c r="AI28" s="95"/>
      <c r="AJ28" s="96"/>
      <c r="AK28" s="95"/>
      <c r="AL28" s="96"/>
      <c r="AM28" s="95"/>
      <c r="AN28" s="98"/>
      <c r="AO28" s="96"/>
      <c r="AP28" s="96"/>
      <c r="AQ28" s="95"/>
      <c r="AR28" s="98"/>
      <c r="AS28" s="96"/>
      <c r="AT28" s="96"/>
      <c r="AU28" s="95"/>
      <c r="AV28" s="98"/>
      <c r="AW28" s="96"/>
      <c r="AX28" s="96"/>
      <c r="AY28" s="95"/>
      <c r="AZ28" s="98"/>
      <c r="BA28" s="99"/>
      <c r="BB28" s="95"/>
      <c r="BC28" s="96"/>
      <c r="BD28" s="96"/>
      <c r="BE28" s="98"/>
    </row>
    <row r="29" spans="1:57" ht="11.25" customHeight="1">
      <c r="A29" s="254">
        <f t="array" ref="A29">_xll.AC(DB,_xll.ArrayDPT($AA29:$AE29),_xll.ArrayCOA($AG29:$AZ29),YR-1,PRD,_xll.ArrayDIM($BB29:$BE29))</f>
        <v>0</v>
      </c>
      <c r="B29" s="237">
        <f t="shared" ref="B29:B32" si="20">IF(A29=0,0,(A29*100)/A$17)</f>
        <v>0</v>
      </c>
      <c r="C29" s="237">
        <f t="shared" ref="C29:C32" si="21">+E29-G29</f>
        <v>0</v>
      </c>
      <c r="D29" s="237">
        <f t="shared" ref="D29:D32" si="22">IF(C29=0,0,(C29*100)/C$17)</f>
        <v>0</v>
      </c>
      <c r="E29" s="254">
        <f t="array" ref="E29">_xll.BC(DB,_xll.ArrayDPT($AA29:$AE29),_xll.ArrayCOA($AG29:$AZ29),YR,PRD,RV,_xll.ArrayDIM($BB29:$BE29))</f>
        <v>0</v>
      </c>
      <c r="F29" s="237">
        <f t="shared" ref="F29:F32" si="23">IF(E29=0,0,(E29*100)/E$17)</f>
        <v>0</v>
      </c>
      <c r="G29" s="254">
        <f t="array" ref="G29">_xll.AC(DB,_xll.ArrayDPT($AA29:$AE29),_xll.ArrayCOA($AG29:$AZ29),YR,PRD,_xll.ArrayDIM($BB29:$BE29))</f>
        <v>0</v>
      </c>
      <c r="H29" s="237">
        <f t="shared" ref="H29:H32" si="24">IF(G29=0,0,(G29*100)/G$17)</f>
        <v>0</v>
      </c>
      <c r="I29" s="237"/>
      <c r="J29" s="328" t="s">
        <v>861</v>
      </c>
      <c r="K29" s="237"/>
      <c r="L29" s="254">
        <f t="array" ref="L29">_xll.ACC(DB,_xll.ArrayDPT($AA29:$AE29),_xll.ArrayCOA($AG29:$AZ29),YR,PRD,_xll.ArrayDIM($BB29:$BE29))</f>
        <v>0</v>
      </c>
      <c r="M29" s="237">
        <f t="shared" ref="M29:M32" si="25">IF(L29=0,0,(L29*100)/L$17)</f>
        <v>0</v>
      </c>
      <c r="N29" s="254">
        <f t="array" ref="N29">_xll.BCC(DB,_xll.ArrayDPT($AA29:$AE29),_xll.ArrayCOA($AG29:$AZ29),YR,PRD,RV,_xll.ArrayDIM($BB29:$BE29))</f>
        <v>0</v>
      </c>
      <c r="O29" s="237">
        <f t="shared" ref="O29:O32" si="26">IF(N29=0,0,(N29*100)/N$17)</f>
        <v>0</v>
      </c>
      <c r="P29" s="237">
        <f t="shared" ref="P29:P32" si="27">+N29-L29</f>
        <v>0</v>
      </c>
      <c r="Q29" s="237">
        <f t="shared" ref="Q29:Q32" si="28">IF(P29=0,0,(P29*100)/P$17)</f>
        <v>0</v>
      </c>
      <c r="R29" s="254">
        <f t="array" ref="R29">_xll.ACC(DB,_xll.ArrayDPT($AA29:$AE29),_xll.ArrayCOA($AG29:$AZ29),YR-1,PRD,_xll.ArrayDIM($BB29:$BE29))</f>
        <v>0</v>
      </c>
      <c r="S29" s="237">
        <f t="shared" ref="S29:S32" si="29">IF(R29=0,0,(R29*100)/R$17)</f>
        <v>0</v>
      </c>
      <c r="T29" s="295"/>
      <c r="U29" s="295"/>
      <c r="V29" s="295"/>
      <c r="W29" s="295"/>
      <c r="X29" s="295"/>
      <c r="Y29" s="295"/>
      <c r="Z29" s="295"/>
      <c r="AA29" s="95"/>
      <c r="AB29" s="96"/>
      <c r="AC29" s="96"/>
      <c r="AD29" s="96"/>
      <c r="AE29" s="96"/>
      <c r="AF29" s="97"/>
      <c r="AG29" s="95"/>
      <c r="AH29" s="96"/>
      <c r="AI29" s="95"/>
      <c r="AJ29" s="96"/>
      <c r="AK29" s="95"/>
      <c r="AL29" s="96"/>
      <c r="AM29" s="95"/>
      <c r="AN29" s="98"/>
      <c r="AO29" s="96"/>
      <c r="AP29" s="96"/>
      <c r="AQ29" s="95"/>
      <c r="AR29" s="98"/>
      <c r="AS29" s="96"/>
      <c r="AT29" s="96"/>
      <c r="AU29" s="95"/>
      <c r="AV29" s="98"/>
      <c r="AW29" s="96"/>
      <c r="AX29" s="96"/>
      <c r="AY29" s="95"/>
      <c r="AZ29" s="98"/>
      <c r="BA29" s="99"/>
      <c r="BB29" s="95"/>
      <c r="BC29" s="96"/>
      <c r="BD29" s="96"/>
      <c r="BE29" s="98"/>
    </row>
    <row r="30" spans="1:57" ht="11.25" customHeight="1">
      <c r="A30" s="254">
        <f t="array" ref="A30">_xll.AC(DB,_xll.ArrayDPT($AA30:$AE30),_xll.ArrayCOA($AG30:$AZ30),YR-1,PRD,_xll.ArrayDIM($BB30:$BE30))</f>
        <v>0</v>
      </c>
      <c r="B30" s="237">
        <f t="shared" si="20"/>
        <v>0</v>
      </c>
      <c r="C30" s="237">
        <f t="shared" si="21"/>
        <v>0</v>
      </c>
      <c r="D30" s="237">
        <f t="shared" si="22"/>
        <v>0</v>
      </c>
      <c r="E30" s="254">
        <f t="array" ref="E30">_xll.BC(DB,_xll.ArrayDPT($AA30:$AE30),_xll.ArrayCOA($AG30:$AZ30),YR,PRD,RV,_xll.ArrayDIM($BB30:$BE30))</f>
        <v>0</v>
      </c>
      <c r="F30" s="237">
        <f t="shared" si="23"/>
        <v>0</v>
      </c>
      <c r="G30" s="254">
        <f t="array" ref="G30">_xll.AC(DB,_xll.ArrayDPT($AA30:$AE30),_xll.ArrayCOA($AG30:$AZ30),YR,PRD,_xll.ArrayDIM($BB30:$BE30))</f>
        <v>0</v>
      </c>
      <c r="H30" s="237">
        <f t="shared" si="24"/>
        <v>0</v>
      </c>
      <c r="I30" s="237"/>
      <c r="J30" s="328" t="s">
        <v>648</v>
      </c>
      <c r="K30" s="237"/>
      <c r="L30" s="254">
        <f t="array" ref="L30">_xll.ACC(DB,_xll.ArrayDPT($AA30:$AE30),_xll.ArrayCOA($AG30:$AZ30),YR,PRD,_xll.ArrayDIM($BB30:$BE30))</f>
        <v>0</v>
      </c>
      <c r="M30" s="237">
        <f t="shared" si="25"/>
        <v>0</v>
      </c>
      <c r="N30" s="254">
        <f t="array" ref="N30">_xll.BCC(DB,_xll.ArrayDPT($AA30:$AE30),_xll.ArrayCOA($AG30:$AZ30),YR,PRD,RV,_xll.ArrayDIM($BB30:$BE30))</f>
        <v>0</v>
      </c>
      <c r="O30" s="237">
        <f t="shared" si="26"/>
        <v>0</v>
      </c>
      <c r="P30" s="237">
        <f t="shared" si="27"/>
        <v>0</v>
      </c>
      <c r="Q30" s="237">
        <f t="shared" si="28"/>
        <v>0</v>
      </c>
      <c r="R30" s="254">
        <f t="array" ref="R30">_xll.ACC(DB,_xll.ArrayDPT($AA30:$AE30),_xll.ArrayCOA($AG30:$AZ30),YR-1,PRD,_xll.ArrayDIM($BB30:$BE30))</f>
        <v>0</v>
      </c>
      <c r="S30" s="237">
        <f t="shared" si="29"/>
        <v>0</v>
      </c>
      <c r="T30" s="295"/>
      <c r="U30" s="295"/>
      <c r="V30" s="295"/>
      <c r="W30" s="295"/>
      <c r="X30" s="295"/>
      <c r="Y30" s="295"/>
      <c r="Z30" s="295"/>
      <c r="AA30" s="95"/>
      <c r="AB30" s="96"/>
      <c r="AC30" s="96"/>
      <c r="AD30" s="96"/>
      <c r="AE30" s="96"/>
      <c r="AF30" s="97"/>
      <c r="AG30" s="95"/>
      <c r="AH30" s="96"/>
      <c r="AI30" s="95"/>
      <c r="AJ30" s="96"/>
      <c r="AK30" s="95"/>
      <c r="AL30" s="96"/>
      <c r="AM30" s="95"/>
      <c r="AN30" s="98"/>
      <c r="AO30" s="96"/>
      <c r="AP30" s="96"/>
      <c r="AQ30" s="95"/>
      <c r="AR30" s="98"/>
      <c r="AS30" s="96"/>
      <c r="AT30" s="96"/>
      <c r="AU30" s="95"/>
      <c r="AV30" s="98"/>
      <c r="AW30" s="96"/>
      <c r="AX30" s="96"/>
      <c r="AY30" s="95"/>
      <c r="AZ30" s="98"/>
      <c r="BA30" s="99"/>
      <c r="BB30" s="95"/>
      <c r="BC30" s="96"/>
      <c r="BD30" s="96"/>
      <c r="BE30" s="98"/>
    </row>
    <row r="31" spans="1:57" ht="11.25" customHeight="1">
      <c r="A31" s="254">
        <f t="array" ref="A31">_xll.AC(DB,_xll.ArrayDPT($AA31:$AE31),_xll.ArrayCOA($AG31:$AZ31),YR-1,PRD,_xll.ArrayDIM($BB31:$BE31))</f>
        <v>0</v>
      </c>
      <c r="B31" s="237">
        <f t="shared" si="20"/>
        <v>0</v>
      </c>
      <c r="C31" s="237">
        <f t="shared" si="21"/>
        <v>0</v>
      </c>
      <c r="D31" s="237">
        <f t="shared" si="22"/>
        <v>0</v>
      </c>
      <c r="E31" s="254">
        <f t="array" ref="E31">_xll.BC(DB,_xll.ArrayDPT($AA31:$AE31),_xll.ArrayCOA($AG31:$AZ31),YR,PRD,RV,_xll.ArrayDIM($BB31:$BE31))</f>
        <v>0</v>
      </c>
      <c r="F31" s="237">
        <f t="shared" si="23"/>
        <v>0</v>
      </c>
      <c r="G31" s="254">
        <f t="array" ref="G31">_xll.AC(DB,_xll.ArrayDPT($AA31:$AE31),_xll.ArrayCOA($AG31:$AZ31),YR,PRD,_xll.ArrayDIM($BB31:$BE31))</f>
        <v>0</v>
      </c>
      <c r="H31" s="237">
        <f t="shared" si="24"/>
        <v>0</v>
      </c>
      <c r="I31" s="237"/>
      <c r="J31" s="328" t="s">
        <v>777</v>
      </c>
      <c r="K31" s="237"/>
      <c r="L31" s="254">
        <f t="array" ref="L31">_xll.ACC(DB,_xll.ArrayDPT($AA31:$AE31),_xll.ArrayCOA($AG31:$AZ31),YR,PRD,_xll.ArrayDIM($BB31:$BE31))</f>
        <v>0</v>
      </c>
      <c r="M31" s="237">
        <f t="shared" si="25"/>
        <v>0</v>
      </c>
      <c r="N31" s="254">
        <f t="array" ref="N31">_xll.BCC(DB,_xll.ArrayDPT($AA31:$AE31),_xll.ArrayCOA($AG31:$AZ31),YR,PRD,RV,_xll.ArrayDIM($BB31:$BE31))</f>
        <v>0</v>
      </c>
      <c r="O31" s="237">
        <f t="shared" si="26"/>
        <v>0</v>
      </c>
      <c r="P31" s="237">
        <f t="shared" si="27"/>
        <v>0</v>
      </c>
      <c r="Q31" s="237">
        <f t="shared" si="28"/>
        <v>0</v>
      </c>
      <c r="R31" s="254">
        <f t="array" ref="R31">_xll.ACC(DB,_xll.ArrayDPT($AA31:$AE31),_xll.ArrayCOA($AG31:$AZ31),YR-1,PRD,_xll.ArrayDIM($BB31:$BE31))</f>
        <v>0</v>
      </c>
      <c r="S31" s="237">
        <f t="shared" si="29"/>
        <v>0</v>
      </c>
      <c r="T31" s="295"/>
      <c r="U31" s="295"/>
      <c r="V31" s="295"/>
      <c r="W31" s="295"/>
      <c r="X31" s="295"/>
      <c r="Y31" s="295"/>
      <c r="Z31" s="295"/>
      <c r="AA31" s="95"/>
      <c r="AB31" s="96"/>
      <c r="AC31" s="96"/>
      <c r="AD31" s="96"/>
      <c r="AE31" s="96"/>
      <c r="AF31" s="97"/>
      <c r="AG31" s="95"/>
      <c r="AH31" s="96"/>
      <c r="AI31" s="95"/>
      <c r="AJ31" s="96"/>
      <c r="AK31" s="95"/>
      <c r="AL31" s="96"/>
      <c r="AM31" s="95"/>
      <c r="AN31" s="98"/>
      <c r="AO31" s="96"/>
      <c r="AP31" s="96"/>
      <c r="AQ31" s="95"/>
      <c r="AR31" s="98"/>
      <c r="AS31" s="96"/>
      <c r="AT31" s="96"/>
      <c r="AU31" s="95"/>
      <c r="AV31" s="98"/>
      <c r="AW31" s="96"/>
      <c r="AX31" s="96"/>
      <c r="AY31" s="95"/>
      <c r="AZ31" s="98"/>
      <c r="BA31" s="99"/>
      <c r="BB31" s="95"/>
      <c r="BC31" s="96"/>
      <c r="BD31" s="96"/>
      <c r="BE31" s="98"/>
    </row>
    <row r="32" spans="1:57" ht="11.25" customHeight="1">
      <c r="A32" s="254">
        <f t="array" ref="A32">_xll.AC(DB,_xll.ArrayDPT($AA32:$AE32),_xll.ArrayCOA($AG32:$AZ32),YR-1,PRD,_xll.ArrayDIM($BB32:$BE32))</f>
        <v>0</v>
      </c>
      <c r="B32" s="237">
        <f t="shared" si="20"/>
        <v>0</v>
      </c>
      <c r="C32" s="237">
        <f t="shared" si="21"/>
        <v>0</v>
      </c>
      <c r="D32" s="237">
        <f t="shared" si="22"/>
        <v>0</v>
      </c>
      <c r="E32" s="254">
        <f t="array" ref="E32">_xll.BC(DB,_xll.ArrayDPT($AA32:$AE32),_xll.ArrayCOA($AG32:$AZ32),YR,PRD,RV,_xll.ArrayDIM($BB32:$BE32))</f>
        <v>0</v>
      </c>
      <c r="F32" s="237">
        <f t="shared" si="23"/>
        <v>0</v>
      </c>
      <c r="G32" s="254">
        <f t="array" ref="G32">_xll.AC(DB,_xll.ArrayDPT($AA32:$AE32),_xll.ArrayCOA($AG32:$AZ32),YR,PRD,_xll.ArrayDIM($BB32:$BE32))</f>
        <v>0</v>
      </c>
      <c r="H32" s="237">
        <f t="shared" si="24"/>
        <v>0</v>
      </c>
      <c r="I32" s="237"/>
      <c r="J32" s="328" t="s">
        <v>652</v>
      </c>
      <c r="K32" s="237"/>
      <c r="L32" s="254">
        <f t="array" ref="L32">_xll.ACC(DB,_xll.ArrayDPT($AA32:$AE32),_xll.ArrayCOA($AG32:$AZ32),YR,PRD,_xll.ArrayDIM($BB32:$BE32))</f>
        <v>0</v>
      </c>
      <c r="M32" s="237">
        <f t="shared" si="25"/>
        <v>0</v>
      </c>
      <c r="N32" s="254">
        <f t="array" ref="N32">_xll.BCC(DB,_xll.ArrayDPT($AA32:$AE32),_xll.ArrayCOA($AG32:$AZ32),YR,PRD,RV,_xll.ArrayDIM($BB32:$BE32))</f>
        <v>0</v>
      </c>
      <c r="O32" s="237">
        <f t="shared" si="26"/>
        <v>0</v>
      </c>
      <c r="P32" s="237">
        <f t="shared" si="27"/>
        <v>0</v>
      </c>
      <c r="Q32" s="237">
        <f t="shared" si="28"/>
        <v>0</v>
      </c>
      <c r="R32" s="254">
        <f t="array" ref="R32">_xll.ACC(DB,_xll.ArrayDPT($AA32:$AE32),_xll.ArrayCOA($AG32:$AZ32),YR-1,PRD,_xll.ArrayDIM($BB32:$BE32))</f>
        <v>0</v>
      </c>
      <c r="S32" s="237">
        <f t="shared" si="29"/>
        <v>0</v>
      </c>
      <c r="T32" s="295"/>
      <c r="U32" s="295"/>
      <c r="V32" s="295"/>
      <c r="W32" s="295"/>
      <c r="X32" s="295"/>
      <c r="Y32" s="295"/>
      <c r="Z32" s="295"/>
      <c r="AA32" s="95"/>
      <c r="AB32" s="96"/>
      <c r="AC32" s="96"/>
      <c r="AD32" s="96"/>
      <c r="AE32" s="96"/>
      <c r="AF32" s="97"/>
      <c r="AG32" s="95"/>
      <c r="AH32" s="96"/>
      <c r="AI32" s="95"/>
      <c r="AJ32" s="96"/>
      <c r="AK32" s="95"/>
      <c r="AL32" s="96"/>
      <c r="AM32" s="95"/>
      <c r="AN32" s="98"/>
      <c r="AO32" s="96"/>
      <c r="AP32" s="96"/>
      <c r="AQ32" s="95"/>
      <c r="AR32" s="98"/>
      <c r="AS32" s="96"/>
      <c r="AT32" s="96"/>
      <c r="AU32" s="95"/>
      <c r="AV32" s="98"/>
      <c r="AW32" s="96"/>
      <c r="AX32" s="96"/>
      <c r="AY32" s="95"/>
      <c r="AZ32" s="98"/>
      <c r="BA32" s="99"/>
      <c r="BB32" s="95"/>
      <c r="BC32" s="96"/>
      <c r="BD32" s="96"/>
      <c r="BE32" s="98"/>
    </row>
    <row r="33" spans="1:57" ht="6" customHeight="1">
      <c r="A33" s="330"/>
      <c r="B33" s="329"/>
      <c r="C33" s="392"/>
      <c r="D33" s="329"/>
      <c r="E33" s="392"/>
      <c r="F33" s="329"/>
      <c r="G33" s="392"/>
      <c r="H33" s="329"/>
      <c r="I33" s="398"/>
      <c r="J33" s="392"/>
      <c r="K33" s="399"/>
      <c r="L33" s="393"/>
      <c r="M33" s="333"/>
      <c r="N33" s="393"/>
      <c r="O33" s="333"/>
      <c r="P33" s="393"/>
      <c r="Q33" s="333"/>
      <c r="R33" s="393"/>
      <c r="S33" s="341"/>
      <c r="T33" s="328"/>
      <c r="U33" s="328"/>
      <c r="V33" s="328"/>
      <c r="W33" s="328"/>
      <c r="X33" s="328"/>
      <c r="Y33" s="328"/>
      <c r="Z33" s="328"/>
      <c r="AA33" s="95"/>
      <c r="AB33" s="96"/>
      <c r="AC33" s="96"/>
      <c r="AD33" s="96"/>
      <c r="AE33" s="96"/>
      <c r="AF33" s="97"/>
      <c r="AG33" s="95"/>
      <c r="AH33" s="96"/>
      <c r="AI33" s="95"/>
      <c r="AJ33" s="96"/>
      <c r="AK33" s="95"/>
      <c r="AL33" s="96"/>
      <c r="AM33" s="95"/>
      <c r="AN33" s="98"/>
      <c r="AO33" s="96"/>
      <c r="AP33" s="96"/>
      <c r="AQ33" s="95"/>
      <c r="AR33" s="98"/>
      <c r="AS33" s="96"/>
      <c r="AT33" s="96"/>
      <c r="AU33" s="95"/>
      <c r="AV33" s="98"/>
      <c r="AW33" s="96"/>
      <c r="AX33" s="96"/>
      <c r="AY33" s="95"/>
      <c r="AZ33" s="98"/>
      <c r="BA33" s="99"/>
      <c r="BB33" s="95"/>
      <c r="BC33" s="96"/>
      <c r="BD33" s="96"/>
      <c r="BE33" s="98"/>
    </row>
    <row r="34" spans="1:57" ht="12" customHeight="1">
      <c r="A34" s="394">
        <f>SUM(A29:A32)</f>
        <v>0</v>
      </c>
      <c r="B34" s="338">
        <f>IF(A34=0,0,(A34*100)/A$17)</f>
        <v>0</v>
      </c>
      <c r="C34" s="395">
        <f>SUM(C29:C32)</f>
        <v>0</v>
      </c>
      <c r="D34" s="338">
        <f>IF(C34=0,0,(C34*100)/C$17)</f>
        <v>0</v>
      </c>
      <c r="E34" s="395">
        <f>SUM(E29:E32)</f>
        <v>0</v>
      </c>
      <c r="F34" s="338">
        <f>IF(E34=0,0,(E34*100)/E$17)</f>
        <v>0</v>
      </c>
      <c r="G34" s="395">
        <f>SUM(G29:G32)</f>
        <v>0</v>
      </c>
      <c r="H34" s="338">
        <f>IF(G34=0,0,(G34*100)/G$17)</f>
        <v>0</v>
      </c>
      <c r="I34" s="394"/>
      <c r="J34" s="396" t="s">
        <v>862</v>
      </c>
      <c r="K34" s="400"/>
      <c r="L34" s="395">
        <f>SUM(L29:L32)</f>
        <v>0</v>
      </c>
      <c r="M34" s="338">
        <f>IF(L34=0,0,(L34*100)/L$17)</f>
        <v>0</v>
      </c>
      <c r="N34" s="395">
        <f>SUM(N29:N32)</f>
        <v>0</v>
      </c>
      <c r="O34" s="338">
        <f>IF(N34=0,0,(N34*100)/N$17)</f>
        <v>0</v>
      </c>
      <c r="P34" s="395">
        <f>SUM(P29:P32)</f>
        <v>0</v>
      </c>
      <c r="Q34" s="338">
        <f>IF(P34=0,0,(P34*100)/P$17)</f>
        <v>0</v>
      </c>
      <c r="R34" s="395">
        <f>SUM(R29:R32)</f>
        <v>0</v>
      </c>
      <c r="S34" s="338">
        <f>IF(R34=0,0,(R34*100)/R$17)</f>
        <v>0</v>
      </c>
      <c r="T34" s="397"/>
      <c r="U34" s="397"/>
      <c r="V34" s="397"/>
      <c r="W34" s="397"/>
      <c r="X34" s="397"/>
      <c r="Y34" s="397"/>
      <c r="Z34" s="397"/>
      <c r="AA34" s="95"/>
      <c r="AB34" s="96"/>
      <c r="AC34" s="96"/>
      <c r="AD34" s="96"/>
      <c r="AE34" s="96"/>
      <c r="AF34" s="97"/>
      <c r="AG34" s="95"/>
      <c r="AH34" s="96"/>
      <c r="AI34" s="95"/>
      <c r="AJ34" s="96"/>
      <c r="AK34" s="95"/>
      <c r="AL34" s="96"/>
      <c r="AM34" s="95"/>
      <c r="AN34" s="98"/>
      <c r="AO34" s="96"/>
      <c r="AP34" s="96"/>
      <c r="AQ34" s="95"/>
      <c r="AR34" s="98"/>
      <c r="AS34" s="96"/>
      <c r="AT34" s="96"/>
      <c r="AU34" s="95"/>
      <c r="AV34" s="98"/>
      <c r="AW34" s="96"/>
      <c r="AX34" s="96"/>
      <c r="AY34" s="95"/>
      <c r="AZ34" s="98"/>
      <c r="BA34" s="99"/>
      <c r="BB34" s="95"/>
      <c r="BC34" s="96"/>
      <c r="BD34" s="96"/>
      <c r="BE34" s="98"/>
    </row>
    <row r="35" spans="1:57" ht="12" customHeight="1">
      <c r="A35" s="237"/>
      <c r="B35" s="237"/>
      <c r="C35" s="237"/>
      <c r="D35" s="237"/>
      <c r="E35" s="237"/>
      <c r="F35" s="237"/>
      <c r="G35" s="237"/>
      <c r="H35" s="237"/>
      <c r="I35" s="237"/>
      <c r="J35" s="340" t="s">
        <v>653</v>
      </c>
      <c r="K35" s="237"/>
      <c r="L35" s="237"/>
      <c r="M35" s="237"/>
      <c r="N35" s="237"/>
      <c r="O35" s="237"/>
      <c r="P35" s="237"/>
      <c r="Q35" s="237"/>
      <c r="R35" s="237"/>
      <c r="S35" s="237"/>
      <c r="T35" s="295"/>
      <c r="U35" s="295"/>
      <c r="V35" s="295"/>
      <c r="W35" s="295"/>
      <c r="X35" s="295"/>
      <c r="Y35" s="295"/>
      <c r="Z35" s="295"/>
      <c r="AA35" s="95"/>
      <c r="AB35" s="96"/>
      <c r="AC35" s="96"/>
      <c r="AD35" s="96"/>
      <c r="AE35" s="96"/>
      <c r="AF35" s="97"/>
      <c r="AG35" s="95"/>
      <c r="AH35" s="96"/>
      <c r="AI35" s="95"/>
      <c r="AJ35" s="96"/>
      <c r="AK35" s="95"/>
      <c r="AL35" s="96"/>
      <c r="AM35" s="95"/>
      <c r="AN35" s="98"/>
      <c r="AO35" s="96"/>
      <c r="AP35" s="96"/>
      <c r="AQ35" s="95"/>
      <c r="AR35" s="98"/>
      <c r="AS35" s="96"/>
      <c r="AT35" s="96"/>
      <c r="AU35" s="95"/>
      <c r="AV35" s="98"/>
      <c r="AW35" s="96"/>
      <c r="AX35" s="96"/>
      <c r="AY35" s="95"/>
      <c r="AZ35" s="98"/>
      <c r="BA35" s="99"/>
      <c r="BB35" s="95"/>
      <c r="BC35" s="96"/>
      <c r="BD35" s="96"/>
      <c r="BE35" s="98"/>
    </row>
    <row r="36" spans="1:57" ht="11.25" customHeight="1">
      <c r="A36" s="254">
        <f t="array" ref="A36">_xll.AC(DB,_xll.ArrayDPT($AA36:$AE36),_xll.ArrayCOA($AG36:$AZ36),YR-1,PRD,_xll.ArrayDIM($BB36:$BE36))</f>
        <v>0</v>
      </c>
      <c r="B36" s="237">
        <f t="shared" ref="B36:B58" si="30">IF(A36=0,0,(A36*100)/A$17)</f>
        <v>0</v>
      </c>
      <c r="C36" s="237">
        <f t="shared" ref="C36:C58" si="31">+E36-G36</f>
        <v>0</v>
      </c>
      <c r="D36" s="237">
        <f t="shared" ref="D36:D58" si="32">IF(C36=0,0,(C36*100)/C$17)</f>
        <v>0</v>
      </c>
      <c r="E36" s="254">
        <f t="array" ref="E36">_xll.BC(DB,_xll.ArrayDPT($AA36:$AE36),_xll.ArrayCOA($AG36:$AZ36),YR,PRD,RV,_xll.ArrayDIM($BB36:$BE36))</f>
        <v>0</v>
      </c>
      <c r="F36" s="237">
        <f t="shared" ref="F36:F58" si="33">IF(E36=0,0,(E36*100)/E$17)</f>
        <v>0</v>
      </c>
      <c r="G36" s="254">
        <f t="array" ref="G36">_xll.AC(DB,_xll.ArrayDPT($AA36:$AE36),_xll.ArrayCOA($AG36:$AZ36),YR,PRD,_xll.ArrayDIM($BB36:$BE36))</f>
        <v>0</v>
      </c>
      <c r="H36" s="237">
        <f t="shared" ref="H36:H58" si="34">IF(G36=0,0,(G36*100)/G$17)</f>
        <v>0</v>
      </c>
      <c r="I36" s="237"/>
      <c r="J36" s="328" t="s">
        <v>863</v>
      </c>
      <c r="K36" s="237"/>
      <c r="L36" s="254">
        <f t="array" ref="L36">_xll.ACC(DB,_xll.ArrayDPT($AA36:$AE36),_xll.ArrayCOA($AG36:$AZ36),YR,PRD,_xll.ArrayDIM($BB36:$BE36))</f>
        <v>0</v>
      </c>
      <c r="M36" s="237">
        <f t="shared" ref="M36:M58" si="35">IF(L36=0,0,(L36*100)/L$17)</f>
        <v>0</v>
      </c>
      <c r="N36" s="254">
        <f t="array" ref="N36">_xll.BCC(DB,_xll.ArrayDPT($AA36:$AE36),_xll.ArrayCOA($AG36:$AZ36),YR,PRD,RV,_xll.ArrayDIM($BB36:$BE36))</f>
        <v>0</v>
      </c>
      <c r="O36" s="237">
        <f t="shared" ref="O36:O58" si="36">IF(N36=0,0,(N36*100)/N$17)</f>
        <v>0</v>
      </c>
      <c r="P36" s="237">
        <f t="shared" ref="P36:P58" si="37">+N36-L36</f>
        <v>0</v>
      </c>
      <c r="Q36" s="237">
        <f t="shared" ref="Q36:Q58" si="38">IF(P36=0,0,(P36*100)/P$17)</f>
        <v>0</v>
      </c>
      <c r="R36" s="254">
        <f t="array" ref="R36">_xll.ACC(DB,_xll.ArrayDPT($AA36:$AE36),_xll.ArrayCOA($AG36:$AZ36),YR-1,PRD,_xll.ArrayDIM($BB36:$BE36))</f>
        <v>0</v>
      </c>
      <c r="S36" s="237">
        <f t="shared" ref="S36:S58" si="39">IF(R36=0,0,(R36*100)/R$17)</f>
        <v>0</v>
      </c>
      <c r="T36" s="295"/>
      <c r="U36" s="295"/>
      <c r="V36" s="295"/>
      <c r="W36" s="295"/>
      <c r="X36" s="295"/>
      <c r="Y36" s="295"/>
      <c r="Z36" s="295"/>
      <c r="AA36" s="95" t="s">
        <v>836</v>
      </c>
      <c r="AB36" s="96"/>
      <c r="AC36" s="96"/>
      <c r="AD36" s="96"/>
      <c r="AE36" s="96"/>
      <c r="AF36" s="97"/>
      <c r="AG36" s="95" t="s">
        <v>688</v>
      </c>
      <c r="AH36" s="96" t="s">
        <v>688</v>
      </c>
      <c r="AI36" s="95"/>
      <c r="AJ36" s="96"/>
      <c r="AK36" s="95"/>
      <c r="AL36" s="96"/>
      <c r="AM36" s="95"/>
      <c r="AN36" s="98"/>
      <c r="AO36" s="96"/>
      <c r="AP36" s="96"/>
      <c r="AQ36" s="95"/>
      <c r="AR36" s="98"/>
      <c r="AS36" s="96"/>
      <c r="AT36" s="96"/>
      <c r="AU36" s="95"/>
      <c r="AV36" s="98"/>
      <c r="AW36" s="96"/>
      <c r="AX36" s="96"/>
      <c r="AY36" s="95"/>
      <c r="AZ36" s="98"/>
      <c r="BA36" s="99"/>
      <c r="BB36" s="95"/>
      <c r="BC36" s="96"/>
      <c r="BD36" s="96"/>
      <c r="BE36" s="98"/>
    </row>
    <row r="37" spans="1:57" ht="11.25" customHeight="1">
      <c r="A37" s="254">
        <f t="array" ref="A37">_xll.AC(DB,_xll.ArrayDPT($AA37:$AE37),_xll.ArrayCOA($AG37:$AZ37),YR-1,PRD,_xll.ArrayDIM($BB37:$BE37))</f>
        <v>0</v>
      </c>
      <c r="B37" s="237">
        <f t="shared" si="30"/>
        <v>0</v>
      </c>
      <c r="C37" s="237">
        <f t="shared" si="31"/>
        <v>0</v>
      </c>
      <c r="D37" s="237">
        <f t="shared" si="32"/>
        <v>0</v>
      </c>
      <c r="E37" s="254">
        <f t="array" ref="E37">_xll.BC(DB,_xll.ArrayDPT($AA37:$AE37),_xll.ArrayCOA($AG37:$AZ37),YR,PRD,RV,_xll.ArrayDIM($BB37:$BE37))</f>
        <v>0</v>
      </c>
      <c r="F37" s="237">
        <f t="shared" si="33"/>
        <v>0</v>
      </c>
      <c r="G37" s="254">
        <f t="array" ref="G37">_xll.AC(DB,_xll.ArrayDPT($AA37:$AE37),_xll.ArrayCOA($AG37:$AZ37),YR,PRD,_xll.ArrayDIM($BB37:$BE37))</f>
        <v>0</v>
      </c>
      <c r="H37" s="237">
        <f t="shared" si="34"/>
        <v>0</v>
      </c>
      <c r="I37" s="237"/>
      <c r="J37" s="328" t="s">
        <v>784</v>
      </c>
      <c r="K37" s="237"/>
      <c r="L37" s="254">
        <f t="array" ref="L37">_xll.ACC(DB,_xll.ArrayDPT($AA37:$AE37),_xll.ArrayCOA($AG37:$AZ37),YR,PRD,_xll.ArrayDIM($BB37:$BE37))</f>
        <v>0</v>
      </c>
      <c r="M37" s="237">
        <f t="shared" si="35"/>
        <v>0</v>
      </c>
      <c r="N37" s="254">
        <f t="array" ref="N37">_xll.BCC(DB,_xll.ArrayDPT($AA37:$AE37),_xll.ArrayCOA($AG37:$AZ37),YR,PRD,RV,_xll.ArrayDIM($BB37:$BE37))</f>
        <v>0</v>
      </c>
      <c r="O37" s="237">
        <f t="shared" si="36"/>
        <v>0</v>
      </c>
      <c r="P37" s="237">
        <f t="shared" si="37"/>
        <v>0</v>
      </c>
      <c r="Q37" s="237">
        <f t="shared" si="38"/>
        <v>0</v>
      </c>
      <c r="R37" s="254">
        <f t="array" ref="R37">_xll.ACC(DB,_xll.ArrayDPT($AA37:$AE37),_xll.ArrayCOA($AG37:$AZ37),YR-1,PRD,_xll.ArrayDIM($BB37:$BE37))</f>
        <v>0</v>
      </c>
      <c r="S37" s="237">
        <f t="shared" si="39"/>
        <v>0</v>
      </c>
      <c r="T37" s="295"/>
      <c r="U37" s="295"/>
      <c r="V37" s="295"/>
      <c r="W37" s="295"/>
      <c r="X37" s="295"/>
      <c r="Y37" s="295"/>
      <c r="Z37" s="295"/>
      <c r="AA37" s="95" t="s">
        <v>836</v>
      </c>
      <c r="AB37" s="96"/>
      <c r="AC37" s="96"/>
      <c r="AD37" s="96"/>
      <c r="AE37" s="96"/>
      <c r="AF37" s="97"/>
      <c r="AG37" s="95" t="s">
        <v>655</v>
      </c>
      <c r="AH37" s="96" t="s">
        <v>655</v>
      </c>
      <c r="AI37" s="95"/>
      <c r="AJ37" s="96"/>
      <c r="AK37" s="95"/>
      <c r="AL37" s="96"/>
      <c r="AM37" s="95"/>
      <c r="AN37" s="98"/>
      <c r="AO37" s="96"/>
      <c r="AP37" s="96"/>
      <c r="AQ37" s="95"/>
      <c r="AR37" s="98"/>
      <c r="AS37" s="96"/>
      <c r="AT37" s="96"/>
      <c r="AU37" s="95"/>
      <c r="AV37" s="98"/>
      <c r="AW37" s="96"/>
      <c r="AX37" s="96"/>
      <c r="AY37" s="95"/>
      <c r="AZ37" s="98"/>
      <c r="BA37" s="99"/>
      <c r="BB37" s="95"/>
      <c r="BC37" s="96"/>
      <c r="BD37" s="96"/>
      <c r="BE37" s="98"/>
    </row>
    <row r="38" spans="1:57" ht="11.25" customHeight="1">
      <c r="A38" s="254">
        <f t="array" ref="A38">_xll.AC(DB,_xll.ArrayDPT($AA38:$AE38),_xll.ArrayCOA($AG38:$AZ38),YR-1,PRD,_xll.ArrayDIM($BB38:$BE38))</f>
        <v>0</v>
      </c>
      <c r="B38" s="237">
        <f t="shared" si="30"/>
        <v>0</v>
      </c>
      <c r="C38" s="237">
        <f t="shared" si="31"/>
        <v>0</v>
      </c>
      <c r="D38" s="237">
        <f t="shared" si="32"/>
        <v>0</v>
      </c>
      <c r="E38" s="254">
        <f t="array" ref="E38">_xll.BC(DB,_xll.ArrayDPT($AA38:$AE38),_xll.ArrayCOA($AG38:$AZ38),YR,PRD,RV,_xll.ArrayDIM($BB38:$BE38))</f>
        <v>0</v>
      </c>
      <c r="F38" s="237">
        <f t="shared" si="33"/>
        <v>0</v>
      </c>
      <c r="G38" s="254">
        <f t="array" ref="G38">_xll.AC(DB,_xll.ArrayDPT($AA38:$AE38),_xll.ArrayCOA($AG38:$AZ38),YR,PRD,_xll.ArrayDIM($BB38:$BE38))</f>
        <v>0</v>
      </c>
      <c r="H38" s="237">
        <f t="shared" si="34"/>
        <v>0</v>
      </c>
      <c r="I38" s="237"/>
      <c r="J38" s="328" t="s">
        <v>864</v>
      </c>
      <c r="K38" s="237"/>
      <c r="L38" s="254">
        <f t="array" ref="L38">_xll.ACC(DB,_xll.ArrayDPT($AA38:$AE38),_xll.ArrayCOA($AG38:$AZ38),YR,PRD,_xll.ArrayDIM($BB38:$BE38))</f>
        <v>0</v>
      </c>
      <c r="M38" s="237">
        <f t="shared" si="35"/>
        <v>0</v>
      </c>
      <c r="N38" s="254">
        <f t="array" ref="N38">_xll.BCC(DB,_xll.ArrayDPT($AA38:$AE38),_xll.ArrayCOA($AG38:$AZ38),YR,PRD,RV,_xll.ArrayDIM($BB38:$BE38))</f>
        <v>0</v>
      </c>
      <c r="O38" s="237">
        <f t="shared" si="36"/>
        <v>0</v>
      </c>
      <c r="P38" s="237">
        <f t="shared" si="37"/>
        <v>0</v>
      </c>
      <c r="Q38" s="237">
        <f t="shared" si="38"/>
        <v>0</v>
      </c>
      <c r="R38" s="254">
        <f t="array" ref="R38">_xll.ACC(DB,_xll.ArrayDPT($AA38:$AE38),_xll.ArrayCOA($AG38:$AZ38),YR-1,PRD,_xll.ArrayDIM($BB38:$BE38))</f>
        <v>0</v>
      </c>
      <c r="S38" s="237">
        <f t="shared" si="39"/>
        <v>0</v>
      </c>
      <c r="T38" s="295"/>
      <c r="U38" s="295"/>
      <c r="V38" s="295"/>
      <c r="W38" s="295"/>
      <c r="X38" s="295"/>
      <c r="Y38" s="295"/>
      <c r="Z38" s="295"/>
      <c r="AA38" s="95" t="s">
        <v>836</v>
      </c>
      <c r="AB38" s="96"/>
      <c r="AC38" s="96"/>
      <c r="AD38" s="96"/>
      <c r="AE38" s="96"/>
      <c r="AF38" s="97"/>
      <c r="AG38" s="95" t="s">
        <v>679</v>
      </c>
      <c r="AH38" s="96" t="s">
        <v>679</v>
      </c>
      <c r="AI38" s="95"/>
      <c r="AJ38" s="96"/>
      <c r="AK38" s="95"/>
      <c r="AL38" s="96"/>
      <c r="AM38" s="95"/>
      <c r="AN38" s="98"/>
      <c r="AO38" s="96"/>
      <c r="AP38" s="96"/>
      <c r="AQ38" s="95"/>
      <c r="AR38" s="98"/>
      <c r="AS38" s="96"/>
      <c r="AT38" s="96"/>
      <c r="AU38" s="95"/>
      <c r="AV38" s="98"/>
      <c r="AW38" s="96"/>
      <c r="AX38" s="96"/>
      <c r="AY38" s="95"/>
      <c r="AZ38" s="98"/>
      <c r="BA38" s="99"/>
      <c r="BB38" s="95"/>
      <c r="BC38" s="96"/>
      <c r="BD38" s="96"/>
      <c r="BE38" s="98"/>
    </row>
    <row r="39" spans="1:57" ht="11.25" hidden="1" customHeight="1">
      <c r="A39" s="254">
        <f t="array" ref="A39">_xll.AC(DB,_xll.ArrayDPT($AA39:$AE39),_xll.ArrayCOA($AG39:$AZ39),YR-1,PRD,_xll.ArrayDIM($BB39:$BE39))</f>
        <v>0</v>
      </c>
      <c r="B39" s="237">
        <f t="shared" si="30"/>
        <v>0</v>
      </c>
      <c r="C39" s="237">
        <f t="shared" si="31"/>
        <v>0</v>
      </c>
      <c r="D39" s="237">
        <f t="shared" si="32"/>
        <v>0</v>
      </c>
      <c r="E39" s="254">
        <f t="array" ref="E39">_xll.BC(DB,_xll.ArrayDPT($AA39:$AE39),_xll.ArrayCOA($AG39:$AZ39),YR,PRD,RV,_xll.ArrayDIM($BB39:$BE39))</f>
        <v>0</v>
      </c>
      <c r="F39" s="237">
        <f t="shared" si="33"/>
        <v>0</v>
      </c>
      <c r="G39" s="254">
        <f t="array" ref="G39">_xll.AC(DB,_xll.ArrayDPT($AA39:$AE39),_xll.ArrayCOA($AG39:$AZ39),YR,PRD,_xll.ArrayDIM($BB39:$BE39))</f>
        <v>0</v>
      </c>
      <c r="H39" s="237">
        <f t="shared" si="34"/>
        <v>0</v>
      </c>
      <c r="I39" s="237"/>
      <c r="J39" s="328" t="s">
        <v>865</v>
      </c>
      <c r="K39" s="237"/>
      <c r="L39" s="254">
        <f t="array" ref="L39">_xll.ACC(DB,_xll.ArrayDPT($AA39:$AE39),_xll.ArrayCOA($AG39:$AZ39),YR,PRD,_xll.ArrayDIM($BB39:$BE39))</f>
        <v>0</v>
      </c>
      <c r="M39" s="237">
        <f t="shared" si="35"/>
        <v>0</v>
      </c>
      <c r="N39" s="254">
        <f t="array" ref="N39">_xll.BCC(DB,_xll.ArrayDPT($AA39:$AE39),_xll.ArrayCOA($AG39:$AZ39),YR,PRD,RV,_xll.ArrayDIM($BB39:$BE39))</f>
        <v>0</v>
      </c>
      <c r="O39" s="237">
        <f t="shared" si="36"/>
        <v>0</v>
      </c>
      <c r="P39" s="237">
        <f t="shared" si="37"/>
        <v>0</v>
      </c>
      <c r="Q39" s="237">
        <f t="shared" si="38"/>
        <v>0</v>
      </c>
      <c r="R39" s="254">
        <f t="array" ref="R39">_xll.ACC(DB,_xll.ArrayDPT($AA39:$AE39),_xll.ArrayCOA($AG39:$AZ39),YR-1,PRD,_xll.ArrayDIM($BB39:$BE39))</f>
        <v>0</v>
      </c>
      <c r="S39" s="237">
        <f t="shared" si="39"/>
        <v>0</v>
      </c>
      <c r="T39" s="295"/>
      <c r="U39" s="295"/>
      <c r="V39" s="295"/>
      <c r="W39" s="295"/>
      <c r="X39" s="295"/>
      <c r="Y39" s="295"/>
      <c r="Z39" s="295"/>
      <c r="AA39" s="95"/>
      <c r="AB39" s="96"/>
      <c r="AC39" s="96"/>
      <c r="AD39" s="96"/>
      <c r="AE39" s="96"/>
      <c r="AF39" s="97"/>
      <c r="AG39" s="95"/>
      <c r="AH39" s="96"/>
      <c r="AI39" s="95"/>
      <c r="AJ39" s="96"/>
      <c r="AK39" s="95"/>
      <c r="AL39" s="96"/>
      <c r="AM39" s="95"/>
      <c r="AN39" s="98"/>
      <c r="AO39" s="96"/>
      <c r="AP39" s="96"/>
      <c r="AQ39" s="95"/>
      <c r="AR39" s="98"/>
      <c r="AS39" s="96"/>
      <c r="AT39" s="96"/>
      <c r="AU39" s="95"/>
      <c r="AV39" s="98"/>
      <c r="AW39" s="96"/>
      <c r="AX39" s="96"/>
      <c r="AY39" s="95"/>
      <c r="AZ39" s="98"/>
      <c r="BA39" s="99"/>
      <c r="BB39" s="95"/>
      <c r="BC39" s="96"/>
      <c r="BD39" s="96"/>
      <c r="BE39" s="98"/>
    </row>
    <row r="40" spans="1:57" ht="11.25" customHeight="1">
      <c r="A40" s="254">
        <f t="array" ref="A40">_xll.AC(DB,_xll.ArrayDPT($AA40:$AE40),_xll.ArrayCOA($AG40:$AZ40),YR-1,PRD,_xll.ArrayDIM($BB40:$BE40))</f>
        <v>0</v>
      </c>
      <c r="B40" s="237">
        <f t="shared" si="30"/>
        <v>0</v>
      </c>
      <c r="C40" s="237">
        <f t="shared" si="31"/>
        <v>0</v>
      </c>
      <c r="D40" s="237">
        <f t="shared" si="32"/>
        <v>0</v>
      </c>
      <c r="E40" s="254">
        <f t="array" ref="E40">_xll.BC(DB,_xll.ArrayDPT($AA40:$AE40),_xll.ArrayCOA($AG40:$AZ40),YR,PRD,RV,_xll.ArrayDIM($BB40:$BE40))</f>
        <v>0</v>
      </c>
      <c r="F40" s="237">
        <f t="shared" si="33"/>
        <v>0</v>
      </c>
      <c r="G40" s="254">
        <f t="array" ref="G40">_xll.AC(DB,_xll.ArrayDPT($AA40:$AE40),_xll.ArrayCOA($AG40:$AZ40),YR,PRD,_xll.ArrayDIM($BB40:$BE40))</f>
        <v>0</v>
      </c>
      <c r="H40" s="237">
        <f t="shared" si="34"/>
        <v>0</v>
      </c>
      <c r="I40" s="237"/>
      <c r="J40" s="328" t="s">
        <v>866</v>
      </c>
      <c r="K40" s="237"/>
      <c r="L40" s="254">
        <f t="array" ref="L40">_xll.ACC(DB,_xll.ArrayDPT($AA40:$AE40),_xll.ArrayCOA($AG40:$AZ40),YR,PRD,_xll.ArrayDIM($BB40:$BE40))</f>
        <v>0</v>
      </c>
      <c r="M40" s="237">
        <f t="shared" si="35"/>
        <v>0</v>
      </c>
      <c r="N40" s="254">
        <f t="array" ref="N40">_xll.BCC(DB,_xll.ArrayDPT($AA40:$AE40),_xll.ArrayCOA($AG40:$AZ40),YR,PRD,RV,_xll.ArrayDIM($BB40:$BE40))</f>
        <v>0</v>
      </c>
      <c r="O40" s="237">
        <f t="shared" si="36"/>
        <v>0</v>
      </c>
      <c r="P40" s="237">
        <f t="shared" si="37"/>
        <v>0</v>
      </c>
      <c r="Q40" s="237">
        <f t="shared" si="38"/>
        <v>0</v>
      </c>
      <c r="R40" s="254">
        <f t="array" ref="R40">_xll.ACC(DB,_xll.ArrayDPT($AA40:$AE40),_xll.ArrayCOA($AG40:$AZ40),YR-1,PRD,_xll.ArrayDIM($BB40:$BE40))</f>
        <v>0</v>
      </c>
      <c r="S40" s="237">
        <f t="shared" si="39"/>
        <v>0</v>
      </c>
      <c r="T40" s="295"/>
      <c r="U40" s="295"/>
      <c r="V40" s="295"/>
      <c r="W40" s="295"/>
      <c r="X40" s="295"/>
      <c r="Y40" s="295"/>
      <c r="Z40" s="295"/>
      <c r="AA40" s="95" t="s">
        <v>836</v>
      </c>
      <c r="AB40" s="96"/>
      <c r="AC40" s="96"/>
      <c r="AD40" s="96"/>
      <c r="AE40" s="96"/>
      <c r="AF40" s="97"/>
      <c r="AG40" s="95" t="s">
        <v>683</v>
      </c>
      <c r="AH40" s="96" t="s">
        <v>683</v>
      </c>
      <c r="AI40" s="95"/>
      <c r="AJ40" s="96"/>
      <c r="AK40" s="95"/>
      <c r="AL40" s="96"/>
      <c r="AM40" s="95"/>
      <c r="AN40" s="98"/>
      <c r="AO40" s="96"/>
      <c r="AP40" s="96"/>
      <c r="AQ40" s="95"/>
      <c r="AR40" s="98"/>
      <c r="AS40" s="96"/>
      <c r="AT40" s="96"/>
      <c r="AU40" s="95"/>
      <c r="AV40" s="98"/>
      <c r="AW40" s="96"/>
      <c r="AX40" s="96"/>
      <c r="AY40" s="95"/>
      <c r="AZ40" s="98"/>
      <c r="BA40" s="99"/>
      <c r="BB40" s="95"/>
      <c r="BC40" s="96"/>
      <c r="BD40" s="96"/>
      <c r="BE40" s="98"/>
    </row>
    <row r="41" spans="1:57" ht="11.25" customHeight="1">
      <c r="A41" s="254">
        <f t="array" ref="A41">_xll.AC(DB,_xll.ArrayDPT($AA41:$AE41),_xll.ArrayCOA($AG41:$AZ41),YR-1,PRD,_xll.ArrayDIM($BB41:$BE41))</f>
        <v>0</v>
      </c>
      <c r="B41" s="237">
        <f t="shared" si="30"/>
        <v>0</v>
      </c>
      <c r="C41" s="237">
        <f t="shared" si="31"/>
        <v>0</v>
      </c>
      <c r="D41" s="237">
        <f t="shared" si="32"/>
        <v>0</v>
      </c>
      <c r="E41" s="254">
        <f t="array" ref="E41">_xll.BC(DB,_xll.ArrayDPT($AA41:$AE41),_xll.ArrayCOA($AG41:$AZ41),YR,PRD,RV,_xll.ArrayDIM($BB41:$BE41))</f>
        <v>0</v>
      </c>
      <c r="F41" s="237">
        <f t="shared" si="33"/>
        <v>0</v>
      </c>
      <c r="G41" s="254">
        <f t="array" ref="G41">_xll.AC(DB,_xll.ArrayDPT($AA41:$AE41),_xll.ArrayCOA($AG41:$AZ41),YR,PRD,_xll.ArrayDIM($BB41:$BE41))</f>
        <v>0</v>
      </c>
      <c r="H41" s="237">
        <f t="shared" si="34"/>
        <v>0</v>
      </c>
      <c r="I41" s="237"/>
      <c r="J41" s="328" t="s">
        <v>867</v>
      </c>
      <c r="K41" s="237"/>
      <c r="L41" s="254">
        <f t="array" ref="L41">_xll.ACC(DB,_xll.ArrayDPT($AA41:$AE41),_xll.ArrayCOA($AG41:$AZ41),YR,PRD,_xll.ArrayDIM($BB41:$BE41))</f>
        <v>0</v>
      </c>
      <c r="M41" s="237">
        <f t="shared" si="35"/>
        <v>0</v>
      </c>
      <c r="N41" s="254">
        <f t="array" ref="N41">_xll.BCC(DB,_xll.ArrayDPT($AA41:$AE41),_xll.ArrayCOA($AG41:$AZ41),YR,PRD,RV,_xll.ArrayDIM($BB41:$BE41))</f>
        <v>0</v>
      </c>
      <c r="O41" s="237">
        <f t="shared" si="36"/>
        <v>0</v>
      </c>
      <c r="P41" s="237">
        <f t="shared" si="37"/>
        <v>0</v>
      </c>
      <c r="Q41" s="237">
        <f t="shared" si="38"/>
        <v>0</v>
      </c>
      <c r="R41" s="254">
        <f t="array" ref="R41">_xll.ACC(DB,_xll.ArrayDPT($AA41:$AE41),_xll.ArrayCOA($AG41:$AZ41),YR-1,PRD,_xll.ArrayDIM($BB41:$BE41))</f>
        <v>0</v>
      </c>
      <c r="S41" s="237">
        <f t="shared" si="39"/>
        <v>0</v>
      </c>
      <c r="T41" s="295"/>
      <c r="U41" s="295"/>
      <c r="V41" s="295"/>
      <c r="W41" s="295"/>
      <c r="X41" s="295"/>
      <c r="Y41" s="295"/>
      <c r="Z41" s="295"/>
      <c r="AA41" s="95" t="s">
        <v>836</v>
      </c>
      <c r="AB41" s="96"/>
      <c r="AC41" s="96"/>
      <c r="AD41" s="96"/>
      <c r="AE41" s="96"/>
      <c r="AF41" s="97"/>
      <c r="AG41" s="95" t="s">
        <v>685</v>
      </c>
      <c r="AH41" s="96" t="s">
        <v>685</v>
      </c>
      <c r="AI41" s="95"/>
      <c r="AJ41" s="96"/>
      <c r="AK41" s="95"/>
      <c r="AL41" s="96"/>
      <c r="AM41" s="95"/>
      <c r="AN41" s="98"/>
      <c r="AO41" s="96"/>
      <c r="AP41" s="96"/>
      <c r="AQ41" s="95"/>
      <c r="AR41" s="98"/>
      <c r="AS41" s="96"/>
      <c r="AT41" s="96"/>
      <c r="AU41" s="95"/>
      <c r="AV41" s="98"/>
      <c r="AW41" s="96"/>
      <c r="AX41" s="96"/>
      <c r="AY41" s="95"/>
      <c r="AZ41" s="98"/>
      <c r="BA41" s="99"/>
      <c r="BB41" s="95"/>
      <c r="BC41" s="96"/>
      <c r="BD41" s="96"/>
      <c r="BE41" s="98"/>
    </row>
    <row r="42" spans="1:57" ht="11.25" hidden="1" customHeight="1">
      <c r="A42" s="254">
        <f t="array" ref="A42">_xll.AC(DB,_xll.ArrayDPT($AA42:$AE42),_xll.ArrayCOA($AG42:$AZ42),YR-1,PRD,_xll.ArrayDIM($BB42:$BE42))</f>
        <v>0</v>
      </c>
      <c r="B42" s="237">
        <f t="shared" si="30"/>
        <v>0</v>
      </c>
      <c r="C42" s="237">
        <f t="shared" si="31"/>
        <v>0</v>
      </c>
      <c r="D42" s="237">
        <f t="shared" si="32"/>
        <v>0</v>
      </c>
      <c r="E42" s="254">
        <f t="array" ref="E42">_xll.BC(DB,_xll.ArrayDPT($AA42:$AE42),_xll.ArrayCOA($AG42:$AZ42),YR,PRD,RV,_xll.ArrayDIM($BB42:$BE42))</f>
        <v>0</v>
      </c>
      <c r="F42" s="237">
        <f t="shared" si="33"/>
        <v>0</v>
      </c>
      <c r="G42" s="254">
        <f t="array" ref="G42">_xll.AC(DB,_xll.ArrayDPT($AA42:$AE42),_xll.ArrayCOA($AG42:$AZ42),YR,PRD,_xll.ArrayDIM($BB42:$BE42))</f>
        <v>0</v>
      </c>
      <c r="H42" s="237">
        <f t="shared" si="34"/>
        <v>0</v>
      </c>
      <c r="I42" s="237"/>
      <c r="J42" s="328" t="s">
        <v>868</v>
      </c>
      <c r="K42" s="237"/>
      <c r="L42" s="254">
        <f t="array" ref="L42">_xll.ACC(DB,_xll.ArrayDPT($AA42:$AE42),_xll.ArrayCOA($AG42:$AZ42),YR,PRD,_xll.ArrayDIM($BB42:$BE42))</f>
        <v>0</v>
      </c>
      <c r="M42" s="237">
        <f t="shared" si="35"/>
        <v>0</v>
      </c>
      <c r="N42" s="254">
        <f t="array" ref="N42">_xll.BCC(DB,_xll.ArrayDPT($AA42:$AE42),_xll.ArrayCOA($AG42:$AZ42),YR,PRD,RV,_xll.ArrayDIM($BB42:$BE42))</f>
        <v>0</v>
      </c>
      <c r="O42" s="237">
        <f t="shared" si="36"/>
        <v>0</v>
      </c>
      <c r="P42" s="237">
        <f t="shared" si="37"/>
        <v>0</v>
      </c>
      <c r="Q42" s="237">
        <f t="shared" si="38"/>
        <v>0</v>
      </c>
      <c r="R42" s="254">
        <f t="array" ref="R42">_xll.ACC(DB,_xll.ArrayDPT($AA42:$AE42),_xll.ArrayCOA($AG42:$AZ42),YR-1,PRD,_xll.ArrayDIM($BB42:$BE42))</f>
        <v>0</v>
      </c>
      <c r="S42" s="237">
        <f t="shared" si="39"/>
        <v>0</v>
      </c>
      <c r="T42" s="295"/>
      <c r="U42" s="295"/>
      <c r="V42" s="295"/>
      <c r="W42" s="295"/>
      <c r="X42" s="295"/>
      <c r="Y42" s="295"/>
      <c r="Z42" s="295"/>
      <c r="AA42" s="95"/>
      <c r="AB42" s="96"/>
      <c r="AC42" s="96"/>
      <c r="AD42" s="96"/>
      <c r="AE42" s="96"/>
      <c r="AF42" s="97"/>
      <c r="AG42" s="95"/>
      <c r="AH42" s="96"/>
      <c r="AI42" s="95"/>
      <c r="AJ42" s="96"/>
      <c r="AK42" s="95"/>
      <c r="AL42" s="96"/>
      <c r="AM42" s="95"/>
      <c r="AN42" s="98"/>
      <c r="AO42" s="96"/>
      <c r="AP42" s="96"/>
      <c r="AQ42" s="95"/>
      <c r="AR42" s="98"/>
      <c r="AS42" s="96"/>
      <c r="AT42" s="96"/>
      <c r="AU42" s="95"/>
      <c r="AV42" s="98"/>
      <c r="AW42" s="96"/>
      <c r="AX42" s="96"/>
      <c r="AY42" s="95"/>
      <c r="AZ42" s="98"/>
      <c r="BA42" s="99"/>
      <c r="BB42" s="95"/>
      <c r="BC42" s="96"/>
      <c r="BD42" s="96"/>
      <c r="BE42" s="98"/>
    </row>
    <row r="43" spans="1:57" ht="11.25" hidden="1" customHeight="1">
      <c r="A43" s="254">
        <f t="array" ref="A43">_xll.AC(DB,_xll.ArrayDPT($AA43:$AE43),_xll.ArrayCOA($AG43:$AZ43),YR-1,PRD,_xll.ArrayDIM($BB43:$BE43))</f>
        <v>0</v>
      </c>
      <c r="B43" s="237">
        <f t="shared" si="30"/>
        <v>0</v>
      </c>
      <c r="C43" s="237">
        <f t="shared" si="31"/>
        <v>0</v>
      </c>
      <c r="D43" s="237">
        <f t="shared" si="32"/>
        <v>0</v>
      </c>
      <c r="E43" s="254">
        <f t="array" ref="E43">_xll.BC(DB,_xll.ArrayDPT($AA43:$AE43),_xll.ArrayCOA($AG43:$AZ43),YR,PRD,RV,_xll.ArrayDIM($BB43:$BE43))</f>
        <v>0</v>
      </c>
      <c r="F43" s="237">
        <f t="shared" si="33"/>
        <v>0</v>
      </c>
      <c r="G43" s="254">
        <f t="array" ref="G43">_xll.AC(DB,_xll.ArrayDPT($AA43:$AE43),_xll.ArrayCOA($AG43:$AZ43),YR,PRD,_xll.ArrayDIM($BB43:$BE43))</f>
        <v>0</v>
      </c>
      <c r="H43" s="237">
        <f t="shared" si="34"/>
        <v>0</v>
      </c>
      <c r="I43" s="237"/>
      <c r="J43" s="328" t="s">
        <v>869</v>
      </c>
      <c r="K43" s="237"/>
      <c r="L43" s="254">
        <f t="array" ref="L43">_xll.ACC(DB,_xll.ArrayDPT($AA43:$AE43),_xll.ArrayCOA($AG43:$AZ43),YR,PRD,_xll.ArrayDIM($BB43:$BE43))</f>
        <v>0</v>
      </c>
      <c r="M43" s="237">
        <f t="shared" si="35"/>
        <v>0</v>
      </c>
      <c r="N43" s="254">
        <f t="array" ref="N43">_xll.BCC(DB,_xll.ArrayDPT($AA43:$AE43),_xll.ArrayCOA($AG43:$AZ43),YR,PRD,RV,_xll.ArrayDIM($BB43:$BE43))</f>
        <v>0</v>
      </c>
      <c r="O43" s="237">
        <f t="shared" si="36"/>
        <v>0</v>
      </c>
      <c r="P43" s="237">
        <f t="shared" si="37"/>
        <v>0</v>
      </c>
      <c r="Q43" s="237">
        <f t="shared" si="38"/>
        <v>0</v>
      </c>
      <c r="R43" s="254">
        <f t="array" ref="R43">_xll.ACC(DB,_xll.ArrayDPT($AA43:$AE43),_xll.ArrayCOA($AG43:$AZ43),YR-1,PRD,_xll.ArrayDIM($BB43:$BE43))</f>
        <v>0</v>
      </c>
      <c r="S43" s="237">
        <f t="shared" si="39"/>
        <v>0</v>
      </c>
      <c r="T43" s="295"/>
      <c r="U43" s="295"/>
      <c r="V43" s="295"/>
      <c r="W43" s="295"/>
      <c r="X43" s="295"/>
      <c r="Y43" s="295"/>
      <c r="Z43" s="295"/>
      <c r="AA43" s="95"/>
      <c r="AB43" s="96"/>
      <c r="AC43" s="96"/>
      <c r="AD43" s="96"/>
      <c r="AE43" s="96"/>
      <c r="AF43" s="97"/>
      <c r="AG43" s="95"/>
      <c r="AH43" s="96"/>
      <c r="AI43" s="95"/>
      <c r="AJ43" s="96"/>
      <c r="AK43" s="95"/>
      <c r="AL43" s="96"/>
      <c r="AM43" s="95"/>
      <c r="AN43" s="98"/>
      <c r="AO43" s="96"/>
      <c r="AP43" s="96"/>
      <c r="AQ43" s="95"/>
      <c r="AR43" s="98"/>
      <c r="AS43" s="96"/>
      <c r="AT43" s="96"/>
      <c r="AU43" s="95"/>
      <c r="AV43" s="98"/>
      <c r="AW43" s="96"/>
      <c r="AX43" s="96"/>
      <c r="AY43" s="95"/>
      <c r="AZ43" s="98"/>
      <c r="BA43" s="99"/>
      <c r="BB43" s="95"/>
      <c r="BC43" s="96"/>
      <c r="BD43" s="96"/>
      <c r="BE43" s="98"/>
    </row>
    <row r="44" spans="1:57" ht="11.25" hidden="1" customHeight="1">
      <c r="A44" s="254">
        <f t="array" ref="A44">_xll.AC(DB,_xll.ArrayDPT($AA44:$AE44),_xll.ArrayCOA($AG44:$AZ44),YR-1,PRD,_xll.ArrayDIM($BB44:$BE44))</f>
        <v>0</v>
      </c>
      <c r="B44" s="237">
        <f t="shared" si="30"/>
        <v>0</v>
      </c>
      <c r="C44" s="237">
        <f t="shared" si="31"/>
        <v>0</v>
      </c>
      <c r="D44" s="237">
        <f t="shared" si="32"/>
        <v>0</v>
      </c>
      <c r="E44" s="254">
        <f t="array" ref="E44">_xll.BC(DB,_xll.ArrayDPT($AA44:$AE44),_xll.ArrayCOA($AG44:$AZ44),YR,PRD,RV,_xll.ArrayDIM($BB44:$BE44))</f>
        <v>0</v>
      </c>
      <c r="F44" s="237">
        <f t="shared" si="33"/>
        <v>0</v>
      </c>
      <c r="G44" s="254">
        <f t="array" ref="G44">_xll.AC(DB,_xll.ArrayDPT($AA44:$AE44),_xll.ArrayCOA($AG44:$AZ44),YR,PRD,_xll.ArrayDIM($BB44:$BE44))</f>
        <v>0</v>
      </c>
      <c r="H44" s="237">
        <f t="shared" si="34"/>
        <v>0</v>
      </c>
      <c r="I44" s="237"/>
      <c r="J44" s="328" t="s">
        <v>870</v>
      </c>
      <c r="K44" s="237"/>
      <c r="L44" s="254">
        <f t="array" ref="L44">_xll.ACC(DB,_xll.ArrayDPT($AA44:$AE44),_xll.ArrayCOA($AG44:$AZ44),YR,PRD,_xll.ArrayDIM($BB44:$BE44))</f>
        <v>0</v>
      </c>
      <c r="M44" s="237">
        <f t="shared" si="35"/>
        <v>0</v>
      </c>
      <c r="N44" s="254">
        <f t="array" ref="N44">_xll.BCC(DB,_xll.ArrayDPT($AA44:$AE44),_xll.ArrayCOA($AG44:$AZ44),YR,PRD,RV,_xll.ArrayDIM($BB44:$BE44))</f>
        <v>0</v>
      </c>
      <c r="O44" s="237">
        <f t="shared" si="36"/>
        <v>0</v>
      </c>
      <c r="P44" s="237">
        <f t="shared" si="37"/>
        <v>0</v>
      </c>
      <c r="Q44" s="237">
        <f t="shared" si="38"/>
        <v>0</v>
      </c>
      <c r="R44" s="254">
        <f t="array" ref="R44">_xll.ACC(DB,_xll.ArrayDPT($AA44:$AE44),_xll.ArrayCOA($AG44:$AZ44),YR-1,PRD,_xll.ArrayDIM($BB44:$BE44))</f>
        <v>0</v>
      </c>
      <c r="S44" s="237">
        <f t="shared" si="39"/>
        <v>0</v>
      </c>
      <c r="T44" s="295"/>
      <c r="U44" s="295"/>
      <c r="V44" s="295"/>
      <c r="W44" s="295"/>
      <c r="X44" s="295"/>
      <c r="Y44" s="295"/>
      <c r="Z44" s="295"/>
      <c r="AA44" s="95"/>
      <c r="AB44" s="96"/>
      <c r="AC44" s="96"/>
      <c r="AD44" s="96"/>
      <c r="AE44" s="96"/>
      <c r="AF44" s="97"/>
      <c r="AG44" s="95"/>
      <c r="AH44" s="96"/>
      <c r="AI44" s="95"/>
      <c r="AJ44" s="96"/>
      <c r="AK44" s="95"/>
      <c r="AL44" s="96"/>
      <c r="AM44" s="95"/>
      <c r="AN44" s="98"/>
      <c r="AO44" s="96"/>
      <c r="AP44" s="96"/>
      <c r="AQ44" s="95"/>
      <c r="AR44" s="98"/>
      <c r="AS44" s="96"/>
      <c r="AT44" s="96"/>
      <c r="AU44" s="95"/>
      <c r="AV44" s="98"/>
      <c r="AW44" s="96"/>
      <c r="AX44" s="96"/>
      <c r="AY44" s="95"/>
      <c r="AZ44" s="98"/>
      <c r="BA44" s="99"/>
      <c r="BB44" s="95"/>
      <c r="BC44" s="96"/>
      <c r="BD44" s="96"/>
      <c r="BE44" s="98"/>
    </row>
    <row r="45" spans="1:57" ht="11.25" hidden="1" customHeight="1">
      <c r="A45" s="254">
        <f t="array" ref="A45">_xll.AC(DB,_xll.ArrayDPT($AA45:$AE45),_xll.ArrayCOA($AG45:$AZ45),YR-1,PRD,_xll.ArrayDIM($BB45:$BE45))</f>
        <v>0</v>
      </c>
      <c r="B45" s="237">
        <f t="shared" si="30"/>
        <v>0</v>
      </c>
      <c r="C45" s="237">
        <f t="shared" si="31"/>
        <v>0</v>
      </c>
      <c r="D45" s="237">
        <f t="shared" si="32"/>
        <v>0</v>
      </c>
      <c r="E45" s="254">
        <f t="array" ref="E45">_xll.BC(DB,_xll.ArrayDPT($AA45:$AE45),_xll.ArrayCOA($AG45:$AZ45),YR,PRD,RV,_xll.ArrayDIM($BB45:$BE45))</f>
        <v>0</v>
      </c>
      <c r="F45" s="237">
        <f t="shared" si="33"/>
        <v>0</v>
      </c>
      <c r="G45" s="254">
        <f t="array" ref="G45">_xll.AC(DB,_xll.ArrayDPT($AA45:$AE45),_xll.ArrayCOA($AG45:$AZ45),YR,PRD,_xll.ArrayDIM($BB45:$BE45))</f>
        <v>0</v>
      </c>
      <c r="H45" s="237">
        <f t="shared" si="34"/>
        <v>0</v>
      </c>
      <c r="I45" s="237"/>
      <c r="J45" s="328" t="s">
        <v>871</v>
      </c>
      <c r="K45" s="237"/>
      <c r="L45" s="254">
        <f t="array" ref="L45">_xll.ACC(DB,_xll.ArrayDPT($AA45:$AE45),_xll.ArrayCOA($AG45:$AZ45),YR,PRD,_xll.ArrayDIM($BB45:$BE45))</f>
        <v>0</v>
      </c>
      <c r="M45" s="237">
        <f t="shared" si="35"/>
        <v>0</v>
      </c>
      <c r="N45" s="254">
        <f t="array" ref="N45">_xll.BCC(DB,_xll.ArrayDPT($AA45:$AE45),_xll.ArrayCOA($AG45:$AZ45),YR,PRD,RV,_xll.ArrayDIM($BB45:$BE45))</f>
        <v>0</v>
      </c>
      <c r="O45" s="237">
        <f t="shared" si="36"/>
        <v>0</v>
      </c>
      <c r="P45" s="237">
        <f t="shared" si="37"/>
        <v>0</v>
      </c>
      <c r="Q45" s="237">
        <f t="shared" si="38"/>
        <v>0</v>
      </c>
      <c r="R45" s="254">
        <f t="array" ref="R45">_xll.ACC(DB,_xll.ArrayDPT($AA45:$AE45),_xll.ArrayCOA($AG45:$AZ45),YR-1,PRD,_xll.ArrayDIM($BB45:$BE45))</f>
        <v>0</v>
      </c>
      <c r="S45" s="237">
        <f t="shared" si="39"/>
        <v>0</v>
      </c>
      <c r="T45" s="295"/>
      <c r="U45" s="295"/>
      <c r="V45" s="295"/>
      <c r="W45" s="295"/>
      <c r="X45" s="295"/>
      <c r="Y45" s="295"/>
      <c r="Z45" s="295"/>
      <c r="AA45" s="95"/>
      <c r="AB45" s="96"/>
      <c r="AC45" s="96"/>
      <c r="AD45" s="96"/>
      <c r="AE45" s="96"/>
      <c r="AF45" s="97"/>
      <c r="AG45" s="95"/>
      <c r="AH45" s="96"/>
      <c r="AI45" s="95"/>
      <c r="AJ45" s="96"/>
      <c r="AK45" s="95"/>
      <c r="AL45" s="96"/>
      <c r="AM45" s="95"/>
      <c r="AN45" s="98"/>
      <c r="AO45" s="96"/>
      <c r="AP45" s="96"/>
      <c r="AQ45" s="95"/>
      <c r="AR45" s="98"/>
      <c r="AS45" s="96"/>
      <c r="AT45" s="96"/>
      <c r="AU45" s="95"/>
      <c r="AV45" s="98"/>
      <c r="AW45" s="96"/>
      <c r="AX45" s="96"/>
      <c r="AY45" s="95"/>
      <c r="AZ45" s="98"/>
      <c r="BA45" s="99"/>
      <c r="BB45" s="95"/>
      <c r="BC45" s="96"/>
      <c r="BD45" s="96"/>
      <c r="BE45" s="98"/>
    </row>
    <row r="46" spans="1:57" ht="11.25" hidden="1" customHeight="1">
      <c r="A46" s="254">
        <f t="array" ref="A46">_xll.AC(DB,_xll.ArrayDPT($AA46:$AE46),_xll.ArrayCOA($AG46:$AZ46),YR-1,PRD,_xll.ArrayDIM($BB46:$BE46))</f>
        <v>0</v>
      </c>
      <c r="B46" s="237">
        <f t="shared" si="30"/>
        <v>0</v>
      </c>
      <c r="C46" s="237">
        <f t="shared" si="31"/>
        <v>0</v>
      </c>
      <c r="D46" s="237">
        <f t="shared" si="32"/>
        <v>0</v>
      </c>
      <c r="E46" s="254">
        <f t="array" ref="E46">_xll.BC(DB,_xll.ArrayDPT($AA46:$AE46),_xll.ArrayCOA($AG46:$AZ46),YR,PRD,RV,_xll.ArrayDIM($BB46:$BE46))</f>
        <v>0</v>
      </c>
      <c r="F46" s="237">
        <f t="shared" si="33"/>
        <v>0</v>
      </c>
      <c r="G46" s="254">
        <f t="array" ref="G46">_xll.AC(DB,_xll.ArrayDPT($AA46:$AE46),_xll.ArrayCOA($AG46:$AZ46),YR,PRD,_xll.ArrayDIM($BB46:$BE46))</f>
        <v>0</v>
      </c>
      <c r="H46" s="237">
        <f t="shared" si="34"/>
        <v>0</v>
      </c>
      <c r="I46" s="237"/>
      <c r="J46" s="328" t="s">
        <v>872</v>
      </c>
      <c r="K46" s="237"/>
      <c r="L46" s="254">
        <f t="array" ref="L46">_xll.ACC(DB,_xll.ArrayDPT($AA46:$AE46),_xll.ArrayCOA($AG46:$AZ46),YR,PRD,_xll.ArrayDIM($BB46:$BE46))</f>
        <v>0</v>
      </c>
      <c r="M46" s="237">
        <f t="shared" si="35"/>
        <v>0</v>
      </c>
      <c r="N46" s="254">
        <f t="array" ref="N46">_xll.BCC(DB,_xll.ArrayDPT($AA46:$AE46),_xll.ArrayCOA($AG46:$AZ46),YR,PRD,RV,_xll.ArrayDIM($BB46:$BE46))</f>
        <v>0</v>
      </c>
      <c r="O46" s="237">
        <f t="shared" si="36"/>
        <v>0</v>
      </c>
      <c r="P46" s="237">
        <f t="shared" si="37"/>
        <v>0</v>
      </c>
      <c r="Q46" s="237">
        <f t="shared" si="38"/>
        <v>0</v>
      </c>
      <c r="R46" s="254">
        <f t="array" ref="R46">_xll.ACC(DB,_xll.ArrayDPT($AA46:$AE46),_xll.ArrayCOA($AG46:$AZ46),YR-1,PRD,_xll.ArrayDIM($BB46:$BE46))</f>
        <v>0</v>
      </c>
      <c r="S46" s="237">
        <f t="shared" si="39"/>
        <v>0</v>
      </c>
      <c r="T46" s="295"/>
      <c r="U46" s="295"/>
      <c r="V46" s="295"/>
      <c r="W46" s="295"/>
      <c r="X46" s="295"/>
      <c r="Y46" s="295"/>
      <c r="Z46" s="295"/>
      <c r="AA46" s="95"/>
      <c r="AB46" s="96"/>
      <c r="AC46" s="96"/>
      <c r="AD46" s="96"/>
      <c r="AE46" s="96"/>
      <c r="AF46" s="97"/>
      <c r="AG46" s="95"/>
      <c r="AH46" s="96"/>
      <c r="AI46" s="95"/>
      <c r="AJ46" s="96"/>
      <c r="AK46" s="95"/>
      <c r="AL46" s="96"/>
      <c r="AM46" s="95"/>
      <c r="AN46" s="98"/>
      <c r="AO46" s="96"/>
      <c r="AP46" s="96"/>
      <c r="AQ46" s="95"/>
      <c r="AR46" s="98"/>
      <c r="AS46" s="96"/>
      <c r="AT46" s="96"/>
      <c r="AU46" s="95"/>
      <c r="AV46" s="98"/>
      <c r="AW46" s="96"/>
      <c r="AX46" s="96"/>
      <c r="AY46" s="95"/>
      <c r="AZ46" s="98"/>
      <c r="BA46" s="99"/>
      <c r="BB46" s="95"/>
      <c r="BC46" s="96"/>
      <c r="BD46" s="96"/>
      <c r="BE46" s="98"/>
    </row>
    <row r="47" spans="1:57" ht="11.25" hidden="1" customHeight="1">
      <c r="A47" s="254">
        <f t="array" ref="A47">_xll.AC(DB,_xll.ArrayDPT($AA47:$AE47),_xll.ArrayCOA($AG47:$AZ47),YR-1,PRD,_xll.ArrayDIM($BB47:$BE47))</f>
        <v>0</v>
      </c>
      <c r="B47" s="237">
        <f t="shared" si="30"/>
        <v>0</v>
      </c>
      <c r="C47" s="237">
        <f t="shared" si="31"/>
        <v>0</v>
      </c>
      <c r="D47" s="237">
        <f t="shared" si="32"/>
        <v>0</v>
      </c>
      <c r="E47" s="254">
        <f t="array" ref="E47">_xll.BC(DB,_xll.ArrayDPT($AA47:$AE47),_xll.ArrayCOA($AG47:$AZ47),YR,PRD,RV,_xll.ArrayDIM($BB47:$BE47))</f>
        <v>0</v>
      </c>
      <c r="F47" s="237">
        <f t="shared" si="33"/>
        <v>0</v>
      </c>
      <c r="G47" s="254">
        <f t="array" ref="G47">_xll.AC(DB,_xll.ArrayDPT($AA47:$AE47),_xll.ArrayCOA($AG47:$AZ47),YR,PRD,_xll.ArrayDIM($BB47:$BE47))</f>
        <v>0</v>
      </c>
      <c r="H47" s="237">
        <f t="shared" si="34"/>
        <v>0</v>
      </c>
      <c r="I47" s="237"/>
      <c r="J47" s="328" t="s">
        <v>873</v>
      </c>
      <c r="K47" s="237"/>
      <c r="L47" s="254">
        <f t="array" ref="L47">_xll.ACC(DB,_xll.ArrayDPT($AA47:$AE47),_xll.ArrayCOA($AG47:$AZ47),YR,PRD,_xll.ArrayDIM($BB47:$BE47))</f>
        <v>0</v>
      </c>
      <c r="M47" s="237">
        <f t="shared" si="35"/>
        <v>0</v>
      </c>
      <c r="N47" s="254">
        <f t="array" ref="N47">_xll.BCC(DB,_xll.ArrayDPT($AA47:$AE47),_xll.ArrayCOA($AG47:$AZ47),YR,PRD,RV,_xll.ArrayDIM($BB47:$BE47))</f>
        <v>0</v>
      </c>
      <c r="O47" s="237">
        <f t="shared" si="36"/>
        <v>0</v>
      </c>
      <c r="P47" s="237">
        <f t="shared" si="37"/>
        <v>0</v>
      </c>
      <c r="Q47" s="237">
        <f t="shared" si="38"/>
        <v>0</v>
      </c>
      <c r="R47" s="254">
        <f t="array" ref="R47">_xll.ACC(DB,_xll.ArrayDPT($AA47:$AE47),_xll.ArrayCOA($AG47:$AZ47),YR-1,PRD,_xll.ArrayDIM($BB47:$BE47))</f>
        <v>0</v>
      </c>
      <c r="S47" s="237">
        <f t="shared" si="39"/>
        <v>0</v>
      </c>
      <c r="T47" s="295"/>
      <c r="U47" s="295"/>
      <c r="V47" s="295"/>
      <c r="W47" s="295"/>
      <c r="X47" s="295"/>
      <c r="Y47" s="295"/>
      <c r="Z47" s="295"/>
      <c r="AA47" s="95"/>
      <c r="AB47" s="96"/>
      <c r="AC47" s="96"/>
      <c r="AD47" s="96"/>
      <c r="AE47" s="96"/>
      <c r="AF47" s="97"/>
      <c r="AG47" s="95"/>
      <c r="AH47" s="96"/>
      <c r="AI47" s="95"/>
      <c r="AJ47" s="96"/>
      <c r="AK47" s="95"/>
      <c r="AL47" s="96"/>
      <c r="AM47" s="95"/>
      <c r="AN47" s="98"/>
      <c r="AO47" s="96"/>
      <c r="AP47" s="96"/>
      <c r="AQ47" s="95"/>
      <c r="AR47" s="98"/>
      <c r="AS47" s="96"/>
      <c r="AT47" s="96"/>
      <c r="AU47" s="95"/>
      <c r="AV47" s="98"/>
      <c r="AW47" s="96"/>
      <c r="AX47" s="96"/>
      <c r="AY47" s="95"/>
      <c r="AZ47" s="98"/>
      <c r="BA47" s="99"/>
      <c r="BB47" s="95"/>
      <c r="BC47" s="96"/>
      <c r="BD47" s="96"/>
      <c r="BE47" s="98"/>
    </row>
    <row r="48" spans="1:57" ht="11.25" hidden="1" customHeight="1">
      <c r="A48" s="254">
        <f t="array" ref="A48">_xll.AC(DB,_xll.ArrayDPT($AA48:$AE48),_xll.ArrayCOA($AG48:$AZ48),YR-1,PRD,_xll.ArrayDIM($BB48:$BE48))</f>
        <v>0</v>
      </c>
      <c r="B48" s="237">
        <f t="shared" si="30"/>
        <v>0</v>
      </c>
      <c r="C48" s="237">
        <f t="shared" si="31"/>
        <v>0</v>
      </c>
      <c r="D48" s="237">
        <f t="shared" si="32"/>
        <v>0</v>
      </c>
      <c r="E48" s="254">
        <f t="array" ref="E48">_xll.BC(DB,_xll.ArrayDPT($AA48:$AE48),_xll.ArrayCOA($AG48:$AZ48),YR,PRD,RV,_xll.ArrayDIM($BB48:$BE48))</f>
        <v>0</v>
      </c>
      <c r="F48" s="237">
        <f t="shared" si="33"/>
        <v>0</v>
      </c>
      <c r="G48" s="254">
        <f t="array" ref="G48">_xll.AC(DB,_xll.ArrayDPT($AA48:$AE48),_xll.ArrayCOA($AG48:$AZ48),YR,PRD,_xll.ArrayDIM($BB48:$BE48))</f>
        <v>0</v>
      </c>
      <c r="H48" s="237">
        <f t="shared" si="34"/>
        <v>0</v>
      </c>
      <c r="I48" s="237"/>
      <c r="J48" s="328" t="s">
        <v>874</v>
      </c>
      <c r="K48" s="237"/>
      <c r="L48" s="254">
        <f t="array" ref="L48">_xll.ACC(DB,_xll.ArrayDPT($AA48:$AE48),_xll.ArrayCOA($AG48:$AZ48),YR,PRD,_xll.ArrayDIM($BB48:$BE48))</f>
        <v>0</v>
      </c>
      <c r="M48" s="237">
        <f t="shared" si="35"/>
        <v>0</v>
      </c>
      <c r="N48" s="254">
        <f t="array" ref="N48">_xll.BCC(DB,_xll.ArrayDPT($AA48:$AE48),_xll.ArrayCOA($AG48:$AZ48),YR,PRD,RV,_xll.ArrayDIM($BB48:$BE48))</f>
        <v>0</v>
      </c>
      <c r="O48" s="237">
        <f t="shared" si="36"/>
        <v>0</v>
      </c>
      <c r="P48" s="237">
        <f t="shared" si="37"/>
        <v>0</v>
      </c>
      <c r="Q48" s="237">
        <f t="shared" si="38"/>
        <v>0</v>
      </c>
      <c r="R48" s="254">
        <f t="array" ref="R48">_xll.ACC(DB,_xll.ArrayDPT($AA48:$AE48),_xll.ArrayCOA($AG48:$AZ48),YR-1,PRD,_xll.ArrayDIM($BB48:$BE48))</f>
        <v>0</v>
      </c>
      <c r="S48" s="237">
        <f t="shared" si="39"/>
        <v>0</v>
      </c>
      <c r="T48" s="295"/>
      <c r="U48" s="295"/>
      <c r="V48" s="295"/>
      <c r="W48" s="295"/>
      <c r="X48" s="295"/>
      <c r="Y48" s="295"/>
      <c r="Z48" s="295"/>
      <c r="AA48" s="95"/>
      <c r="AB48" s="96"/>
      <c r="AC48" s="96"/>
      <c r="AD48" s="96"/>
      <c r="AE48" s="96"/>
      <c r="AF48" s="97"/>
      <c r="AG48" s="95"/>
      <c r="AH48" s="96"/>
      <c r="AI48" s="95"/>
      <c r="AJ48" s="96"/>
      <c r="AK48" s="95"/>
      <c r="AL48" s="96"/>
      <c r="AM48" s="95"/>
      <c r="AN48" s="98"/>
      <c r="AO48" s="96"/>
      <c r="AP48" s="96"/>
      <c r="AQ48" s="95"/>
      <c r="AR48" s="98"/>
      <c r="AS48" s="96"/>
      <c r="AT48" s="96"/>
      <c r="AU48" s="95"/>
      <c r="AV48" s="98"/>
      <c r="AW48" s="96"/>
      <c r="AX48" s="96"/>
      <c r="AY48" s="95"/>
      <c r="AZ48" s="98"/>
      <c r="BA48" s="99"/>
      <c r="BB48" s="95"/>
      <c r="BC48" s="96"/>
      <c r="BD48" s="96"/>
      <c r="BE48" s="98"/>
    </row>
    <row r="49" spans="1:57" ht="11.25" hidden="1" customHeight="1">
      <c r="A49" s="254">
        <f t="array" ref="A49">_xll.AC(DB,_xll.ArrayDPT($AA49:$AE49),_xll.ArrayCOA($AG49:$AZ49),YR-1,PRD,_xll.ArrayDIM($BB49:$BE49))</f>
        <v>0</v>
      </c>
      <c r="B49" s="237">
        <f t="shared" si="30"/>
        <v>0</v>
      </c>
      <c r="C49" s="237">
        <f t="shared" si="31"/>
        <v>0</v>
      </c>
      <c r="D49" s="237">
        <f t="shared" si="32"/>
        <v>0</v>
      </c>
      <c r="E49" s="254">
        <f t="array" ref="E49">_xll.BC(DB,_xll.ArrayDPT($AA49:$AE49),_xll.ArrayCOA($AG49:$AZ49),YR,PRD,RV,_xll.ArrayDIM($BB49:$BE49))</f>
        <v>0</v>
      </c>
      <c r="F49" s="237">
        <f t="shared" si="33"/>
        <v>0</v>
      </c>
      <c r="G49" s="254">
        <f t="array" ref="G49">_xll.AC(DB,_xll.ArrayDPT($AA49:$AE49),_xll.ArrayCOA($AG49:$AZ49),YR,PRD,_xll.ArrayDIM($BB49:$BE49))</f>
        <v>0</v>
      </c>
      <c r="H49" s="237">
        <f t="shared" si="34"/>
        <v>0</v>
      </c>
      <c r="I49" s="237"/>
      <c r="J49" s="328" t="s">
        <v>875</v>
      </c>
      <c r="K49" s="237"/>
      <c r="L49" s="254">
        <f t="array" ref="L49">_xll.ACC(DB,_xll.ArrayDPT($AA49:$AE49),_xll.ArrayCOA($AG49:$AZ49),YR,PRD,_xll.ArrayDIM($BB49:$BE49))</f>
        <v>0</v>
      </c>
      <c r="M49" s="237">
        <f t="shared" si="35"/>
        <v>0</v>
      </c>
      <c r="N49" s="254">
        <f t="array" ref="N49">_xll.BCC(DB,_xll.ArrayDPT($AA49:$AE49),_xll.ArrayCOA($AG49:$AZ49),YR,PRD,RV,_xll.ArrayDIM($BB49:$BE49))</f>
        <v>0</v>
      </c>
      <c r="O49" s="237">
        <f t="shared" si="36"/>
        <v>0</v>
      </c>
      <c r="P49" s="237">
        <f t="shared" si="37"/>
        <v>0</v>
      </c>
      <c r="Q49" s="237">
        <f t="shared" si="38"/>
        <v>0</v>
      </c>
      <c r="R49" s="254">
        <f t="array" ref="R49">_xll.ACC(DB,_xll.ArrayDPT($AA49:$AE49),_xll.ArrayCOA($AG49:$AZ49),YR-1,PRD,_xll.ArrayDIM($BB49:$BE49))</f>
        <v>0</v>
      </c>
      <c r="S49" s="237">
        <f t="shared" si="39"/>
        <v>0</v>
      </c>
      <c r="T49" s="295"/>
      <c r="U49" s="295"/>
      <c r="V49" s="295"/>
      <c r="W49" s="295"/>
      <c r="X49" s="295"/>
      <c r="Y49" s="295"/>
      <c r="Z49" s="295"/>
      <c r="AA49" s="95"/>
      <c r="AB49" s="96"/>
      <c r="AC49" s="96"/>
      <c r="AD49" s="96"/>
      <c r="AE49" s="96"/>
      <c r="AF49" s="97"/>
      <c r="AG49" s="95"/>
      <c r="AH49" s="96"/>
      <c r="AI49" s="95"/>
      <c r="AJ49" s="96"/>
      <c r="AK49" s="95"/>
      <c r="AL49" s="96"/>
      <c r="AM49" s="95"/>
      <c r="AN49" s="98"/>
      <c r="AO49" s="96"/>
      <c r="AP49" s="96"/>
      <c r="AQ49" s="95"/>
      <c r="AR49" s="98"/>
      <c r="AS49" s="96"/>
      <c r="AT49" s="96"/>
      <c r="AU49" s="95"/>
      <c r="AV49" s="98"/>
      <c r="AW49" s="96"/>
      <c r="AX49" s="96"/>
      <c r="AY49" s="95"/>
      <c r="AZ49" s="98"/>
      <c r="BA49" s="99"/>
      <c r="BB49" s="95"/>
      <c r="BC49" s="96"/>
      <c r="BD49" s="96"/>
      <c r="BE49" s="98"/>
    </row>
    <row r="50" spans="1:57" ht="11.25" hidden="1" customHeight="1">
      <c r="A50" s="254">
        <f t="array" ref="A50">_xll.AC(DB,_xll.ArrayDPT($AA50:$AE50),_xll.ArrayCOA($AG50:$AZ50),YR-1,PRD,_xll.ArrayDIM($BB50:$BE50))</f>
        <v>0</v>
      </c>
      <c r="B50" s="237">
        <f t="shared" si="30"/>
        <v>0</v>
      </c>
      <c r="C50" s="237">
        <f t="shared" si="31"/>
        <v>0</v>
      </c>
      <c r="D50" s="237">
        <f t="shared" si="32"/>
        <v>0</v>
      </c>
      <c r="E50" s="254">
        <f t="array" ref="E50">_xll.BC(DB,_xll.ArrayDPT($AA50:$AE50),_xll.ArrayCOA($AG50:$AZ50),YR,PRD,RV,_xll.ArrayDIM($BB50:$BE50))</f>
        <v>0</v>
      </c>
      <c r="F50" s="237">
        <f t="shared" si="33"/>
        <v>0</v>
      </c>
      <c r="G50" s="254">
        <f t="array" ref="G50">_xll.AC(DB,_xll.ArrayDPT($AA50:$AE50),_xll.ArrayCOA($AG50:$AZ50),YR,PRD,_xll.ArrayDIM($BB50:$BE50))</f>
        <v>0</v>
      </c>
      <c r="H50" s="237">
        <f t="shared" si="34"/>
        <v>0</v>
      </c>
      <c r="I50" s="237"/>
      <c r="J50" s="328" t="s">
        <v>876</v>
      </c>
      <c r="K50" s="237"/>
      <c r="L50" s="254">
        <f t="array" ref="L50">_xll.ACC(DB,_xll.ArrayDPT($AA50:$AE50),_xll.ArrayCOA($AG50:$AZ50),YR,PRD,_xll.ArrayDIM($BB50:$BE50))</f>
        <v>0</v>
      </c>
      <c r="M50" s="237">
        <f t="shared" si="35"/>
        <v>0</v>
      </c>
      <c r="N50" s="254">
        <f t="array" ref="N50">_xll.BCC(DB,_xll.ArrayDPT($AA50:$AE50),_xll.ArrayCOA($AG50:$AZ50),YR,PRD,RV,_xll.ArrayDIM($BB50:$BE50))</f>
        <v>0</v>
      </c>
      <c r="O50" s="237">
        <f t="shared" si="36"/>
        <v>0</v>
      </c>
      <c r="P50" s="237">
        <f t="shared" si="37"/>
        <v>0</v>
      </c>
      <c r="Q50" s="237">
        <f t="shared" si="38"/>
        <v>0</v>
      </c>
      <c r="R50" s="254">
        <f t="array" ref="R50">_xll.ACC(DB,_xll.ArrayDPT($AA50:$AE50),_xll.ArrayCOA($AG50:$AZ50),YR-1,PRD,_xll.ArrayDIM($BB50:$BE50))</f>
        <v>0</v>
      </c>
      <c r="S50" s="237">
        <f t="shared" si="39"/>
        <v>0</v>
      </c>
      <c r="T50" s="295"/>
      <c r="U50" s="295"/>
      <c r="V50" s="295"/>
      <c r="W50" s="295"/>
      <c r="X50" s="295"/>
      <c r="Y50" s="295"/>
      <c r="Z50" s="295"/>
      <c r="AA50" s="95"/>
      <c r="AB50" s="96"/>
      <c r="AC50" s="96"/>
      <c r="AD50" s="96"/>
      <c r="AE50" s="96"/>
      <c r="AF50" s="97"/>
      <c r="AG50" s="95"/>
      <c r="AH50" s="96"/>
      <c r="AI50" s="95"/>
      <c r="AJ50" s="96"/>
      <c r="AK50" s="95"/>
      <c r="AL50" s="96"/>
      <c r="AM50" s="95"/>
      <c r="AN50" s="98"/>
      <c r="AO50" s="96"/>
      <c r="AP50" s="96"/>
      <c r="AQ50" s="95"/>
      <c r="AR50" s="98"/>
      <c r="AS50" s="96"/>
      <c r="AT50" s="96"/>
      <c r="AU50" s="95"/>
      <c r="AV50" s="98"/>
      <c r="AW50" s="96"/>
      <c r="AX50" s="96"/>
      <c r="AY50" s="95"/>
      <c r="AZ50" s="98"/>
      <c r="BA50" s="99"/>
      <c r="BB50" s="95"/>
      <c r="BC50" s="96"/>
      <c r="BD50" s="96"/>
      <c r="BE50" s="98"/>
    </row>
    <row r="51" spans="1:57" ht="11.25" hidden="1" customHeight="1">
      <c r="A51" s="254">
        <f t="array" ref="A51">_xll.AC(DB,_xll.ArrayDPT($AA51:$AE51),_xll.ArrayCOA($AG51:$AZ51),YR-1,PRD,_xll.ArrayDIM($BB51:$BE51))</f>
        <v>0</v>
      </c>
      <c r="B51" s="237">
        <f t="shared" si="30"/>
        <v>0</v>
      </c>
      <c r="C51" s="237">
        <f t="shared" si="31"/>
        <v>0</v>
      </c>
      <c r="D51" s="237">
        <f t="shared" si="32"/>
        <v>0</v>
      </c>
      <c r="E51" s="254">
        <f t="array" ref="E51">_xll.BC(DB,_xll.ArrayDPT($AA51:$AE51),_xll.ArrayCOA($AG51:$AZ51),YR,PRD,RV,_xll.ArrayDIM($BB51:$BE51))</f>
        <v>0</v>
      </c>
      <c r="F51" s="237">
        <f t="shared" si="33"/>
        <v>0</v>
      </c>
      <c r="G51" s="254">
        <f t="array" ref="G51">_xll.AC(DB,_xll.ArrayDPT($AA51:$AE51),_xll.ArrayCOA($AG51:$AZ51),YR,PRD,_xll.ArrayDIM($BB51:$BE51))</f>
        <v>0</v>
      </c>
      <c r="H51" s="237">
        <f t="shared" si="34"/>
        <v>0</v>
      </c>
      <c r="I51" s="237"/>
      <c r="J51" s="328" t="s">
        <v>663</v>
      </c>
      <c r="K51" s="237"/>
      <c r="L51" s="254">
        <f t="array" ref="L51">_xll.ACC(DB,_xll.ArrayDPT($AA51:$AE51),_xll.ArrayCOA($AG51:$AZ51),YR,PRD,_xll.ArrayDIM($BB51:$BE51))</f>
        <v>0</v>
      </c>
      <c r="M51" s="237">
        <f t="shared" si="35"/>
        <v>0</v>
      </c>
      <c r="N51" s="254">
        <f t="array" ref="N51">_xll.BCC(DB,_xll.ArrayDPT($AA51:$AE51),_xll.ArrayCOA($AG51:$AZ51),YR,PRD,RV,_xll.ArrayDIM($BB51:$BE51))</f>
        <v>0</v>
      </c>
      <c r="O51" s="237">
        <f t="shared" si="36"/>
        <v>0</v>
      </c>
      <c r="P51" s="237">
        <f t="shared" si="37"/>
        <v>0</v>
      </c>
      <c r="Q51" s="237">
        <f t="shared" si="38"/>
        <v>0</v>
      </c>
      <c r="R51" s="254">
        <f t="array" ref="R51">_xll.ACC(DB,_xll.ArrayDPT($AA51:$AE51),_xll.ArrayCOA($AG51:$AZ51),YR-1,PRD,_xll.ArrayDIM($BB51:$BE51))</f>
        <v>0</v>
      </c>
      <c r="S51" s="237">
        <f t="shared" si="39"/>
        <v>0</v>
      </c>
      <c r="T51" s="295"/>
      <c r="U51" s="295"/>
      <c r="V51" s="295"/>
      <c r="W51" s="295"/>
      <c r="X51" s="295"/>
      <c r="Y51" s="295"/>
      <c r="Z51" s="295"/>
      <c r="AA51" s="95"/>
      <c r="AB51" s="96"/>
      <c r="AC51" s="96"/>
      <c r="AD51" s="96"/>
      <c r="AE51" s="96"/>
      <c r="AF51" s="97"/>
      <c r="AG51" s="95"/>
      <c r="AH51" s="96"/>
      <c r="AI51" s="95"/>
      <c r="AJ51" s="96"/>
      <c r="AK51" s="95"/>
      <c r="AL51" s="96"/>
      <c r="AM51" s="95"/>
      <c r="AN51" s="98"/>
      <c r="AO51" s="96"/>
      <c r="AP51" s="96"/>
      <c r="AQ51" s="95"/>
      <c r="AR51" s="98"/>
      <c r="AS51" s="96"/>
      <c r="AT51" s="96"/>
      <c r="AU51" s="95"/>
      <c r="AV51" s="98"/>
      <c r="AW51" s="96"/>
      <c r="AX51" s="96"/>
      <c r="AY51" s="95"/>
      <c r="AZ51" s="98"/>
      <c r="BA51" s="99"/>
      <c r="BB51" s="95"/>
      <c r="BC51" s="96"/>
      <c r="BD51" s="96"/>
      <c r="BE51" s="98"/>
    </row>
    <row r="52" spans="1:57" ht="11.25" customHeight="1">
      <c r="A52" s="254">
        <f t="array" ref="A52">_xll.AC(DB,_xll.ArrayDPT($AA52:$AE52),_xll.ArrayCOA($AG52:$AZ52),YR-1,PRD,_xll.ArrayDIM($BB52:$BE52))</f>
        <v>0</v>
      </c>
      <c r="B52" s="237">
        <f t="shared" si="30"/>
        <v>0</v>
      </c>
      <c r="C52" s="237">
        <f t="shared" si="31"/>
        <v>0</v>
      </c>
      <c r="D52" s="237">
        <f t="shared" si="32"/>
        <v>0</v>
      </c>
      <c r="E52" s="254">
        <f t="array" ref="E52">_xll.BC(DB,_xll.ArrayDPT($AA52:$AE52),_xll.ArrayCOA($AG52:$AZ52),YR,PRD,RV,_xll.ArrayDIM($BB52:$BE52))</f>
        <v>0</v>
      </c>
      <c r="F52" s="237">
        <f t="shared" si="33"/>
        <v>0</v>
      </c>
      <c r="G52" s="254">
        <f t="array" ref="G52">_xll.AC(DB,_xll.ArrayDPT($AA52:$AE52),_xll.ArrayCOA($AG52:$AZ52),YR,PRD,_xll.ArrayDIM($BB52:$BE52))</f>
        <v>0</v>
      </c>
      <c r="H52" s="237">
        <f t="shared" si="34"/>
        <v>0</v>
      </c>
      <c r="I52" s="237"/>
      <c r="J52" s="328" t="s">
        <v>877</v>
      </c>
      <c r="K52" s="237"/>
      <c r="L52" s="254">
        <f t="array" ref="L52">_xll.ACC(DB,_xll.ArrayDPT($AA52:$AE52),_xll.ArrayCOA($AG52:$AZ52),YR,PRD,_xll.ArrayDIM($BB52:$BE52))</f>
        <v>0</v>
      </c>
      <c r="M52" s="237">
        <f t="shared" si="35"/>
        <v>0</v>
      </c>
      <c r="N52" s="254">
        <f t="array" ref="N52">_xll.BCC(DB,_xll.ArrayDPT($AA52:$AE52),_xll.ArrayCOA($AG52:$AZ52),YR,PRD,RV,_xll.ArrayDIM($BB52:$BE52))</f>
        <v>0</v>
      </c>
      <c r="O52" s="237">
        <f t="shared" si="36"/>
        <v>0</v>
      </c>
      <c r="P52" s="237">
        <f t="shared" si="37"/>
        <v>0</v>
      </c>
      <c r="Q52" s="237">
        <f t="shared" si="38"/>
        <v>0</v>
      </c>
      <c r="R52" s="254">
        <f t="array" ref="R52">_xll.ACC(DB,_xll.ArrayDPT($AA52:$AE52),_xll.ArrayCOA($AG52:$AZ52),YR-1,PRD,_xll.ArrayDIM($BB52:$BE52))</f>
        <v>0</v>
      </c>
      <c r="S52" s="237">
        <f t="shared" si="39"/>
        <v>0</v>
      </c>
      <c r="T52" s="295"/>
      <c r="U52" s="295"/>
      <c r="V52" s="295"/>
      <c r="W52" s="295"/>
      <c r="X52" s="295"/>
      <c r="Y52" s="295"/>
      <c r="Z52" s="295"/>
      <c r="AA52" s="95" t="s">
        <v>836</v>
      </c>
      <c r="AB52" s="96"/>
      <c r="AC52" s="96"/>
      <c r="AD52" s="96"/>
      <c r="AE52" s="96"/>
      <c r="AF52" s="97"/>
      <c r="AG52" s="95" t="s">
        <v>692</v>
      </c>
      <c r="AH52" s="96" t="s">
        <v>692</v>
      </c>
      <c r="AI52" s="95"/>
      <c r="AJ52" s="96"/>
      <c r="AK52" s="95"/>
      <c r="AL52" s="96"/>
      <c r="AM52" s="95"/>
      <c r="AN52" s="98"/>
      <c r="AO52" s="96"/>
      <c r="AP52" s="96"/>
      <c r="AQ52" s="95"/>
      <c r="AR52" s="98"/>
      <c r="AS52" s="96"/>
      <c r="AT52" s="96"/>
      <c r="AU52" s="95"/>
      <c r="AV52" s="98"/>
      <c r="AW52" s="96"/>
      <c r="AX52" s="96"/>
      <c r="AY52" s="95"/>
      <c r="AZ52" s="98"/>
      <c r="BA52" s="99"/>
      <c r="BB52" s="95"/>
      <c r="BC52" s="96"/>
      <c r="BD52" s="96"/>
      <c r="BE52" s="98"/>
    </row>
    <row r="53" spans="1:57" ht="11.25" hidden="1" customHeight="1">
      <c r="A53" s="254">
        <f t="array" ref="A53">_xll.AC(DB,_xll.ArrayDPT($AA53:$AE53),_xll.ArrayCOA($AG53:$AZ53),YR-1,PRD,_xll.ArrayDIM($BB53:$BE53))</f>
        <v>0</v>
      </c>
      <c r="B53" s="237">
        <f t="shared" si="30"/>
        <v>0</v>
      </c>
      <c r="C53" s="237">
        <f t="shared" si="31"/>
        <v>0</v>
      </c>
      <c r="D53" s="237">
        <f t="shared" si="32"/>
        <v>0</v>
      </c>
      <c r="E53" s="254">
        <f t="array" ref="E53">_xll.BC(DB,_xll.ArrayDPT($AA53:$AE53),_xll.ArrayCOA($AG53:$AZ53),YR,PRD,RV,_xll.ArrayDIM($BB53:$BE53))</f>
        <v>0</v>
      </c>
      <c r="F53" s="237">
        <f t="shared" si="33"/>
        <v>0</v>
      </c>
      <c r="G53" s="254">
        <f t="array" ref="G53">_xll.AC(DB,_xll.ArrayDPT($AA53:$AE53),_xll.ArrayCOA($AG53:$AZ53),YR,PRD,_xll.ArrayDIM($BB53:$BE53))</f>
        <v>0</v>
      </c>
      <c r="H53" s="237">
        <f t="shared" si="34"/>
        <v>0</v>
      </c>
      <c r="I53" s="237"/>
      <c r="J53" s="328" t="s">
        <v>878</v>
      </c>
      <c r="K53" s="237"/>
      <c r="L53" s="254">
        <f t="array" ref="L53">_xll.ACC(DB,_xll.ArrayDPT($AA53:$AE53),_xll.ArrayCOA($AG53:$AZ53),YR,PRD,_xll.ArrayDIM($BB53:$BE53))</f>
        <v>0</v>
      </c>
      <c r="M53" s="237">
        <f t="shared" si="35"/>
        <v>0</v>
      </c>
      <c r="N53" s="254">
        <f t="array" ref="N53">_xll.BCC(DB,_xll.ArrayDPT($AA53:$AE53),_xll.ArrayCOA($AG53:$AZ53),YR,PRD,RV,_xll.ArrayDIM($BB53:$BE53))</f>
        <v>0</v>
      </c>
      <c r="O53" s="237">
        <f t="shared" si="36"/>
        <v>0</v>
      </c>
      <c r="P53" s="237">
        <f t="shared" si="37"/>
        <v>0</v>
      </c>
      <c r="Q53" s="237">
        <f t="shared" si="38"/>
        <v>0</v>
      </c>
      <c r="R53" s="254">
        <f t="array" ref="R53">_xll.ACC(DB,_xll.ArrayDPT($AA53:$AE53),_xll.ArrayCOA($AG53:$AZ53),YR-1,PRD,_xll.ArrayDIM($BB53:$BE53))</f>
        <v>0</v>
      </c>
      <c r="S53" s="237">
        <f t="shared" si="39"/>
        <v>0</v>
      </c>
      <c r="T53" s="295"/>
      <c r="U53" s="295"/>
      <c r="V53" s="295"/>
      <c r="W53" s="295"/>
      <c r="X53" s="295"/>
      <c r="Y53" s="295"/>
      <c r="Z53" s="295"/>
      <c r="AA53" s="95"/>
      <c r="AB53" s="96"/>
      <c r="AC53" s="96"/>
      <c r="AD53" s="96"/>
      <c r="AE53" s="96"/>
      <c r="AF53" s="97"/>
      <c r="AG53" s="95"/>
      <c r="AH53" s="96"/>
      <c r="AI53" s="95"/>
      <c r="AJ53" s="96"/>
      <c r="AK53" s="95"/>
      <c r="AL53" s="96"/>
      <c r="AM53" s="95"/>
      <c r="AN53" s="98"/>
      <c r="AO53" s="96"/>
      <c r="AP53" s="96"/>
      <c r="AQ53" s="95"/>
      <c r="AR53" s="98"/>
      <c r="AS53" s="96"/>
      <c r="AT53" s="96"/>
      <c r="AU53" s="95"/>
      <c r="AV53" s="98"/>
      <c r="AW53" s="96"/>
      <c r="AX53" s="96"/>
      <c r="AY53" s="95"/>
      <c r="AZ53" s="98"/>
      <c r="BA53" s="99"/>
      <c r="BB53" s="95"/>
      <c r="BC53" s="96"/>
      <c r="BD53" s="96"/>
      <c r="BE53" s="98"/>
    </row>
    <row r="54" spans="1:57" ht="11.25" customHeight="1">
      <c r="A54" s="254">
        <f t="array" ref="A54">_xll.AC(DB,_xll.ArrayDPT($AA54:$AE54),_xll.ArrayCOA($AG54:$AZ54),YR-1,PRD,_xll.ArrayDIM($BB54:$BE54))</f>
        <v>0</v>
      </c>
      <c r="B54" s="237">
        <f t="shared" si="30"/>
        <v>0</v>
      </c>
      <c r="C54" s="237">
        <f t="shared" si="31"/>
        <v>0</v>
      </c>
      <c r="D54" s="237">
        <f t="shared" si="32"/>
        <v>0</v>
      </c>
      <c r="E54" s="254">
        <f t="array" ref="E54">_xll.BC(DB,_xll.ArrayDPT($AA54:$AE54),_xll.ArrayCOA($AG54:$AZ54),YR,PRD,RV,_xll.ArrayDIM($BB54:$BE54))</f>
        <v>0</v>
      </c>
      <c r="F54" s="237">
        <f t="shared" si="33"/>
        <v>0</v>
      </c>
      <c r="G54" s="254">
        <f t="array" ref="G54">_xll.AC(DB,_xll.ArrayDPT($AA54:$AE54),_xll.ArrayCOA($AG54:$AZ54),YR,PRD,_xll.ArrayDIM($BB54:$BE54))</f>
        <v>0</v>
      </c>
      <c r="H54" s="237">
        <f t="shared" si="34"/>
        <v>0</v>
      </c>
      <c r="I54" s="237"/>
      <c r="J54" s="328" t="s">
        <v>879</v>
      </c>
      <c r="K54" s="237"/>
      <c r="L54" s="254">
        <f t="array" ref="L54">_xll.ACC(DB,_xll.ArrayDPT($AA54:$AE54),_xll.ArrayCOA($AG54:$AZ54),YR,PRD,_xll.ArrayDIM($BB54:$BE54))</f>
        <v>0</v>
      </c>
      <c r="M54" s="237">
        <f t="shared" si="35"/>
        <v>0</v>
      </c>
      <c r="N54" s="254">
        <f t="array" ref="N54">_xll.BCC(DB,_xll.ArrayDPT($AA54:$AE54),_xll.ArrayCOA($AG54:$AZ54),YR,PRD,RV,_xll.ArrayDIM($BB54:$BE54))</f>
        <v>0</v>
      </c>
      <c r="O54" s="237">
        <f t="shared" si="36"/>
        <v>0</v>
      </c>
      <c r="P54" s="237">
        <f t="shared" si="37"/>
        <v>0</v>
      </c>
      <c r="Q54" s="237">
        <f t="shared" si="38"/>
        <v>0</v>
      </c>
      <c r="R54" s="254">
        <f t="array" ref="R54">_xll.ACC(DB,_xll.ArrayDPT($AA54:$AE54),_xll.ArrayCOA($AG54:$AZ54),YR-1,PRD,_xll.ArrayDIM($BB54:$BE54))</f>
        <v>0</v>
      </c>
      <c r="S54" s="237">
        <f t="shared" si="39"/>
        <v>0</v>
      </c>
      <c r="T54" s="295"/>
      <c r="U54" s="295"/>
      <c r="V54" s="295"/>
      <c r="W54" s="295"/>
      <c r="X54" s="295"/>
      <c r="Y54" s="295"/>
      <c r="Z54" s="295"/>
      <c r="AA54" s="95" t="s">
        <v>836</v>
      </c>
      <c r="AB54" s="96"/>
      <c r="AC54" s="96"/>
      <c r="AD54" s="96"/>
      <c r="AE54" s="96"/>
      <c r="AF54" s="97"/>
      <c r="AG54" s="95" t="s">
        <v>578</v>
      </c>
      <c r="AH54" s="96" t="s">
        <v>578</v>
      </c>
      <c r="AI54" s="95"/>
      <c r="AJ54" s="96"/>
      <c r="AK54" s="95"/>
      <c r="AL54" s="96"/>
      <c r="AM54" s="95"/>
      <c r="AN54" s="98"/>
      <c r="AO54" s="96"/>
      <c r="AP54" s="96"/>
      <c r="AQ54" s="95"/>
      <c r="AR54" s="98"/>
      <c r="AS54" s="96"/>
      <c r="AT54" s="96"/>
      <c r="AU54" s="95"/>
      <c r="AV54" s="98"/>
      <c r="AW54" s="96"/>
      <c r="AX54" s="96"/>
      <c r="AY54" s="95"/>
      <c r="AZ54" s="98"/>
      <c r="BA54" s="99"/>
      <c r="BB54" s="95"/>
      <c r="BC54" s="96"/>
      <c r="BD54" s="96"/>
      <c r="BE54" s="98"/>
    </row>
    <row r="55" spans="1:57" ht="11.25" customHeight="1">
      <c r="A55" s="254">
        <f t="array" ref="A55">_xll.AC(DB,_xll.ArrayDPT($AA55:$AE55),_xll.ArrayCOA($AG55:$AZ55),YR-1,PRD,_xll.ArrayDIM($BB55:$BE55))</f>
        <v>0</v>
      </c>
      <c r="B55" s="237">
        <f t="shared" si="30"/>
        <v>0</v>
      </c>
      <c r="C55" s="237">
        <f t="shared" si="31"/>
        <v>0</v>
      </c>
      <c r="D55" s="237">
        <f t="shared" si="32"/>
        <v>0</v>
      </c>
      <c r="E55" s="254">
        <f t="array" ref="E55">_xll.BC(DB,_xll.ArrayDPT($AA55:$AE55),_xll.ArrayCOA($AG55:$AZ55),YR,PRD,RV,_xll.ArrayDIM($BB55:$BE55))</f>
        <v>0</v>
      </c>
      <c r="F55" s="237">
        <f t="shared" si="33"/>
        <v>0</v>
      </c>
      <c r="G55" s="254">
        <f t="array" ref="G55">_xll.AC(DB,_xll.ArrayDPT($AA55:$AE55),_xll.ArrayCOA($AG55:$AZ55),YR,PRD,_xll.ArrayDIM($BB55:$BE55))</f>
        <v>0</v>
      </c>
      <c r="H55" s="237">
        <f t="shared" si="34"/>
        <v>0</v>
      </c>
      <c r="I55" s="237"/>
      <c r="J55" s="328" t="s">
        <v>823</v>
      </c>
      <c r="K55" s="237"/>
      <c r="L55" s="254">
        <f t="array" ref="L55">_xll.ACC(DB,_xll.ArrayDPT($AA55:$AE55),_xll.ArrayCOA($AG55:$AZ55),YR,PRD,_xll.ArrayDIM($BB55:$BE55))</f>
        <v>0</v>
      </c>
      <c r="M55" s="237">
        <f t="shared" si="35"/>
        <v>0</v>
      </c>
      <c r="N55" s="254">
        <f t="array" ref="N55">_xll.BCC(DB,_xll.ArrayDPT($AA55:$AE55),_xll.ArrayCOA($AG55:$AZ55),YR,PRD,RV,_xll.ArrayDIM($BB55:$BE55))</f>
        <v>0</v>
      </c>
      <c r="O55" s="237">
        <f t="shared" si="36"/>
        <v>0</v>
      </c>
      <c r="P55" s="237">
        <f t="shared" si="37"/>
        <v>0</v>
      </c>
      <c r="Q55" s="237">
        <f t="shared" si="38"/>
        <v>0</v>
      </c>
      <c r="R55" s="254">
        <f t="array" ref="R55">_xll.ACC(DB,_xll.ArrayDPT($AA55:$AE55),_xll.ArrayCOA($AG55:$AZ55),YR-1,PRD,_xll.ArrayDIM($BB55:$BE55))</f>
        <v>0</v>
      </c>
      <c r="S55" s="237">
        <f t="shared" si="39"/>
        <v>0</v>
      </c>
      <c r="T55" s="295"/>
      <c r="U55" s="295"/>
      <c r="V55" s="295"/>
      <c r="W55" s="295"/>
      <c r="X55" s="295"/>
      <c r="Y55" s="295"/>
      <c r="Z55" s="295"/>
      <c r="AA55" s="95" t="s">
        <v>836</v>
      </c>
      <c r="AB55" s="96"/>
      <c r="AC55" s="96"/>
      <c r="AD55" s="96"/>
      <c r="AE55" s="96"/>
      <c r="AF55" s="97"/>
      <c r="AG55" s="95" t="s">
        <v>718</v>
      </c>
      <c r="AH55" s="96" t="s">
        <v>718</v>
      </c>
      <c r="AI55" s="95"/>
      <c r="AJ55" s="96"/>
      <c r="AK55" s="95"/>
      <c r="AL55" s="96"/>
      <c r="AM55" s="95"/>
      <c r="AN55" s="98"/>
      <c r="AO55" s="96"/>
      <c r="AP55" s="96"/>
      <c r="AQ55" s="95"/>
      <c r="AR55" s="98"/>
      <c r="AS55" s="96"/>
      <c r="AT55" s="96"/>
      <c r="AU55" s="95"/>
      <c r="AV55" s="98"/>
      <c r="AW55" s="96"/>
      <c r="AX55" s="96"/>
      <c r="AY55" s="95"/>
      <c r="AZ55" s="98"/>
      <c r="BA55" s="99"/>
      <c r="BB55" s="95"/>
      <c r="BC55" s="96"/>
      <c r="BD55" s="96"/>
      <c r="BE55" s="98"/>
    </row>
    <row r="56" spans="1:57" ht="11.25" customHeight="1">
      <c r="A56" s="254">
        <f t="array" ref="A56">_xll.AC(DB,_xll.ArrayDPT($AA56:$AE56),_xll.ArrayCOA($AG56:$AZ56),YR-1,PRD,_xll.ArrayDIM($BB56:$BE56))</f>
        <v>0</v>
      </c>
      <c r="B56" s="237">
        <f t="shared" si="30"/>
        <v>0</v>
      </c>
      <c r="C56" s="237">
        <f t="shared" si="31"/>
        <v>0</v>
      </c>
      <c r="D56" s="237">
        <f t="shared" si="32"/>
        <v>0</v>
      </c>
      <c r="E56" s="254">
        <f t="array" ref="E56">_xll.BC(DB,_xll.ArrayDPT($AA56:$AE56),_xll.ArrayCOA($AG56:$AZ56),YR,PRD,RV,_xll.ArrayDIM($BB56:$BE56))</f>
        <v>0</v>
      </c>
      <c r="F56" s="237">
        <f t="shared" si="33"/>
        <v>0</v>
      </c>
      <c r="G56" s="254">
        <f t="array" ref="G56">_xll.AC(DB,_xll.ArrayDPT($AA56:$AE56),_xll.ArrayCOA($AG56:$AZ56),YR,PRD,_xll.ArrayDIM($BB56:$BE56))</f>
        <v>0</v>
      </c>
      <c r="H56" s="237">
        <f t="shared" si="34"/>
        <v>0</v>
      </c>
      <c r="I56" s="237"/>
      <c r="J56" s="328" t="s">
        <v>719</v>
      </c>
      <c r="K56" s="237"/>
      <c r="L56" s="254">
        <f t="array" ref="L56">_xll.ACC(DB,_xll.ArrayDPT($AA56:$AE56),_xll.ArrayCOA($AG56:$AZ56),YR,PRD,_xll.ArrayDIM($BB56:$BE56))</f>
        <v>0</v>
      </c>
      <c r="M56" s="237">
        <f t="shared" si="35"/>
        <v>0</v>
      </c>
      <c r="N56" s="254">
        <f t="array" ref="N56">_xll.BCC(DB,_xll.ArrayDPT($AA56:$AE56),_xll.ArrayCOA($AG56:$AZ56),YR,PRD,RV,_xll.ArrayDIM($BB56:$BE56))</f>
        <v>0</v>
      </c>
      <c r="O56" s="237">
        <f t="shared" si="36"/>
        <v>0</v>
      </c>
      <c r="P56" s="237">
        <f t="shared" si="37"/>
        <v>0</v>
      </c>
      <c r="Q56" s="237">
        <f t="shared" si="38"/>
        <v>0</v>
      </c>
      <c r="R56" s="254">
        <f t="array" ref="R56">_xll.ACC(DB,_xll.ArrayDPT($AA56:$AE56),_xll.ArrayCOA($AG56:$AZ56),YR-1,PRD,_xll.ArrayDIM($BB56:$BE56))</f>
        <v>0</v>
      </c>
      <c r="S56" s="237">
        <f t="shared" si="39"/>
        <v>0</v>
      </c>
      <c r="T56" s="295"/>
      <c r="U56" s="295"/>
      <c r="V56" s="295"/>
      <c r="W56" s="295"/>
      <c r="X56" s="295"/>
      <c r="Y56" s="295"/>
      <c r="Z56" s="295"/>
      <c r="AA56" s="95" t="s">
        <v>836</v>
      </c>
      <c r="AB56" s="96"/>
      <c r="AC56" s="96"/>
      <c r="AD56" s="96"/>
      <c r="AE56" s="96"/>
      <c r="AF56" s="97"/>
      <c r="AG56" s="95" t="s">
        <v>720</v>
      </c>
      <c r="AH56" s="96" t="s">
        <v>720</v>
      </c>
      <c r="AI56" s="95"/>
      <c r="AJ56" s="96"/>
      <c r="AK56" s="95"/>
      <c r="AL56" s="96"/>
      <c r="AM56" s="95"/>
      <c r="AN56" s="98"/>
      <c r="AO56" s="96"/>
      <c r="AP56" s="96"/>
      <c r="AQ56" s="95"/>
      <c r="AR56" s="98"/>
      <c r="AS56" s="96"/>
      <c r="AT56" s="96"/>
      <c r="AU56" s="95"/>
      <c r="AV56" s="98"/>
      <c r="AW56" s="96"/>
      <c r="AX56" s="96"/>
      <c r="AY56" s="95"/>
      <c r="AZ56" s="98"/>
      <c r="BA56" s="99"/>
      <c r="BB56" s="95"/>
      <c r="BC56" s="96"/>
      <c r="BD56" s="96"/>
      <c r="BE56" s="98"/>
    </row>
    <row r="57" spans="1:57" ht="11.25" customHeight="1">
      <c r="A57" s="254">
        <f t="array" ref="A57">_xll.AC(DB,_xll.ArrayDPT($AA57:$AE57),_xll.ArrayCOA($AG57:$AZ57),YR-1,PRD,_xll.ArrayDIM($BB57:$BE57))</f>
        <v>0</v>
      </c>
      <c r="B57" s="237">
        <f t="shared" si="30"/>
        <v>0</v>
      </c>
      <c r="C57" s="237">
        <f t="shared" si="31"/>
        <v>0</v>
      </c>
      <c r="D57" s="237">
        <f t="shared" si="32"/>
        <v>0</v>
      </c>
      <c r="E57" s="254">
        <f t="array" ref="E57">_xll.BC(DB,_xll.ArrayDPT($AA57:$AE57),_xll.ArrayCOA($AG57:$AZ57),YR,PRD,RV,_xll.ArrayDIM($BB57:$BE57))</f>
        <v>0</v>
      </c>
      <c r="F57" s="237">
        <f t="shared" si="33"/>
        <v>0</v>
      </c>
      <c r="G57" s="254">
        <f t="array" ref="G57">_xll.AC(DB,_xll.ArrayDPT($AA57:$AE57),_xll.ArrayCOA($AG57:$AZ57),YR,PRD,_xll.ArrayDIM($BB57:$BE57))</f>
        <v>0</v>
      </c>
      <c r="H57" s="237">
        <f t="shared" si="34"/>
        <v>0</v>
      </c>
      <c r="I57" s="237"/>
      <c r="J57" s="328" t="s">
        <v>825</v>
      </c>
      <c r="K57" s="237"/>
      <c r="L57" s="254">
        <f t="array" ref="L57">_xll.ACC(DB,_xll.ArrayDPT($AA57:$AE57),_xll.ArrayCOA($AG57:$AZ57),YR,PRD,_xll.ArrayDIM($BB57:$BE57))</f>
        <v>0</v>
      </c>
      <c r="M57" s="237">
        <f t="shared" si="35"/>
        <v>0</v>
      </c>
      <c r="N57" s="254">
        <f t="array" ref="N57">_xll.BCC(DB,_xll.ArrayDPT($AA57:$AE57),_xll.ArrayCOA($AG57:$AZ57),YR,PRD,RV,_xll.ArrayDIM($BB57:$BE57))</f>
        <v>0</v>
      </c>
      <c r="O57" s="237">
        <f t="shared" si="36"/>
        <v>0</v>
      </c>
      <c r="P57" s="237">
        <f t="shared" si="37"/>
        <v>0</v>
      </c>
      <c r="Q57" s="237">
        <f t="shared" si="38"/>
        <v>0</v>
      </c>
      <c r="R57" s="254">
        <f t="array" ref="R57">_xll.ACC(DB,_xll.ArrayDPT($AA57:$AE57),_xll.ArrayCOA($AG57:$AZ57),YR-1,PRD,_xll.ArrayDIM($BB57:$BE57))</f>
        <v>0</v>
      </c>
      <c r="S57" s="237">
        <f t="shared" si="39"/>
        <v>0</v>
      </c>
      <c r="T57" s="295"/>
      <c r="U57" s="295"/>
      <c r="V57" s="295"/>
      <c r="W57" s="295"/>
      <c r="X57" s="295"/>
      <c r="Y57" s="295"/>
      <c r="Z57" s="295"/>
      <c r="AA57" s="95" t="s">
        <v>836</v>
      </c>
      <c r="AB57" s="96"/>
      <c r="AC57" s="96"/>
      <c r="AD57" s="96"/>
      <c r="AE57" s="96"/>
      <c r="AF57" s="97"/>
      <c r="AG57" s="95" t="s">
        <v>708</v>
      </c>
      <c r="AH57" s="96" t="s">
        <v>708</v>
      </c>
      <c r="AI57" s="95"/>
      <c r="AJ57" s="96"/>
      <c r="AK57" s="95"/>
      <c r="AL57" s="96"/>
      <c r="AM57" s="95"/>
      <c r="AN57" s="98"/>
      <c r="AO57" s="96"/>
      <c r="AP57" s="96"/>
      <c r="AQ57" s="95"/>
      <c r="AR57" s="98"/>
      <c r="AS57" s="96"/>
      <c r="AT57" s="96"/>
      <c r="AU57" s="95"/>
      <c r="AV57" s="98"/>
      <c r="AW57" s="96"/>
      <c r="AX57" s="96"/>
      <c r="AY57" s="95"/>
      <c r="AZ57" s="98"/>
      <c r="BA57" s="99"/>
      <c r="BB57" s="95"/>
      <c r="BC57" s="96"/>
      <c r="BD57" s="96"/>
      <c r="BE57" s="98"/>
    </row>
    <row r="58" spans="1:57" ht="11.25" customHeight="1">
      <c r="A58" s="254">
        <f t="array" ref="A58">_xll.AC(DB,_xll.ArrayDPT($AA58:$AE58),_xll.ArrayCOA($AG58:$AZ58),YR-1,PRD,_xll.ArrayDIM($BB58:$BE58))</f>
        <v>0</v>
      </c>
      <c r="B58" s="237">
        <f t="shared" si="30"/>
        <v>0</v>
      </c>
      <c r="C58" s="237">
        <f t="shared" si="31"/>
        <v>0</v>
      </c>
      <c r="D58" s="237">
        <f t="shared" si="32"/>
        <v>0</v>
      </c>
      <c r="E58" s="254">
        <f t="array" ref="E58">_xll.BC(DB,_xll.ArrayDPT($AA58:$AE58),_xll.ArrayCOA($AG58:$AZ58),YR,PRD,RV,_xll.ArrayDIM($BB58:$BE58))</f>
        <v>0</v>
      </c>
      <c r="F58" s="237">
        <f t="shared" si="33"/>
        <v>0</v>
      </c>
      <c r="G58" s="254">
        <f t="array" ref="G58">_xll.AC(DB,_xll.ArrayDPT($AA58:$AE58),_xll.ArrayCOA($AG58:$AZ58),YR,PRD,_xll.ArrayDIM($BB58:$BE58))</f>
        <v>0</v>
      </c>
      <c r="H58" s="237">
        <f t="shared" si="34"/>
        <v>0</v>
      </c>
      <c r="I58" s="237"/>
      <c r="J58" s="328" t="s">
        <v>721</v>
      </c>
      <c r="K58" s="237"/>
      <c r="L58" s="254">
        <f t="array" ref="L58">_xll.ACC(DB,_xll.ArrayDPT($AA58:$AE58),_xll.ArrayCOA($AG58:$AZ58),YR,PRD,_xll.ArrayDIM($BB58:$BE58))</f>
        <v>0</v>
      </c>
      <c r="M58" s="237">
        <f t="shared" si="35"/>
        <v>0</v>
      </c>
      <c r="N58" s="254">
        <f t="array" ref="N58">_xll.BCC(DB,_xll.ArrayDPT($AA58:$AE58),_xll.ArrayCOA($AG58:$AZ58),YR,PRD,RV,_xll.ArrayDIM($BB58:$BE58))</f>
        <v>0</v>
      </c>
      <c r="O58" s="237">
        <f t="shared" si="36"/>
        <v>0</v>
      </c>
      <c r="P58" s="237">
        <f t="shared" si="37"/>
        <v>0</v>
      </c>
      <c r="Q58" s="237">
        <f t="shared" si="38"/>
        <v>0</v>
      </c>
      <c r="R58" s="254">
        <f t="array" ref="R58">_xll.ACC(DB,_xll.ArrayDPT($AA58:$AE58),_xll.ArrayCOA($AG58:$AZ58),YR-1,PRD,_xll.ArrayDIM($BB58:$BE58))</f>
        <v>0</v>
      </c>
      <c r="S58" s="237">
        <f t="shared" si="39"/>
        <v>0</v>
      </c>
      <c r="T58" s="295"/>
      <c r="U58" s="295"/>
      <c r="V58" s="295"/>
      <c r="W58" s="295"/>
      <c r="X58" s="295"/>
      <c r="Y58" s="295"/>
      <c r="Z58" s="295"/>
      <c r="AA58" s="95" t="s">
        <v>836</v>
      </c>
      <c r="AB58" s="96"/>
      <c r="AC58" s="96"/>
      <c r="AD58" s="96"/>
      <c r="AE58" s="96"/>
      <c r="AF58" s="97"/>
      <c r="AG58" s="95" t="s">
        <v>722</v>
      </c>
      <c r="AH58" s="96" t="s">
        <v>722</v>
      </c>
      <c r="AI58" s="95"/>
      <c r="AJ58" s="96"/>
      <c r="AK58" s="95"/>
      <c r="AL58" s="96"/>
      <c r="AM58" s="95"/>
      <c r="AN58" s="98"/>
      <c r="AO58" s="96"/>
      <c r="AP58" s="96"/>
      <c r="AQ58" s="95"/>
      <c r="AR58" s="98"/>
      <c r="AS58" s="96"/>
      <c r="AT58" s="96"/>
      <c r="AU58" s="95"/>
      <c r="AV58" s="98"/>
      <c r="AW58" s="96"/>
      <c r="AX58" s="96"/>
      <c r="AY58" s="95"/>
      <c r="AZ58" s="98"/>
      <c r="BA58" s="99"/>
      <c r="BB58" s="95"/>
      <c r="BC58" s="96"/>
      <c r="BD58" s="96"/>
      <c r="BE58" s="98"/>
    </row>
    <row r="59" spans="1:57" ht="6" customHeight="1">
      <c r="A59" s="330"/>
      <c r="B59" s="329"/>
      <c r="C59" s="392"/>
      <c r="D59" s="329"/>
      <c r="E59" s="392"/>
      <c r="F59" s="329"/>
      <c r="G59" s="392"/>
      <c r="H59" s="329"/>
      <c r="I59" s="398"/>
      <c r="J59" s="392"/>
      <c r="K59" s="399"/>
      <c r="L59" s="393"/>
      <c r="M59" s="333"/>
      <c r="N59" s="393"/>
      <c r="O59" s="333"/>
      <c r="P59" s="393"/>
      <c r="Q59" s="333"/>
      <c r="R59" s="393"/>
      <c r="S59" s="341"/>
      <c r="T59" s="328"/>
      <c r="U59" s="328"/>
      <c r="V59" s="328"/>
      <c r="W59" s="328"/>
      <c r="X59" s="328"/>
      <c r="Y59" s="328"/>
      <c r="Z59" s="328"/>
      <c r="AA59" s="95"/>
      <c r="AB59" s="96"/>
      <c r="AC59" s="96"/>
      <c r="AD59" s="96"/>
      <c r="AE59" s="96"/>
      <c r="AF59" s="97"/>
      <c r="AG59" s="95"/>
      <c r="AH59" s="96"/>
      <c r="AI59" s="95"/>
      <c r="AJ59" s="96"/>
      <c r="AK59" s="95"/>
      <c r="AL59" s="96"/>
      <c r="AM59" s="95"/>
      <c r="AN59" s="98"/>
      <c r="AO59" s="96"/>
      <c r="AP59" s="96"/>
      <c r="AQ59" s="95"/>
      <c r="AR59" s="98"/>
      <c r="AS59" s="96"/>
      <c r="AT59" s="96"/>
      <c r="AU59" s="95"/>
      <c r="AV59" s="98"/>
      <c r="AW59" s="96"/>
      <c r="AX59" s="96"/>
      <c r="AY59" s="95"/>
      <c r="AZ59" s="98"/>
      <c r="BA59" s="99"/>
      <c r="BB59" s="95"/>
      <c r="BC59" s="96"/>
      <c r="BD59" s="96"/>
      <c r="BE59" s="98"/>
    </row>
    <row r="60" spans="1:57" ht="12" customHeight="1">
      <c r="A60" s="406">
        <f>SUM(A36:A58)</f>
        <v>0</v>
      </c>
      <c r="B60" s="407">
        <f>IF(A60=0,0,(A60*100)/A$17)</f>
        <v>0</v>
      </c>
      <c r="C60" s="262">
        <f>SUM(C36:C58)</f>
        <v>0</v>
      </c>
      <c r="D60" s="407">
        <f>IF(C60=0,0,(C60*100)/C$17)</f>
        <v>0</v>
      </c>
      <c r="E60" s="262">
        <f>SUM(E36:E58)</f>
        <v>0</v>
      </c>
      <c r="F60" s="407">
        <f>IF(E60=0,0,(E60*100)/E$17)</f>
        <v>0</v>
      </c>
      <c r="G60" s="262">
        <f>SUM(G36:G58)</f>
        <v>0</v>
      </c>
      <c r="H60" s="407">
        <f>IF(G60=0,0,(G60*100)/G$17)</f>
        <v>0</v>
      </c>
      <c r="I60" s="406"/>
      <c r="J60" s="424" t="s">
        <v>554</v>
      </c>
      <c r="K60" s="408"/>
      <c r="L60" s="262">
        <f>SUM(L36:L58)</f>
        <v>0</v>
      </c>
      <c r="M60" s="407">
        <f>IF(L60=0,0,(L60*100)/L$17)</f>
        <v>0</v>
      </c>
      <c r="N60" s="262">
        <f>SUM(N36:N58)</f>
        <v>0</v>
      </c>
      <c r="O60" s="407">
        <f>IF(N60=0,0,(N60*100)/N$17)</f>
        <v>0</v>
      </c>
      <c r="P60" s="262">
        <f>SUM(P36:P58)</f>
        <v>0</v>
      </c>
      <c r="Q60" s="407">
        <f>IF(P60=0,0,(P60*100)/P$17)</f>
        <v>0</v>
      </c>
      <c r="R60" s="262">
        <f>SUM(R36:R58)</f>
        <v>0</v>
      </c>
      <c r="S60" s="407">
        <f>IF(R60=0,0,(R60*100)/R$17)</f>
        <v>0</v>
      </c>
      <c r="T60" s="397"/>
      <c r="U60" s="397"/>
      <c r="V60" s="397"/>
      <c r="W60" s="397"/>
      <c r="X60" s="397"/>
      <c r="Y60" s="397"/>
      <c r="Z60" s="397"/>
      <c r="AA60" s="95"/>
      <c r="AB60" s="96"/>
      <c r="AC60" s="96"/>
      <c r="AD60" s="96"/>
      <c r="AE60" s="96"/>
      <c r="AF60" s="97"/>
      <c r="AG60" s="95"/>
      <c r="AH60" s="96"/>
      <c r="AI60" s="95"/>
      <c r="AJ60" s="96"/>
      <c r="AK60" s="95"/>
      <c r="AL60" s="96"/>
      <c r="AM60" s="95"/>
      <c r="AN60" s="98"/>
      <c r="AO60" s="96"/>
      <c r="AP60" s="96"/>
      <c r="AQ60" s="95"/>
      <c r="AR60" s="98"/>
      <c r="AS60" s="96"/>
      <c r="AT60" s="96"/>
      <c r="AU60" s="95"/>
      <c r="AV60" s="98"/>
      <c r="AW60" s="96"/>
      <c r="AX60" s="96"/>
      <c r="AY60" s="95"/>
      <c r="AZ60" s="98"/>
      <c r="BA60" s="99"/>
      <c r="BB60" s="95"/>
      <c r="BC60" s="96"/>
      <c r="BD60" s="96"/>
      <c r="BE60" s="98"/>
    </row>
    <row r="61" spans="1:57" ht="6" customHeight="1">
      <c r="A61" s="330"/>
      <c r="B61" s="329"/>
      <c r="C61" s="392"/>
      <c r="D61" s="329"/>
      <c r="E61" s="392"/>
      <c r="F61" s="329"/>
      <c r="G61" s="392"/>
      <c r="H61" s="329"/>
      <c r="I61" s="398"/>
      <c r="J61" s="392"/>
      <c r="K61" s="399"/>
      <c r="L61" s="393"/>
      <c r="M61" s="333"/>
      <c r="N61" s="393"/>
      <c r="O61" s="333"/>
      <c r="P61" s="393"/>
      <c r="Q61" s="333"/>
      <c r="R61" s="393"/>
      <c r="S61" s="341"/>
      <c r="T61" s="328"/>
      <c r="U61" s="328"/>
      <c r="V61" s="328"/>
      <c r="W61" s="328"/>
      <c r="X61" s="328"/>
      <c r="Y61" s="328"/>
      <c r="Z61" s="328"/>
      <c r="AA61" s="95"/>
      <c r="AB61" s="96"/>
      <c r="AC61" s="96"/>
      <c r="AD61" s="96"/>
      <c r="AE61" s="96"/>
      <c r="AF61" s="97"/>
      <c r="AG61" s="95"/>
      <c r="AH61" s="96"/>
      <c r="AI61" s="95"/>
      <c r="AJ61" s="96"/>
      <c r="AK61" s="95"/>
      <c r="AL61" s="96"/>
      <c r="AM61" s="95"/>
      <c r="AN61" s="98"/>
      <c r="AO61" s="96"/>
      <c r="AP61" s="96"/>
      <c r="AQ61" s="95"/>
      <c r="AR61" s="98"/>
      <c r="AS61" s="96"/>
      <c r="AT61" s="96"/>
      <c r="AU61" s="95"/>
      <c r="AV61" s="98"/>
      <c r="AW61" s="96"/>
      <c r="AX61" s="96"/>
      <c r="AY61" s="95"/>
      <c r="AZ61" s="98"/>
      <c r="BA61" s="99"/>
      <c r="BB61" s="95"/>
      <c r="BC61" s="96"/>
      <c r="BD61" s="96"/>
      <c r="BE61" s="98"/>
    </row>
    <row r="62" spans="1:57" ht="12" customHeight="1">
      <c r="A62" s="394">
        <v>22378.19</v>
      </c>
      <c r="B62" s="338">
        <f>IF(A62=0,0,(A62*100)/A$17)</f>
        <v>37.589706910951215</v>
      </c>
      <c r="C62" s="395">
        <f>+C34+C60+C27</f>
        <v>0</v>
      </c>
      <c r="D62" s="338">
        <f>IF(C62=0,0,(C62*100)/C$17)</f>
        <v>0</v>
      </c>
      <c r="E62" s="395">
        <f>+E34+E60+E27</f>
        <v>0</v>
      </c>
      <c r="F62" s="338">
        <f>IF(E62=0,0,(E62*100)/E$17)</f>
        <v>0</v>
      </c>
      <c r="G62" s="395">
        <f>+G34+G60+G27</f>
        <v>0</v>
      </c>
      <c r="H62" s="338">
        <f>IF(G62=0,0,(G62*100)/G$17)</f>
        <v>0</v>
      </c>
      <c r="I62" s="394"/>
      <c r="J62" s="396" t="s">
        <v>831</v>
      </c>
      <c r="K62" s="400"/>
      <c r="L62" s="395">
        <f>+L34+L60+L27</f>
        <v>0</v>
      </c>
      <c r="M62" s="338">
        <f>IF(L62=0,0,(L62*100)/L$17)</f>
        <v>0</v>
      </c>
      <c r="N62" s="395">
        <f>+N34+N60+N27</f>
        <v>0</v>
      </c>
      <c r="O62" s="338">
        <f>IF(N62=0,0,(N62*100)/N$17)</f>
        <v>0</v>
      </c>
      <c r="P62" s="395">
        <f>+P34+P60+P27</f>
        <v>0</v>
      </c>
      <c r="Q62" s="338">
        <f>IF(P62=0,0,(P62*100)/P$17)</f>
        <v>0</v>
      </c>
      <c r="R62" s="395">
        <f>+R34+R60+R27</f>
        <v>27684.35</v>
      </c>
      <c r="S62" s="338">
        <f>IF(R62=0,0,(R62*100)/R$17)</f>
        <v>46.502715479678756</v>
      </c>
      <c r="T62" s="397"/>
      <c r="U62" s="397"/>
      <c r="V62" s="397"/>
      <c r="W62" s="397"/>
      <c r="X62" s="397"/>
      <c r="Y62" s="397"/>
      <c r="Z62" s="397"/>
      <c r="AA62" s="95"/>
      <c r="AB62" s="96"/>
      <c r="AC62" s="96"/>
      <c r="AD62" s="96"/>
      <c r="AE62" s="96"/>
      <c r="AF62" s="97"/>
      <c r="AG62" s="95"/>
      <c r="AH62" s="96"/>
      <c r="AI62" s="95"/>
      <c r="AJ62" s="96"/>
      <c r="AK62" s="95"/>
      <c r="AL62" s="96"/>
      <c r="AM62" s="95"/>
      <c r="AN62" s="98"/>
      <c r="AO62" s="96"/>
      <c r="AP62" s="96"/>
      <c r="AQ62" s="95"/>
      <c r="AR62" s="98"/>
      <c r="AS62" s="96"/>
      <c r="AT62" s="96"/>
      <c r="AU62" s="95"/>
      <c r="AV62" s="98"/>
      <c r="AW62" s="96"/>
      <c r="AX62" s="96"/>
      <c r="AY62" s="95"/>
      <c r="AZ62" s="98"/>
      <c r="BA62" s="99"/>
      <c r="BB62" s="95"/>
      <c r="BC62" s="96"/>
      <c r="BD62" s="96"/>
      <c r="BE62" s="98"/>
    </row>
    <row r="63" spans="1:57" ht="6" customHeight="1">
      <c r="A63" s="409"/>
      <c r="B63" s="410"/>
      <c r="C63" s="254"/>
      <c r="D63" s="410"/>
      <c r="E63" s="254"/>
      <c r="F63" s="410"/>
      <c r="G63" s="254"/>
      <c r="H63" s="410"/>
      <c r="I63" s="425"/>
      <c r="J63" s="254"/>
      <c r="K63" s="426"/>
      <c r="L63" s="254"/>
      <c r="M63" s="411"/>
      <c r="N63" s="254"/>
      <c r="O63" s="411"/>
      <c r="P63" s="254"/>
      <c r="Q63" s="411"/>
      <c r="R63" s="254"/>
      <c r="S63" s="427"/>
      <c r="T63" s="328"/>
      <c r="U63" s="328"/>
      <c r="V63" s="328"/>
      <c r="W63" s="328"/>
      <c r="X63" s="328"/>
      <c r="Y63" s="328"/>
      <c r="Z63" s="328"/>
      <c r="AA63" s="95"/>
      <c r="AB63" s="96"/>
      <c r="AC63" s="96"/>
      <c r="AD63" s="96"/>
      <c r="AE63" s="96"/>
      <c r="AF63" s="97"/>
      <c r="AG63" s="95"/>
      <c r="AH63" s="96"/>
      <c r="AI63" s="95"/>
      <c r="AJ63" s="96"/>
      <c r="AK63" s="95"/>
      <c r="AL63" s="96"/>
      <c r="AM63" s="95"/>
      <c r="AN63" s="98"/>
      <c r="AO63" s="96"/>
      <c r="AP63" s="96"/>
      <c r="AQ63" s="95"/>
      <c r="AR63" s="98"/>
      <c r="AS63" s="96"/>
      <c r="AT63" s="96"/>
      <c r="AU63" s="95"/>
      <c r="AV63" s="98"/>
      <c r="AW63" s="96"/>
      <c r="AX63" s="96"/>
      <c r="AY63" s="95"/>
      <c r="AZ63" s="98"/>
      <c r="BA63" s="99"/>
      <c r="BB63" s="95"/>
      <c r="BC63" s="96"/>
      <c r="BD63" s="96"/>
      <c r="BE63" s="98"/>
    </row>
    <row r="64" spans="1:57" ht="12" customHeight="1">
      <c r="A64" s="395">
        <f>+A17-A34-A62</f>
        <v>37154.569999999992</v>
      </c>
      <c r="B64" s="338">
        <f>IF(A64=0,0,(A64*100)/A$17)</f>
        <v>62.410293089048778</v>
      </c>
      <c r="C64" s="395">
        <f>+C17-C34-C62</f>
        <v>-424.81</v>
      </c>
      <c r="D64" s="338">
        <f>IF(C64=0,0,(C64*100)/C$17)</f>
        <v>100</v>
      </c>
      <c r="E64" s="395">
        <f>+E17-E34-E62</f>
        <v>0</v>
      </c>
      <c r="F64" s="338">
        <f>IF(E64=0,0,(E64*100)/E$17)</f>
        <v>0</v>
      </c>
      <c r="G64" s="395">
        <f>+G17-G34-G62</f>
        <v>424.81</v>
      </c>
      <c r="H64" s="338">
        <f>IF(G64=0,0,(G64*100)/G$17)</f>
        <v>100</v>
      </c>
      <c r="I64" s="394"/>
      <c r="J64" s="396" t="s">
        <v>880</v>
      </c>
      <c r="K64" s="400"/>
      <c r="L64" s="395">
        <f>+L17-L34-L62</f>
        <v>424.81</v>
      </c>
      <c r="M64" s="338">
        <f>IF(L64=0,0,(L64*100)/L$17)</f>
        <v>100</v>
      </c>
      <c r="N64" s="395">
        <f>+N17-N34-N62</f>
        <v>0</v>
      </c>
      <c r="O64" s="338">
        <f>IF(N64=0,0,(N64*100)/N$17)</f>
        <v>0</v>
      </c>
      <c r="P64" s="395">
        <f>+P17-P34-P62</f>
        <v>-424.81</v>
      </c>
      <c r="Q64" s="338">
        <f>IF(P64=0,0,(P64*100)/P$17)</f>
        <v>100</v>
      </c>
      <c r="R64" s="395">
        <f>+R17-R34-R62</f>
        <v>31848.409999999996</v>
      </c>
      <c r="S64" s="338">
        <f>IF(R64=0,0,(R64*100)/R$17)</f>
        <v>53.497284520321244</v>
      </c>
      <c r="T64" s="397"/>
      <c r="U64" s="397"/>
      <c r="V64" s="397"/>
      <c r="W64" s="397"/>
      <c r="X64" s="397"/>
      <c r="Y64" s="397"/>
      <c r="Z64" s="397"/>
      <c r="AA64" s="95"/>
      <c r="AB64" s="96"/>
      <c r="AC64" s="96"/>
      <c r="AD64" s="96"/>
      <c r="AE64" s="96"/>
      <c r="AF64" s="97"/>
      <c r="AG64" s="95"/>
      <c r="AH64" s="96"/>
      <c r="AI64" s="95"/>
      <c r="AJ64" s="96"/>
      <c r="AK64" s="95"/>
      <c r="AL64" s="96"/>
      <c r="AM64" s="95"/>
      <c r="AN64" s="98"/>
      <c r="AO64" s="96"/>
      <c r="AP64" s="96"/>
      <c r="AQ64" s="95"/>
      <c r="AR64" s="98"/>
      <c r="AS64" s="96"/>
      <c r="AT64" s="96"/>
      <c r="AU64" s="95"/>
      <c r="AV64" s="98"/>
      <c r="AW64" s="96"/>
      <c r="AX64" s="96"/>
      <c r="AY64" s="95"/>
      <c r="AZ64" s="98"/>
      <c r="BA64" s="99"/>
      <c r="BB64" s="95"/>
      <c r="BC64" s="96"/>
      <c r="BD64" s="96"/>
      <c r="BE64" s="98"/>
    </row>
    <row r="65" spans="1:26" ht="12" customHeight="1">
      <c r="A65" s="428"/>
      <c r="B65" s="428"/>
      <c r="C65" s="428"/>
      <c r="D65" s="428"/>
      <c r="E65" s="428"/>
      <c r="F65" s="428"/>
      <c r="G65" s="428"/>
      <c r="H65" s="428"/>
      <c r="I65" s="428"/>
      <c r="J65" s="125"/>
      <c r="K65" s="428"/>
      <c r="L65" s="428"/>
      <c r="M65" s="428"/>
      <c r="N65" s="428"/>
      <c r="O65" s="428"/>
      <c r="P65" s="428"/>
      <c r="Q65" s="428"/>
      <c r="R65" s="428"/>
      <c r="S65" s="428"/>
      <c r="T65" s="60"/>
      <c r="U65" s="60"/>
      <c r="V65" s="137"/>
      <c r="W65" s="137"/>
      <c r="X65" s="137"/>
      <c r="Y65" s="137"/>
      <c r="Z65" s="137"/>
    </row>
    <row r="66" spans="1:26" ht="12" customHeight="1">
      <c r="A66" s="428"/>
      <c r="B66" s="428"/>
      <c r="C66" s="428"/>
      <c r="D66" s="428"/>
      <c r="E66" s="428"/>
      <c r="F66" s="428"/>
      <c r="G66" s="428"/>
      <c r="H66" s="428"/>
      <c r="I66" s="428"/>
      <c r="J66" s="428"/>
      <c r="K66" s="428"/>
      <c r="L66" s="428"/>
      <c r="M66" s="428"/>
      <c r="N66" s="428"/>
      <c r="O66" s="428"/>
      <c r="P66" s="428"/>
      <c r="Q66" s="428"/>
      <c r="R66" s="428"/>
      <c r="S66" s="428"/>
      <c r="T66" s="60"/>
      <c r="U66" s="60"/>
      <c r="V66" s="137"/>
      <c r="W66" s="137"/>
      <c r="X66" s="137"/>
      <c r="Y66" s="137"/>
      <c r="Z66" s="137"/>
    </row>
    <row r="67" spans="1:26" ht="12" customHeight="1">
      <c r="A67" s="428"/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8"/>
      <c r="Q67" s="428"/>
      <c r="R67" s="428"/>
      <c r="S67" s="428"/>
      <c r="T67" s="60"/>
      <c r="U67" s="60"/>
      <c r="V67" s="137"/>
      <c r="W67" s="137"/>
      <c r="X67" s="137"/>
      <c r="Y67" s="137"/>
      <c r="Z67" s="137"/>
    </row>
    <row r="68" spans="1:26" ht="12" customHeight="1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60"/>
      <c r="U68" s="60"/>
      <c r="V68" s="137"/>
      <c r="W68" s="137"/>
      <c r="X68" s="137"/>
      <c r="Y68" s="137"/>
      <c r="Z68" s="137"/>
    </row>
    <row r="69" spans="1:26" ht="12" customHeight="1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60"/>
      <c r="U69" s="60"/>
      <c r="V69" s="137"/>
      <c r="W69" s="137"/>
      <c r="X69" s="137"/>
      <c r="Y69" s="137"/>
      <c r="Z69" s="137"/>
    </row>
    <row r="70" spans="1:26" ht="12" customHeight="1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60"/>
      <c r="U70" s="60"/>
      <c r="V70" s="137"/>
      <c r="W70" s="137"/>
      <c r="X70" s="137"/>
      <c r="Y70" s="137"/>
      <c r="Z70" s="137"/>
    </row>
    <row r="71" spans="1:26" ht="12" customHeight="1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60"/>
      <c r="U71" s="60"/>
      <c r="V71" s="137"/>
      <c r="W71" s="137"/>
      <c r="X71" s="137"/>
      <c r="Y71" s="137"/>
      <c r="Z71" s="137"/>
    </row>
    <row r="72" spans="1:26" ht="12" customHeight="1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60"/>
      <c r="U72" s="60"/>
      <c r="V72" s="137"/>
      <c r="W72" s="137"/>
      <c r="X72" s="137"/>
      <c r="Y72" s="137"/>
      <c r="Z72" s="137"/>
    </row>
    <row r="73" spans="1:26" ht="12" customHeight="1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60"/>
      <c r="U73" s="60"/>
      <c r="V73" s="137"/>
      <c r="W73" s="137"/>
      <c r="X73" s="137"/>
      <c r="Y73" s="137"/>
      <c r="Z73" s="137"/>
    </row>
    <row r="74" spans="1:26" ht="12" customHeight="1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60"/>
      <c r="U74" s="60"/>
      <c r="V74" s="137"/>
      <c r="W74" s="137"/>
      <c r="X74" s="137"/>
      <c r="Y74" s="137"/>
      <c r="Z74" s="137"/>
    </row>
    <row r="75" spans="1:26" ht="12" customHeight="1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60"/>
      <c r="U75" s="60"/>
      <c r="V75" s="137"/>
      <c r="W75" s="137"/>
      <c r="X75" s="137"/>
      <c r="Y75" s="137"/>
      <c r="Z75" s="137"/>
    </row>
    <row r="76" spans="1:26" ht="12" customHeight="1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60"/>
      <c r="U76" s="60"/>
      <c r="V76" s="137"/>
      <c r="W76" s="137"/>
      <c r="X76" s="137"/>
      <c r="Y76" s="137"/>
      <c r="Z76" s="137"/>
    </row>
    <row r="77" spans="1:26" ht="12" customHeight="1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60"/>
      <c r="U77" s="60"/>
      <c r="V77" s="137"/>
      <c r="W77" s="137"/>
      <c r="X77" s="137"/>
      <c r="Y77" s="137"/>
      <c r="Z77" s="137"/>
    </row>
    <row r="78" spans="1:26" ht="12" customHeight="1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60"/>
      <c r="U78" s="60"/>
      <c r="V78" s="137"/>
      <c r="W78" s="137"/>
      <c r="X78" s="137"/>
      <c r="Y78" s="137"/>
      <c r="Z78" s="137"/>
    </row>
    <row r="79" spans="1:26" ht="12" customHeight="1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60"/>
      <c r="U79" s="60"/>
      <c r="V79" s="137"/>
      <c r="W79" s="137"/>
      <c r="X79" s="137"/>
      <c r="Y79" s="137"/>
      <c r="Z79" s="137"/>
    </row>
    <row r="80" spans="1:26" ht="12" customHeight="1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60"/>
      <c r="U80" s="60"/>
      <c r="V80" s="137"/>
      <c r="W80" s="137"/>
      <c r="X80" s="137"/>
      <c r="Y80" s="137"/>
      <c r="Z80" s="137"/>
    </row>
    <row r="81" spans="1:26" ht="12" customHeight="1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60"/>
      <c r="U81" s="60"/>
      <c r="V81" s="137"/>
      <c r="W81" s="137"/>
      <c r="X81" s="137"/>
      <c r="Y81" s="137"/>
      <c r="Z81" s="137"/>
    </row>
    <row r="82" spans="1:26" ht="12" customHeight="1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60"/>
      <c r="U82" s="60"/>
      <c r="V82" s="137"/>
      <c r="W82" s="137"/>
      <c r="X82" s="137"/>
      <c r="Y82" s="137"/>
      <c r="Z82" s="137"/>
    </row>
    <row r="83" spans="1:26" ht="12" customHeight="1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60"/>
      <c r="U83" s="60"/>
      <c r="V83" s="137"/>
      <c r="W83" s="137"/>
      <c r="X83" s="137"/>
      <c r="Y83" s="137"/>
      <c r="Z83" s="137"/>
    </row>
    <row r="84" spans="1:26" ht="12" customHeight="1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60"/>
      <c r="U84" s="60"/>
      <c r="V84" s="137"/>
      <c r="W84" s="137"/>
      <c r="X84" s="137"/>
      <c r="Y84" s="137"/>
      <c r="Z84" s="137"/>
    </row>
    <row r="85" spans="1:26" ht="12" customHeight="1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60"/>
      <c r="U85" s="60"/>
      <c r="V85" s="137"/>
      <c r="W85" s="137"/>
      <c r="X85" s="137"/>
      <c r="Y85" s="137"/>
      <c r="Z85" s="137"/>
    </row>
    <row r="86" spans="1:26" ht="12" customHeight="1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60"/>
      <c r="U86" s="60"/>
      <c r="V86" s="137"/>
      <c r="W86" s="137"/>
      <c r="X86" s="137"/>
      <c r="Y86" s="137"/>
      <c r="Z86" s="137"/>
    </row>
    <row r="87" spans="1:26" ht="12" customHeight="1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60"/>
      <c r="U87" s="60"/>
      <c r="V87" s="137"/>
      <c r="W87" s="137"/>
      <c r="X87" s="137"/>
      <c r="Y87" s="137"/>
      <c r="Z87" s="137"/>
    </row>
    <row r="88" spans="1:26" ht="12" customHeight="1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60"/>
      <c r="U88" s="60"/>
      <c r="V88" s="137"/>
      <c r="W88" s="137"/>
      <c r="X88" s="137"/>
      <c r="Y88" s="137"/>
      <c r="Z88" s="137"/>
    </row>
    <row r="89" spans="1:26" ht="12" customHeight="1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60"/>
      <c r="U89" s="60"/>
      <c r="V89" s="137"/>
      <c r="W89" s="137"/>
      <c r="X89" s="137"/>
      <c r="Y89" s="137"/>
      <c r="Z89" s="137"/>
    </row>
    <row r="90" spans="1:26" ht="12" customHeight="1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60"/>
      <c r="U90" s="60"/>
      <c r="V90" s="137"/>
      <c r="W90" s="137"/>
      <c r="X90" s="137"/>
      <c r="Y90" s="137"/>
      <c r="Z90" s="137"/>
    </row>
    <row r="91" spans="1:26" ht="12" customHeight="1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60"/>
      <c r="U91" s="60"/>
      <c r="V91" s="137"/>
      <c r="W91" s="137"/>
      <c r="X91" s="137"/>
      <c r="Y91" s="137"/>
      <c r="Z91" s="137"/>
    </row>
    <row r="92" spans="1:26" ht="12" customHeight="1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60"/>
      <c r="U92" s="60"/>
      <c r="V92" s="137"/>
      <c r="W92" s="137"/>
      <c r="X92" s="137"/>
      <c r="Y92" s="137"/>
      <c r="Z92" s="137"/>
    </row>
    <row r="93" spans="1:26" ht="12" customHeight="1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60"/>
      <c r="U93" s="60"/>
      <c r="V93" s="137"/>
      <c r="W93" s="137"/>
      <c r="X93" s="137"/>
      <c r="Y93" s="137"/>
      <c r="Z93" s="137"/>
    </row>
    <row r="94" spans="1:26" ht="12" customHeight="1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60"/>
      <c r="U94" s="60"/>
      <c r="V94" s="137"/>
      <c r="W94" s="137"/>
      <c r="X94" s="137"/>
      <c r="Y94" s="137"/>
      <c r="Z94" s="137"/>
    </row>
    <row r="95" spans="1:26" ht="12" customHeight="1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60"/>
      <c r="U95" s="60"/>
      <c r="V95" s="137"/>
      <c r="W95" s="137"/>
      <c r="X95" s="137"/>
      <c r="Y95" s="137"/>
      <c r="Z95" s="137"/>
    </row>
    <row r="96" spans="1:26" ht="12" customHeight="1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60"/>
      <c r="U96" s="60"/>
      <c r="V96" s="137"/>
      <c r="W96" s="137"/>
      <c r="X96" s="137"/>
      <c r="Y96" s="137"/>
      <c r="Z96" s="137"/>
    </row>
    <row r="97" spans="1:26" ht="12" customHeight="1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60"/>
      <c r="U97" s="60"/>
      <c r="V97" s="137"/>
      <c r="W97" s="137"/>
      <c r="X97" s="137"/>
      <c r="Y97" s="137"/>
      <c r="Z97" s="137"/>
    </row>
    <row r="98" spans="1:26" ht="12" customHeight="1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60"/>
      <c r="U98" s="60"/>
      <c r="V98" s="137"/>
      <c r="W98" s="137"/>
      <c r="X98" s="137"/>
      <c r="Y98" s="137"/>
      <c r="Z98" s="137"/>
    </row>
    <row r="99" spans="1:26" ht="12" customHeight="1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60"/>
      <c r="U99" s="60"/>
      <c r="V99" s="137"/>
      <c r="W99" s="137"/>
      <c r="X99" s="137"/>
      <c r="Y99" s="137"/>
      <c r="Z99" s="137"/>
    </row>
    <row r="100" spans="1:26" ht="12" customHeight="1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60"/>
      <c r="U100" s="60"/>
      <c r="V100" s="137"/>
      <c r="W100" s="137"/>
      <c r="X100" s="137"/>
      <c r="Y100" s="137"/>
      <c r="Z100" s="137"/>
    </row>
    <row r="101" spans="1:26" ht="12" customHeight="1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60"/>
      <c r="U101" s="60"/>
      <c r="V101" s="137"/>
      <c r="W101" s="137"/>
      <c r="X101" s="137"/>
      <c r="Y101" s="137"/>
      <c r="Z101" s="137"/>
    </row>
    <row r="102" spans="1:26" ht="12" customHeight="1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60"/>
      <c r="U102" s="60"/>
      <c r="V102" s="137"/>
      <c r="W102" s="137"/>
      <c r="X102" s="137"/>
      <c r="Y102" s="137"/>
      <c r="Z102" s="137"/>
    </row>
    <row r="103" spans="1:26" ht="12" customHeight="1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60"/>
      <c r="U103" s="60"/>
      <c r="V103" s="137"/>
      <c r="W103" s="137"/>
      <c r="X103" s="137"/>
      <c r="Y103" s="137"/>
      <c r="Z103" s="137"/>
    </row>
    <row r="104" spans="1:26" ht="12" customHeight="1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60"/>
      <c r="U104" s="60"/>
      <c r="V104" s="137"/>
      <c r="W104" s="137"/>
      <c r="X104" s="137"/>
      <c r="Y104" s="137"/>
      <c r="Z104" s="137"/>
    </row>
    <row r="105" spans="1:26" ht="12" customHeight="1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60"/>
      <c r="U105" s="60"/>
      <c r="V105" s="137"/>
      <c r="W105" s="137"/>
      <c r="X105" s="137"/>
      <c r="Y105" s="137"/>
      <c r="Z105" s="137"/>
    </row>
    <row r="106" spans="1:26" ht="12" customHeight="1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60"/>
      <c r="U106" s="60"/>
      <c r="V106" s="137"/>
      <c r="W106" s="137"/>
      <c r="X106" s="137"/>
      <c r="Y106" s="137"/>
      <c r="Z106" s="137"/>
    </row>
    <row r="107" spans="1:26" ht="12" customHeight="1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60"/>
      <c r="U107" s="60"/>
      <c r="V107" s="137"/>
      <c r="W107" s="137"/>
      <c r="X107" s="137"/>
      <c r="Y107" s="137"/>
      <c r="Z107" s="137"/>
    </row>
    <row r="108" spans="1:26" ht="12" customHeight="1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60"/>
      <c r="U108" s="60"/>
      <c r="V108" s="137"/>
      <c r="W108" s="137"/>
      <c r="X108" s="137"/>
      <c r="Y108" s="137"/>
      <c r="Z108" s="137"/>
    </row>
    <row r="109" spans="1:26" ht="12" customHeight="1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60"/>
      <c r="U109" s="60"/>
      <c r="V109" s="137"/>
      <c r="W109" s="137"/>
      <c r="X109" s="137"/>
      <c r="Y109" s="137"/>
      <c r="Z109" s="137"/>
    </row>
    <row r="110" spans="1:26" ht="12" customHeight="1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60"/>
      <c r="U110" s="60"/>
      <c r="V110" s="137"/>
      <c r="W110" s="137"/>
      <c r="X110" s="137"/>
      <c r="Y110" s="137"/>
      <c r="Z110" s="137"/>
    </row>
    <row r="111" spans="1:26" ht="12" customHeight="1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60"/>
      <c r="U111" s="60"/>
      <c r="V111" s="137"/>
      <c r="W111" s="137"/>
      <c r="X111" s="137"/>
      <c r="Y111" s="137"/>
      <c r="Z111" s="137"/>
    </row>
    <row r="112" spans="1:26" ht="12" customHeight="1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60"/>
      <c r="U112" s="60"/>
      <c r="V112" s="137"/>
      <c r="W112" s="137"/>
      <c r="X112" s="137"/>
      <c r="Y112" s="137"/>
      <c r="Z112" s="137"/>
    </row>
    <row r="113" spans="1:26" ht="12" customHeight="1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60"/>
      <c r="U113" s="60"/>
      <c r="V113" s="137"/>
      <c r="W113" s="137"/>
      <c r="X113" s="137"/>
      <c r="Y113" s="137"/>
      <c r="Z113" s="137"/>
    </row>
    <row r="114" spans="1:26" ht="12" customHeight="1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60"/>
      <c r="U114" s="60"/>
      <c r="V114" s="137"/>
      <c r="W114" s="137"/>
      <c r="X114" s="137"/>
      <c r="Y114" s="137"/>
      <c r="Z114" s="137"/>
    </row>
    <row r="115" spans="1:26" ht="12" customHeight="1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60"/>
      <c r="U115" s="60"/>
      <c r="V115" s="137"/>
      <c r="W115" s="137"/>
      <c r="X115" s="137"/>
      <c r="Y115" s="137"/>
      <c r="Z115" s="137"/>
    </row>
    <row r="116" spans="1:26" ht="12" customHeight="1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60"/>
      <c r="U116" s="60"/>
      <c r="V116" s="137"/>
      <c r="W116" s="137"/>
      <c r="X116" s="137"/>
      <c r="Y116" s="137"/>
      <c r="Z116" s="137"/>
    </row>
    <row r="117" spans="1:26" ht="12" customHeight="1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60"/>
      <c r="U117" s="60"/>
      <c r="V117" s="137"/>
      <c r="W117" s="137"/>
      <c r="X117" s="137"/>
      <c r="Y117" s="137"/>
      <c r="Z117" s="137"/>
    </row>
    <row r="118" spans="1:26" ht="12" customHeight="1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60"/>
      <c r="U118" s="60"/>
      <c r="V118" s="137"/>
      <c r="W118" s="137"/>
      <c r="X118" s="137"/>
      <c r="Y118" s="137"/>
      <c r="Z118" s="137"/>
    </row>
    <row r="119" spans="1:26" ht="12" customHeight="1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60"/>
      <c r="U119" s="60"/>
      <c r="V119" s="137"/>
      <c r="W119" s="137"/>
      <c r="X119" s="137"/>
      <c r="Y119" s="137"/>
      <c r="Z119" s="137"/>
    </row>
    <row r="120" spans="1:26" ht="12" customHeight="1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60"/>
      <c r="U120" s="60"/>
      <c r="V120" s="137"/>
      <c r="W120" s="137"/>
      <c r="X120" s="137"/>
      <c r="Y120" s="137"/>
      <c r="Z120" s="137"/>
    </row>
    <row r="121" spans="1:26" ht="12" customHeight="1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60"/>
      <c r="U121" s="60"/>
      <c r="V121" s="137"/>
      <c r="W121" s="137"/>
      <c r="X121" s="137"/>
      <c r="Y121" s="137"/>
      <c r="Z121" s="137"/>
    </row>
    <row r="122" spans="1:26" ht="12" customHeight="1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60"/>
      <c r="U122" s="60"/>
      <c r="V122" s="137"/>
      <c r="W122" s="137"/>
      <c r="X122" s="137"/>
      <c r="Y122" s="137"/>
      <c r="Z122" s="137"/>
    </row>
    <row r="123" spans="1:26" ht="12" customHeight="1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60"/>
      <c r="U123" s="60"/>
      <c r="V123" s="137"/>
      <c r="W123" s="137"/>
      <c r="X123" s="137"/>
      <c r="Y123" s="137"/>
      <c r="Z123" s="137"/>
    </row>
    <row r="124" spans="1:26" ht="12" customHeight="1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60"/>
      <c r="U124" s="60"/>
      <c r="V124" s="137"/>
      <c r="W124" s="137"/>
      <c r="X124" s="137"/>
      <c r="Y124" s="137"/>
      <c r="Z124" s="137"/>
    </row>
    <row r="125" spans="1:26" ht="12" customHeight="1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60"/>
      <c r="U125" s="60"/>
      <c r="V125" s="137"/>
      <c r="W125" s="137"/>
      <c r="X125" s="137"/>
      <c r="Y125" s="137"/>
      <c r="Z125" s="137"/>
    </row>
    <row r="126" spans="1:26" ht="12" customHeight="1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60"/>
      <c r="U126" s="60"/>
      <c r="V126" s="137"/>
      <c r="W126" s="137"/>
      <c r="X126" s="137"/>
      <c r="Y126" s="137"/>
      <c r="Z126" s="137"/>
    </row>
    <row r="127" spans="1:26" ht="12" customHeight="1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60"/>
      <c r="U127" s="60"/>
      <c r="V127" s="137"/>
      <c r="W127" s="137"/>
      <c r="X127" s="137"/>
      <c r="Y127" s="137"/>
      <c r="Z127" s="137"/>
    </row>
    <row r="128" spans="1:26" ht="12" customHeight="1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60"/>
      <c r="U128" s="60"/>
      <c r="V128" s="137"/>
      <c r="W128" s="137"/>
      <c r="X128" s="137"/>
      <c r="Y128" s="137"/>
      <c r="Z128" s="137"/>
    </row>
    <row r="129" spans="1:26" ht="12" customHeight="1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60"/>
      <c r="U129" s="60"/>
      <c r="V129" s="137"/>
      <c r="W129" s="137"/>
      <c r="X129" s="137"/>
      <c r="Y129" s="137"/>
      <c r="Z129" s="137"/>
    </row>
    <row r="130" spans="1:26" ht="12" customHeight="1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60"/>
      <c r="U130" s="60"/>
      <c r="V130" s="137"/>
      <c r="W130" s="137"/>
      <c r="X130" s="137"/>
      <c r="Y130" s="137"/>
      <c r="Z130" s="137"/>
    </row>
    <row r="131" spans="1:26" ht="12" customHeight="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60"/>
      <c r="U131" s="60"/>
      <c r="V131" s="137"/>
      <c r="W131" s="137"/>
      <c r="X131" s="137"/>
      <c r="Y131" s="137"/>
      <c r="Z131" s="137"/>
    </row>
    <row r="132" spans="1:26" ht="12" customHeight="1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60"/>
      <c r="U132" s="60"/>
      <c r="V132" s="137"/>
      <c r="W132" s="137"/>
      <c r="X132" s="137"/>
      <c r="Y132" s="137"/>
      <c r="Z132" s="137"/>
    </row>
    <row r="133" spans="1:26" ht="12" customHeight="1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60"/>
      <c r="U133" s="60"/>
      <c r="V133" s="137"/>
      <c r="W133" s="137"/>
      <c r="X133" s="137"/>
      <c r="Y133" s="137"/>
      <c r="Z133" s="137"/>
    </row>
    <row r="134" spans="1:26" ht="12" customHeight="1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60"/>
      <c r="U134" s="60"/>
      <c r="V134" s="137"/>
      <c r="W134" s="137"/>
      <c r="X134" s="137"/>
      <c r="Y134" s="137"/>
      <c r="Z134" s="137"/>
    </row>
    <row r="135" spans="1:26" ht="12" customHeight="1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60"/>
      <c r="U135" s="60"/>
      <c r="V135" s="137"/>
      <c r="W135" s="137"/>
      <c r="X135" s="137"/>
      <c r="Y135" s="137"/>
      <c r="Z135" s="137"/>
    </row>
    <row r="136" spans="1:26" ht="12" customHeight="1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60"/>
      <c r="U136" s="60"/>
      <c r="V136" s="137"/>
      <c r="W136" s="137"/>
      <c r="X136" s="137"/>
      <c r="Y136" s="137"/>
      <c r="Z136" s="137"/>
    </row>
    <row r="137" spans="1:26" ht="12" customHeight="1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60"/>
      <c r="U137" s="60"/>
      <c r="V137" s="137"/>
      <c r="W137" s="137"/>
      <c r="X137" s="137"/>
      <c r="Y137" s="137"/>
      <c r="Z137" s="137"/>
    </row>
    <row r="138" spans="1:26" ht="12" customHeight="1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60"/>
      <c r="U138" s="60"/>
      <c r="V138" s="137"/>
      <c r="W138" s="137"/>
      <c r="X138" s="137"/>
      <c r="Y138" s="137"/>
      <c r="Z138" s="137"/>
    </row>
    <row r="139" spans="1:26" ht="12" customHeight="1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60"/>
      <c r="U139" s="60"/>
      <c r="V139" s="137"/>
      <c r="W139" s="137"/>
      <c r="X139" s="137"/>
      <c r="Y139" s="137"/>
      <c r="Z139" s="137"/>
    </row>
    <row r="140" spans="1:26" ht="12" customHeight="1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60"/>
      <c r="U140" s="60"/>
      <c r="V140" s="137"/>
      <c r="W140" s="137"/>
      <c r="X140" s="137"/>
      <c r="Y140" s="137"/>
      <c r="Z140" s="137"/>
    </row>
    <row r="141" spans="1:26" ht="12" customHeight="1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60"/>
      <c r="U141" s="60"/>
      <c r="V141" s="137"/>
      <c r="W141" s="137"/>
      <c r="X141" s="137"/>
      <c r="Y141" s="137"/>
      <c r="Z141" s="137"/>
    </row>
    <row r="142" spans="1:26" ht="12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</row>
    <row r="143" spans="1:26" ht="12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</row>
    <row r="144" spans="1:26" ht="12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</row>
    <row r="145" spans="1:26" ht="12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</row>
    <row r="146" spans="1:26" ht="12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</row>
    <row r="147" spans="1:26" ht="12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</row>
    <row r="148" spans="1:26" ht="12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</row>
    <row r="149" spans="1:26" ht="12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</row>
    <row r="150" spans="1:26" ht="12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</row>
    <row r="151" spans="1:26" ht="12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</row>
    <row r="152" spans="1:26" ht="12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</row>
    <row r="153" spans="1:26" ht="12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</row>
    <row r="154" spans="1:26" ht="12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</row>
    <row r="155" spans="1:26" ht="12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</row>
    <row r="156" spans="1:26" ht="12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</row>
    <row r="157" spans="1:26" ht="12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</row>
    <row r="158" spans="1:26" ht="12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</row>
    <row r="159" spans="1:26" ht="12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</row>
    <row r="160" spans="1:26" ht="12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</row>
    <row r="161" spans="1:26" ht="12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</row>
    <row r="162" spans="1:26" ht="12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</row>
    <row r="163" spans="1:26" ht="12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</row>
    <row r="164" spans="1:26" ht="12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</row>
    <row r="165" spans="1:26" ht="12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</row>
    <row r="166" spans="1:26" ht="12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</row>
    <row r="167" spans="1:26" ht="12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</row>
    <row r="168" spans="1:26" ht="12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</row>
    <row r="169" spans="1:26" ht="12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</row>
    <row r="170" spans="1:26" ht="12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</row>
    <row r="171" spans="1:26" ht="12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</row>
    <row r="172" spans="1:26" ht="12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</row>
    <row r="173" spans="1:26" ht="12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</row>
    <row r="174" spans="1:26" ht="12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</row>
    <row r="175" spans="1:26" ht="12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</row>
    <row r="176" spans="1:26" ht="12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</row>
    <row r="177" spans="1:26" ht="12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</row>
    <row r="178" spans="1:26" ht="12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</row>
    <row r="179" spans="1:26" ht="12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</row>
    <row r="180" spans="1:26" ht="12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</row>
    <row r="181" spans="1:26" ht="12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</row>
    <row r="182" spans="1:26" ht="12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</row>
    <row r="183" spans="1:26" ht="12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</row>
    <row r="184" spans="1:26" ht="12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</row>
    <row r="185" spans="1:26" ht="12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</row>
    <row r="186" spans="1:26" ht="12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</row>
    <row r="187" spans="1:26" ht="12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</row>
    <row r="188" spans="1:26" ht="12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</row>
    <row r="189" spans="1:26" ht="12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</row>
    <row r="190" spans="1:26" ht="12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</row>
    <row r="191" spans="1:26" ht="12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</row>
    <row r="192" spans="1:26" ht="12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</row>
    <row r="193" spans="1:26" ht="12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</row>
    <row r="194" spans="1:26" ht="12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</row>
    <row r="195" spans="1:26" ht="12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</row>
    <row r="196" spans="1:26" ht="12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</row>
    <row r="197" spans="1:26" ht="12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</row>
    <row r="198" spans="1:26" ht="12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</row>
    <row r="199" spans="1:26" ht="12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</row>
    <row r="200" spans="1:26" ht="12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</row>
    <row r="201" spans="1:26" ht="12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</row>
    <row r="202" spans="1:26" ht="12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</row>
    <row r="203" spans="1:26" ht="12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</row>
    <row r="204" spans="1:26" ht="12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</row>
    <row r="205" spans="1:26" ht="12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</row>
    <row r="206" spans="1:26" ht="12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</row>
    <row r="207" spans="1:26" ht="12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</row>
    <row r="208" spans="1:26" ht="12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</row>
    <row r="209" spans="1:26" ht="12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</row>
    <row r="210" spans="1:26" ht="12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</row>
    <row r="211" spans="1:26" ht="12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</row>
    <row r="212" spans="1:26" ht="12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</row>
    <row r="213" spans="1:26" ht="12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</row>
    <row r="214" spans="1:26" ht="12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</row>
    <row r="215" spans="1:26" ht="12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</row>
    <row r="216" spans="1:26" ht="12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</row>
    <row r="217" spans="1:26" ht="12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</row>
    <row r="218" spans="1:26" ht="12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</row>
    <row r="219" spans="1:26" ht="12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</row>
    <row r="220" spans="1:26" ht="12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</row>
    <row r="221" spans="1:26" ht="12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</row>
    <row r="222" spans="1:26" ht="12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</row>
    <row r="223" spans="1:26" ht="12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</row>
    <row r="224" spans="1:26" ht="12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</row>
    <row r="225" spans="1:26" ht="12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</row>
    <row r="226" spans="1:26" ht="12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</row>
    <row r="227" spans="1:26" ht="12" customHeight="1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</row>
    <row r="228" spans="1:26" ht="12" customHeight="1">
      <c r="A228" s="137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</row>
    <row r="229" spans="1:26" ht="12" customHeight="1">
      <c r="A229" s="137"/>
      <c r="B229" s="137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</row>
    <row r="230" spans="1:26" ht="12" customHeight="1">
      <c r="A230" s="137"/>
      <c r="B230" s="137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</row>
    <row r="231" spans="1:26" ht="12" customHeight="1">
      <c r="A231" s="137"/>
      <c r="B231" s="137"/>
      <c r="C231" s="137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</row>
    <row r="232" spans="1:26" ht="12" customHeight="1">
      <c r="A232" s="137"/>
      <c r="B232" s="137"/>
      <c r="C232" s="137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</row>
    <row r="233" spans="1:26" ht="12" customHeight="1">
      <c r="A233" s="137"/>
      <c r="B233" s="137"/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</row>
    <row r="234" spans="1:26" ht="12" customHeight="1">
      <c r="A234" s="137"/>
      <c r="B234" s="137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</row>
    <row r="235" spans="1:26" ht="12" customHeight="1">
      <c r="A235" s="137"/>
      <c r="B235" s="137"/>
      <c r="C235" s="137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</row>
    <row r="236" spans="1:26" ht="12" customHeight="1">
      <c r="A236" s="137"/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</row>
    <row r="237" spans="1:26" ht="12" customHeight="1">
      <c r="A237" s="137"/>
      <c r="B237" s="137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</row>
    <row r="238" spans="1:26" ht="12" customHeight="1">
      <c r="A238" s="137"/>
      <c r="B238" s="137"/>
      <c r="C238" s="137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</row>
    <row r="239" spans="1:26" ht="12" customHeight="1">
      <c r="A239" s="137"/>
      <c r="B239" s="137"/>
      <c r="C239" s="137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</row>
    <row r="240" spans="1:26" ht="12" customHeight="1">
      <c r="A240" s="137"/>
      <c r="B240" s="137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</row>
    <row r="241" spans="1:26" ht="12" customHeight="1">
      <c r="A241" s="137"/>
      <c r="B241" s="137"/>
      <c r="C241" s="137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</row>
    <row r="242" spans="1:26" ht="12" customHeight="1">
      <c r="A242" s="137"/>
      <c r="B242" s="137"/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</row>
    <row r="243" spans="1:26" ht="12" customHeight="1">
      <c r="A243" s="137"/>
      <c r="B243" s="137"/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</row>
    <row r="244" spans="1:26" ht="12" customHeight="1">
      <c r="A244" s="137"/>
      <c r="B244" s="137"/>
      <c r="C244" s="137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</row>
    <row r="245" spans="1:26" ht="12" customHeight="1">
      <c r="A245" s="137"/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</row>
    <row r="246" spans="1:26" ht="12" customHeight="1">
      <c r="A246" s="137"/>
      <c r="B246" s="137"/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</row>
    <row r="247" spans="1:26" ht="12" customHeight="1">
      <c r="A247" s="137"/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</row>
    <row r="248" spans="1:26" ht="12" customHeight="1">
      <c r="A248" s="137"/>
      <c r="B248" s="137"/>
      <c r="C248" s="137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</row>
    <row r="249" spans="1:26" ht="12" customHeight="1">
      <c r="A249" s="137"/>
      <c r="B249" s="137"/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</row>
    <row r="250" spans="1:26" ht="12" customHeight="1">
      <c r="A250" s="137"/>
      <c r="B250" s="137"/>
      <c r="C250" s="137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</row>
    <row r="251" spans="1:26" ht="12" customHeight="1">
      <c r="A251" s="137"/>
      <c r="B251" s="137"/>
      <c r="C251" s="137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</row>
    <row r="252" spans="1:26" ht="12" customHeight="1">
      <c r="A252" s="137"/>
      <c r="B252" s="137"/>
      <c r="C252" s="137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</row>
    <row r="253" spans="1:26" ht="12" customHeight="1">
      <c r="A253" s="137"/>
      <c r="B253" s="137"/>
      <c r="C253" s="137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</row>
    <row r="254" spans="1:26" ht="12" customHeight="1">
      <c r="A254" s="137"/>
      <c r="B254" s="137"/>
      <c r="C254" s="137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</row>
    <row r="255" spans="1:26" ht="12" customHeight="1">
      <c r="A255" s="137"/>
      <c r="B255" s="137"/>
      <c r="C255" s="137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</row>
    <row r="256" spans="1:26" ht="12" customHeight="1">
      <c r="A256" s="137"/>
      <c r="B256" s="137"/>
      <c r="C256" s="137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</row>
    <row r="257" spans="1:26" ht="12" customHeight="1">
      <c r="A257" s="137"/>
      <c r="B257" s="137"/>
      <c r="C257" s="137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</row>
    <row r="258" spans="1:26" ht="12" customHeight="1">
      <c r="A258" s="137"/>
      <c r="B258" s="137"/>
      <c r="C258" s="137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</row>
    <row r="259" spans="1:26" ht="12" customHeight="1">
      <c r="A259" s="137"/>
      <c r="B259" s="137"/>
      <c r="C259" s="137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</row>
    <row r="260" spans="1:26" ht="12" customHeight="1">
      <c r="A260" s="137"/>
      <c r="B260" s="137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</row>
    <row r="261" spans="1:26" ht="12" customHeight="1">
      <c r="A261" s="137"/>
      <c r="B261" s="137"/>
      <c r="C261" s="137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</row>
    <row r="262" spans="1:26" ht="12" customHeight="1">
      <c r="A262" s="137"/>
      <c r="B262" s="137"/>
      <c r="C262" s="137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</row>
    <row r="263" spans="1:26" ht="12" customHeight="1">
      <c r="A263" s="137"/>
      <c r="B263" s="137"/>
      <c r="C263" s="137"/>
      <c r="D263" s="137"/>
      <c r="E263" s="137"/>
      <c r="F263" s="137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</row>
    <row r="264" spans="1:26" ht="12" customHeight="1">
      <c r="A264" s="137"/>
      <c r="B264" s="137"/>
      <c r="C264" s="137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</row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S5:AT5"/>
    <mergeCell ref="AU5:AV5"/>
    <mergeCell ref="AW5:AX5"/>
    <mergeCell ref="AY5:AZ5"/>
    <mergeCell ref="A2:S2"/>
    <mergeCell ref="AA3:BE3"/>
    <mergeCell ref="A4:H4"/>
    <mergeCell ref="L4:S4"/>
    <mergeCell ref="AA4:AE4"/>
    <mergeCell ref="AG4:AZ4"/>
    <mergeCell ref="BB4:BE5"/>
    <mergeCell ref="A5:B5"/>
    <mergeCell ref="C5:D5"/>
    <mergeCell ref="E5:F5"/>
    <mergeCell ref="G5:H5"/>
    <mergeCell ref="L5:M5"/>
    <mergeCell ref="N5:O5"/>
    <mergeCell ref="P5:Q5"/>
    <mergeCell ref="R5:S5"/>
    <mergeCell ref="AA5:AA6"/>
    <mergeCell ref="AB5:AB6"/>
    <mergeCell ref="AK5:AL5"/>
    <mergeCell ref="AM5:AN5"/>
    <mergeCell ref="AO5:AP5"/>
    <mergeCell ref="AQ5:AR5"/>
    <mergeCell ref="AC5:AC6"/>
    <mergeCell ref="AD5:AD6"/>
    <mergeCell ref="AE5:AE6"/>
    <mergeCell ref="AG5:AH5"/>
    <mergeCell ref="AI5:AJ5"/>
  </mergeCells>
  <dataValidations count="1">
    <dataValidation type="list" allowBlank="1" showErrorMessage="1" sqref="BB7:BB64" xr:uid="{00000000-0002-0000-0A00-000000000000}">
      <formula1>"A,O"</formula1>
    </dataValidation>
  </dataValidation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1000"/>
  <sheetViews>
    <sheetView workbookViewId="0">
      <pane xSplit="11" ySplit="6" topLeftCell="L19" activePane="bottomRight" state="frozen"/>
      <selection pane="topRight" activeCell="L1" sqref="L1"/>
      <selection pane="bottomLeft" activeCell="A7" sqref="A7"/>
      <selection pane="bottomRight" activeCell="R43" sqref="R43"/>
    </sheetView>
  </sheetViews>
  <sheetFormatPr defaultColWidth="14.42578125" defaultRowHeight="15" customHeight="1"/>
  <cols>
    <col min="1" max="1" width="11.7109375" customWidth="1"/>
    <col min="2" max="2" width="6" customWidth="1"/>
    <col min="3" max="3" width="11.7109375" customWidth="1"/>
    <col min="4" max="4" width="6" customWidth="1"/>
    <col min="5" max="5" width="11.7109375" customWidth="1"/>
    <col min="6" max="6" width="6" customWidth="1"/>
    <col min="7" max="7" width="11.7109375" customWidth="1"/>
    <col min="8" max="8" width="6" customWidth="1"/>
    <col min="9" max="9" width="2.28515625" customWidth="1"/>
    <col min="10" max="10" width="35" customWidth="1"/>
    <col min="11" max="11" width="2.28515625" customWidth="1"/>
    <col min="12" max="12" width="11.7109375" customWidth="1"/>
    <col min="13" max="13" width="6" customWidth="1"/>
    <col min="14" max="14" width="11.7109375" customWidth="1"/>
    <col min="15" max="15" width="6" customWidth="1"/>
    <col min="16" max="16" width="11.7109375" customWidth="1"/>
    <col min="17" max="17" width="6" customWidth="1"/>
    <col min="18" max="18" width="11.7109375" customWidth="1"/>
    <col min="19" max="19" width="6" customWidth="1"/>
    <col min="20" max="20" width="10.42578125" customWidth="1"/>
    <col min="21" max="21" width="5.5703125" customWidth="1"/>
    <col min="22" max="25" width="10.42578125" hidden="1" customWidth="1"/>
    <col min="26" max="26" width="4.5703125" customWidth="1"/>
  </cols>
  <sheetData>
    <row r="1" spans="1:57" ht="15" customHeight="1">
      <c r="A1" s="308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382"/>
      <c r="U1" s="382"/>
      <c r="V1" s="382"/>
      <c r="W1" s="382"/>
      <c r="X1" s="382"/>
      <c r="Y1" s="382"/>
      <c r="Z1" s="382"/>
    </row>
    <row r="2" spans="1:57" ht="15" customHeight="1">
      <c r="A2" s="664" t="s">
        <v>26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665"/>
      <c r="O2" s="665"/>
      <c r="P2" s="665"/>
      <c r="Q2" s="665"/>
      <c r="R2" s="665"/>
      <c r="S2" s="665"/>
      <c r="T2" s="64" t="s">
        <v>506</v>
      </c>
      <c r="U2" s="64">
        <f>PRD</f>
        <v>1</v>
      </c>
      <c r="V2" s="382"/>
      <c r="W2" s="382"/>
      <c r="X2" s="382"/>
      <c r="Y2" s="382"/>
      <c r="Z2" s="382"/>
    </row>
    <row r="3" spans="1:57" ht="15" customHeight="1">
      <c r="A3" s="417"/>
      <c r="B3" s="418"/>
      <c r="C3" s="419"/>
      <c r="D3" s="420" t="s">
        <v>507</v>
      </c>
      <c r="E3" s="419"/>
      <c r="F3" s="421"/>
      <c r="G3" s="419"/>
      <c r="H3" s="421"/>
      <c r="I3" s="386"/>
      <c r="J3" s="387" t="s">
        <v>881</v>
      </c>
      <c r="K3" s="386"/>
      <c r="L3" s="419"/>
      <c r="M3" s="421"/>
      <c r="N3" s="419"/>
      <c r="O3" s="421"/>
      <c r="P3" s="67"/>
      <c r="Q3" s="388" t="s">
        <v>882</v>
      </c>
      <c r="R3" s="67"/>
      <c r="S3" s="67"/>
      <c r="T3" s="382"/>
      <c r="U3" s="382"/>
      <c r="V3" s="382"/>
      <c r="W3" s="382"/>
      <c r="X3" s="382"/>
      <c r="Y3" s="382"/>
      <c r="Z3" s="382"/>
      <c r="AA3" s="656" t="s">
        <v>29</v>
      </c>
      <c r="AB3" s="660"/>
      <c r="AC3" s="660"/>
      <c r="AD3" s="660"/>
      <c r="AE3" s="660"/>
      <c r="AF3" s="660"/>
      <c r="AG3" s="660"/>
      <c r="AH3" s="660"/>
      <c r="AI3" s="660"/>
      <c r="AJ3" s="660"/>
      <c r="AK3" s="660"/>
      <c r="AL3" s="660"/>
      <c r="AM3" s="660"/>
      <c r="AN3" s="660"/>
      <c r="AO3" s="660"/>
      <c r="AP3" s="660"/>
      <c r="AQ3" s="660"/>
      <c r="AR3" s="660"/>
      <c r="AS3" s="660"/>
      <c r="AT3" s="660"/>
      <c r="AU3" s="660"/>
      <c r="AV3" s="660"/>
      <c r="AW3" s="660"/>
      <c r="AX3" s="660"/>
      <c r="AY3" s="660"/>
      <c r="AZ3" s="660"/>
      <c r="BA3" s="660"/>
      <c r="BB3" s="660"/>
      <c r="BC3" s="660"/>
      <c r="BD3" s="660"/>
      <c r="BE3" s="657"/>
    </row>
    <row r="4" spans="1:57" ht="13.5" customHeight="1">
      <c r="A4" s="666" t="s">
        <v>509</v>
      </c>
      <c r="B4" s="667"/>
      <c r="C4" s="667"/>
      <c r="D4" s="667"/>
      <c r="E4" s="667"/>
      <c r="F4" s="667"/>
      <c r="G4" s="667"/>
      <c r="H4" s="668"/>
      <c r="I4" s="223"/>
      <c r="J4" s="225"/>
      <c r="K4" s="223"/>
      <c r="L4" s="669" t="s">
        <v>510</v>
      </c>
      <c r="M4" s="667"/>
      <c r="N4" s="667"/>
      <c r="O4" s="667"/>
      <c r="P4" s="667"/>
      <c r="Q4" s="667"/>
      <c r="R4" s="667"/>
      <c r="S4" s="670"/>
      <c r="T4" s="226"/>
      <c r="U4" s="226"/>
      <c r="V4" s="226"/>
      <c r="W4" s="226"/>
      <c r="X4" s="226"/>
      <c r="Y4" s="226"/>
      <c r="Z4" s="226"/>
      <c r="AA4" s="671" t="s">
        <v>30</v>
      </c>
      <c r="AB4" s="665"/>
      <c r="AC4" s="665"/>
      <c r="AD4" s="665"/>
      <c r="AE4" s="665"/>
      <c r="AF4" s="73"/>
      <c r="AG4" s="671" t="s">
        <v>31</v>
      </c>
      <c r="AH4" s="665"/>
      <c r="AI4" s="665"/>
      <c r="AJ4" s="665"/>
      <c r="AK4" s="665"/>
      <c r="AL4" s="665"/>
      <c r="AM4" s="665"/>
      <c r="AN4" s="665"/>
      <c r="AO4" s="665"/>
      <c r="AP4" s="665"/>
      <c r="AQ4" s="665"/>
      <c r="AR4" s="665"/>
      <c r="AS4" s="665"/>
      <c r="AT4" s="665"/>
      <c r="AU4" s="665"/>
      <c r="AV4" s="665"/>
      <c r="AW4" s="665"/>
      <c r="AX4" s="665"/>
      <c r="AY4" s="665"/>
      <c r="AZ4" s="672"/>
      <c r="BA4" s="74"/>
      <c r="BB4" s="673" t="s">
        <v>32</v>
      </c>
      <c r="BC4" s="674"/>
      <c r="BD4" s="674"/>
      <c r="BE4" s="675"/>
    </row>
    <row r="5" spans="1:57" ht="13.5" customHeight="1">
      <c r="A5" s="679" t="s">
        <v>511</v>
      </c>
      <c r="B5" s="662"/>
      <c r="C5" s="661" t="s">
        <v>512</v>
      </c>
      <c r="D5" s="662"/>
      <c r="E5" s="661" t="s">
        <v>513</v>
      </c>
      <c r="F5" s="662"/>
      <c r="G5" s="661" t="s">
        <v>514</v>
      </c>
      <c r="H5" s="662"/>
      <c r="I5" s="227"/>
      <c r="J5" s="229" t="s">
        <v>515</v>
      </c>
      <c r="K5" s="227"/>
      <c r="L5" s="661" t="s">
        <v>514</v>
      </c>
      <c r="M5" s="662"/>
      <c r="N5" s="661" t="s">
        <v>513</v>
      </c>
      <c r="O5" s="662"/>
      <c r="P5" s="661" t="s">
        <v>512</v>
      </c>
      <c r="Q5" s="662"/>
      <c r="R5" s="661" t="s">
        <v>511</v>
      </c>
      <c r="S5" s="663"/>
      <c r="T5" s="226"/>
      <c r="U5" s="226"/>
      <c r="V5" s="226"/>
      <c r="W5" s="226"/>
      <c r="X5" s="226"/>
      <c r="Y5" s="226"/>
      <c r="Z5" s="226"/>
      <c r="AA5" s="658" t="s">
        <v>38</v>
      </c>
      <c r="AB5" s="658" t="s">
        <v>39</v>
      </c>
      <c r="AC5" s="658" t="s">
        <v>40</v>
      </c>
      <c r="AD5" s="658" t="s">
        <v>41</v>
      </c>
      <c r="AE5" s="673" t="s">
        <v>42</v>
      </c>
      <c r="AF5" s="80"/>
      <c r="AG5" s="656" t="s">
        <v>43</v>
      </c>
      <c r="AH5" s="660"/>
      <c r="AI5" s="656" t="s">
        <v>44</v>
      </c>
      <c r="AJ5" s="660"/>
      <c r="AK5" s="656" t="s">
        <v>45</v>
      </c>
      <c r="AL5" s="660"/>
      <c r="AM5" s="656" t="s">
        <v>46</v>
      </c>
      <c r="AN5" s="657"/>
      <c r="AO5" s="680" t="s">
        <v>47</v>
      </c>
      <c r="AP5" s="660"/>
      <c r="AQ5" s="656" t="s">
        <v>48</v>
      </c>
      <c r="AR5" s="657"/>
      <c r="AS5" s="680" t="s">
        <v>49</v>
      </c>
      <c r="AT5" s="660"/>
      <c r="AU5" s="656" t="s">
        <v>50</v>
      </c>
      <c r="AV5" s="657"/>
      <c r="AW5" s="680" t="s">
        <v>51</v>
      </c>
      <c r="AX5" s="657"/>
      <c r="AY5" s="656" t="s">
        <v>52</v>
      </c>
      <c r="AZ5" s="657"/>
      <c r="BA5" s="81"/>
      <c r="BB5" s="676"/>
      <c r="BC5" s="677"/>
      <c r="BD5" s="677"/>
      <c r="BE5" s="678"/>
    </row>
    <row r="6" spans="1:57" ht="13.5" customHeight="1">
      <c r="A6" s="230" t="s">
        <v>526</v>
      </c>
      <c r="B6" s="231" t="s">
        <v>37</v>
      </c>
      <c r="C6" s="232" t="s">
        <v>526</v>
      </c>
      <c r="D6" s="231" t="s">
        <v>37</v>
      </c>
      <c r="E6" s="232" t="s">
        <v>526</v>
      </c>
      <c r="F6" s="231" t="s">
        <v>37</v>
      </c>
      <c r="G6" s="232" t="s">
        <v>526</v>
      </c>
      <c r="H6" s="231" t="s">
        <v>37</v>
      </c>
      <c r="I6" s="233"/>
      <c r="J6" s="235"/>
      <c r="K6" s="233"/>
      <c r="L6" s="232" t="s">
        <v>526</v>
      </c>
      <c r="M6" s="231" t="s">
        <v>37</v>
      </c>
      <c r="N6" s="232" t="s">
        <v>526</v>
      </c>
      <c r="O6" s="231" t="s">
        <v>37</v>
      </c>
      <c r="P6" s="232" t="s">
        <v>526</v>
      </c>
      <c r="Q6" s="231" t="s">
        <v>37</v>
      </c>
      <c r="R6" s="232" t="s">
        <v>526</v>
      </c>
      <c r="S6" s="236" t="s">
        <v>37</v>
      </c>
      <c r="T6" s="226"/>
      <c r="U6" s="226"/>
      <c r="V6" s="226"/>
      <c r="W6" s="226"/>
      <c r="X6" s="226"/>
      <c r="Y6" s="226"/>
      <c r="Z6" s="226"/>
      <c r="AA6" s="659"/>
      <c r="AB6" s="659"/>
      <c r="AC6" s="659"/>
      <c r="AD6" s="659"/>
      <c r="AE6" s="676"/>
      <c r="AF6" s="84"/>
      <c r="AG6" s="85" t="s">
        <v>56</v>
      </c>
      <c r="AH6" s="86" t="s">
        <v>57</v>
      </c>
      <c r="AI6" s="85" t="s">
        <v>56</v>
      </c>
      <c r="AJ6" s="86" t="s">
        <v>57</v>
      </c>
      <c r="AK6" s="85" t="s">
        <v>56</v>
      </c>
      <c r="AL6" s="86" t="s">
        <v>57</v>
      </c>
      <c r="AM6" s="64" t="s">
        <v>56</v>
      </c>
      <c r="AN6" s="87" t="s">
        <v>57</v>
      </c>
      <c r="AO6" s="88" t="s">
        <v>56</v>
      </c>
      <c r="AP6" s="86" t="s">
        <v>57</v>
      </c>
      <c r="AQ6" s="85" t="s">
        <v>56</v>
      </c>
      <c r="AR6" s="89" t="s">
        <v>57</v>
      </c>
      <c r="AS6" s="88" t="s">
        <v>56</v>
      </c>
      <c r="AT6" s="86" t="s">
        <v>57</v>
      </c>
      <c r="AU6" s="85" t="s">
        <v>56</v>
      </c>
      <c r="AV6" s="89" t="s">
        <v>57</v>
      </c>
      <c r="AW6" s="88" t="s">
        <v>56</v>
      </c>
      <c r="AX6" s="89" t="s">
        <v>57</v>
      </c>
      <c r="AY6" s="85" t="s">
        <v>56</v>
      </c>
      <c r="AZ6" s="89" t="s">
        <v>57</v>
      </c>
      <c r="BA6" s="90"/>
      <c r="BB6" s="64" t="s">
        <v>58</v>
      </c>
      <c r="BC6" s="64" t="s">
        <v>59</v>
      </c>
      <c r="BD6" s="64" t="s">
        <v>60</v>
      </c>
      <c r="BE6" s="91" t="s">
        <v>61</v>
      </c>
    </row>
    <row r="7" spans="1:57" ht="12" customHeight="1">
      <c r="A7" s="422"/>
      <c r="B7" s="422"/>
      <c r="C7" s="422"/>
      <c r="D7" s="422"/>
      <c r="E7" s="422"/>
      <c r="F7" s="422"/>
      <c r="G7" s="422"/>
      <c r="H7" s="422"/>
      <c r="I7" s="422"/>
      <c r="J7" s="423" t="s">
        <v>615</v>
      </c>
      <c r="K7" s="422"/>
      <c r="L7" s="422"/>
      <c r="M7" s="422"/>
      <c r="N7" s="422"/>
      <c r="O7" s="422"/>
      <c r="P7" s="422"/>
      <c r="Q7" s="422"/>
      <c r="R7" s="422"/>
      <c r="S7" s="422"/>
      <c r="T7" s="391"/>
      <c r="U7" s="391"/>
      <c r="V7" s="391"/>
      <c r="W7" s="391"/>
      <c r="X7" s="391"/>
      <c r="Y7" s="391"/>
      <c r="Z7" s="391"/>
      <c r="AA7" s="95"/>
      <c r="AB7" s="96"/>
      <c r="AC7" s="96"/>
      <c r="AD7" s="96"/>
      <c r="AE7" s="96"/>
      <c r="AF7" s="97"/>
      <c r="AG7" s="95"/>
      <c r="AH7" s="96"/>
      <c r="AI7" s="95"/>
      <c r="AJ7" s="96"/>
      <c r="AK7" s="95"/>
      <c r="AL7" s="96"/>
      <c r="AM7" s="95"/>
      <c r="AN7" s="98"/>
      <c r="AO7" s="96"/>
      <c r="AP7" s="96"/>
      <c r="AQ7" s="95"/>
      <c r="AR7" s="98"/>
      <c r="AS7" s="96"/>
      <c r="AT7" s="96"/>
      <c r="AU7" s="95"/>
      <c r="AV7" s="98"/>
      <c r="AW7" s="96"/>
      <c r="AX7" s="96"/>
      <c r="AY7" s="95"/>
      <c r="AZ7" s="98"/>
      <c r="BA7" s="99"/>
      <c r="BB7" s="95"/>
      <c r="BC7" s="100"/>
      <c r="BD7" s="100"/>
      <c r="BE7" s="98"/>
    </row>
    <row r="8" spans="1:57" ht="11.25" customHeight="1">
      <c r="A8" s="254">
        <f t="array" ref="A8">_xll.AC(DB,_xll.ArrayDPT($AA8:$AE8),_xll.ArrayCOA($AG8:$AZ8),YR-1,PRD,_xll.ArrayDIM($BB8:$BE8))</f>
        <v>0</v>
      </c>
      <c r="B8" s="237">
        <f t="shared" ref="B8:B17" si="0">IF(A8=0,0,(A8*100)/A$19)</f>
        <v>0</v>
      </c>
      <c r="C8" s="237">
        <f t="shared" ref="C8:C17" si="1">+E8-G8</f>
        <v>0</v>
      </c>
      <c r="D8" s="237">
        <f t="shared" ref="D8:D17" si="2">IF(C8=0,0,(C8*100)/C$19)</f>
        <v>0</v>
      </c>
      <c r="E8" s="254">
        <f t="array" ref="E8">_xll.BC(DB,_xll.ArrayDPT($AA8:$AE8),_xll.ArrayCOA($AG8:$AZ8),YR,PRD,RV,_xll.ArrayDIM($BB8:$BE8))</f>
        <v>0</v>
      </c>
      <c r="F8" s="237">
        <f t="shared" ref="F8:F17" si="3">IF(E8=0,0,(E8*100)/E$19)</f>
        <v>0</v>
      </c>
      <c r="G8" s="254">
        <f t="array" ref="G8">_xll.AC(DB,_xll.ArrayDPT($AA8:$AE8),_xll.ArrayCOA($AG8:$AZ8),YR,PRD,_xll.ArrayDIM($BB8:$BE8))</f>
        <v>0</v>
      </c>
      <c r="H8" s="237">
        <f t="shared" ref="H8:H17" si="4">IF(G8=0,0,(G8*100)/G$19)</f>
        <v>0</v>
      </c>
      <c r="I8" s="237"/>
      <c r="J8" s="328" t="s">
        <v>883</v>
      </c>
      <c r="K8" s="237"/>
      <c r="L8" s="254">
        <f t="array" ref="L8">_xll.ACC(DB,_xll.ArrayDPT($AA8:$AE8),_xll.ArrayCOA($AG8:$AZ8),YR,PRD,_xll.ArrayDIM($BB8:$BE8))</f>
        <v>0</v>
      </c>
      <c r="M8" s="237">
        <f t="shared" ref="M8:M17" si="5">IF(L8=0,0,(L8*100)/L$19)</f>
        <v>0</v>
      </c>
      <c r="N8" s="254">
        <f t="array" ref="N8">_xll.BCC(DB,_xll.ArrayDPT($AA8:$AE8),_xll.ArrayCOA($AG8:$AZ8),YR,PRD,RV,_xll.ArrayDIM($BB8:$BE8))</f>
        <v>0</v>
      </c>
      <c r="O8" s="237">
        <f t="shared" ref="O8:O17" si="6">IF(N8=0,0,(N8*100)/N$19)</f>
        <v>0</v>
      </c>
      <c r="P8" s="237">
        <f t="shared" ref="P8:P17" si="7">+N8-L8</f>
        <v>0</v>
      </c>
      <c r="Q8" s="237">
        <f t="shared" ref="Q8:Q17" si="8">IF(P8=0,0,(P8*100)/P$19)</f>
        <v>0</v>
      </c>
      <c r="R8" s="254">
        <f t="array" ref="R8">_xll.ACC(DB,_xll.ArrayDPT($AA8:$AE8),_xll.ArrayCOA($AG8:$AZ8),YR-1,PRD,_xll.ArrayDIM($BB8:$BE8))</f>
        <v>0</v>
      </c>
      <c r="S8" s="237">
        <f t="shared" ref="S8:S17" si="9">IF(R8=0,0,(R8*100)/R$19)</f>
        <v>0</v>
      </c>
      <c r="T8" s="295"/>
      <c r="U8" s="295"/>
      <c r="V8" s="295"/>
      <c r="W8" s="295"/>
      <c r="X8" s="295"/>
      <c r="Y8" s="295"/>
      <c r="Z8" s="295"/>
      <c r="AA8" s="95" t="s">
        <v>884</v>
      </c>
      <c r="AB8" s="96"/>
      <c r="AC8" s="96"/>
      <c r="AD8" s="96"/>
      <c r="AE8" s="96"/>
      <c r="AF8" s="97"/>
      <c r="AG8" s="95" t="s">
        <v>885</v>
      </c>
      <c r="AH8" s="96" t="s">
        <v>885</v>
      </c>
      <c r="AI8" s="95"/>
      <c r="AJ8" s="96"/>
      <c r="AK8" s="95"/>
      <c r="AL8" s="96"/>
      <c r="AM8" s="95"/>
      <c r="AN8" s="98"/>
      <c r="AO8" s="96"/>
      <c r="AP8" s="96"/>
      <c r="AQ8" s="95"/>
      <c r="AR8" s="98"/>
      <c r="AS8" s="96"/>
      <c r="AT8" s="96"/>
      <c r="AU8" s="95"/>
      <c r="AV8" s="98"/>
      <c r="AW8" s="96"/>
      <c r="AX8" s="96"/>
      <c r="AY8" s="95"/>
      <c r="AZ8" s="98"/>
      <c r="BA8" s="99"/>
      <c r="BB8" s="95"/>
      <c r="BC8" s="96"/>
      <c r="BD8" s="96"/>
      <c r="BE8" s="98"/>
    </row>
    <row r="9" spans="1:57" ht="11.25" customHeight="1">
      <c r="A9" s="254">
        <f t="array" ref="A9">_xll.AC(DB,_xll.ArrayDPT($AA9:$AE9),_xll.ArrayCOA($AG9:$AZ9),YR-1,PRD,_xll.ArrayDIM($BB9:$BE9))</f>
        <v>0</v>
      </c>
      <c r="B9" s="237">
        <f t="shared" si="0"/>
        <v>0</v>
      </c>
      <c r="C9" s="237">
        <f t="shared" si="1"/>
        <v>0</v>
      </c>
      <c r="D9" s="237">
        <f t="shared" si="2"/>
        <v>0</v>
      </c>
      <c r="E9" s="254">
        <f t="array" ref="E9">_xll.BC(DB,_xll.ArrayDPT($AA9:$AE9),_xll.ArrayCOA($AG9:$AZ9),YR,PRD,RV,_xll.ArrayDIM($BB9:$BE9))</f>
        <v>0</v>
      </c>
      <c r="F9" s="237">
        <f t="shared" si="3"/>
        <v>0</v>
      </c>
      <c r="G9" s="254">
        <f t="array" ref="G9">_xll.AC(DB,_xll.ArrayDPT($AA9:$AE9),_xll.ArrayCOA($AG9:$AZ9),YR,PRD,_xll.ArrayDIM($BB9:$BE9))</f>
        <v>0</v>
      </c>
      <c r="H9" s="237">
        <f t="shared" si="4"/>
        <v>0</v>
      </c>
      <c r="I9" s="237"/>
      <c r="J9" s="328" t="s">
        <v>886</v>
      </c>
      <c r="K9" s="237"/>
      <c r="L9" s="254">
        <f t="array" ref="L9">_xll.ACC(DB,_xll.ArrayDPT($AA9:$AE9),_xll.ArrayCOA($AG9:$AZ9),YR,PRD,_xll.ArrayDIM($BB9:$BE9))</f>
        <v>0</v>
      </c>
      <c r="M9" s="237">
        <f t="shared" si="5"/>
        <v>0</v>
      </c>
      <c r="N9" s="254">
        <f t="array" ref="N9">_xll.BCC(DB,_xll.ArrayDPT($AA9:$AE9),_xll.ArrayCOA($AG9:$AZ9),YR,PRD,RV,_xll.ArrayDIM($BB9:$BE9))</f>
        <v>0</v>
      </c>
      <c r="O9" s="237">
        <f t="shared" si="6"/>
        <v>0</v>
      </c>
      <c r="P9" s="237">
        <f t="shared" si="7"/>
        <v>0</v>
      </c>
      <c r="Q9" s="237">
        <f t="shared" si="8"/>
        <v>0</v>
      </c>
      <c r="R9" s="254">
        <f t="array" ref="R9">_xll.ACC(DB,_xll.ArrayDPT($AA9:$AE9),_xll.ArrayCOA($AG9:$AZ9),YR-1,PRD,_xll.ArrayDIM($BB9:$BE9))</f>
        <v>0</v>
      </c>
      <c r="S9" s="237">
        <f t="shared" si="9"/>
        <v>0</v>
      </c>
      <c r="T9" s="295"/>
      <c r="U9" s="295"/>
      <c r="V9" s="295"/>
      <c r="W9" s="295"/>
      <c r="X9" s="295"/>
      <c r="Y9" s="295"/>
      <c r="Z9" s="295"/>
      <c r="AA9" s="95" t="s">
        <v>887</v>
      </c>
      <c r="AB9" s="96"/>
      <c r="AC9" s="96"/>
      <c r="AD9" s="96"/>
      <c r="AE9" s="96"/>
      <c r="AF9" s="97"/>
      <c r="AG9" s="95" t="s">
        <v>888</v>
      </c>
      <c r="AH9" s="96" t="s">
        <v>888</v>
      </c>
      <c r="AI9" s="95"/>
      <c r="AJ9" s="96"/>
      <c r="AK9" s="95"/>
      <c r="AL9" s="96"/>
      <c r="AM9" s="95"/>
      <c r="AN9" s="98"/>
      <c r="AO9" s="96"/>
      <c r="AP9" s="96"/>
      <c r="AQ9" s="95"/>
      <c r="AR9" s="98"/>
      <c r="AS9" s="96"/>
      <c r="AT9" s="96"/>
      <c r="AU9" s="95"/>
      <c r="AV9" s="98"/>
      <c r="AW9" s="96"/>
      <c r="AX9" s="96"/>
      <c r="AY9" s="95"/>
      <c r="AZ9" s="98"/>
      <c r="BA9" s="99"/>
      <c r="BB9" s="95"/>
      <c r="BC9" s="96"/>
      <c r="BD9" s="96"/>
      <c r="BE9" s="98"/>
    </row>
    <row r="10" spans="1:57" ht="11.25" customHeight="1">
      <c r="A10" s="254">
        <f t="array" ref="A10">_xll.AC(DB,_xll.ArrayDPT($AA10:$AE10),_xll.ArrayCOA($AG10:$AZ10),YR-1,PRD,_xll.ArrayDIM($BB10:$BE10))</f>
        <v>0</v>
      </c>
      <c r="B10" s="237">
        <f t="shared" si="0"/>
        <v>0</v>
      </c>
      <c r="C10" s="237">
        <f t="shared" si="1"/>
        <v>0</v>
      </c>
      <c r="D10" s="237">
        <f t="shared" si="2"/>
        <v>0</v>
      </c>
      <c r="E10" s="254">
        <f t="array" ref="E10">_xll.BC(DB,_xll.ArrayDPT($AA10:$AE10),_xll.ArrayCOA($AG10:$AZ10),YR,PRD,RV,_xll.ArrayDIM($BB10:$BE10))</f>
        <v>0</v>
      </c>
      <c r="F10" s="237">
        <f t="shared" si="3"/>
        <v>0</v>
      </c>
      <c r="G10" s="254">
        <f t="array" ref="G10">_xll.AC(DB,_xll.ArrayDPT($AA10:$AE10),_xll.ArrayCOA($AG10:$AZ10),YR,PRD,_xll.ArrayDIM($BB10:$BE10))</f>
        <v>0</v>
      </c>
      <c r="H10" s="237">
        <f t="shared" si="4"/>
        <v>0</v>
      </c>
      <c r="I10" s="237"/>
      <c r="J10" s="328" t="s">
        <v>889</v>
      </c>
      <c r="K10" s="237"/>
      <c r="L10" s="254">
        <f t="array" ref="L10">_xll.ACC(DB,_xll.ArrayDPT($AA10:$AE10),_xll.ArrayCOA($AG10:$AZ10),YR,PRD,_xll.ArrayDIM($BB10:$BE10))</f>
        <v>0</v>
      </c>
      <c r="M10" s="237">
        <f t="shared" si="5"/>
        <v>0</v>
      </c>
      <c r="N10" s="254">
        <f t="array" ref="N10">_xll.BCC(DB,_xll.ArrayDPT($AA10:$AE10),_xll.ArrayCOA($AG10:$AZ10),YR,PRD,RV,_xll.ArrayDIM($BB10:$BE10))</f>
        <v>0</v>
      </c>
      <c r="O10" s="237">
        <f t="shared" si="6"/>
        <v>0</v>
      </c>
      <c r="P10" s="237">
        <f t="shared" si="7"/>
        <v>0</v>
      </c>
      <c r="Q10" s="237">
        <f t="shared" si="8"/>
        <v>0</v>
      </c>
      <c r="R10" s="254">
        <f t="array" ref="R10">_xll.ACC(DB,_xll.ArrayDPT($AA10:$AE10),_xll.ArrayCOA($AG10:$AZ10),YR-1,PRD,_xll.ArrayDIM($BB10:$BE10))</f>
        <v>0</v>
      </c>
      <c r="S10" s="237">
        <f t="shared" si="9"/>
        <v>0</v>
      </c>
      <c r="T10" s="397"/>
      <c r="U10" s="397"/>
      <c r="V10" s="397"/>
      <c r="W10" s="397"/>
      <c r="X10" s="397"/>
      <c r="Y10" s="397"/>
      <c r="Z10" s="397"/>
      <c r="AA10" s="95" t="s">
        <v>887</v>
      </c>
      <c r="AB10" s="96"/>
      <c r="AC10" s="96"/>
      <c r="AD10" s="96"/>
      <c r="AE10" s="96"/>
      <c r="AF10" s="97"/>
      <c r="AG10" s="95" t="s">
        <v>890</v>
      </c>
      <c r="AH10" s="96" t="s">
        <v>890</v>
      </c>
      <c r="AI10" s="95"/>
      <c r="AJ10" s="96"/>
      <c r="AK10" s="95"/>
      <c r="AL10" s="96"/>
      <c r="AM10" s="95"/>
      <c r="AN10" s="98"/>
      <c r="AO10" s="96"/>
      <c r="AP10" s="96"/>
      <c r="AQ10" s="95"/>
      <c r="AR10" s="98"/>
      <c r="AS10" s="96"/>
      <c r="AT10" s="96"/>
      <c r="AU10" s="95"/>
      <c r="AV10" s="98"/>
      <c r="AW10" s="96"/>
      <c r="AX10" s="96"/>
      <c r="AY10" s="95"/>
      <c r="AZ10" s="98"/>
      <c r="BA10" s="99"/>
      <c r="BB10" s="95"/>
      <c r="BC10" s="96"/>
      <c r="BD10" s="96"/>
      <c r="BE10" s="98"/>
    </row>
    <row r="11" spans="1:57" ht="11.25" customHeight="1">
      <c r="A11" s="254">
        <f t="array" ref="A11">_xll.AC(DB,_xll.ArrayDPT($AA11:$AE11),_xll.ArrayCOA($AG11:$AZ11),YR-1,PRD,_xll.ArrayDIM($BB11:$BE11))</f>
        <v>0</v>
      </c>
      <c r="B11" s="237">
        <f t="shared" si="0"/>
        <v>0</v>
      </c>
      <c r="C11" s="237">
        <f t="shared" si="1"/>
        <v>0</v>
      </c>
      <c r="D11" s="237">
        <f t="shared" si="2"/>
        <v>0</v>
      </c>
      <c r="E11" s="254">
        <f t="array" ref="E11">_xll.BC(DB,_xll.ArrayDPT($AA11:$AE11),_xll.ArrayCOA($AG11:$AZ11),YR,PRD,RV,_xll.ArrayDIM($BB11:$BE11))</f>
        <v>0</v>
      </c>
      <c r="F11" s="237">
        <f t="shared" si="3"/>
        <v>0</v>
      </c>
      <c r="G11" s="254">
        <f t="array" ref="G11">_xll.AC(DB,_xll.ArrayDPT($AA11:$AE11),_xll.ArrayCOA($AG11:$AZ11),YR,PRD,_xll.ArrayDIM($BB11:$BE11))</f>
        <v>0</v>
      </c>
      <c r="H11" s="237">
        <f t="shared" si="4"/>
        <v>0</v>
      </c>
      <c r="I11" s="237"/>
      <c r="J11" s="328" t="s">
        <v>891</v>
      </c>
      <c r="K11" s="237"/>
      <c r="L11" s="254">
        <f t="array" ref="L11">_xll.ACC(DB,_xll.ArrayDPT($AA11:$AE11),_xll.ArrayCOA($AG11:$AZ11),YR,PRD,_xll.ArrayDIM($BB11:$BE11))</f>
        <v>0</v>
      </c>
      <c r="M11" s="237">
        <f t="shared" si="5"/>
        <v>0</v>
      </c>
      <c r="N11" s="254">
        <f t="array" ref="N11">_xll.BCC(DB,_xll.ArrayDPT($AA11:$AE11),_xll.ArrayCOA($AG11:$AZ11),YR,PRD,RV,_xll.ArrayDIM($BB11:$BE11))</f>
        <v>0</v>
      </c>
      <c r="O11" s="237">
        <f t="shared" si="6"/>
        <v>0</v>
      </c>
      <c r="P11" s="237">
        <f t="shared" si="7"/>
        <v>0</v>
      </c>
      <c r="Q11" s="237">
        <f t="shared" si="8"/>
        <v>0</v>
      </c>
      <c r="R11" s="254">
        <f t="array" ref="R11">_xll.ACC(DB,_xll.ArrayDPT($AA11:$AE11),_xll.ArrayCOA($AG11:$AZ11),YR-1,PRD,_xll.ArrayDIM($BB11:$BE11))</f>
        <v>0</v>
      </c>
      <c r="S11" s="237">
        <f t="shared" si="9"/>
        <v>0</v>
      </c>
      <c r="T11" s="397"/>
      <c r="U11" s="397"/>
      <c r="V11" s="397"/>
      <c r="W11" s="397"/>
      <c r="X11" s="397"/>
      <c r="Y11" s="397"/>
      <c r="Z11" s="397"/>
      <c r="AA11" s="95"/>
      <c r="AB11" s="96"/>
      <c r="AC11" s="96"/>
      <c r="AD11" s="96"/>
      <c r="AE11" s="96"/>
      <c r="AF11" s="97"/>
      <c r="AG11" s="95"/>
      <c r="AH11" s="96"/>
      <c r="AI11" s="95"/>
      <c r="AJ11" s="96"/>
      <c r="AK11" s="95"/>
      <c r="AL11" s="96"/>
      <c r="AM11" s="95"/>
      <c r="AN11" s="98"/>
      <c r="AO11" s="96"/>
      <c r="AP11" s="96"/>
      <c r="AQ11" s="95"/>
      <c r="AR11" s="98"/>
      <c r="AS11" s="96"/>
      <c r="AT11" s="96"/>
      <c r="AU11" s="95"/>
      <c r="AV11" s="98"/>
      <c r="AW11" s="96"/>
      <c r="AX11" s="96"/>
      <c r="AY11" s="95"/>
      <c r="AZ11" s="98"/>
      <c r="BA11" s="99"/>
      <c r="BB11" s="95"/>
      <c r="BC11" s="96"/>
      <c r="BD11" s="96"/>
      <c r="BE11" s="98"/>
    </row>
    <row r="12" spans="1:57" ht="11.25" customHeight="1">
      <c r="A12" s="254">
        <f t="array" ref="A12">_xll.AC(DB,_xll.ArrayDPT($AA12:$AE12),_xll.ArrayCOA($AG12:$AZ12),YR-1,PRD,_xll.ArrayDIM($BB12:$BE12))</f>
        <v>0</v>
      </c>
      <c r="B12" s="237">
        <f t="shared" si="0"/>
        <v>0</v>
      </c>
      <c r="C12" s="237">
        <f t="shared" si="1"/>
        <v>0</v>
      </c>
      <c r="D12" s="237">
        <f t="shared" si="2"/>
        <v>0</v>
      </c>
      <c r="E12" s="254">
        <f t="array" ref="E12">_xll.BC(DB,_xll.ArrayDPT($AA12:$AE12),_xll.ArrayCOA($AG12:$AZ12),YR,PRD,RV,_xll.ArrayDIM($BB12:$BE12))</f>
        <v>0</v>
      </c>
      <c r="F12" s="237">
        <f t="shared" si="3"/>
        <v>0</v>
      </c>
      <c r="G12" s="254">
        <f t="array" ref="G12">_xll.AC(DB,_xll.ArrayDPT($AA12:$AE12),_xll.ArrayCOA($AG12:$AZ12),YR,PRD,_xll.ArrayDIM($BB12:$BE12))</f>
        <v>0</v>
      </c>
      <c r="H12" s="237">
        <f t="shared" si="4"/>
        <v>0</v>
      </c>
      <c r="I12" s="237"/>
      <c r="J12" s="328" t="s">
        <v>892</v>
      </c>
      <c r="K12" s="237"/>
      <c r="L12" s="254">
        <f t="array" ref="L12">_xll.ACC(DB,_xll.ArrayDPT($AA12:$AE12),_xll.ArrayCOA($AG12:$AZ12),YR,PRD,_xll.ArrayDIM($BB12:$BE12))</f>
        <v>0</v>
      </c>
      <c r="M12" s="237">
        <f t="shared" si="5"/>
        <v>0</v>
      </c>
      <c r="N12" s="254">
        <f t="array" ref="N12">_xll.BCC(DB,_xll.ArrayDPT($AA12:$AE12),_xll.ArrayCOA($AG12:$AZ12),YR,PRD,RV,_xll.ArrayDIM($BB12:$BE12))</f>
        <v>0</v>
      </c>
      <c r="O12" s="237">
        <f t="shared" si="6"/>
        <v>0</v>
      </c>
      <c r="P12" s="237">
        <f t="shared" si="7"/>
        <v>0</v>
      </c>
      <c r="Q12" s="237">
        <f t="shared" si="8"/>
        <v>0</v>
      </c>
      <c r="R12" s="254">
        <f t="array" ref="R12">_xll.ACC(DB,_xll.ArrayDPT($AA12:$AE12),_xll.ArrayCOA($AG12:$AZ12),YR-1,PRD,_xll.ArrayDIM($BB12:$BE12))</f>
        <v>0</v>
      </c>
      <c r="S12" s="237">
        <f t="shared" si="9"/>
        <v>0</v>
      </c>
      <c r="T12" s="397"/>
      <c r="U12" s="397"/>
      <c r="V12" s="397"/>
      <c r="W12" s="397"/>
      <c r="X12" s="397"/>
      <c r="Y12" s="397"/>
      <c r="Z12" s="397"/>
      <c r="AA12" s="95"/>
      <c r="AB12" s="96"/>
      <c r="AC12" s="96"/>
      <c r="AD12" s="96"/>
      <c r="AE12" s="96"/>
      <c r="AF12" s="97"/>
      <c r="AG12" s="95"/>
      <c r="AH12" s="96"/>
      <c r="AI12" s="95"/>
      <c r="AJ12" s="96"/>
      <c r="AK12" s="95"/>
      <c r="AL12" s="96"/>
      <c r="AM12" s="95"/>
      <c r="AN12" s="98"/>
      <c r="AO12" s="96"/>
      <c r="AP12" s="96"/>
      <c r="AQ12" s="95"/>
      <c r="AR12" s="98"/>
      <c r="AS12" s="96"/>
      <c r="AT12" s="96"/>
      <c r="AU12" s="95"/>
      <c r="AV12" s="98"/>
      <c r="AW12" s="96"/>
      <c r="AX12" s="96"/>
      <c r="AY12" s="95"/>
      <c r="AZ12" s="98"/>
      <c r="BA12" s="99"/>
      <c r="BB12" s="95"/>
      <c r="BC12" s="96"/>
      <c r="BD12" s="96"/>
      <c r="BE12" s="98"/>
    </row>
    <row r="13" spans="1:57" ht="11.25" customHeight="1">
      <c r="A13" s="254">
        <f t="array" ref="A13">_xll.AC(DB,_xll.ArrayDPT($AA13:$AE13),_xll.ArrayCOA($AG13:$AZ13),YR-1,PRD,_xll.ArrayDIM($BB13:$BE13))</f>
        <v>0</v>
      </c>
      <c r="B13" s="237">
        <f t="shared" si="0"/>
        <v>0</v>
      </c>
      <c r="C13" s="237">
        <f t="shared" si="1"/>
        <v>0</v>
      </c>
      <c r="D13" s="237">
        <f t="shared" si="2"/>
        <v>0</v>
      </c>
      <c r="E13" s="254">
        <f t="array" ref="E13">_xll.BC(DB,_xll.ArrayDPT($AA13:$AE13),_xll.ArrayCOA($AG13:$AZ13),YR,PRD,RV,_xll.ArrayDIM($BB13:$BE13))</f>
        <v>0</v>
      </c>
      <c r="F13" s="237">
        <f t="shared" si="3"/>
        <v>0</v>
      </c>
      <c r="G13" s="254">
        <f t="array" ref="G13">_xll.AC(DB,_xll.ArrayDPT($AA13:$AE13),_xll.ArrayCOA($AG13:$AZ13),YR,PRD,_xll.ArrayDIM($BB13:$BE13))</f>
        <v>0</v>
      </c>
      <c r="H13" s="237">
        <f t="shared" si="4"/>
        <v>0</v>
      </c>
      <c r="I13" s="237"/>
      <c r="J13" s="328" t="s">
        <v>893</v>
      </c>
      <c r="K13" s="237"/>
      <c r="L13" s="254">
        <f t="array" ref="L13">_xll.ACC(DB,_xll.ArrayDPT($AA13:$AE13),_xll.ArrayCOA($AG13:$AZ13),YR,PRD,_xll.ArrayDIM($BB13:$BE13))</f>
        <v>0</v>
      </c>
      <c r="M13" s="237">
        <f t="shared" si="5"/>
        <v>0</v>
      </c>
      <c r="N13" s="254">
        <f t="array" ref="N13">_xll.BCC(DB,_xll.ArrayDPT($AA13:$AE13),_xll.ArrayCOA($AG13:$AZ13),YR,PRD,RV,_xll.ArrayDIM($BB13:$BE13))</f>
        <v>0</v>
      </c>
      <c r="O13" s="237">
        <f t="shared" si="6"/>
        <v>0</v>
      </c>
      <c r="P13" s="237">
        <f t="shared" si="7"/>
        <v>0</v>
      </c>
      <c r="Q13" s="237">
        <f t="shared" si="8"/>
        <v>0</v>
      </c>
      <c r="R13" s="254">
        <f t="array" ref="R13">_xll.ACC(DB,_xll.ArrayDPT($AA13:$AE13),_xll.ArrayCOA($AG13:$AZ13),YR-1,PRD,_xll.ArrayDIM($BB13:$BE13))</f>
        <v>0</v>
      </c>
      <c r="S13" s="237">
        <f t="shared" si="9"/>
        <v>0</v>
      </c>
      <c r="T13" s="397"/>
      <c r="U13" s="397"/>
      <c r="V13" s="397"/>
      <c r="W13" s="397"/>
      <c r="X13" s="397"/>
      <c r="Y13" s="397"/>
      <c r="Z13" s="397"/>
      <c r="AA13" s="95"/>
      <c r="AB13" s="96"/>
      <c r="AC13" s="96"/>
      <c r="AD13" s="96"/>
      <c r="AE13" s="96"/>
      <c r="AF13" s="97"/>
      <c r="AG13" s="95"/>
      <c r="AH13" s="96"/>
      <c r="AI13" s="95"/>
      <c r="AJ13" s="96"/>
      <c r="AK13" s="95"/>
      <c r="AL13" s="96"/>
      <c r="AM13" s="95"/>
      <c r="AN13" s="98"/>
      <c r="AO13" s="96"/>
      <c r="AP13" s="96"/>
      <c r="AQ13" s="95"/>
      <c r="AR13" s="98"/>
      <c r="AS13" s="96"/>
      <c r="AT13" s="96"/>
      <c r="AU13" s="95"/>
      <c r="AV13" s="98"/>
      <c r="AW13" s="96"/>
      <c r="AX13" s="96"/>
      <c r="AY13" s="95"/>
      <c r="AZ13" s="98"/>
      <c r="BA13" s="99"/>
      <c r="BB13" s="95"/>
      <c r="BC13" s="96"/>
      <c r="BD13" s="96"/>
      <c r="BE13" s="98"/>
    </row>
    <row r="14" spans="1:57" ht="11.25" customHeight="1">
      <c r="A14" s="254">
        <f t="array" ref="A14">_xll.AC(DB,_xll.ArrayDPT($AA14:$AE14),_xll.ArrayCOA($AG14:$AZ14),YR-1,PRD,_xll.ArrayDIM($BB14:$BE14))</f>
        <v>5160</v>
      </c>
      <c r="B14" s="237">
        <f t="shared" si="0"/>
        <v>2.485403911611523</v>
      </c>
      <c r="C14" s="237">
        <f t="shared" si="1"/>
        <v>-14059.85</v>
      </c>
      <c r="D14" s="237">
        <f t="shared" si="2"/>
        <v>6.2641976256922876</v>
      </c>
      <c r="E14" s="254">
        <f t="array" ref="E14">_xll.BC(DB,_xll.ArrayDPT($AA14:$AE14),_xll.ArrayCOA($AG14:$AZ14),YR,PRD,RV,_xll.ArrayDIM($BB14:$BE14))</f>
        <v>0</v>
      </c>
      <c r="F14" s="237">
        <f t="shared" si="3"/>
        <v>0</v>
      </c>
      <c r="G14" s="254">
        <f t="array" ref="G14">_xll.AC(DB,_xll.ArrayDPT($AA14:$AE14),_xll.ArrayCOA($AG14:$AZ14),YR,PRD,_xll.ArrayDIM($BB14:$BE14))</f>
        <v>14059.85</v>
      </c>
      <c r="H14" s="237">
        <f t="shared" si="4"/>
        <v>6.2641976256922876</v>
      </c>
      <c r="I14" s="237"/>
      <c r="J14" s="328" t="s">
        <v>894</v>
      </c>
      <c r="K14" s="237"/>
      <c r="L14" s="254">
        <f t="array" ref="L14">_xll.ACC(DB,_xll.ArrayDPT($AA14:$AE14),_xll.ArrayCOA($AG14:$AZ14),YR,PRD,_xll.ArrayDIM($BB14:$BE14))</f>
        <v>14059.85</v>
      </c>
      <c r="M14" s="237">
        <f t="shared" si="5"/>
        <v>6.2641976256922876</v>
      </c>
      <c r="N14" s="254">
        <f t="array" ref="N14">_xll.BCC(DB,_xll.ArrayDPT($AA14:$AE14),_xll.ArrayCOA($AG14:$AZ14),YR,PRD,RV,_xll.ArrayDIM($BB14:$BE14))</f>
        <v>0</v>
      </c>
      <c r="O14" s="237">
        <f t="shared" si="6"/>
        <v>0</v>
      </c>
      <c r="P14" s="237">
        <f t="shared" si="7"/>
        <v>-14059.85</v>
      </c>
      <c r="Q14" s="237">
        <f t="shared" si="8"/>
        <v>6.2641976256922876</v>
      </c>
      <c r="R14" s="254">
        <f t="array" ref="R14">_xll.ACC(DB,_xll.ArrayDPT($AA14:$AE14),_xll.ArrayCOA($AG14:$AZ14),YR-1,PRD,_xll.ArrayDIM($BB14:$BE14))</f>
        <v>5160</v>
      </c>
      <c r="S14" s="237">
        <f t="shared" si="9"/>
        <v>2.485403911611523</v>
      </c>
      <c r="T14" s="397"/>
      <c r="U14" s="397"/>
      <c r="V14" s="397"/>
      <c r="W14" s="397"/>
      <c r="X14" s="397"/>
      <c r="Y14" s="397"/>
      <c r="Z14" s="397"/>
      <c r="AA14" s="95" t="s">
        <v>895</v>
      </c>
      <c r="AB14" s="96"/>
      <c r="AC14" s="96"/>
      <c r="AD14" s="96"/>
      <c r="AE14" s="96"/>
      <c r="AF14" s="97"/>
      <c r="AG14" s="95" t="s">
        <v>896</v>
      </c>
      <c r="AH14" s="96" t="s">
        <v>896</v>
      </c>
      <c r="AI14" s="95"/>
      <c r="AJ14" s="96"/>
      <c r="AK14" s="95"/>
      <c r="AL14" s="96"/>
      <c r="AM14" s="95"/>
      <c r="AN14" s="98"/>
      <c r="AO14" s="96"/>
      <c r="AP14" s="96"/>
      <c r="AQ14" s="95"/>
      <c r="AR14" s="98"/>
      <c r="AS14" s="96"/>
      <c r="AT14" s="96"/>
      <c r="AU14" s="95"/>
      <c r="AV14" s="98"/>
      <c r="AW14" s="96"/>
      <c r="AX14" s="96"/>
      <c r="AY14" s="95"/>
      <c r="AZ14" s="98"/>
      <c r="BA14" s="99"/>
      <c r="BB14" s="95"/>
      <c r="BC14" s="96"/>
      <c r="BD14" s="96"/>
      <c r="BE14" s="98"/>
    </row>
    <row r="15" spans="1:57" ht="11.25" customHeight="1">
      <c r="A15" s="254">
        <f t="array" ref="A15">_xll.AC(DB,_xll.ArrayDPT($AA15:$AE15),_xll.ArrayCOA($AG15:$AZ15),YR-1,PRD,_xll.ArrayDIM($BB15:$BE15))</f>
        <v>0</v>
      </c>
      <c r="B15" s="237">
        <f t="shared" si="0"/>
        <v>0</v>
      </c>
      <c r="C15" s="237">
        <f t="shared" si="1"/>
        <v>0</v>
      </c>
      <c r="D15" s="237">
        <f t="shared" si="2"/>
        <v>0</v>
      </c>
      <c r="E15" s="254">
        <f t="array" ref="E15">_xll.BC(DB,_xll.ArrayDPT($AA15:$AE15),_xll.ArrayCOA($AG15:$AZ15),YR,PRD,RV,_xll.ArrayDIM($BB15:$BE15))</f>
        <v>0</v>
      </c>
      <c r="F15" s="237">
        <f t="shared" si="3"/>
        <v>0</v>
      </c>
      <c r="G15" s="254">
        <f t="array" ref="G15">_xll.AC(DB,_xll.ArrayDPT($AA15:$AE15),_xll.ArrayCOA($AG15:$AZ15),YR,PRD,_xll.ArrayDIM($BB15:$BE15))</f>
        <v>0</v>
      </c>
      <c r="H15" s="237">
        <f t="shared" si="4"/>
        <v>0</v>
      </c>
      <c r="I15" s="237"/>
      <c r="J15" s="328" t="s">
        <v>897</v>
      </c>
      <c r="K15" s="237"/>
      <c r="L15" s="254">
        <f t="array" ref="L15">_xll.ACC(DB,_xll.ArrayDPT($AA15:$AE15),_xll.ArrayCOA($AG15:$AZ15),YR,PRD,_xll.ArrayDIM($BB15:$BE15))</f>
        <v>0</v>
      </c>
      <c r="M15" s="237">
        <f t="shared" si="5"/>
        <v>0</v>
      </c>
      <c r="N15" s="254">
        <f t="array" ref="N15">_xll.BCC(DB,_xll.ArrayDPT($AA15:$AE15),_xll.ArrayCOA($AG15:$AZ15),YR,PRD,RV,_xll.ArrayDIM($BB15:$BE15))</f>
        <v>0</v>
      </c>
      <c r="O15" s="237">
        <f t="shared" si="6"/>
        <v>0</v>
      </c>
      <c r="P15" s="237">
        <f t="shared" si="7"/>
        <v>0</v>
      </c>
      <c r="Q15" s="237">
        <f t="shared" si="8"/>
        <v>0</v>
      </c>
      <c r="R15" s="254">
        <f t="array" ref="R15">_xll.ACC(DB,_xll.ArrayDPT($AA15:$AE15),_xll.ArrayCOA($AG15:$AZ15),YR-1,PRD,_xll.ArrayDIM($BB15:$BE15))</f>
        <v>0</v>
      </c>
      <c r="S15" s="237">
        <f t="shared" si="9"/>
        <v>0</v>
      </c>
      <c r="T15" s="397"/>
      <c r="U15" s="397"/>
      <c r="V15" s="397"/>
      <c r="W15" s="397"/>
      <c r="X15" s="397"/>
      <c r="Y15" s="397"/>
      <c r="Z15" s="397"/>
      <c r="AA15" s="95" t="s">
        <v>895</v>
      </c>
      <c r="AB15" s="96"/>
      <c r="AC15" s="96"/>
      <c r="AD15" s="96"/>
      <c r="AE15" s="96"/>
      <c r="AF15" s="97"/>
      <c r="AG15" s="95" t="s">
        <v>898</v>
      </c>
      <c r="AH15" s="96" t="s">
        <v>898</v>
      </c>
      <c r="AI15" s="95"/>
      <c r="AJ15" s="96"/>
      <c r="AK15" s="95"/>
      <c r="AL15" s="96"/>
      <c r="AM15" s="95"/>
      <c r="AN15" s="98"/>
      <c r="AO15" s="96"/>
      <c r="AP15" s="96"/>
      <c r="AQ15" s="95"/>
      <c r="AR15" s="98"/>
      <c r="AS15" s="96"/>
      <c r="AT15" s="96"/>
      <c r="AU15" s="95"/>
      <c r="AV15" s="98"/>
      <c r="AW15" s="96"/>
      <c r="AX15" s="96"/>
      <c r="AY15" s="95"/>
      <c r="AZ15" s="98"/>
      <c r="BA15" s="99"/>
      <c r="BB15" s="95"/>
      <c r="BC15" s="96"/>
      <c r="BD15" s="96"/>
      <c r="BE15" s="98"/>
    </row>
    <row r="16" spans="1:57" ht="11.25" customHeight="1">
      <c r="A16" s="254">
        <f t="array" ref="A16">_xll.AC(DB,_xll.ArrayDPT($AA16:$AE16),_xll.ArrayCOA($AG16:$AZ16),YR-1,PRD,_xll.ArrayDIM($BB16:$BE16))</f>
        <v>0</v>
      </c>
      <c r="B16" s="237">
        <f t="shared" si="0"/>
        <v>0</v>
      </c>
      <c r="C16" s="237">
        <f t="shared" si="1"/>
        <v>0</v>
      </c>
      <c r="D16" s="237">
        <f t="shared" si="2"/>
        <v>0</v>
      </c>
      <c r="E16" s="254">
        <f t="array" ref="E16">_xll.BC(DB,_xll.ArrayDPT($AA16:$AE16),_xll.ArrayCOA($AG16:$AZ16),YR,PRD,RV,_xll.ArrayDIM($BB16:$BE16))</f>
        <v>0</v>
      </c>
      <c r="F16" s="237">
        <f t="shared" si="3"/>
        <v>0</v>
      </c>
      <c r="G16" s="254">
        <f t="array" ref="G16">_xll.AC(DB,_xll.ArrayDPT($AA16:$AE16),_xll.ArrayCOA($AG16:$AZ16),YR,PRD,_xll.ArrayDIM($BB16:$BE16))</f>
        <v>0</v>
      </c>
      <c r="H16" s="237">
        <f t="shared" si="4"/>
        <v>0</v>
      </c>
      <c r="I16" s="237"/>
      <c r="J16" s="328" t="s">
        <v>899</v>
      </c>
      <c r="K16" s="237"/>
      <c r="L16" s="254">
        <f t="array" ref="L16">_xll.ACC(DB,_xll.ArrayDPT($AA16:$AE16),_xll.ArrayCOA($AG16:$AZ16),YR,PRD,_xll.ArrayDIM($BB16:$BE16))</f>
        <v>0</v>
      </c>
      <c r="M16" s="237">
        <f t="shared" si="5"/>
        <v>0</v>
      </c>
      <c r="N16" s="254">
        <f t="array" ref="N16">_xll.BCC(DB,_xll.ArrayDPT($AA16:$AE16),_xll.ArrayCOA($AG16:$AZ16),YR,PRD,RV,_xll.ArrayDIM($BB16:$BE16))</f>
        <v>0</v>
      </c>
      <c r="O16" s="237">
        <f t="shared" si="6"/>
        <v>0</v>
      </c>
      <c r="P16" s="237">
        <f t="shared" si="7"/>
        <v>0</v>
      </c>
      <c r="Q16" s="237">
        <f t="shared" si="8"/>
        <v>0</v>
      </c>
      <c r="R16" s="254">
        <f t="array" ref="R16">_xll.ACC(DB,_xll.ArrayDPT($AA16:$AE16),_xll.ArrayCOA($AG16:$AZ16),YR-1,PRD,_xll.ArrayDIM($BB16:$BE16))</f>
        <v>0</v>
      </c>
      <c r="S16" s="237">
        <f t="shared" si="9"/>
        <v>0</v>
      </c>
      <c r="T16" s="397"/>
      <c r="U16" s="397"/>
      <c r="V16" s="397"/>
      <c r="W16" s="397"/>
      <c r="X16" s="397"/>
      <c r="Y16" s="397"/>
      <c r="Z16" s="397"/>
      <c r="AA16" s="95" t="s">
        <v>900</v>
      </c>
      <c r="AB16" s="96"/>
      <c r="AC16" s="96"/>
      <c r="AD16" s="96"/>
      <c r="AE16" s="96"/>
      <c r="AF16" s="97"/>
      <c r="AG16" s="95" t="s">
        <v>901</v>
      </c>
      <c r="AH16" s="96" t="s">
        <v>901</v>
      </c>
      <c r="AI16" s="95" t="s">
        <v>629</v>
      </c>
      <c r="AJ16" s="96" t="s">
        <v>629</v>
      </c>
      <c r="AK16" s="95" t="s">
        <v>902</v>
      </c>
      <c r="AL16" s="96" t="s">
        <v>902</v>
      </c>
      <c r="AM16" s="95" t="s">
        <v>759</v>
      </c>
      <c r="AN16" s="98" t="s">
        <v>759</v>
      </c>
      <c r="AO16" s="96"/>
      <c r="AP16" s="96"/>
      <c r="AQ16" s="95"/>
      <c r="AR16" s="98"/>
      <c r="AS16" s="96"/>
      <c r="AT16" s="96"/>
      <c r="AU16" s="95"/>
      <c r="AV16" s="98"/>
      <c r="AW16" s="96"/>
      <c r="AX16" s="96"/>
      <c r="AY16" s="95"/>
      <c r="AZ16" s="98"/>
      <c r="BA16" s="99"/>
      <c r="BB16" s="95"/>
      <c r="BC16" s="96"/>
      <c r="BD16" s="96"/>
      <c r="BE16" s="98"/>
    </row>
    <row r="17" spans="1:57" ht="11.25" customHeight="1">
      <c r="A17" s="254">
        <f t="array" ref="A17">_xll.AC(DB,_xll.ArrayDPT($AA17:$AE17),_xll.ArrayCOA($AG17:$AZ17),YR-1,PRD,_xll.ArrayDIM($BB17:$BE17))</f>
        <v>202452.13</v>
      </c>
      <c r="B17" s="237">
        <f t="shared" si="0"/>
        <v>97.514596088388473</v>
      </c>
      <c r="C17" s="237">
        <f t="shared" si="1"/>
        <v>-210387.89</v>
      </c>
      <c r="D17" s="237">
        <f t="shared" si="2"/>
        <v>93.73580237430771</v>
      </c>
      <c r="E17" s="254">
        <f t="array" ref="E17">_xll.BC(DB,_xll.ArrayDPT($AA17:$AE17),_xll.ArrayCOA($AG17:$AZ17),YR,PRD,RV,_xll.ArrayDIM($BB17:$BE17))</f>
        <v>0</v>
      </c>
      <c r="F17" s="237">
        <f t="shared" si="3"/>
        <v>0</v>
      </c>
      <c r="G17" s="254">
        <f>_xll.AC(DB,_xll.ArrayDPT($AA17:$AE17),_xll.ArrayCOA($AG17:$AZ17),YR,PRD,_xll.ArrayDIM($BB17:$BE17))</f>
        <v>210387.89</v>
      </c>
      <c r="H17" s="237">
        <f t="shared" si="4"/>
        <v>93.73580237430771</v>
      </c>
      <c r="I17" s="237"/>
      <c r="J17" s="328" t="s">
        <v>903</v>
      </c>
      <c r="K17" s="237"/>
      <c r="L17" s="254">
        <f t="array" ref="L17">_xll.ACC(DB,_xll.ArrayDPT($AA17:$AE17),_xll.ArrayCOA($AG17:$AZ17),YR,PRD,_xll.ArrayDIM($BB17:$BE17))</f>
        <v>210387.89</v>
      </c>
      <c r="M17" s="237">
        <f t="shared" si="5"/>
        <v>93.73580237430771</v>
      </c>
      <c r="N17" s="254">
        <f t="array" ref="N17">_xll.BCC(DB,_xll.ArrayDPT($AA17:$AE17),_xll.ArrayCOA($AG17:$AZ17),YR,PRD,RV,_xll.ArrayDIM($BB17:$BE17))</f>
        <v>0</v>
      </c>
      <c r="O17" s="237">
        <f t="shared" si="6"/>
        <v>0</v>
      </c>
      <c r="P17" s="237">
        <f t="shared" si="7"/>
        <v>-210387.89</v>
      </c>
      <c r="Q17" s="237">
        <f t="shared" si="8"/>
        <v>93.73580237430771</v>
      </c>
      <c r="R17" s="254">
        <f t="array" ref="R17">_xll.ACC(DB,_xll.ArrayDPT($AA17:$AE17),_xll.ArrayCOA($AG17:$AZ17),YR-1,PRD,_xll.ArrayDIM($BB17:$BE17))</f>
        <v>202452.13</v>
      </c>
      <c r="S17" s="237">
        <f t="shared" si="9"/>
        <v>97.514596088388473</v>
      </c>
      <c r="T17" s="295"/>
      <c r="U17" s="295"/>
      <c r="V17" s="295"/>
      <c r="W17" s="295"/>
      <c r="X17" s="295"/>
      <c r="Y17" s="295"/>
      <c r="Z17" s="295"/>
      <c r="AA17" s="95" t="s">
        <v>904</v>
      </c>
      <c r="AB17" s="96"/>
      <c r="AC17" s="96"/>
      <c r="AD17" s="96"/>
      <c r="AE17" s="96"/>
      <c r="AF17" s="97"/>
      <c r="AG17" s="95" t="s">
        <v>906</v>
      </c>
      <c r="AH17" s="96" t="s">
        <v>1361</v>
      </c>
      <c r="AI17" s="95"/>
      <c r="AJ17" s="96"/>
      <c r="AK17" s="95"/>
      <c r="AL17" s="96"/>
      <c r="AM17" s="95"/>
      <c r="AN17" s="98"/>
      <c r="AO17" s="96"/>
      <c r="AP17" s="96"/>
      <c r="AQ17" s="95"/>
      <c r="AR17" s="98"/>
      <c r="AS17" s="96"/>
      <c r="AT17" s="96"/>
      <c r="AU17" s="95"/>
      <c r="AV17" s="98"/>
      <c r="AW17" s="96"/>
      <c r="AX17" s="96"/>
      <c r="AY17" s="95"/>
      <c r="AZ17" s="98"/>
      <c r="BA17" s="99"/>
      <c r="BB17" s="95"/>
      <c r="BC17" s="96"/>
      <c r="BD17" s="96"/>
      <c r="BE17" s="98"/>
    </row>
    <row r="18" spans="1:57" ht="6" customHeight="1">
      <c r="A18" s="330"/>
      <c r="B18" s="329"/>
      <c r="C18" s="392"/>
      <c r="D18" s="329"/>
      <c r="E18" s="392"/>
      <c r="F18" s="329"/>
      <c r="G18" s="392"/>
      <c r="H18" s="329"/>
      <c r="I18" s="398"/>
      <c r="J18" s="392"/>
      <c r="K18" s="399"/>
      <c r="L18" s="393"/>
      <c r="M18" s="333"/>
      <c r="N18" s="393"/>
      <c r="O18" s="333"/>
      <c r="P18" s="393"/>
      <c r="Q18" s="333"/>
      <c r="R18" s="393"/>
      <c r="S18" s="341"/>
      <c r="T18" s="328"/>
      <c r="U18" s="328"/>
      <c r="V18" s="328"/>
      <c r="W18" s="328"/>
      <c r="X18" s="328"/>
      <c r="Y18" s="328"/>
      <c r="Z18" s="328"/>
      <c r="AA18" s="95"/>
      <c r="AB18" s="96"/>
      <c r="AC18" s="96"/>
      <c r="AD18" s="96"/>
      <c r="AE18" s="96"/>
      <c r="AF18" s="97"/>
      <c r="AG18" s="95"/>
      <c r="AH18" s="96"/>
      <c r="AI18" s="95"/>
      <c r="AJ18" s="96"/>
      <c r="AK18" s="95"/>
      <c r="AL18" s="96"/>
      <c r="AM18" s="95"/>
      <c r="AN18" s="98"/>
      <c r="AO18" s="96"/>
      <c r="AP18" s="96"/>
      <c r="AQ18" s="95"/>
      <c r="AR18" s="98"/>
      <c r="AS18" s="96"/>
      <c r="AT18" s="96"/>
      <c r="AU18" s="95"/>
      <c r="AV18" s="98"/>
      <c r="AW18" s="96"/>
      <c r="AX18" s="96"/>
      <c r="AY18" s="95"/>
      <c r="AZ18" s="98"/>
      <c r="BA18" s="99"/>
      <c r="BB18" s="95"/>
      <c r="BC18" s="96"/>
      <c r="BD18" s="96"/>
      <c r="BE18" s="98"/>
    </row>
    <row r="19" spans="1:57" ht="12" customHeight="1">
      <c r="A19" s="394">
        <f>SUM(A8:A17)</f>
        <v>207612.13</v>
      </c>
      <c r="B19" s="338">
        <f>IF(A19=0,0,(A19*100)/A$19)</f>
        <v>100</v>
      </c>
      <c r="C19" s="395">
        <f>SUM(C8:C17)</f>
        <v>-224447.74000000002</v>
      </c>
      <c r="D19" s="338">
        <f>IF(C19=0,0,(C19*100)/C$19)</f>
        <v>100.00000000000001</v>
      </c>
      <c r="E19" s="395">
        <f>SUM(E8:E17)</f>
        <v>0</v>
      </c>
      <c r="F19" s="338">
        <f>IF(E19=0,0,(E19*100)/E$19)</f>
        <v>0</v>
      </c>
      <c r="G19" s="395">
        <f>SUM(G8:G17)</f>
        <v>224447.74000000002</v>
      </c>
      <c r="H19" s="338">
        <f>IF(G19=0,0,(G19*100)/G$19)</f>
        <v>100.00000000000001</v>
      </c>
      <c r="I19" s="394"/>
      <c r="J19" s="396" t="s">
        <v>850</v>
      </c>
      <c r="K19" s="400"/>
      <c r="L19" s="395">
        <f>SUM(L8:L17)</f>
        <v>224447.74000000002</v>
      </c>
      <c r="M19" s="338">
        <f>IF(L19=0,0,(L19*100)/L$19)</f>
        <v>100.00000000000001</v>
      </c>
      <c r="N19" s="395">
        <f>SUM(N8:N17)</f>
        <v>0</v>
      </c>
      <c r="O19" s="338">
        <f>IF(N19=0,0,(N19*100)/N$19)</f>
        <v>0</v>
      </c>
      <c r="P19" s="395">
        <f>SUM(P8:P17)</f>
        <v>-224447.74000000002</v>
      </c>
      <c r="Q19" s="338">
        <f>IF(P19=0,0,(P19*100)/P$19)</f>
        <v>100.00000000000001</v>
      </c>
      <c r="R19" s="395">
        <f>SUM(R8:R17)</f>
        <v>207612.13</v>
      </c>
      <c r="S19" s="338">
        <f>IF(R19=0,0,(R19*100)/R$19)</f>
        <v>100</v>
      </c>
      <c r="T19" s="295"/>
      <c r="U19" s="295"/>
      <c r="V19" s="295"/>
      <c r="W19" s="295"/>
      <c r="X19" s="295"/>
      <c r="Y19" s="295"/>
      <c r="Z19" s="295"/>
      <c r="AA19" s="95"/>
      <c r="AB19" s="96"/>
      <c r="AC19" s="96"/>
      <c r="AD19" s="96"/>
      <c r="AE19" s="96"/>
      <c r="AF19" s="97"/>
      <c r="AG19" s="95"/>
      <c r="AH19" s="96"/>
      <c r="AI19" s="95"/>
      <c r="AJ19" s="96"/>
      <c r="AK19" s="95"/>
      <c r="AL19" s="96"/>
      <c r="AM19" s="95"/>
      <c r="AN19" s="98"/>
      <c r="AO19" s="96"/>
      <c r="AP19" s="96"/>
      <c r="AQ19" s="95"/>
      <c r="AR19" s="98"/>
      <c r="AS19" s="96"/>
      <c r="AT19" s="96"/>
      <c r="AU19" s="95"/>
      <c r="AV19" s="98"/>
      <c r="AW19" s="96"/>
      <c r="AX19" s="96"/>
      <c r="AY19" s="95"/>
      <c r="AZ19" s="98"/>
      <c r="BA19" s="99"/>
      <c r="BB19" s="95"/>
      <c r="BC19" s="96"/>
      <c r="BD19" s="96"/>
      <c r="BE19" s="98"/>
    </row>
    <row r="20" spans="1:57" ht="12" customHeight="1">
      <c r="A20" s="262"/>
      <c r="B20" s="262"/>
      <c r="C20" s="262"/>
      <c r="D20" s="262"/>
      <c r="E20" s="262"/>
      <c r="F20" s="262"/>
      <c r="G20" s="262"/>
      <c r="H20" s="262"/>
      <c r="I20" s="262"/>
      <c r="J20" s="263"/>
      <c r="K20" s="262"/>
      <c r="L20" s="262"/>
      <c r="M20" s="262"/>
      <c r="N20" s="262"/>
      <c r="O20" s="262"/>
      <c r="P20" s="262"/>
      <c r="Q20" s="262"/>
      <c r="R20" s="262"/>
      <c r="S20" s="262"/>
      <c r="T20" s="295"/>
      <c r="U20" s="295"/>
      <c r="V20" s="295"/>
      <c r="W20" s="295"/>
      <c r="X20" s="295"/>
      <c r="Y20" s="295"/>
      <c r="Z20" s="295"/>
      <c r="AA20" s="95"/>
      <c r="AB20" s="96"/>
      <c r="AC20" s="96"/>
      <c r="AD20" s="96"/>
      <c r="AE20" s="96"/>
      <c r="AF20" s="97"/>
      <c r="AG20" s="95"/>
      <c r="AH20" s="96"/>
      <c r="AI20" s="95"/>
      <c r="AJ20" s="96"/>
      <c r="AK20" s="95"/>
      <c r="AL20" s="96"/>
      <c r="AM20" s="95"/>
      <c r="AN20" s="98"/>
      <c r="AO20" s="96"/>
      <c r="AP20" s="96"/>
      <c r="AQ20" s="95"/>
      <c r="AR20" s="98"/>
      <c r="AS20" s="96"/>
      <c r="AT20" s="96"/>
      <c r="AU20" s="95"/>
      <c r="AV20" s="98"/>
      <c r="AW20" s="96"/>
      <c r="AX20" s="96"/>
      <c r="AY20" s="95"/>
      <c r="AZ20" s="98"/>
      <c r="BA20" s="99"/>
      <c r="BB20" s="95"/>
      <c r="BC20" s="96"/>
      <c r="BD20" s="96"/>
      <c r="BE20" s="98"/>
    </row>
    <row r="21" spans="1:57" ht="12" customHeight="1">
      <c r="A21" s="254">
        <f t="array" ref="A21">_xll.AC(DB,_xll.ArrayDPT($AA21:$AE21),_xll.ArrayCOA($AG21:$AZ21),YR-1,PRD,_xll.ArrayDIM($BB21:$BE21))</f>
        <v>0</v>
      </c>
      <c r="B21" s="237">
        <f t="shared" ref="B21:B29" si="10">IF(A21=0,0,(A21*100)/A$19)</f>
        <v>0</v>
      </c>
      <c r="C21" s="237">
        <f t="shared" ref="C21:C29" si="11">+E21-G21</f>
        <v>0</v>
      </c>
      <c r="D21" s="237">
        <f t="shared" ref="D21:D29" si="12">IF(C21=0,0,(C21*100)/C$19)</f>
        <v>0</v>
      </c>
      <c r="E21" s="254">
        <f t="array" ref="E21">_xll.BC(DB,_xll.ArrayDPT($AA21:$AE21),_xll.ArrayCOA($AG21:$AZ21),YR,PRD,RV,_xll.ArrayDIM($BB21:$BE21))</f>
        <v>0</v>
      </c>
      <c r="F21" s="237">
        <f t="shared" ref="F21:F29" si="13">IF(E21=0,0,(E21*100)/E$19)</f>
        <v>0</v>
      </c>
      <c r="G21" s="254">
        <f t="array" ref="G21">_xll.AC(DB,_xll.ArrayDPT($AA21:$AE21),_xll.ArrayCOA($AG21:$AZ21),YR,PRD,_xll.ArrayDIM($BB21:$BE21))</f>
        <v>0</v>
      </c>
      <c r="H21" s="237">
        <f t="shared" ref="H21:H29" si="14">IF(G21=0,0,(G21*100)/G$19)</f>
        <v>0</v>
      </c>
      <c r="I21" s="237"/>
      <c r="J21" s="237" t="s">
        <v>907</v>
      </c>
      <c r="K21" s="237"/>
      <c r="L21" s="254">
        <f t="array" ref="L21">_xll.ACC(DB,_xll.ArrayDPT($AA21:$AE21),_xll.ArrayCOA($AG21:$AZ21),YR,PRD,_xll.ArrayDIM($BB21:$BE21))</f>
        <v>0</v>
      </c>
      <c r="M21" s="237">
        <f t="shared" ref="M21:M29" si="15">IF(L21=0,0,(L21*100)/L$19)</f>
        <v>0</v>
      </c>
      <c r="N21" s="254">
        <f t="array" ref="N21">_xll.BCC(DB,_xll.ArrayDPT($AA21:$AE21),_xll.ArrayCOA($AG21:$AZ21),YR,PRD,RV,_xll.ArrayDIM($BB21:$BE21))</f>
        <v>0</v>
      </c>
      <c r="O21" s="237">
        <f t="shared" ref="O21:O29" si="16">IF(N21=0,0,(N21*100)/N$19)</f>
        <v>0</v>
      </c>
      <c r="P21" s="237">
        <f t="shared" ref="P21:P29" si="17">+N21-L21</f>
        <v>0</v>
      </c>
      <c r="Q21" s="237">
        <f t="shared" ref="Q21:Q29" si="18">IF(P21=0,0,(P21*100)/P$19)</f>
        <v>0</v>
      </c>
      <c r="R21" s="254">
        <f t="array" ref="R21">_xll.ACC(DB,_xll.ArrayDPT($AA21:$AE21),_xll.ArrayCOA($AG21:$AZ21),YR-1,PRD,_xll.ArrayDIM($BB21:$BE21))</f>
        <v>0</v>
      </c>
      <c r="S21" s="237">
        <f t="shared" ref="S21:S29" si="19">IF(R21=0,0,(R21*100)/R$19)</f>
        <v>0</v>
      </c>
      <c r="T21" s="295"/>
      <c r="U21" s="295"/>
      <c r="V21" s="295"/>
      <c r="W21" s="295"/>
      <c r="X21" s="295"/>
      <c r="Y21" s="295"/>
      <c r="Z21" s="295"/>
      <c r="AA21" s="95" t="s">
        <v>884</v>
      </c>
      <c r="AB21" s="96"/>
      <c r="AC21" s="96"/>
      <c r="AD21" s="96"/>
      <c r="AE21" s="96"/>
      <c r="AF21" s="97"/>
      <c r="AG21" s="95" t="s">
        <v>908</v>
      </c>
      <c r="AH21" s="96" t="s">
        <v>908</v>
      </c>
      <c r="AI21" s="95"/>
      <c r="AJ21" s="96"/>
      <c r="AK21" s="95"/>
      <c r="AL21" s="96"/>
      <c r="AM21" s="95"/>
      <c r="AN21" s="98"/>
      <c r="AO21" s="96"/>
      <c r="AP21" s="96"/>
      <c r="AQ21" s="95"/>
      <c r="AR21" s="98"/>
      <c r="AS21" s="96"/>
      <c r="AT21" s="96"/>
      <c r="AU21" s="95"/>
      <c r="AV21" s="98"/>
      <c r="AW21" s="96"/>
      <c r="AX21" s="96"/>
      <c r="AY21" s="95"/>
      <c r="AZ21" s="98"/>
      <c r="BA21" s="99"/>
      <c r="BB21" s="95"/>
      <c r="BC21" s="96"/>
      <c r="BD21" s="96"/>
      <c r="BE21" s="98"/>
    </row>
    <row r="22" spans="1:57" ht="12" customHeight="1">
      <c r="A22" s="254">
        <f t="array" ref="A22">_xll.AC(DB,_xll.ArrayDPT($AA22:$AE22),_xll.ArrayCOA($AG22:$AZ22),YR-1,PRD,_xll.ArrayDIM($BB22:$BE22))</f>
        <v>0</v>
      </c>
      <c r="B22" s="237">
        <f t="shared" si="10"/>
        <v>0</v>
      </c>
      <c r="C22" s="237">
        <f t="shared" si="11"/>
        <v>0</v>
      </c>
      <c r="D22" s="237">
        <f t="shared" si="12"/>
        <v>0</v>
      </c>
      <c r="E22" s="254">
        <f t="array" ref="E22">_xll.BC(DB,_xll.ArrayDPT($AA22:$AE22),_xll.ArrayCOA($AG22:$AZ22),YR,PRD,RV,_xll.ArrayDIM($BB22:$BE22))</f>
        <v>0</v>
      </c>
      <c r="F22" s="237">
        <f t="shared" si="13"/>
        <v>0</v>
      </c>
      <c r="G22" s="254">
        <f t="array" ref="G22">_xll.AC(DB,_xll.ArrayDPT($AA22:$AE22),_xll.ArrayCOA($AG22:$AZ22),YR,PRD,_xll.ArrayDIM($BB22:$BE22))</f>
        <v>0</v>
      </c>
      <c r="H22" s="237">
        <f t="shared" si="14"/>
        <v>0</v>
      </c>
      <c r="I22" s="237"/>
      <c r="J22" s="237" t="s">
        <v>909</v>
      </c>
      <c r="K22" s="237"/>
      <c r="L22" s="254">
        <f t="array" ref="L22">_xll.ACC(DB,_xll.ArrayDPT($AA22:$AE22),_xll.ArrayCOA($AG22:$AZ22),YR,PRD,_xll.ArrayDIM($BB22:$BE22))</f>
        <v>0</v>
      </c>
      <c r="M22" s="237">
        <f t="shared" si="15"/>
        <v>0</v>
      </c>
      <c r="N22" s="254">
        <f t="array" ref="N22">_xll.BCC(DB,_xll.ArrayDPT($AA22:$AE22),_xll.ArrayCOA($AG22:$AZ22),YR,PRD,RV,_xll.ArrayDIM($BB22:$BE22))</f>
        <v>0</v>
      </c>
      <c r="O22" s="237">
        <f t="shared" si="16"/>
        <v>0</v>
      </c>
      <c r="P22" s="237">
        <f t="shared" si="17"/>
        <v>0</v>
      </c>
      <c r="Q22" s="237">
        <f t="shared" si="18"/>
        <v>0</v>
      </c>
      <c r="R22" s="254">
        <f t="array" ref="R22">_xll.ACC(DB,_xll.ArrayDPT($AA22:$AE22),_xll.ArrayCOA($AG22:$AZ22),YR-1,PRD,_xll.ArrayDIM($BB22:$BE22))</f>
        <v>0</v>
      </c>
      <c r="S22" s="237">
        <f t="shared" si="19"/>
        <v>0</v>
      </c>
      <c r="T22" s="295"/>
      <c r="U22" s="295"/>
      <c r="V22" s="295"/>
      <c r="W22" s="295"/>
      <c r="X22" s="295"/>
      <c r="Y22" s="295"/>
      <c r="Z22" s="295"/>
      <c r="AA22" s="95" t="s">
        <v>887</v>
      </c>
      <c r="AB22" s="96"/>
      <c r="AC22" s="96"/>
      <c r="AD22" s="96"/>
      <c r="AE22" s="96"/>
      <c r="AF22" s="97"/>
      <c r="AG22" s="95" t="s">
        <v>910</v>
      </c>
      <c r="AH22" s="96" t="s">
        <v>910</v>
      </c>
      <c r="AI22" s="95"/>
      <c r="AJ22" s="96"/>
      <c r="AK22" s="95"/>
      <c r="AL22" s="96"/>
      <c r="AM22" s="95"/>
      <c r="AN22" s="98"/>
      <c r="AO22" s="96"/>
      <c r="AP22" s="96"/>
      <c r="AQ22" s="95"/>
      <c r="AR22" s="98"/>
      <c r="AS22" s="96"/>
      <c r="AT22" s="96"/>
      <c r="AU22" s="95"/>
      <c r="AV22" s="98"/>
      <c r="AW22" s="96"/>
      <c r="AX22" s="96"/>
      <c r="AY22" s="95"/>
      <c r="AZ22" s="98"/>
      <c r="BA22" s="99"/>
      <c r="BB22" s="95"/>
      <c r="BC22" s="96"/>
      <c r="BD22" s="96"/>
      <c r="BE22" s="98"/>
    </row>
    <row r="23" spans="1:57" ht="12" customHeight="1">
      <c r="A23" s="254">
        <f t="array" ref="A23">_xll.AC(DB,_xll.ArrayDPT($AA23:$AE23),_xll.ArrayCOA($AG23:$AZ23),YR-1,PRD,_xll.ArrayDIM($BB23:$BE23))</f>
        <v>0</v>
      </c>
      <c r="B23" s="237">
        <f t="shared" si="10"/>
        <v>0</v>
      </c>
      <c r="C23" s="237">
        <f t="shared" si="11"/>
        <v>0</v>
      </c>
      <c r="D23" s="237">
        <f t="shared" si="12"/>
        <v>0</v>
      </c>
      <c r="E23" s="254">
        <f t="array" ref="E23">_xll.BC(DB,_xll.ArrayDPT($AA23:$AE23),_xll.ArrayCOA($AG23:$AZ23),YR,PRD,RV,_xll.ArrayDIM($BB23:$BE23))</f>
        <v>0</v>
      </c>
      <c r="F23" s="237">
        <f t="shared" si="13"/>
        <v>0</v>
      </c>
      <c r="G23" s="254">
        <f t="array" ref="G23">_xll.AC(DB,_xll.ArrayDPT($AA23:$AE23),_xll.ArrayCOA($AG23:$AZ23),YR,PRD,_xll.ArrayDIM($BB23:$BE23))</f>
        <v>0</v>
      </c>
      <c r="H23" s="237">
        <f t="shared" si="14"/>
        <v>0</v>
      </c>
      <c r="I23" s="237"/>
      <c r="J23" s="237" t="s">
        <v>911</v>
      </c>
      <c r="K23" s="237"/>
      <c r="L23" s="254">
        <f t="array" ref="L23">_xll.ACC(DB,_xll.ArrayDPT($AA23:$AE23),_xll.ArrayCOA($AG23:$AZ23),YR,PRD,_xll.ArrayDIM($BB23:$BE23))</f>
        <v>0</v>
      </c>
      <c r="M23" s="237">
        <f t="shared" si="15"/>
        <v>0</v>
      </c>
      <c r="N23" s="254">
        <f t="array" ref="N23">_xll.BCC(DB,_xll.ArrayDPT($AA23:$AE23),_xll.ArrayCOA($AG23:$AZ23),YR,PRD,RV,_xll.ArrayDIM($BB23:$BE23))</f>
        <v>0</v>
      </c>
      <c r="O23" s="237">
        <f t="shared" si="16"/>
        <v>0</v>
      </c>
      <c r="P23" s="237">
        <f t="shared" si="17"/>
        <v>0</v>
      </c>
      <c r="Q23" s="237">
        <f t="shared" si="18"/>
        <v>0</v>
      </c>
      <c r="R23" s="254">
        <f t="array" ref="R23">_xll.ACC(DB,_xll.ArrayDPT($AA23:$AE23),_xll.ArrayCOA($AG23:$AZ23),YR-1,PRD,_xll.ArrayDIM($BB23:$BE23))</f>
        <v>0</v>
      </c>
      <c r="S23" s="237">
        <f t="shared" si="19"/>
        <v>0</v>
      </c>
      <c r="T23" s="295"/>
      <c r="U23" s="295"/>
      <c r="V23" s="295"/>
      <c r="W23" s="295"/>
      <c r="X23" s="295"/>
      <c r="Y23" s="295"/>
      <c r="Z23" s="295"/>
      <c r="AA23" s="95" t="s">
        <v>887</v>
      </c>
      <c r="AB23" s="96"/>
      <c r="AC23" s="96"/>
      <c r="AD23" s="96"/>
      <c r="AE23" s="96"/>
      <c r="AF23" s="97"/>
      <c r="AG23" s="95" t="s">
        <v>912</v>
      </c>
      <c r="AH23" s="96" t="s">
        <v>912</v>
      </c>
      <c r="AI23" s="95"/>
      <c r="AJ23" s="96"/>
      <c r="AK23" s="95"/>
      <c r="AL23" s="96"/>
      <c r="AM23" s="95"/>
      <c r="AN23" s="98"/>
      <c r="AO23" s="96"/>
      <c r="AP23" s="96"/>
      <c r="AQ23" s="95"/>
      <c r="AR23" s="98"/>
      <c r="AS23" s="96"/>
      <c r="AT23" s="96"/>
      <c r="AU23" s="95"/>
      <c r="AV23" s="98"/>
      <c r="AW23" s="96"/>
      <c r="AX23" s="96"/>
      <c r="AY23" s="95"/>
      <c r="AZ23" s="98"/>
      <c r="BA23" s="99"/>
      <c r="BB23" s="95"/>
      <c r="BC23" s="96"/>
      <c r="BD23" s="96"/>
      <c r="BE23" s="98"/>
    </row>
    <row r="24" spans="1:57" ht="12" hidden="1" customHeight="1">
      <c r="A24" s="254">
        <f t="array" ref="A24">_xll.AC(DB,_xll.ArrayDPT($AA24:$AE24),_xll.ArrayCOA($AG24:$AZ24),YR-1,PRD,_xll.ArrayDIM($BB24:$BE24))</f>
        <v>0</v>
      </c>
      <c r="B24" s="237">
        <f t="shared" si="10"/>
        <v>0</v>
      </c>
      <c r="C24" s="237">
        <f t="shared" si="11"/>
        <v>0</v>
      </c>
      <c r="D24" s="237">
        <f t="shared" si="12"/>
        <v>0</v>
      </c>
      <c r="E24" s="254">
        <f t="array" ref="E24">_xll.BC(DB,_xll.ArrayDPT($AA24:$AE24),_xll.ArrayCOA($AG24:$AZ24),YR,PRD,RV,_xll.ArrayDIM($BB24:$BE24))</f>
        <v>0</v>
      </c>
      <c r="F24" s="237">
        <f t="shared" si="13"/>
        <v>0</v>
      </c>
      <c r="G24" s="254">
        <f t="array" ref="G24">_xll.AC(DB,_xll.ArrayDPT($AA24:$AE24),_xll.ArrayCOA($AG24:$AZ24),YR,PRD,_xll.ArrayDIM($BB24:$BE24))</f>
        <v>0</v>
      </c>
      <c r="H24" s="237">
        <f t="shared" si="14"/>
        <v>0</v>
      </c>
      <c r="I24" s="237"/>
      <c r="J24" s="237" t="s">
        <v>913</v>
      </c>
      <c r="K24" s="237"/>
      <c r="L24" s="254">
        <f t="array" ref="L24">_xll.ACC(DB,_xll.ArrayDPT($AA24:$AE24),_xll.ArrayCOA($AG24:$AZ24),YR,PRD,_xll.ArrayDIM($BB24:$BE24))</f>
        <v>0</v>
      </c>
      <c r="M24" s="237">
        <f t="shared" si="15"/>
        <v>0</v>
      </c>
      <c r="N24" s="254">
        <f t="array" ref="N24">_xll.BCC(DB,_xll.ArrayDPT($AA24:$AE24),_xll.ArrayCOA($AG24:$AZ24),YR,PRD,RV,_xll.ArrayDIM($BB24:$BE24))</f>
        <v>0</v>
      </c>
      <c r="O24" s="237">
        <f t="shared" si="16"/>
        <v>0</v>
      </c>
      <c r="P24" s="237">
        <f t="shared" si="17"/>
        <v>0</v>
      </c>
      <c r="Q24" s="237">
        <f t="shared" si="18"/>
        <v>0</v>
      </c>
      <c r="R24" s="254">
        <f t="array" ref="R24">_xll.ACC(DB,_xll.ArrayDPT($AA24:$AE24),_xll.ArrayCOA($AG24:$AZ24),YR-1,PRD,_xll.ArrayDIM($BB24:$BE24))</f>
        <v>0</v>
      </c>
      <c r="S24" s="237">
        <f t="shared" si="19"/>
        <v>0</v>
      </c>
      <c r="T24" s="295"/>
      <c r="U24" s="295"/>
      <c r="V24" s="295"/>
      <c r="W24" s="295"/>
      <c r="X24" s="295"/>
      <c r="Y24" s="295"/>
      <c r="Z24" s="295"/>
      <c r="AA24" s="95"/>
      <c r="AB24" s="96"/>
      <c r="AC24" s="96"/>
      <c r="AD24" s="96"/>
      <c r="AE24" s="96"/>
      <c r="AF24" s="97"/>
      <c r="AG24" s="95"/>
      <c r="AH24" s="96"/>
      <c r="AI24" s="95"/>
      <c r="AJ24" s="96"/>
      <c r="AK24" s="95"/>
      <c r="AL24" s="96"/>
      <c r="AM24" s="95"/>
      <c r="AN24" s="98"/>
      <c r="AO24" s="96"/>
      <c r="AP24" s="96"/>
      <c r="AQ24" s="95"/>
      <c r="AR24" s="98"/>
      <c r="AS24" s="96"/>
      <c r="AT24" s="96"/>
      <c r="AU24" s="95"/>
      <c r="AV24" s="98"/>
      <c r="AW24" s="96"/>
      <c r="AX24" s="96"/>
      <c r="AY24" s="95"/>
      <c r="AZ24" s="98"/>
      <c r="BA24" s="99"/>
      <c r="BB24" s="95"/>
      <c r="BC24" s="96"/>
      <c r="BD24" s="96"/>
      <c r="BE24" s="98"/>
    </row>
    <row r="25" spans="1:57" ht="12" hidden="1" customHeight="1">
      <c r="A25" s="254">
        <f t="array" ref="A25">_xll.AC(DB,_xll.ArrayDPT($AA25:$AE25),_xll.ArrayCOA($AG25:$AZ25),YR-1,PRD,_xll.ArrayDIM($BB25:$BE25))</f>
        <v>0</v>
      </c>
      <c r="B25" s="237">
        <f t="shared" si="10"/>
        <v>0</v>
      </c>
      <c r="C25" s="237">
        <f t="shared" si="11"/>
        <v>0</v>
      </c>
      <c r="D25" s="237">
        <f t="shared" si="12"/>
        <v>0</v>
      </c>
      <c r="E25" s="254">
        <f t="array" ref="E25">_xll.BC(DB,_xll.ArrayDPT($AA25:$AE25),_xll.ArrayCOA($AG25:$AZ25),YR,PRD,RV,_xll.ArrayDIM($BB25:$BE25))</f>
        <v>0</v>
      </c>
      <c r="F25" s="237">
        <f t="shared" si="13"/>
        <v>0</v>
      </c>
      <c r="G25" s="254">
        <f t="array" ref="G25">_xll.AC(DB,_xll.ArrayDPT($AA25:$AE25),_xll.ArrayCOA($AG25:$AZ25),YR,PRD,_xll.ArrayDIM($BB25:$BE25))</f>
        <v>0</v>
      </c>
      <c r="H25" s="237">
        <f t="shared" si="14"/>
        <v>0</v>
      </c>
      <c r="I25" s="237"/>
      <c r="J25" s="237" t="s">
        <v>914</v>
      </c>
      <c r="K25" s="237"/>
      <c r="L25" s="254">
        <f t="array" ref="L25">_xll.ACC(DB,_xll.ArrayDPT($AA25:$AE25),_xll.ArrayCOA($AG25:$AZ25),YR,PRD,_xll.ArrayDIM($BB25:$BE25))</f>
        <v>0</v>
      </c>
      <c r="M25" s="237">
        <f t="shared" si="15"/>
        <v>0</v>
      </c>
      <c r="N25" s="254">
        <f t="array" ref="N25">_xll.BCC(DB,_xll.ArrayDPT($AA25:$AE25),_xll.ArrayCOA($AG25:$AZ25),YR,PRD,RV,_xll.ArrayDIM($BB25:$BE25))</f>
        <v>0</v>
      </c>
      <c r="O25" s="237">
        <f t="shared" si="16"/>
        <v>0</v>
      </c>
      <c r="P25" s="237">
        <f t="shared" si="17"/>
        <v>0</v>
      </c>
      <c r="Q25" s="237">
        <f t="shared" si="18"/>
        <v>0</v>
      </c>
      <c r="R25" s="254">
        <f t="array" ref="R25">_xll.ACC(DB,_xll.ArrayDPT($AA25:$AE25),_xll.ArrayCOA($AG25:$AZ25),YR-1,PRD,_xll.ArrayDIM($BB25:$BE25))</f>
        <v>0</v>
      </c>
      <c r="S25" s="237">
        <f t="shared" si="19"/>
        <v>0</v>
      </c>
      <c r="T25" s="295"/>
      <c r="U25" s="295"/>
      <c r="V25" s="295"/>
      <c r="W25" s="295"/>
      <c r="X25" s="295"/>
      <c r="Y25" s="295"/>
      <c r="Z25" s="295"/>
      <c r="AA25" s="95"/>
      <c r="AB25" s="96"/>
      <c r="AC25" s="96"/>
      <c r="AD25" s="96"/>
      <c r="AE25" s="96"/>
      <c r="AF25" s="97"/>
      <c r="AG25" s="95"/>
      <c r="AH25" s="96"/>
      <c r="AI25" s="95"/>
      <c r="AJ25" s="96"/>
      <c r="AK25" s="95"/>
      <c r="AL25" s="96"/>
      <c r="AM25" s="95"/>
      <c r="AN25" s="98"/>
      <c r="AO25" s="96"/>
      <c r="AP25" s="96"/>
      <c r="AQ25" s="95"/>
      <c r="AR25" s="98"/>
      <c r="AS25" s="96"/>
      <c r="AT25" s="96"/>
      <c r="AU25" s="95"/>
      <c r="AV25" s="98"/>
      <c r="AW25" s="96"/>
      <c r="AX25" s="96"/>
      <c r="AY25" s="95"/>
      <c r="AZ25" s="98"/>
      <c r="BA25" s="99"/>
      <c r="BB25" s="95"/>
      <c r="BC25" s="96"/>
      <c r="BD25" s="96"/>
      <c r="BE25" s="98"/>
    </row>
    <row r="26" spans="1:57" ht="12" customHeight="1">
      <c r="A26" s="254">
        <f t="array" ref="A26">_xll.AC(DB,_xll.ArrayDPT($AA26:$AE26),_xll.ArrayCOA($AG26:$AZ26),YR-1,PRD,_xll.ArrayDIM($BB26:$BE26))</f>
        <v>0</v>
      </c>
      <c r="B26" s="237">
        <f t="shared" si="10"/>
        <v>0</v>
      </c>
      <c r="C26" s="237">
        <f t="shared" si="11"/>
        <v>-5540.5</v>
      </c>
      <c r="D26" s="237">
        <f t="shared" si="12"/>
        <v>2.4685033585100919</v>
      </c>
      <c r="E26" s="254">
        <f t="array" ref="E26">_xll.BC(DB,_xll.ArrayDPT($AA26:$AE26),_xll.ArrayCOA($AG26:$AZ26),YR,PRD,RV,_xll.ArrayDIM($BB26:$BE26))</f>
        <v>0</v>
      </c>
      <c r="F26" s="237">
        <f t="shared" si="13"/>
        <v>0</v>
      </c>
      <c r="G26" s="254">
        <f t="array" ref="G26">_xll.AC(DB,_xll.ArrayDPT($AA26:$AE26),_xll.ArrayCOA($AG26:$AZ26),YR,PRD,_xll.ArrayDIM($BB26:$BE26))</f>
        <v>5540.5</v>
      </c>
      <c r="H26" s="237">
        <f t="shared" si="14"/>
        <v>2.4685033585100919</v>
      </c>
      <c r="I26" s="237"/>
      <c r="J26" s="237" t="s">
        <v>915</v>
      </c>
      <c r="K26" s="237"/>
      <c r="L26" s="254">
        <f t="array" ref="L26">_xll.ACC(DB,_xll.ArrayDPT($AA26:$AE26),_xll.ArrayCOA($AG26:$AZ26),YR,PRD,_xll.ArrayDIM($BB26:$BE26))</f>
        <v>5540.5</v>
      </c>
      <c r="M26" s="237">
        <f t="shared" si="15"/>
        <v>2.4685033585100919</v>
      </c>
      <c r="N26" s="254">
        <f t="array" ref="N26">_xll.BCC(DB,_xll.ArrayDPT($AA26:$AE26),_xll.ArrayCOA($AG26:$AZ26),YR,PRD,RV,_xll.ArrayDIM($BB26:$BE26))</f>
        <v>0</v>
      </c>
      <c r="O26" s="237">
        <f t="shared" si="16"/>
        <v>0</v>
      </c>
      <c r="P26" s="237">
        <f t="shared" si="17"/>
        <v>-5540.5</v>
      </c>
      <c r="Q26" s="237">
        <f t="shared" si="18"/>
        <v>2.4685033585100919</v>
      </c>
      <c r="R26" s="254">
        <f t="array" ref="R26">_xll.ACC(DB,_xll.ArrayDPT($AA26:$AE26),_xll.ArrayCOA($AG26:$AZ26),YR-1,PRD,_xll.ArrayDIM($BB26:$BE26))</f>
        <v>0</v>
      </c>
      <c r="S26" s="237">
        <f t="shared" si="19"/>
        <v>0</v>
      </c>
      <c r="T26" s="295"/>
      <c r="U26" s="295"/>
      <c r="V26" s="295"/>
      <c r="W26" s="295"/>
      <c r="X26" s="295"/>
      <c r="Y26" s="295"/>
      <c r="Z26" s="295"/>
      <c r="AA26" s="95" t="s">
        <v>895</v>
      </c>
      <c r="AB26" s="96"/>
      <c r="AC26" s="96"/>
      <c r="AD26" s="96"/>
      <c r="AE26" s="96"/>
      <c r="AF26" s="97"/>
      <c r="AG26" s="95" t="s">
        <v>916</v>
      </c>
      <c r="AH26" s="96" t="s">
        <v>916</v>
      </c>
      <c r="AI26" s="95"/>
      <c r="AJ26" s="96"/>
      <c r="AK26" s="95"/>
      <c r="AL26" s="96"/>
      <c r="AM26" s="95"/>
      <c r="AN26" s="98"/>
      <c r="AO26" s="96"/>
      <c r="AP26" s="96"/>
      <c r="AQ26" s="95"/>
      <c r="AR26" s="98"/>
      <c r="AS26" s="96"/>
      <c r="AT26" s="96"/>
      <c r="AU26" s="95"/>
      <c r="AV26" s="98"/>
      <c r="AW26" s="96"/>
      <c r="AX26" s="96"/>
      <c r="AY26" s="95"/>
      <c r="AZ26" s="98"/>
      <c r="BA26" s="99"/>
      <c r="BB26" s="95"/>
      <c r="BC26" s="96"/>
      <c r="BD26" s="96"/>
      <c r="BE26" s="98"/>
    </row>
    <row r="27" spans="1:57" ht="12" customHeight="1">
      <c r="A27" s="254">
        <f t="array" ref="A27">_xll.AC(DB,_xll.ArrayDPT($AA27:$AE27),_xll.ArrayCOA($AG27:$AZ27),YR-1,PRD,_xll.ArrayDIM($BB27:$BE27))</f>
        <v>0</v>
      </c>
      <c r="B27" s="237">
        <f t="shared" si="10"/>
        <v>0</v>
      </c>
      <c r="C27" s="237">
        <f t="shared" si="11"/>
        <v>0</v>
      </c>
      <c r="D27" s="237">
        <f t="shared" si="12"/>
        <v>0</v>
      </c>
      <c r="E27" s="254">
        <f t="array" ref="E27">_xll.BC(DB,_xll.ArrayDPT($AA27:$AE27),_xll.ArrayCOA($AG27:$AZ27),YR,PRD,RV,_xll.ArrayDIM($BB27:$BE27))</f>
        <v>0</v>
      </c>
      <c r="F27" s="237">
        <f t="shared" si="13"/>
        <v>0</v>
      </c>
      <c r="G27" s="254">
        <f t="array" ref="G27">_xll.AC(DB,_xll.ArrayDPT($AA27:$AE27),_xll.ArrayCOA($AG27:$AZ27),YR,PRD,_xll.ArrayDIM($BB27:$BE27))</f>
        <v>0</v>
      </c>
      <c r="H27" s="237">
        <f t="shared" si="14"/>
        <v>0</v>
      </c>
      <c r="I27" s="237"/>
      <c r="J27" s="237" t="s">
        <v>917</v>
      </c>
      <c r="K27" s="237"/>
      <c r="L27" s="254">
        <f t="array" ref="L27">_xll.ACC(DB,_xll.ArrayDPT($AA27:$AE27),_xll.ArrayCOA($AG27:$AZ27),YR,PRD,_xll.ArrayDIM($BB27:$BE27))</f>
        <v>0</v>
      </c>
      <c r="M27" s="237">
        <f t="shared" si="15"/>
        <v>0</v>
      </c>
      <c r="N27" s="254">
        <f t="array" ref="N27">_xll.BCC(DB,_xll.ArrayDPT($AA27:$AE27),_xll.ArrayCOA($AG27:$AZ27),YR,PRD,RV,_xll.ArrayDIM($BB27:$BE27))</f>
        <v>0</v>
      </c>
      <c r="O27" s="237">
        <f t="shared" si="16"/>
        <v>0</v>
      </c>
      <c r="P27" s="237">
        <f t="shared" si="17"/>
        <v>0</v>
      </c>
      <c r="Q27" s="237">
        <f t="shared" si="18"/>
        <v>0</v>
      </c>
      <c r="R27" s="254">
        <f t="array" ref="R27">_xll.ACC(DB,_xll.ArrayDPT($AA27:$AE27),_xll.ArrayCOA($AG27:$AZ27),YR-1,PRD,_xll.ArrayDIM($BB27:$BE27))</f>
        <v>0</v>
      </c>
      <c r="S27" s="237">
        <f t="shared" si="19"/>
        <v>0</v>
      </c>
      <c r="T27" s="295"/>
      <c r="U27" s="295"/>
      <c r="V27" s="295"/>
      <c r="W27" s="295"/>
      <c r="X27" s="295"/>
      <c r="Y27" s="295"/>
      <c r="Z27" s="295"/>
      <c r="AA27" s="95"/>
      <c r="AB27" s="96"/>
      <c r="AC27" s="96"/>
      <c r="AD27" s="96"/>
      <c r="AE27" s="96"/>
      <c r="AF27" s="97"/>
      <c r="AG27" s="95"/>
      <c r="AH27" s="96"/>
      <c r="AI27" s="95"/>
      <c r="AJ27" s="96"/>
      <c r="AK27" s="95"/>
      <c r="AL27" s="96"/>
      <c r="AM27" s="95"/>
      <c r="AN27" s="98"/>
      <c r="AO27" s="96"/>
      <c r="AP27" s="96"/>
      <c r="AQ27" s="95"/>
      <c r="AR27" s="98"/>
      <c r="AS27" s="96"/>
      <c r="AT27" s="96"/>
      <c r="AU27" s="95"/>
      <c r="AV27" s="98"/>
      <c r="AW27" s="96"/>
      <c r="AX27" s="96"/>
      <c r="AY27" s="95"/>
      <c r="AZ27" s="98"/>
      <c r="BA27" s="99"/>
      <c r="BB27" s="95"/>
      <c r="BC27" s="96"/>
      <c r="BD27" s="96"/>
      <c r="BE27" s="98"/>
    </row>
    <row r="28" spans="1:57" ht="12" customHeight="1">
      <c r="A28" s="254">
        <f t="array" ref="A28">_xll.AC(DB,_xll.ArrayDPT($AA28:$AE28),_xll.ArrayCOA($AG28:$AZ28),YR-1,PRD,_xll.ArrayDIM($BB28:$BE28))</f>
        <v>0</v>
      </c>
      <c r="B28" s="237">
        <f t="shared" si="10"/>
        <v>0</v>
      </c>
      <c r="C28" s="237">
        <f t="shared" si="11"/>
        <v>0</v>
      </c>
      <c r="D28" s="237">
        <f t="shared" si="12"/>
        <v>0</v>
      </c>
      <c r="E28" s="254">
        <f t="array" ref="E28">_xll.BC(DB,_xll.ArrayDPT($AA28:$AE28),_xll.ArrayCOA($AG28:$AZ28),YR,PRD,RV,_xll.ArrayDIM($BB28:$BE28))</f>
        <v>0</v>
      </c>
      <c r="F28" s="237">
        <f t="shared" si="13"/>
        <v>0</v>
      </c>
      <c r="G28" s="254">
        <f t="array" ref="G28">_xll.AC(DB,_xll.ArrayDPT($AA28:$AE28),_xll.ArrayCOA($AG28:$AZ28),YR,PRD,_xll.ArrayDIM($BB28:$BE28))</f>
        <v>0</v>
      </c>
      <c r="H28" s="237">
        <f t="shared" si="14"/>
        <v>0</v>
      </c>
      <c r="I28" s="237"/>
      <c r="J28" s="237" t="s">
        <v>918</v>
      </c>
      <c r="K28" s="237"/>
      <c r="L28" s="254">
        <f t="array" ref="L28">_xll.ACC(DB,_xll.ArrayDPT($AA28:$AE28),_xll.ArrayCOA($AG28:$AZ28),YR,PRD,_xll.ArrayDIM($BB28:$BE28))</f>
        <v>0</v>
      </c>
      <c r="M28" s="237">
        <f t="shared" si="15"/>
        <v>0</v>
      </c>
      <c r="N28" s="254">
        <f t="array" ref="N28">_xll.BCC(DB,_xll.ArrayDPT($AA28:$AE28),_xll.ArrayCOA($AG28:$AZ28),YR,PRD,RV,_xll.ArrayDIM($BB28:$BE28))</f>
        <v>0</v>
      </c>
      <c r="O28" s="237">
        <f t="shared" si="16"/>
        <v>0</v>
      </c>
      <c r="P28" s="237">
        <f t="shared" si="17"/>
        <v>0</v>
      </c>
      <c r="Q28" s="237">
        <f t="shared" si="18"/>
        <v>0</v>
      </c>
      <c r="R28" s="254">
        <f t="array" ref="R28">_xll.ACC(DB,_xll.ArrayDPT($AA28:$AE28),_xll.ArrayCOA($AG28:$AZ28),YR-1,PRD,_xll.ArrayDIM($BB28:$BE28))</f>
        <v>0</v>
      </c>
      <c r="S28" s="237">
        <f t="shared" si="19"/>
        <v>0</v>
      </c>
      <c r="T28" s="295"/>
      <c r="U28" s="295"/>
      <c r="V28" s="295"/>
      <c r="W28" s="295"/>
      <c r="X28" s="295"/>
      <c r="Y28" s="295"/>
      <c r="Z28" s="295"/>
      <c r="AA28" s="95" t="s">
        <v>905</v>
      </c>
      <c r="AB28" s="96"/>
      <c r="AC28" s="96"/>
      <c r="AD28" s="96"/>
      <c r="AE28" s="96"/>
      <c r="AF28" s="97"/>
      <c r="AG28" s="95" t="s">
        <v>919</v>
      </c>
      <c r="AH28" s="96" t="s">
        <v>919</v>
      </c>
      <c r="AI28" s="95"/>
      <c r="AJ28" s="96"/>
      <c r="AK28" s="95"/>
      <c r="AL28" s="96"/>
      <c r="AM28" s="95"/>
      <c r="AN28" s="98"/>
      <c r="AO28" s="96"/>
      <c r="AP28" s="96"/>
      <c r="AQ28" s="95"/>
      <c r="AR28" s="98"/>
      <c r="AS28" s="96"/>
      <c r="AT28" s="96"/>
      <c r="AU28" s="95"/>
      <c r="AV28" s="98"/>
      <c r="AW28" s="96"/>
      <c r="AX28" s="96"/>
      <c r="AY28" s="95"/>
      <c r="AZ28" s="98"/>
      <c r="BA28" s="99"/>
      <c r="BB28" s="95"/>
      <c r="BC28" s="96"/>
      <c r="BD28" s="96"/>
      <c r="BE28" s="98"/>
    </row>
    <row r="29" spans="1:57" ht="12" customHeight="1">
      <c r="A29" s="254">
        <f t="array" ref="A29">_xll.AC(DB,_xll.ArrayDPT($AA29:$AE29),_xll.ArrayCOA($AG29:$AZ29),YR-1,PRD,_xll.ArrayDIM($BB29:$BE29))</f>
        <v>12536.48</v>
      </c>
      <c r="B29" s="237">
        <f t="shared" si="10"/>
        <v>6.0384140367906252</v>
      </c>
      <c r="C29" s="237">
        <f t="shared" si="11"/>
        <v>-46596.39</v>
      </c>
      <c r="D29" s="237">
        <f t="shared" si="12"/>
        <v>20.760462992409725</v>
      </c>
      <c r="E29" s="254">
        <f t="array" ref="E29">_xll.BC(DB,_xll.ArrayDPT($AA29:$AE29),_xll.ArrayCOA($AG29:$AZ29),YR,PRD,RV,_xll.ArrayDIM($BB29:$BE29))</f>
        <v>0</v>
      </c>
      <c r="F29" s="237">
        <f t="shared" si="13"/>
        <v>0</v>
      </c>
      <c r="G29" s="254">
        <f t="array" ref="G29">_xll.AC(DB,_xll.ArrayDPT($AA29:$AE29),_xll.ArrayCOA($AG29:$AZ29),YR,PRD,_xll.ArrayDIM($BB29:$BE29))</f>
        <v>46596.39</v>
      </c>
      <c r="H29" s="237">
        <f t="shared" si="14"/>
        <v>20.760462992409725</v>
      </c>
      <c r="I29" s="237"/>
      <c r="J29" s="237" t="s">
        <v>920</v>
      </c>
      <c r="K29" s="237"/>
      <c r="L29" s="254">
        <f t="array" ref="L29">_xll.ACC(DB,_xll.ArrayDPT($AA29:$AE29),_xll.ArrayCOA($AG29:$AZ29),YR,PRD,_xll.ArrayDIM($BB29:$BE29))</f>
        <v>46596.39</v>
      </c>
      <c r="M29" s="237">
        <f t="shared" si="15"/>
        <v>20.760462992409725</v>
      </c>
      <c r="N29" s="254">
        <f t="array" ref="N29">_xll.BCC(DB,_xll.ArrayDPT($AA29:$AE29),_xll.ArrayCOA($AG29:$AZ29),YR,PRD,RV,_xll.ArrayDIM($BB29:$BE29))</f>
        <v>0</v>
      </c>
      <c r="O29" s="237">
        <f t="shared" si="16"/>
        <v>0</v>
      </c>
      <c r="P29" s="237">
        <f t="shared" si="17"/>
        <v>-46596.39</v>
      </c>
      <c r="Q29" s="237">
        <f t="shared" si="18"/>
        <v>20.760462992409725</v>
      </c>
      <c r="R29" s="254">
        <f t="array" ref="R29">_xll.ACC(DB,_xll.ArrayDPT($AA29:$AE29),_xll.ArrayCOA($AG29:$AZ29),YR-1,PRD,_xll.ArrayDIM($BB29:$BE29))</f>
        <v>12536.48</v>
      </c>
      <c r="S29" s="237">
        <f t="shared" si="19"/>
        <v>6.0384140367906252</v>
      </c>
      <c r="T29" s="295"/>
      <c r="U29" s="295"/>
      <c r="V29" s="295"/>
      <c r="W29" s="295"/>
      <c r="X29" s="295"/>
      <c r="Y29" s="295"/>
      <c r="Z29" s="295"/>
      <c r="AA29" s="95" t="s">
        <v>904</v>
      </c>
      <c r="AB29" s="96" t="s">
        <v>905</v>
      </c>
      <c r="AC29" s="96"/>
      <c r="AD29" s="96"/>
      <c r="AE29" s="96"/>
      <c r="AF29" s="97"/>
      <c r="AG29" s="95" t="s">
        <v>726</v>
      </c>
      <c r="AH29" s="96" t="s">
        <v>726</v>
      </c>
      <c r="AI29" s="95"/>
      <c r="AJ29" s="96"/>
      <c r="AK29" s="95"/>
      <c r="AL29" s="96"/>
      <c r="AM29" s="95"/>
      <c r="AN29" s="98"/>
      <c r="AO29" s="96"/>
      <c r="AP29" s="96"/>
      <c r="AQ29" s="95"/>
      <c r="AR29" s="98"/>
      <c r="AS29" s="96"/>
      <c r="AT29" s="96"/>
      <c r="AU29" s="95"/>
      <c r="AV29" s="98"/>
      <c r="AW29" s="96"/>
      <c r="AX29" s="96"/>
      <c r="AY29" s="95"/>
      <c r="AZ29" s="98"/>
      <c r="BA29" s="99"/>
      <c r="BB29" s="95"/>
      <c r="BC29" s="96"/>
      <c r="BD29" s="96"/>
      <c r="BE29" s="98"/>
    </row>
    <row r="30" spans="1:57" ht="6" customHeight="1">
      <c r="A30" s="330"/>
      <c r="B30" s="329"/>
      <c r="C30" s="392"/>
      <c r="D30" s="329"/>
      <c r="E30" s="392"/>
      <c r="F30" s="329"/>
      <c r="G30" s="392"/>
      <c r="H30" s="329"/>
      <c r="I30" s="398"/>
      <c r="J30" s="392"/>
      <c r="K30" s="399"/>
      <c r="L30" s="333"/>
      <c r="M30" s="393"/>
      <c r="N30" s="333"/>
      <c r="O30" s="393"/>
      <c r="P30" s="333"/>
      <c r="Q30" s="393"/>
      <c r="R30" s="333"/>
      <c r="S30" s="403"/>
      <c r="T30" s="328"/>
      <c r="U30" s="328"/>
      <c r="V30" s="328"/>
      <c r="W30" s="328"/>
      <c r="X30" s="328"/>
      <c r="Y30" s="328"/>
      <c r="Z30" s="328"/>
      <c r="AA30" s="95"/>
      <c r="AB30" s="96"/>
      <c r="AC30" s="96"/>
      <c r="AD30" s="96"/>
      <c r="AE30" s="96"/>
      <c r="AF30" s="97"/>
      <c r="AG30" s="95"/>
      <c r="AH30" s="96"/>
      <c r="AI30" s="95"/>
      <c r="AJ30" s="96"/>
      <c r="AK30" s="95"/>
      <c r="AL30" s="96"/>
      <c r="AM30" s="95"/>
      <c r="AN30" s="98"/>
      <c r="AO30" s="96"/>
      <c r="AP30" s="96"/>
      <c r="AQ30" s="95"/>
      <c r="AR30" s="98"/>
      <c r="AS30" s="96"/>
      <c r="AT30" s="96"/>
      <c r="AU30" s="95"/>
      <c r="AV30" s="98"/>
      <c r="AW30" s="96"/>
      <c r="AX30" s="96"/>
      <c r="AY30" s="95"/>
      <c r="AZ30" s="98"/>
      <c r="BA30" s="99"/>
      <c r="BB30" s="95"/>
      <c r="BC30" s="96"/>
      <c r="BD30" s="96"/>
      <c r="BE30" s="98"/>
    </row>
    <row r="31" spans="1:57" ht="12" customHeight="1">
      <c r="A31" s="394">
        <f>SUM(A21:A29)</f>
        <v>12536.48</v>
      </c>
      <c r="B31" s="338">
        <f>IF(A31=0,0,(A31*100)/A$19)</f>
        <v>6.0384140367906252</v>
      </c>
      <c r="C31" s="395">
        <f>SUM(C21:C29)</f>
        <v>-52136.89</v>
      </c>
      <c r="D31" s="338">
        <f>IF(C31=0,0,(C31*100)/C$19)</f>
        <v>23.228966350919816</v>
      </c>
      <c r="E31" s="395">
        <f>SUM(E21:E29)</f>
        <v>0</v>
      </c>
      <c r="F31" s="338">
        <f>IF(E31=0,0,(E31*100)/E$19)</f>
        <v>0</v>
      </c>
      <c r="G31" s="395">
        <f>SUM(G21:G29)</f>
        <v>52136.89</v>
      </c>
      <c r="H31" s="338">
        <f>IF(G31=0,0,(G31*100)/G$19)</f>
        <v>23.228966350919816</v>
      </c>
      <c r="I31" s="394"/>
      <c r="J31" s="395" t="s">
        <v>541</v>
      </c>
      <c r="K31" s="400"/>
      <c r="L31" s="338">
        <f>SUM(L21:L29)</f>
        <v>52136.89</v>
      </c>
      <c r="M31" s="395">
        <f>IF(L31=0,0,(L31*100)/L$19)</f>
        <v>23.228966350919816</v>
      </c>
      <c r="N31" s="338">
        <f>SUM(N21:N29)</f>
        <v>0</v>
      </c>
      <c r="O31" s="395">
        <f>IF(N31=0,0,(N31*100)/N$19)</f>
        <v>0</v>
      </c>
      <c r="P31" s="338">
        <f>SUM(P21:P29)</f>
        <v>-52136.89</v>
      </c>
      <c r="Q31" s="395">
        <f>IF(P31=0,0,(P31*100)/P$19)</f>
        <v>23.228966350919816</v>
      </c>
      <c r="R31" s="338">
        <f>SUM(R21:R29)</f>
        <v>12536.48</v>
      </c>
      <c r="S31" s="400">
        <f>IF(R31=0,0,(R31*100)/R$19)</f>
        <v>6.0384140367906252</v>
      </c>
      <c r="T31" s="295"/>
      <c r="U31" s="295"/>
      <c r="V31" s="295"/>
      <c r="W31" s="295"/>
      <c r="X31" s="295"/>
      <c r="Y31" s="295"/>
      <c r="Z31" s="295"/>
      <c r="AA31" s="95"/>
      <c r="AB31" s="96"/>
      <c r="AC31" s="96"/>
      <c r="AD31" s="96"/>
      <c r="AE31" s="96"/>
      <c r="AF31" s="97"/>
      <c r="AG31" s="95"/>
      <c r="AH31" s="96"/>
      <c r="AI31" s="95"/>
      <c r="AJ31" s="96"/>
      <c r="AK31" s="95"/>
      <c r="AL31" s="96"/>
      <c r="AM31" s="95"/>
      <c r="AN31" s="98"/>
      <c r="AO31" s="96"/>
      <c r="AP31" s="96"/>
      <c r="AQ31" s="95"/>
      <c r="AR31" s="98"/>
      <c r="AS31" s="96"/>
      <c r="AT31" s="96"/>
      <c r="AU31" s="95"/>
      <c r="AV31" s="98"/>
      <c r="AW31" s="96"/>
      <c r="AX31" s="96"/>
      <c r="AY31" s="95"/>
      <c r="AZ31" s="98"/>
      <c r="BA31" s="99"/>
      <c r="BB31" s="95"/>
      <c r="BC31" s="96"/>
      <c r="BD31" s="96"/>
      <c r="BE31" s="98"/>
    </row>
    <row r="32" spans="1:57" ht="12" customHeight="1">
      <c r="A32" s="237"/>
      <c r="B32" s="237"/>
      <c r="C32" s="237"/>
      <c r="D32" s="237"/>
      <c r="E32" s="237"/>
      <c r="F32" s="237"/>
      <c r="G32" s="237"/>
      <c r="H32" s="237"/>
      <c r="I32" s="237"/>
      <c r="J32" s="340" t="s">
        <v>921</v>
      </c>
      <c r="K32" s="237"/>
      <c r="L32" s="237"/>
      <c r="M32" s="237"/>
      <c r="N32" s="237"/>
      <c r="O32" s="237"/>
      <c r="P32" s="237"/>
      <c r="Q32" s="237"/>
      <c r="R32" s="237"/>
      <c r="S32" s="237"/>
      <c r="T32" s="295"/>
      <c r="U32" s="295"/>
      <c r="V32" s="295"/>
      <c r="W32" s="295"/>
      <c r="X32" s="295"/>
      <c r="Y32" s="295"/>
      <c r="Z32" s="295"/>
      <c r="AA32" s="95"/>
      <c r="AB32" s="96"/>
      <c r="AC32" s="96"/>
      <c r="AD32" s="96"/>
      <c r="AE32" s="96"/>
      <c r="AF32" s="97"/>
      <c r="AG32" s="95"/>
      <c r="AH32" s="96"/>
      <c r="AI32" s="95"/>
      <c r="AJ32" s="96"/>
      <c r="AK32" s="95"/>
      <c r="AL32" s="96"/>
      <c r="AM32" s="95"/>
      <c r="AN32" s="98"/>
      <c r="AO32" s="96"/>
      <c r="AP32" s="96"/>
      <c r="AQ32" s="95"/>
      <c r="AR32" s="98"/>
      <c r="AS32" s="96"/>
      <c r="AT32" s="96"/>
      <c r="AU32" s="95"/>
      <c r="AV32" s="98"/>
      <c r="AW32" s="96"/>
      <c r="AX32" s="96"/>
      <c r="AY32" s="95"/>
      <c r="AZ32" s="98"/>
      <c r="BA32" s="99"/>
      <c r="BB32" s="95"/>
      <c r="BC32" s="96"/>
      <c r="BD32" s="96"/>
      <c r="BE32" s="98"/>
    </row>
    <row r="33" spans="1:57" ht="11.25" customHeight="1">
      <c r="A33" s="254">
        <f t="array" ref="A33">_xll.AC(DB,_xll.ArrayDPT($AA33:$AE33),_xll.ArrayCOA($AG33:$AZ33),YR-1,PRD,_xll.ArrayDIM($BB33:$BE33))</f>
        <v>0</v>
      </c>
      <c r="B33" s="237">
        <f t="shared" ref="B33:B36" si="20">IF(A33=0,0,(A33*100)/A$19)</f>
        <v>0</v>
      </c>
      <c r="C33" s="237">
        <f t="shared" ref="C33:C36" si="21">+E33-G33</f>
        <v>0</v>
      </c>
      <c r="D33" s="237">
        <f t="shared" ref="D33:D36" si="22">IF(C33=0,0,(C33*100)/C$19)</f>
        <v>0</v>
      </c>
      <c r="E33" s="254">
        <f t="array" ref="E33">_xll.BC(DB,_xll.ArrayDPT($AA33:$AE33),_xll.ArrayCOA($AG33:$AZ33),YR,PRD,RV,_xll.ArrayDIM($BB33:$BE33))</f>
        <v>0</v>
      </c>
      <c r="F33" s="237">
        <f t="shared" ref="F33:F36" si="23">IF(E33=0,0,(E33*100)/E$19)</f>
        <v>0</v>
      </c>
      <c r="G33" s="254">
        <f t="array" ref="G33">_xll.AC(DB,_xll.ArrayDPT($AA33:$AE33),_xll.ArrayCOA($AG33:$AZ33),YR,PRD,_xll.ArrayDIM($BB33:$BE33))</f>
        <v>0</v>
      </c>
      <c r="H33" s="237">
        <f t="shared" ref="H33:H36" si="24">IF(G33=0,0,(G33*100)/G$19)</f>
        <v>0</v>
      </c>
      <c r="I33" s="237"/>
      <c r="J33" s="328" t="s">
        <v>861</v>
      </c>
      <c r="K33" s="237"/>
      <c r="L33" s="254">
        <f t="array" ref="L33">_xll.ACC(DB,_xll.ArrayDPT($AA33:$AE33),_xll.ArrayCOA($AG33:$AZ33),YR,PRD,_xll.ArrayDIM($BB33:$BE33))</f>
        <v>0</v>
      </c>
      <c r="M33" s="237">
        <f t="shared" ref="M33:M36" si="25">IF(L33=0,0,(L33*100)/L$19)</f>
        <v>0</v>
      </c>
      <c r="N33" s="254">
        <f t="array" ref="N33">_xll.BCC(DB,_xll.ArrayDPT($AA33:$AE33),_xll.ArrayCOA($AG33:$AZ33),YR,PRD,RV,_xll.ArrayDIM($BB33:$BE33))</f>
        <v>0</v>
      </c>
      <c r="O33" s="237">
        <f t="shared" ref="O33:O36" si="26">IF(N33=0,0,(N33*100)/N$19)</f>
        <v>0</v>
      </c>
      <c r="P33" s="237">
        <f t="shared" ref="P33:P36" si="27">+N33-L33</f>
        <v>0</v>
      </c>
      <c r="Q33" s="237">
        <f t="shared" ref="Q33:Q36" si="28">IF(P33=0,0,(P33*100)/P$19)</f>
        <v>0</v>
      </c>
      <c r="R33" s="254">
        <f t="array" ref="R33">_xll.ACC(DB,_xll.ArrayDPT($AA33:$AE33),_xll.ArrayCOA($AG33:$AZ33),YR-1,PRD,_xll.ArrayDIM($BB33:$BE33))</f>
        <v>0</v>
      </c>
      <c r="S33" s="237">
        <f t="shared" ref="S33:S36" si="29">IF(R33=0,0,(R33*100)/R$19)</f>
        <v>0</v>
      </c>
      <c r="T33" s="295"/>
      <c r="U33" s="295"/>
      <c r="V33" s="295"/>
      <c r="W33" s="295"/>
      <c r="X33" s="295"/>
      <c r="Y33" s="295"/>
      <c r="Z33" s="295"/>
      <c r="AA33" s="95"/>
      <c r="AB33" s="96"/>
      <c r="AC33" s="96"/>
      <c r="AD33" s="96"/>
      <c r="AE33" s="96"/>
      <c r="AF33" s="97"/>
      <c r="AG33" s="95"/>
      <c r="AH33" s="96"/>
      <c r="AI33" s="95"/>
      <c r="AJ33" s="96"/>
      <c r="AK33" s="95"/>
      <c r="AL33" s="96"/>
      <c r="AM33" s="95"/>
      <c r="AN33" s="98"/>
      <c r="AO33" s="96"/>
      <c r="AP33" s="96"/>
      <c r="AQ33" s="95"/>
      <c r="AR33" s="98"/>
      <c r="AS33" s="96"/>
      <c r="AT33" s="96"/>
      <c r="AU33" s="95"/>
      <c r="AV33" s="98"/>
      <c r="AW33" s="96"/>
      <c r="AX33" s="96"/>
      <c r="AY33" s="95"/>
      <c r="AZ33" s="98"/>
      <c r="BA33" s="99"/>
      <c r="BB33" s="95"/>
      <c r="BC33" s="96"/>
      <c r="BD33" s="96"/>
      <c r="BE33" s="98"/>
    </row>
    <row r="34" spans="1:57" ht="11.25" customHeight="1">
      <c r="A34" s="254">
        <f t="array" ref="A34">_xll.AC(DB,_xll.ArrayDPT($AA34:$AE34),_xll.ArrayCOA($AG34:$AZ34),YR-1,PRD,_xll.ArrayDIM($BB34:$BE34))</f>
        <v>0</v>
      </c>
      <c r="B34" s="237">
        <f t="shared" si="20"/>
        <v>0</v>
      </c>
      <c r="C34" s="237">
        <f t="shared" si="21"/>
        <v>0</v>
      </c>
      <c r="D34" s="237">
        <f t="shared" si="22"/>
        <v>0</v>
      </c>
      <c r="E34" s="254">
        <f t="array" ref="E34">_xll.BC(DB,_xll.ArrayDPT($AA34:$AE34),_xll.ArrayCOA($AG34:$AZ34),YR,PRD,RV,_xll.ArrayDIM($BB34:$BE34))</f>
        <v>0</v>
      </c>
      <c r="F34" s="237">
        <f t="shared" si="23"/>
        <v>0</v>
      </c>
      <c r="G34" s="254">
        <f t="array" ref="G34">_xll.AC(DB,_xll.ArrayDPT($AA34:$AE34),_xll.ArrayCOA($AG34:$AZ34),YR,PRD,_xll.ArrayDIM($BB34:$BE34))</f>
        <v>0</v>
      </c>
      <c r="H34" s="237">
        <f t="shared" si="24"/>
        <v>0</v>
      </c>
      <c r="I34" s="237"/>
      <c r="J34" s="328" t="s">
        <v>648</v>
      </c>
      <c r="K34" s="237"/>
      <c r="L34" s="254">
        <f t="array" ref="L34">_xll.ACC(DB,_xll.ArrayDPT($AA34:$AE34),_xll.ArrayCOA($AG34:$AZ34),YR,PRD,_xll.ArrayDIM($BB34:$BE34))</f>
        <v>0</v>
      </c>
      <c r="M34" s="237">
        <f t="shared" si="25"/>
        <v>0</v>
      </c>
      <c r="N34" s="254">
        <f t="array" ref="N34">_xll.BCC(DB,_xll.ArrayDPT($AA34:$AE34),_xll.ArrayCOA($AG34:$AZ34),YR,PRD,RV,_xll.ArrayDIM($BB34:$BE34))</f>
        <v>0</v>
      </c>
      <c r="O34" s="237">
        <f t="shared" si="26"/>
        <v>0</v>
      </c>
      <c r="P34" s="237">
        <f t="shared" si="27"/>
        <v>0</v>
      </c>
      <c r="Q34" s="237">
        <f t="shared" si="28"/>
        <v>0</v>
      </c>
      <c r="R34" s="254">
        <f t="array" ref="R34">_xll.ACC(DB,_xll.ArrayDPT($AA34:$AE34),_xll.ArrayCOA($AG34:$AZ34),YR-1,PRD,_xll.ArrayDIM($BB34:$BE34))</f>
        <v>0</v>
      </c>
      <c r="S34" s="237">
        <f t="shared" si="29"/>
        <v>0</v>
      </c>
      <c r="T34" s="295"/>
      <c r="U34" s="295"/>
      <c r="V34" s="295"/>
      <c r="W34" s="295"/>
      <c r="X34" s="295"/>
      <c r="Y34" s="295"/>
      <c r="Z34" s="295"/>
      <c r="AA34" s="95"/>
      <c r="AB34" s="96"/>
      <c r="AC34" s="96"/>
      <c r="AD34" s="96"/>
      <c r="AE34" s="96"/>
      <c r="AF34" s="97"/>
      <c r="AG34" s="95"/>
      <c r="AH34" s="96"/>
      <c r="AI34" s="95"/>
      <c r="AJ34" s="96"/>
      <c r="AK34" s="95"/>
      <c r="AL34" s="96"/>
      <c r="AM34" s="95"/>
      <c r="AN34" s="98"/>
      <c r="AO34" s="96"/>
      <c r="AP34" s="96"/>
      <c r="AQ34" s="95"/>
      <c r="AR34" s="98"/>
      <c r="AS34" s="96"/>
      <c r="AT34" s="96"/>
      <c r="AU34" s="95"/>
      <c r="AV34" s="98"/>
      <c r="AW34" s="96"/>
      <c r="AX34" s="96"/>
      <c r="AY34" s="95"/>
      <c r="AZ34" s="98"/>
      <c r="BA34" s="99"/>
      <c r="BB34" s="95"/>
      <c r="BC34" s="96"/>
      <c r="BD34" s="96"/>
      <c r="BE34" s="98"/>
    </row>
    <row r="35" spans="1:57" ht="11.25" customHeight="1">
      <c r="A35" s="254">
        <f t="array" ref="A35">_xll.AC(DB,_xll.ArrayDPT($AA35:$AE35),_xll.ArrayCOA($AG35:$AZ35),YR-1,PRD,_xll.ArrayDIM($BB35:$BE35))</f>
        <v>0</v>
      </c>
      <c r="B35" s="237">
        <f t="shared" si="20"/>
        <v>0</v>
      </c>
      <c r="C35" s="237">
        <f t="shared" si="21"/>
        <v>0</v>
      </c>
      <c r="D35" s="237">
        <f t="shared" si="22"/>
        <v>0</v>
      </c>
      <c r="E35" s="254">
        <f t="array" ref="E35">_xll.BC(DB,_xll.ArrayDPT($AA35:$AE35),_xll.ArrayCOA($AG35:$AZ35),YR,PRD,RV,_xll.ArrayDIM($BB35:$BE35))</f>
        <v>0</v>
      </c>
      <c r="F35" s="237">
        <f t="shared" si="23"/>
        <v>0</v>
      </c>
      <c r="G35" s="254">
        <f t="array" ref="G35">_xll.AC(DB,_xll.ArrayDPT($AA35:$AE35),_xll.ArrayCOA($AG35:$AZ35),YR,PRD,_xll.ArrayDIM($BB35:$BE35))</f>
        <v>0</v>
      </c>
      <c r="H35" s="237">
        <f t="shared" si="24"/>
        <v>0</v>
      </c>
      <c r="I35" s="237"/>
      <c r="J35" s="328" t="s">
        <v>650</v>
      </c>
      <c r="K35" s="237"/>
      <c r="L35" s="254">
        <f t="array" ref="L35">_xll.ACC(DB,_xll.ArrayDPT($AA35:$AE35),_xll.ArrayCOA($AG35:$AZ35),YR,PRD,_xll.ArrayDIM($BB35:$BE35))</f>
        <v>0</v>
      </c>
      <c r="M35" s="237">
        <f t="shared" si="25"/>
        <v>0</v>
      </c>
      <c r="N35" s="254">
        <f t="array" ref="N35">_xll.BCC(DB,_xll.ArrayDPT($AA35:$AE35),_xll.ArrayCOA($AG35:$AZ35),YR,PRD,RV,_xll.ArrayDIM($BB35:$BE35))</f>
        <v>0</v>
      </c>
      <c r="O35" s="237">
        <f t="shared" si="26"/>
        <v>0</v>
      </c>
      <c r="P35" s="237">
        <f t="shared" si="27"/>
        <v>0</v>
      </c>
      <c r="Q35" s="237">
        <f t="shared" si="28"/>
        <v>0</v>
      </c>
      <c r="R35" s="254">
        <f t="array" ref="R35">_xll.ACC(DB,_xll.ArrayDPT($AA35:$AE35),_xll.ArrayCOA($AG35:$AZ35),YR-1,PRD,_xll.ArrayDIM($BB35:$BE35))</f>
        <v>0</v>
      </c>
      <c r="S35" s="237">
        <f t="shared" si="29"/>
        <v>0</v>
      </c>
      <c r="T35" s="295"/>
      <c r="U35" s="295"/>
      <c r="V35" s="295"/>
      <c r="W35" s="295"/>
      <c r="X35" s="295"/>
      <c r="Y35" s="295"/>
      <c r="Z35" s="295"/>
      <c r="AA35" s="95"/>
      <c r="AB35" s="96"/>
      <c r="AC35" s="96"/>
      <c r="AD35" s="96"/>
      <c r="AE35" s="96"/>
      <c r="AF35" s="97"/>
      <c r="AG35" s="95"/>
      <c r="AH35" s="96"/>
      <c r="AI35" s="95"/>
      <c r="AJ35" s="96"/>
      <c r="AK35" s="95"/>
      <c r="AL35" s="96"/>
      <c r="AM35" s="95"/>
      <c r="AN35" s="98"/>
      <c r="AO35" s="96"/>
      <c r="AP35" s="96"/>
      <c r="AQ35" s="95"/>
      <c r="AR35" s="98"/>
      <c r="AS35" s="96"/>
      <c r="AT35" s="96"/>
      <c r="AU35" s="95"/>
      <c r="AV35" s="98"/>
      <c r="AW35" s="96"/>
      <c r="AX35" s="96"/>
      <c r="AY35" s="95"/>
      <c r="AZ35" s="98"/>
      <c r="BA35" s="99"/>
      <c r="BB35" s="95"/>
      <c r="BC35" s="96"/>
      <c r="BD35" s="96"/>
      <c r="BE35" s="98"/>
    </row>
    <row r="36" spans="1:57" ht="11.25" customHeight="1">
      <c r="A36" s="254">
        <f t="array" ref="A36">_xll.AC(DB,_xll.ArrayDPT($AA36:$AE36),_xll.ArrayCOA($AG36:$AZ36),YR-1,PRD,_xll.ArrayDIM($BB36:$BE36))</f>
        <v>0</v>
      </c>
      <c r="B36" s="237">
        <f t="shared" si="20"/>
        <v>0</v>
      </c>
      <c r="C36" s="237">
        <f t="shared" si="21"/>
        <v>0</v>
      </c>
      <c r="D36" s="237">
        <f t="shared" si="22"/>
        <v>0</v>
      </c>
      <c r="E36" s="254">
        <f t="array" ref="E36">_xll.BC(DB,_xll.ArrayDPT($AA36:$AE36),_xll.ArrayCOA($AG36:$AZ36),YR,PRD,RV,_xll.ArrayDIM($BB36:$BE36))</f>
        <v>0</v>
      </c>
      <c r="F36" s="237">
        <f t="shared" si="23"/>
        <v>0</v>
      </c>
      <c r="G36" s="254">
        <f t="array" ref="G36">_xll.AC(DB,_xll.ArrayDPT($AA36:$AE36),_xll.ArrayCOA($AG36:$AZ36),YR,PRD,_xll.ArrayDIM($BB36:$BE36))</f>
        <v>0</v>
      </c>
      <c r="H36" s="237">
        <f t="shared" si="24"/>
        <v>0</v>
      </c>
      <c r="I36" s="237"/>
      <c r="J36" s="328" t="s">
        <v>922</v>
      </c>
      <c r="K36" s="237"/>
      <c r="L36" s="254">
        <f t="array" ref="L36">_xll.ACC(DB,_xll.ArrayDPT($AA36:$AE36),_xll.ArrayCOA($AG36:$AZ36),YR,PRD,_xll.ArrayDIM($BB36:$BE36))</f>
        <v>0</v>
      </c>
      <c r="M36" s="237">
        <f t="shared" si="25"/>
        <v>0</v>
      </c>
      <c r="N36" s="254">
        <f t="array" ref="N36">_xll.BCC(DB,_xll.ArrayDPT($AA36:$AE36),_xll.ArrayCOA($AG36:$AZ36),YR,PRD,RV,_xll.ArrayDIM($BB36:$BE36))</f>
        <v>0</v>
      </c>
      <c r="O36" s="237">
        <f t="shared" si="26"/>
        <v>0</v>
      </c>
      <c r="P36" s="237">
        <f t="shared" si="27"/>
        <v>0</v>
      </c>
      <c r="Q36" s="237">
        <f t="shared" si="28"/>
        <v>0</v>
      </c>
      <c r="R36" s="254">
        <f t="array" ref="R36">_xll.ACC(DB,_xll.ArrayDPT($AA36:$AE36),_xll.ArrayCOA($AG36:$AZ36),YR-1,PRD,_xll.ArrayDIM($BB36:$BE36))</f>
        <v>0</v>
      </c>
      <c r="S36" s="237">
        <f t="shared" si="29"/>
        <v>0</v>
      </c>
      <c r="T36" s="295"/>
      <c r="U36" s="295"/>
      <c r="V36" s="295"/>
      <c r="W36" s="295"/>
      <c r="X36" s="295"/>
      <c r="Y36" s="295"/>
      <c r="Z36" s="295"/>
      <c r="AA36" s="95"/>
      <c r="AB36" s="96"/>
      <c r="AC36" s="96"/>
      <c r="AD36" s="96"/>
      <c r="AE36" s="96"/>
      <c r="AF36" s="97"/>
      <c r="AG36" s="95"/>
      <c r="AH36" s="96"/>
      <c r="AI36" s="95"/>
      <c r="AJ36" s="96"/>
      <c r="AK36" s="95"/>
      <c r="AL36" s="96"/>
      <c r="AM36" s="95"/>
      <c r="AN36" s="98"/>
      <c r="AO36" s="96"/>
      <c r="AP36" s="96"/>
      <c r="AQ36" s="95"/>
      <c r="AR36" s="98"/>
      <c r="AS36" s="96"/>
      <c r="AT36" s="96"/>
      <c r="AU36" s="95"/>
      <c r="AV36" s="98"/>
      <c r="AW36" s="96"/>
      <c r="AX36" s="96"/>
      <c r="AY36" s="95"/>
      <c r="AZ36" s="98"/>
      <c r="BA36" s="99"/>
      <c r="BB36" s="95"/>
      <c r="BC36" s="96"/>
      <c r="BD36" s="96"/>
      <c r="BE36" s="98"/>
    </row>
    <row r="37" spans="1:57" ht="6" customHeight="1">
      <c r="A37" s="330"/>
      <c r="B37" s="329"/>
      <c r="C37" s="392"/>
      <c r="D37" s="329"/>
      <c r="E37" s="392"/>
      <c r="F37" s="329"/>
      <c r="G37" s="392"/>
      <c r="H37" s="329"/>
      <c r="I37" s="398"/>
      <c r="J37" s="392"/>
      <c r="K37" s="399"/>
      <c r="L37" s="393"/>
      <c r="M37" s="333"/>
      <c r="N37" s="393"/>
      <c r="O37" s="333"/>
      <c r="P37" s="393"/>
      <c r="Q37" s="333"/>
      <c r="R37" s="393"/>
      <c r="S37" s="341"/>
      <c r="T37" s="328"/>
      <c r="U37" s="328"/>
      <c r="V37" s="328"/>
      <c r="W37" s="328"/>
      <c r="X37" s="328"/>
      <c r="Y37" s="328"/>
      <c r="Z37" s="328"/>
      <c r="AA37" s="95"/>
      <c r="AB37" s="96"/>
      <c r="AC37" s="96"/>
      <c r="AD37" s="96"/>
      <c r="AE37" s="96"/>
      <c r="AF37" s="97"/>
      <c r="AG37" s="95"/>
      <c r="AH37" s="96"/>
      <c r="AI37" s="95"/>
      <c r="AJ37" s="96"/>
      <c r="AK37" s="95"/>
      <c r="AL37" s="96"/>
      <c r="AM37" s="95"/>
      <c r="AN37" s="98"/>
      <c r="AO37" s="96"/>
      <c r="AP37" s="96"/>
      <c r="AQ37" s="95"/>
      <c r="AR37" s="98"/>
      <c r="AS37" s="96"/>
      <c r="AT37" s="96"/>
      <c r="AU37" s="95"/>
      <c r="AV37" s="98"/>
      <c r="AW37" s="96"/>
      <c r="AX37" s="96"/>
      <c r="AY37" s="95"/>
      <c r="AZ37" s="98"/>
      <c r="BA37" s="99"/>
      <c r="BB37" s="95"/>
      <c r="BC37" s="96"/>
      <c r="BD37" s="96"/>
      <c r="BE37" s="98"/>
    </row>
    <row r="38" spans="1:57" ht="12" customHeight="1">
      <c r="A38" s="394">
        <f>SUM(A33:A36)</f>
        <v>0</v>
      </c>
      <c r="B38" s="338">
        <f>IF(A38=0,0,(A38*100)/A$19)</f>
        <v>0</v>
      </c>
      <c r="C38" s="395">
        <f>SUM(C33:C36)</f>
        <v>0</v>
      </c>
      <c r="D38" s="338">
        <f>IF(C38=0,0,(C38*100)/C$19)</f>
        <v>0</v>
      </c>
      <c r="E38" s="395">
        <f>SUM(E33:E36)</f>
        <v>0</v>
      </c>
      <c r="F38" s="338">
        <f>IF(E38=0,0,(E38*100)/E$19)</f>
        <v>0</v>
      </c>
      <c r="G38" s="395">
        <f>SUM(G33:G36)</f>
        <v>0</v>
      </c>
      <c r="H38" s="338">
        <f>IF(G38=0,0,(G38*100)/G$19)</f>
        <v>0</v>
      </c>
      <c r="I38" s="394"/>
      <c r="J38" s="396" t="s">
        <v>862</v>
      </c>
      <c r="K38" s="400"/>
      <c r="L38" s="395">
        <f>SUM(L33:L36)</f>
        <v>0</v>
      </c>
      <c r="M38" s="338">
        <f>IF(L38=0,0,(L38*100)/L$19)</f>
        <v>0</v>
      </c>
      <c r="N38" s="395">
        <f>SUM(N33:N36)</f>
        <v>0</v>
      </c>
      <c r="O38" s="338">
        <f>IF(N38=0,0,(N38*100)/N$19)</f>
        <v>0</v>
      </c>
      <c r="P38" s="395">
        <f>SUM(P33:P36)</f>
        <v>0</v>
      </c>
      <c r="Q38" s="338">
        <f>IF(P38=0,0,(P38*100)/P$19)</f>
        <v>0</v>
      </c>
      <c r="R38" s="395">
        <f>SUM(R33:R36)</f>
        <v>0</v>
      </c>
      <c r="S38" s="338">
        <f>IF(R38=0,0,(R38*100)/R$19)</f>
        <v>0</v>
      </c>
      <c r="T38" s="397"/>
      <c r="U38" s="397"/>
      <c r="V38" s="397"/>
      <c r="W38" s="397"/>
      <c r="X38" s="397"/>
      <c r="Y38" s="397"/>
      <c r="Z38" s="397"/>
      <c r="AA38" s="95"/>
      <c r="AB38" s="96"/>
      <c r="AC38" s="96"/>
      <c r="AD38" s="96"/>
      <c r="AE38" s="96"/>
      <c r="AF38" s="97"/>
      <c r="AG38" s="95"/>
      <c r="AH38" s="96"/>
      <c r="AI38" s="95"/>
      <c r="AJ38" s="96"/>
      <c r="AK38" s="95"/>
      <c r="AL38" s="96"/>
      <c r="AM38" s="95"/>
      <c r="AN38" s="98"/>
      <c r="AO38" s="96"/>
      <c r="AP38" s="96"/>
      <c r="AQ38" s="95"/>
      <c r="AR38" s="98"/>
      <c r="AS38" s="96"/>
      <c r="AT38" s="96"/>
      <c r="AU38" s="95"/>
      <c r="AV38" s="98"/>
      <c r="AW38" s="96"/>
      <c r="AX38" s="96"/>
      <c r="AY38" s="95"/>
      <c r="AZ38" s="98"/>
      <c r="BA38" s="99"/>
      <c r="BB38" s="95"/>
      <c r="BC38" s="96"/>
      <c r="BD38" s="96"/>
      <c r="BE38" s="98"/>
    </row>
    <row r="39" spans="1:57" ht="12" customHeight="1">
      <c r="A39" s="237"/>
      <c r="B39" s="237"/>
      <c r="C39" s="237"/>
      <c r="D39" s="237"/>
      <c r="E39" s="237"/>
      <c r="F39" s="237"/>
      <c r="G39" s="237"/>
      <c r="H39" s="237"/>
      <c r="I39" s="237"/>
      <c r="J39" s="340" t="s">
        <v>923</v>
      </c>
      <c r="K39" s="237"/>
      <c r="L39" s="237"/>
      <c r="M39" s="237"/>
      <c r="N39" s="237"/>
      <c r="O39" s="237"/>
      <c r="P39" s="237"/>
      <c r="Q39" s="237"/>
      <c r="R39" s="237"/>
      <c r="S39" s="237"/>
      <c r="T39" s="295"/>
      <c r="U39" s="295"/>
      <c r="V39" s="295"/>
      <c r="W39" s="295"/>
      <c r="X39" s="295"/>
      <c r="Y39" s="295"/>
      <c r="Z39" s="295"/>
      <c r="AA39" s="95"/>
      <c r="AB39" s="96"/>
      <c r="AC39" s="96"/>
      <c r="AD39" s="96"/>
      <c r="AE39" s="96"/>
      <c r="AF39" s="97"/>
      <c r="AG39" s="95"/>
      <c r="AH39" s="96"/>
      <c r="AI39" s="95"/>
      <c r="AJ39" s="96"/>
      <c r="AK39" s="95"/>
      <c r="AL39" s="96"/>
      <c r="AM39" s="95"/>
      <c r="AN39" s="98"/>
      <c r="AO39" s="96"/>
      <c r="AP39" s="96"/>
      <c r="AQ39" s="95"/>
      <c r="AR39" s="98"/>
      <c r="AS39" s="96"/>
      <c r="AT39" s="96"/>
      <c r="AU39" s="95"/>
      <c r="AV39" s="98"/>
      <c r="AW39" s="96"/>
      <c r="AX39" s="96"/>
      <c r="AY39" s="95"/>
      <c r="AZ39" s="98"/>
      <c r="BA39" s="99"/>
      <c r="BB39" s="95"/>
      <c r="BC39" s="96"/>
      <c r="BD39" s="96"/>
      <c r="BE39" s="98"/>
    </row>
    <row r="40" spans="1:57" ht="11.25" customHeight="1">
      <c r="A40" s="254">
        <f t="array" ref="A40">_xll.AC(DB,_xll.ArrayDPT($AA40:$AE40),_xll.ArrayCOA($AG40:$AZ40),YR-1,PRD,_xll.ArrayDIM($BB40:$BE40))</f>
        <v>0</v>
      </c>
      <c r="B40" s="237">
        <f t="shared" ref="B40:B56" si="30">IF(A40=0,0,(A40*100)/A$19)</f>
        <v>0</v>
      </c>
      <c r="C40" s="237">
        <f t="shared" ref="C40:C56" si="31">+E40-G40</f>
        <v>0</v>
      </c>
      <c r="D40" s="237">
        <f t="shared" ref="D40:D56" si="32">IF(C40=0,0,(C40*100)/C$19)</f>
        <v>0</v>
      </c>
      <c r="E40" s="254">
        <f t="array" ref="E40">_xll.BC(DB,_xll.ArrayDPT($AA40:$AE40),_xll.ArrayCOA($AG40:$AZ40),YR,PRD,RV,_xll.ArrayDIM($BB40:$BE40))</f>
        <v>0</v>
      </c>
      <c r="F40" s="237">
        <f t="shared" ref="F40:F56" si="33">IF(E40=0,0,(E40*100)/E$19)</f>
        <v>0</v>
      </c>
      <c r="G40" s="254">
        <f t="array" ref="G40">_xll.AC(DB,_xll.ArrayDPT($AA40:$AE40),_xll.ArrayCOA($AG40:$AZ40),YR,PRD,_xll.ArrayDIM($BB40:$BE40))</f>
        <v>0</v>
      </c>
      <c r="H40" s="237">
        <f t="shared" ref="H40:H56" si="34">IF(G40=0,0,(G40*100)/G$19)</f>
        <v>0</v>
      </c>
      <c r="I40" s="237"/>
      <c r="J40" s="328" t="s">
        <v>863</v>
      </c>
      <c r="K40" s="237"/>
      <c r="L40" s="254">
        <f t="array" ref="L40">_xll.ACC(DB,_xll.ArrayDPT($AA40:$AE40),_xll.ArrayCOA($AG40:$AZ40),YR,PRD,_xll.ArrayDIM($BB40:$BE40))</f>
        <v>0</v>
      </c>
      <c r="M40" s="237">
        <f t="shared" ref="M40:M56" si="35">IF(L40=0,0,(L40*100)/L$19)</f>
        <v>0</v>
      </c>
      <c r="N40" s="254">
        <f t="array" ref="N40">_xll.BCC(DB,_xll.ArrayDPT($AA40:$AE40),_xll.ArrayCOA($AG40:$AZ40),YR,PRD,RV,_xll.ArrayDIM($BB40:$BE40))</f>
        <v>0</v>
      </c>
      <c r="O40" s="237">
        <f t="shared" ref="O40:O56" si="36">IF(N40=0,0,(N40*100)/N$19)</f>
        <v>0</v>
      </c>
      <c r="P40" s="237">
        <f t="shared" ref="P40:P56" si="37">+N40-L40</f>
        <v>0</v>
      </c>
      <c r="Q40" s="237">
        <f t="shared" ref="Q40:Q56" si="38">IF(P40=0,0,(P40*100)/P$19)</f>
        <v>0</v>
      </c>
      <c r="R40" s="254">
        <f t="array" ref="R40">_xll.ACC(DB,_xll.ArrayDPT($AA40:$AE40),_xll.ArrayCOA($AG40:$AZ40),YR-1,PRD,_xll.ArrayDIM($BB40:$BE40))</f>
        <v>0</v>
      </c>
      <c r="S40" s="237">
        <f t="shared" ref="S40:S56" si="39">IF(R40=0,0,(R40*100)/R$19)</f>
        <v>0</v>
      </c>
      <c r="T40" s="295"/>
      <c r="U40" s="295"/>
      <c r="V40" s="295"/>
      <c r="W40" s="295"/>
      <c r="X40" s="295"/>
      <c r="Y40" s="295"/>
      <c r="Z40" s="295"/>
      <c r="AA40" s="95"/>
      <c r="AB40" s="96"/>
      <c r="AC40" s="96"/>
      <c r="AD40" s="96"/>
      <c r="AE40" s="96"/>
      <c r="AF40" s="97"/>
      <c r="AG40" s="95"/>
      <c r="AH40" s="96"/>
      <c r="AI40" s="95"/>
      <c r="AJ40" s="96"/>
      <c r="AK40" s="95"/>
      <c r="AL40" s="96"/>
      <c r="AM40" s="95"/>
      <c r="AN40" s="98"/>
      <c r="AO40" s="96"/>
      <c r="AP40" s="96"/>
      <c r="AQ40" s="95"/>
      <c r="AR40" s="98"/>
      <c r="AS40" s="96"/>
      <c r="AT40" s="96"/>
      <c r="AU40" s="95"/>
      <c r="AV40" s="98"/>
      <c r="AW40" s="96"/>
      <c r="AX40" s="96"/>
      <c r="AY40" s="95"/>
      <c r="AZ40" s="98"/>
      <c r="BA40" s="99"/>
      <c r="BB40" s="95"/>
      <c r="BC40" s="96"/>
      <c r="BD40" s="96"/>
      <c r="BE40" s="98"/>
    </row>
    <row r="41" spans="1:57" ht="11.25" customHeight="1">
      <c r="A41" s="254">
        <f t="array" ref="A41">_xll.AC(DB,_xll.ArrayDPT($AA41:$AE41),_xll.ArrayCOA($AG41:$AZ41),YR-1,PRD,_xll.ArrayDIM($BB41:$BE41))</f>
        <v>0</v>
      </c>
      <c r="B41" s="237">
        <f t="shared" si="30"/>
        <v>0</v>
      </c>
      <c r="C41" s="237">
        <f t="shared" si="31"/>
        <v>0</v>
      </c>
      <c r="D41" s="237">
        <f t="shared" si="32"/>
        <v>0</v>
      </c>
      <c r="E41" s="254">
        <f t="array" ref="E41">_xll.BC(DB,_xll.ArrayDPT($AA41:$AE41),_xll.ArrayCOA($AG41:$AZ41),YR,PRD,RV,_xll.ArrayDIM($BB41:$BE41))</f>
        <v>0</v>
      </c>
      <c r="F41" s="237">
        <f t="shared" si="33"/>
        <v>0</v>
      </c>
      <c r="G41" s="254">
        <f t="array" ref="G41">_xll.AC(DB,_xll.ArrayDPT($AA41:$AE41),_xll.ArrayCOA($AG41:$AZ41),YR,PRD,_xll.ArrayDIM($BB41:$BE41))</f>
        <v>0</v>
      </c>
      <c r="H41" s="237">
        <f t="shared" si="34"/>
        <v>0</v>
      </c>
      <c r="I41" s="237"/>
      <c r="J41" s="328" t="s">
        <v>924</v>
      </c>
      <c r="K41" s="237"/>
      <c r="L41" s="254">
        <f t="array" ref="L41">_xll.ACC(DB,_xll.ArrayDPT($AA41:$AE41),_xll.ArrayCOA($AG41:$AZ41),YR,PRD,_xll.ArrayDIM($BB41:$BE41))</f>
        <v>0</v>
      </c>
      <c r="M41" s="237">
        <f t="shared" si="35"/>
        <v>0</v>
      </c>
      <c r="N41" s="254">
        <f t="array" ref="N41">_xll.BCC(DB,_xll.ArrayDPT($AA41:$AE41),_xll.ArrayCOA($AG41:$AZ41),YR,PRD,RV,_xll.ArrayDIM($BB41:$BE41))</f>
        <v>0</v>
      </c>
      <c r="O41" s="237">
        <f t="shared" si="36"/>
        <v>0</v>
      </c>
      <c r="P41" s="237">
        <f t="shared" si="37"/>
        <v>0</v>
      </c>
      <c r="Q41" s="237">
        <f t="shared" si="38"/>
        <v>0</v>
      </c>
      <c r="R41" s="254">
        <f t="array" ref="R41">_xll.ACC(DB,_xll.ArrayDPT($AA41:$AE41),_xll.ArrayCOA($AG41:$AZ41),YR-1,PRD,_xll.ArrayDIM($BB41:$BE41))</f>
        <v>0</v>
      </c>
      <c r="S41" s="237">
        <f t="shared" si="39"/>
        <v>0</v>
      </c>
      <c r="T41" s="295"/>
      <c r="U41" s="295"/>
      <c r="V41" s="295"/>
      <c r="W41" s="295"/>
      <c r="X41" s="295"/>
      <c r="Y41" s="295"/>
      <c r="Z41" s="295"/>
      <c r="AA41" s="95"/>
      <c r="AB41" s="96"/>
      <c r="AC41" s="96"/>
      <c r="AD41" s="96"/>
      <c r="AE41" s="96"/>
      <c r="AF41" s="97"/>
      <c r="AG41" s="95"/>
      <c r="AH41" s="96"/>
      <c r="AI41" s="95"/>
      <c r="AJ41" s="96"/>
      <c r="AK41" s="95"/>
      <c r="AL41" s="96"/>
      <c r="AM41" s="95"/>
      <c r="AN41" s="98"/>
      <c r="AO41" s="96"/>
      <c r="AP41" s="96"/>
      <c r="AQ41" s="95"/>
      <c r="AR41" s="98"/>
      <c r="AS41" s="96"/>
      <c r="AT41" s="96"/>
      <c r="AU41" s="95"/>
      <c r="AV41" s="98"/>
      <c r="AW41" s="96"/>
      <c r="AX41" s="96"/>
      <c r="AY41" s="95"/>
      <c r="AZ41" s="98"/>
      <c r="BA41" s="99"/>
      <c r="BB41" s="95"/>
      <c r="BC41" s="96"/>
      <c r="BD41" s="96"/>
      <c r="BE41" s="98"/>
    </row>
    <row r="42" spans="1:57" ht="11.25" customHeight="1">
      <c r="A42" s="254">
        <f t="array" ref="A42">_xll.AC(DB,_xll.ArrayDPT($AA42:$AE42),_xll.ArrayCOA($AG42:$AZ42),YR-1,PRD,_xll.ArrayDIM($BB42:$BE42))</f>
        <v>0</v>
      </c>
      <c r="B42" s="237">
        <f t="shared" si="30"/>
        <v>0</v>
      </c>
      <c r="C42" s="237">
        <f t="shared" si="31"/>
        <v>0</v>
      </c>
      <c r="D42" s="237">
        <f t="shared" si="32"/>
        <v>0</v>
      </c>
      <c r="E42" s="254">
        <f t="array" ref="E42">_xll.BC(DB,_xll.ArrayDPT($AA42:$AE42),_xll.ArrayCOA($AG42:$AZ42),YR,PRD,RV,_xll.ArrayDIM($BB42:$BE42))</f>
        <v>0</v>
      </c>
      <c r="F42" s="237">
        <f t="shared" si="33"/>
        <v>0</v>
      </c>
      <c r="G42" s="254">
        <f t="array" ref="G42">_xll.AC(DB,_xll.ArrayDPT($AA42:$AE42),_xll.ArrayCOA($AG42:$AZ42),YR,PRD,_xll.ArrayDIM($BB42:$BE42))</f>
        <v>0</v>
      </c>
      <c r="H42" s="237">
        <f t="shared" si="34"/>
        <v>0</v>
      </c>
      <c r="I42" s="237"/>
      <c r="J42" s="328" t="s">
        <v>714</v>
      </c>
      <c r="K42" s="237"/>
      <c r="L42" s="254">
        <f t="array" ref="L42">_xll.ACC(DB,_xll.ArrayDPT($AA42:$AE42),_xll.ArrayCOA($AG42:$AZ42),YR,PRD,_xll.ArrayDIM($BB42:$BE42))</f>
        <v>0</v>
      </c>
      <c r="M42" s="237">
        <f t="shared" si="35"/>
        <v>0</v>
      </c>
      <c r="N42" s="254">
        <f t="array" ref="N42">_xll.BCC(DB,_xll.ArrayDPT($AA42:$AE42),_xll.ArrayCOA($AG42:$AZ42),YR,PRD,RV,_xll.ArrayDIM($BB42:$BE42))</f>
        <v>0</v>
      </c>
      <c r="O42" s="237">
        <f t="shared" si="36"/>
        <v>0</v>
      </c>
      <c r="P42" s="237">
        <f t="shared" si="37"/>
        <v>0</v>
      </c>
      <c r="Q42" s="237">
        <f t="shared" si="38"/>
        <v>0</v>
      </c>
      <c r="R42" s="254">
        <f t="array" ref="R42">_xll.ACC(DB,_xll.ArrayDPT($AA42:$AE42),_xll.ArrayCOA($AG42:$AZ42),YR-1,PRD,_xll.ArrayDIM($BB42:$BE42))</f>
        <v>0</v>
      </c>
      <c r="S42" s="237">
        <f t="shared" si="39"/>
        <v>0</v>
      </c>
      <c r="T42" s="295"/>
      <c r="U42" s="295"/>
      <c r="V42" s="295"/>
      <c r="W42" s="295"/>
      <c r="X42" s="295"/>
      <c r="Y42" s="295"/>
      <c r="Z42" s="295"/>
      <c r="AA42" s="95"/>
      <c r="AB42" s="96"/>
      <c r="AC42" s="96"/>
      <c r="AD42" s="96"/>
      <c r="AE42" s="96"/>
      <c r="AF42" s="97"/>
      <c r="AG42" s="95"/>
      <c r="AH42" s="96"/>
      <c r="AI42" s="95"/>
      <c r="AJ42" s="96"/>
      <c r="AK42" s="95"/>
      <c r="AL42" s="96"/>
      <c r="AM42" s="95"/>
      <c r="AN42" s="98"/>
      <c r="AO42" s="96"/>
      <c r="AP42" s="96"/>
      <c r="AQ42" s="95"/>
      <c r="AR42" s="98"/>
      <c r="AS42" s="96"/>
      <c r="AT42" s="96"/>
      <c r="AU42" s="95"/>
      <c r="AV42" s="98"/>
      <c r="AW42" s="96"/>
      <c r="AX42" s="96"/>
      <c r="AY42" s="95"/>
      <c r="AZ42" s="98"/>
      <c r="BA42" s="99"/>
      <c r="BB42" s="95"/>
      <c r="BC42" s="96"/>
      <c r="BD42" s="96"/>
      <c r="BE42" s="98"/>
    </row>
    <row r="43" spans="1:57" ht="11.25" customHeight="1">
      <c r="A43" s="254">
        <f t="array" ref="A43">_xll.AC(DB,_xll.ArrayDPT($AA43:$AE43),_xll.ArrayCOA($AG43:$AZ43),YR-1,PRD,_xll.ArrayDIM($BB43:$BE43))</f>
        <v>0</v>
      </c>
      <c r="B43" s="237">
        <f t="shared" si="30"/>
        <v>0</v>
      </c>
      <c r="C43" s="237">
        <f t="shared" si="31"/>
        <v>0</v>
      </c>
      <c r="D43" s="237">
        <f t="shared" si="32"/>
        <v>0</v>
      </c>
      <c r="E43" s="254">
        <f t="array" ref="E43">_xll.BC(DB,_xll.ArrayDPT($AA43:$AE43),_xll.ArrayCOA($AG43:$AZ43),YR,PRD,RV,_xll.ArrayDIM($BB43:$BE43))</f>
        <v>0</v>
      </c>
      <c r="F43" s="237">
        <f t="shared" si="33"/>
        <v>0</v>
      </c>
      <c r="G43" s="254">
        <f t="array" ref="G43">_xll.AC(DB,_xll.ArrayDPT($AA43:$AE43),_xll.ArrayCOA($AG43:$AZ43),YR,PRD,_xll.ArrayDIM($BB43:$BE43))</f>
        <v>0</v>
      </c>
      <c r="H43" s="237">
        <f t="shared" si="34"/>
        <v>0</v>
      </c>
      <c r="I43" s="237"/>
      <c r="J43" s="328" t="s">
        <v>677</v>
      </c>
      <c r="K43" s="237"/>
      <c r="L43" s="254">
        <f t="array" ref="L43">_xll.ACC(DB,_xll.ArrayDPT($AA43:$AE43),_xll.ArrayCOA($AG43:$AZ43),YR,PRD,_xll.ArrayDIM($BB43:$BE43))</f>
        <v>0</v>
      </c>
      <c r="M43" s="237">
        <f t="shared" si="35"/>
        <v>0</v>
      </c>
      <c r="N43" s="254">
        <f t="array" ref="N43">_xll.BCC(DB,_xll.ArrayDPT($AA43:$AE43),_xll.ArrayCOA($AG43:$AZ43),YR,PRD,RV,_xll.ArrayDIM($BB43:$BE43))</f>
        <v>0</v>
      </c>
      <c r="O43" s="237">
        <f t="shared" si="36"/>
        <v>0</v>
      </c>
      <c r="P43" s="237">
        <f t="shared" si="37"/>
        <v>0</v>
      </c>
      <c r="Q43" s="237">
        <f t="shared" si="38"/>
        <v>0</v>
      </c>
      <c r="R43" s="254">
        <f t="array" ref="R43">_xll.ACC(DB,_xll.ArrayDPT($AA43:$AE43),_xll.ArrayCOA($AG43:$AZ43),YR-1,PRD,_xll.ArrayDIM($BB43:$BE43))</f>
        <v>0</v>
      </c>
      <c r="S43" s="237">
        <f t="shared" si="39"/>
        <v>0</v>
      </c>
      <c r="T43" s="295"/>
      <c r="U43" s="295"/>
      <c r="V43" s="295"/>
      <c r="W43" s="295"/>
      <c r="X43" s="295"/>
      <c r="Y43" s="295"/>
      <c r="Z43" s="295"/>
      <c r="AA43" s="95"/>
      <c r="AB43" s="96"/>
      <c r="AC43" s="96"/>
      <c r="AD43" s="96"/>
      <c r="AE43" s="96"/>
      <c r="AF43" s="97"/>
      <c r="AG43" s="95"/>
      <c r="AH43" s="96"/>
      <c r="AI43" s="95"/>
      <c r="AJ43" s="96"/>
      <c r="AK43" s="95"/>
      <c r="AL43" s="96"/>
      <c r="AM43" s="95"/>
      <c r="AN43" s="98"/>
      <c r="AO43" s="96"/>
      <c r="AP43" s="96"/>
      <c r="AQ43" s="95"/>
      <c r="AR43" s="98"/>
      <c r="AS43" s="96"/>
      <c r="AT43" s="96"/>
      <c r="AU43" s="95"/>
      <c r="AV43" s="98"/>
      <c r="AW43" s="96"/>
      <c r="AX43" s="96"/>
      <c r="AY43" s="95"/>
      <c r="AZ43" s="98"/>
      <c r="BA43" s="99"/>
      <c r="BB43" s="95"/>
      <c r="BC43" s="96"/>
      <c r="BD43" s="96"/>
      <c r="BE43" s="98"/>
    </row>
    <row r="44" spans="1:57" ht="11.25" customHeight="1">
      <c r="A44" s="254">
        <f t="array" ref="A44">_xll.AC(DB,_xll.ArrayDPT($AA44:$AE44),_xll.ArrayCOA($AG44:$AZ44),YR-1,PRD,_xll.ArrayDIM($BB44:$BE44))</f>
        <v>0</v>
      </c>
      <c r="B44" s="237">
        <f t="shared" si="30"/>
        <v>0</v>
      </c>
      <c r="C44" s="237">
        <f t="shared" si="31"/>
        <v>0</v>
      </c>
      <c r="D44" s="237">
        <f t="shared" si="32"/>
        <v>0</v>
      </c>
      <c r="E44" s="254">
        <f t="array" ref="E44">_xll.BC(DB,_xll.ArrayDPT($AA44:$AE44),_xll.ArrayCOA($AG44:$AZ44),YR,PRD,RV,_xll.ArrayDIM($BB44:$BE44))</f>
        <v>0</v>
      </c>
      <c r="F44" s="237">
        <f t="shared" si="33"/>
        <v>0</v>
      </c>
      <c r="G44" s="254">
        <f t="array" ref="G44">_xll.AC(DB,_xll.ArrayDPT($AA44:$AE44),_xll.ArrayCOA($AG44:$AZ44),YR,PRD,_xll.ArrayDIM($BB44:$BE44))</f>
        <v>0</v>
      </c>
      <c r="H44" s="237">
        <f t="shared" si="34"/>
        <v>0</v>
      </c>
      <c r="I44" s="237"/>
      <c r="J44" s="328" t="s">
        <v>809</v>
      </c>
      <c r="K44" s="237"/>
      <c r="L44" s="254">
        <f t="array" ref="L44">_xll.ACC(DB,_xll.ArrayDPT($AA44:$AE44),_xll.ArrayCOA($AG44:$AZ44),YR,PRD,_xll.ArrayDIM($BB44:$BE44))</f>
        <v>0</v>
      </c>
      <c r="M44" s="237">
        <f t="shared" si="35"/>
        <v>0</v>
      </c>
      <c r="N44" s="254">
        <f t="array" ref="N44">_xll.BCC(DB,_xll.ArrayDPT($AA44:$AE44),_xll.ArrayCOA($AG44:$AZ44),YR,PRD,RV,_xll.ArrayDIM($BB44:$BE44))</f>
        <v>0</v>
      </c>
      <c r="O44" s="237">
        <f t="shared" si="36"/>
        <v>0</v>
      </c>
      <c r="P44" s="237">
        <f t="shared" si="37"/>
        <v>0</v>
      </c>
      <c r="Q44" s="237">
        <f t="shared" si="38"/>
        <v>0</v>
      </c>
      <c r="R44" s="254">
        <f t="array" ref="R44">_xll.ACC(DB,_xll.ArrayDPT($AA44:$AE44),_xll.ArrayCOA($AG44:$AZ44),YR-1,PRD,_xll.ArrayDIM($BB44:$BE44))</f>
        <v>0</v>
      </c>
      <c r="S44" s="237">
        <f t="shared" si="39"/>
        <v>0</v>
      </c>
      <c r="T44" s="295"/>
      <c r="U44" s="295"/>
      <c r="V44" s="295"/>
      <c r="W44" s="295"/>
      <c r="X44" s="295"/>
      <c r="Y44" s="295"/>
      <c r="Z44" s="295"/>
      <c r="AA44" s="95"/>
      <c r="AB44" s="96"/>
      <c r="AC44" s="96"/>
      <c r="AD44" s="96"/>
      <c r="AE44" s="96"/>
      <c r="AF44" s="97"/>
      <c r="AG44" s="95"/>
      <c r="AH44" s="96"/>
      <c r="AI44" s="95"/>
      <c r="AJ44" s="96"/>
      <c r="AK44" s="95"/>
      <c r="AL44" s="96"/>
      <c r="AM44" s="95"/>
      <c r="AN44" s="98"/>
      <c r="AO44" s="96"/>
      <c r="AP44" s="96"/>
      <c r="AQ44" s="95"/>
      <c r="AR44" s="98"/>
      <c r="AS44" s="96"/>
      <c r="AT44" s="96"/>
      <c r="AU44" s="95"/>
      <c r="AV44" s="98"/>
      <c r="AW44" s="96"/>
      <c r="AX44" s="96"/>
      <c r="AY44" s="95"/>
      <c r="AZ44" s="98"/>
      <c r="BA44" s="99"/>
      <c r="BB44" s="95"/>
      <c r="BC44" s="96"/>
      <c r="BD44" s="96"/>
      <c r="BE44" s="98"/>
    </row>
    <row r="45" spans="1:57" ht="11.25" customHeight="1">
      <c r="A45" s="254">
        <f t="array" ref="A45">_xll.AC(DB,_xll.ArrayDPT($AA45:$AE45),_xll.ArrayCOA($AG45:$AZ45),YR-1,PRD,_xll.ArrayDIM($BB45:$BE45))</f>
        <v>0</v>
      </c>
      <c r="B45" s="237">
        <f t="shared" si="30"/>
        <v>0</v>
      </c>
      <c r="C45" s="237">
        <f t="shared" si="31"/>
        <v>0</v>
      </c>
      <c r="D45" s="237">
        <f t="shared" si="32"/>
        <v>0</v>
      </c>
      <c r="E45" s="254">
        <f t="array" ref="E45">_xll.BC(DB,_xll.ArrayDPT($AA45:$AE45),_xll.ArrayCOA($AG45:$AZ45),YR,PRD,RV,_xll.ArrayDIM($BB45:$BE45))</f>
        <v>0</v>
      </c>
      <c r="F45" s="237">
        <f t="shared" si="33"/>
        <v>0</v>
      </c>
      <c r="G45" s="254">
        <f t="array" ref="G45">_xll.AC(DB,_xll.ArrayDPT($AA45:$AE45),_xll.ArrayCOA($AG45:$AZ45),YR,PRD,_xll.ArrayDIM($BB45:$BE45))</f>
        <v>0</v>
      </c>
      <c r="H45" s="237">
        <f t="shared" si="34"/>
        <v>0</v>
      </c>
      <c r="I45" s="237"/>
      <c r="J45" s="328" t="s">
        <v>805</v>
      </c>
      <c r="K45" s="237"/>
      <c r="L45" s="254">
        <f t="array" ref="L45">_xll.ACC(DB,_xll.ArrayDPT($AA45:$AE45),_xll.ArrayCOA($AG45:$AZ45),YR,PRD,_xll.ArrayDIM($BB45:$BE45))</f>
        <v>0</v>
      </c>
      <c r="M45" s="237">
        <f t="shared" si="35"/>
        <v>0</v>
      </c>
      <c r="N45" s="254">
        <f t="array" ref="N45">_xll.BCC(DB,_xll.ArrayDPT($AA45:$AE45),_xll.ArrayCOA($AG45:$AZ45),YR,PRD,RV,_xll.ArrayDIM($BB45:$BE45))</f>
        <v>0</v>
      </c>
      <c r="O45" s="237">
        <f t="shared" si="36"/>
        <v>0</v>
      </c>
      <c r="P45" s="237">
        <f t="shared" si="37"/>
        <v>0</v>
      </c>
      <c r="Q45" s="237">
        <f t="shared" si="38"/>
        <v>0</v>
      </c>
      <c r="R45" s="254">
        <f t="array" ref="R45">_xll.ACC(DB,_xll.ArrayDPT($AA45:$AE45),_xll.ArrayCOA($AG45:$AZ45),YR-1,PRD,_xll.ArrayDIM($BB45:$BE45))</f>
        <v>0</v>
      </c>
      <c r="S45" s="237">
        <f t="shared" si="39"/>
        <v>0</v>
      </c>
      <c r="T45" s="295"/>
      <c r="U45" s="295"/>
      <c r="V45" s="295"/>
      <c r="W45" s="295"/>
      <c r="X45" s="295"/>
      <c r="Y45" s="295"/>
      <c r="Z45" s="295"/>
      <c r="AA45" s="95"/>
      <c r="AB45" s="96"/>
      <c r="AC45" s="96"/>
      <c r="AD45" s="96"/>
      <c r="AE45" s="96"/>
      <c r="AF45" s="97"/>
      <c r="AG45" s="95"/>
      <c r="AH45" s="96"/>
      <c r="AI45" s="95"/>
      <c r="AJ45" s="96"/>
      <c r="AK45" s="95"/>
      <c r="AL45" s="96"/>
      <c r="AM45" s="95"/>
      <c r="AN45" s="98"/>
      <c r="AO45" s="96"/>
      <c r="AP45" s="96"/>
      <c r="AQ45" s="95"/>
      <c r="AR45" s="98"/>
      <c r="AS45" s="96"/>
      <c r="AT45" s="96"/>
      <c r="AU45" s="95"/>
      <c r="AV45" s="98"/>
      <c r="AW45" s="96"/>
      <c r="AX45" s="96"/>
      <c r="AY45" s="95"/>
      <c r="AZ45" s="98"/>
      <c r="BA45" s="99"/>
      <c r="BB45" s="95"/>
      <c r="BC45" s="96"/>
      <c r="BD45" s="96"/>
      <c r="BE45" s="98"/>
    </row>
    <row r="46" spans="1:57" ht="11.25" customHeight="1">
      <c r="A46" s="254">
        <f t="array" ref="A46">_xll.AC(DB,_xll.ArrayDPT($AA46:$AE46),_xll.ArrayCOA($AG46:$AZ46),YR-1,PRD,_xll.ArrayDIM($BB46:$BE46))</f>
        <v>0</v>
      </c>
      <c r="B46" s="237">
        <f t="shared" si="30"/>
        <v>0</v>
      </c>
      <c r="C46" s="237">
        <f t="shared" si="31"/>
        <v>0</v>
      </c>
      <c r="D46" s="237">
        <f t="shared" si="32"/>
        <v>0</v>
      </c>
      <c r="E46" s="254">
        <f t="array" ref="E46">_xll.BC(DB,_xll.ArrayDPT($AA46:$AE46),_xll.ArrayCOA($AG46:$AZ46),YR,PRD,RV,_xll.ArrayDIM($BB46:$BE46))</f>
        <v>0</v>
      </c>
      <c r="F46" s="237">
        <f t="shared" si="33"/>
        <v>0</v>
      </c>
      <c r="G46" s="254">
        <f t="array" ref="G46">_xll.AC(DB,_xll.ArrayDPT($AA46:$AE46),_xll.ArrayCOA($AG46:$AZ46),YR,PRD,_xll.ArrayDIM($BB46:$BE46))</f>
        <v>0</v>
      </c>
      <c r="H46" s="237">
        <f t="shared" si="34"/>
        <v>0</v>
      </c>
      <c r="I46" s="237"/>
      <c r="J46" s="328" t="s">
        <v>925</v>
      </c>
      <c r="K46" s="237"/>
      <c r="L46" s="254">
        <f t="array" ref="L46">_xll.ACC(DB,_xll.ArrayDPT($AA46:$AE46),_xll.ArrayCOA($AG46:$AZ46),YR,PRD,_xll.ArrayDIM($BB46:$BE46))</f>
        <v>0</v>
      </c>
      <c r="M46" s="237">
        <f t="shared" si="35"/>
        <v>0</v>
      </c>
      <c r="N46" s="254">
        <f t="array" ref="N46">_xll.BCC(DB,_xll.ArrayDPT($AA46:$AE46),_xll.ArrayCOA($AG46:$AZ46),YR,PRD,RV,_xll.ArrayDIM($BB46:$BE46))</f>
        <v>0</v>
      </c>
      <c r="O46" s="237">
        <f t="shared" si="36"/>
        <v>0</v>
      </c>
      <c r="P46" s="237">
        <f t="shared" si="37"/>
        <v>0</v>
      </c>
      <c r="Q46" s="237">
        <f t="shared" si="38"/>
        <v>0</v>
      </c>
      <c r="R46" s="254">
        <f t="array" ref="R46">_xll.ACC(DB,_xll.ArrayDPT($AA46:$AE46),_xll.ArrayCOA($AG46:$AZ46),YR-1,PRD,_xll.ArrayDIM($BB46:$BE46))</f>
        <v>0</v>
      </c>
      <c r="S46" s="237">
        <f t="shared" si="39"/>
        <v>0</v>
      </c>
      <c r="T46" s="295"/>
      <c r="U46" s="295"/>
      <c r="V46" s="295"/>
      <c r="W46" s="295"/>
      <c r="X46" s="295"/>
      <c r="Y46" s="295"/>
      <c r="Z46" s="295"/>
      <c r="AA46" s="95"/>
      <c r="AB46" s="96"/>
      <c r="AC46" s="96"/>
      <c r="AD46" s="96"/>
      <c r="AE46" s="96"/>
      <c r="AF46" s="97"/>
      <c r="AG46" s="95"/>
      <c r="AH46" s="96"/>
      <c r="AI46" s="95"/>
      <c r="AJ46" s="96"/>
      <c r="AK46" s="95"/>
      <c r="AL46" s="96"/>
      <c r="AM46" s="95"/>
      <c r="AN46" s="98"/>
      <c r="AO46" s="96"/>
      <c r="AP46" s="96"/>
      <c r="AQ46" s="95"/>
      <c r="AR46" s="98"/>
      <c r="AS46" s="96"/>
      <c r="AT46" s="96"/>
      <c r="AU46" s="95"/>
      <c r="AV46" s="98"/>
      <c r="AW46" s="96"/>
      <c r="AX46" s="96"/>
      <c r="AY46" s="95"/>
      <c r="AZ46" s="98"/>
      <c r="BA46" s="99"/>
      <c r="BB46" s="95"/>
      <c r="BC46" s="96"/>
      <c r="BD46" s="96"/>
      <c r="BE46" s="98"/>
    </row>
    <row r="47" spans="1:57" ht="11.25" customHeight="1">
      <c r="A47" s="254">
        <f t="array" ref="A47">_xll.AC(DB,_xll.ArrayDPT($AA47:$AE47),_xll.ArrayCOA($AG47:$AZ47),YR-1,PRD,_xll.ArrayDIM($BB47:$BE47))</f>
        <v>0</v>
      </c>
      <c r="B47" s="237">
        <f t="shared" si="30"/>
        <v>0</v>
      </c>
      <c r="C47" s="237">
        <f t="shared" si="31"/>
        <v>0</v>
      </c>
      <c r="D47" s="237">
        <f t="shared" si="32"/>
        <v>0</v>
      </c>
      <c r="E47" s="254">
        <f t="array" ref="E47">_xll.BC(DB,_xll.ArrayDPT($AA47:$AE47),_xll.ArrayCOA($AG47:$AZ47),YR,PRD,RV,_xll.ArrayDIM($BB47:$BE47))</f>
        <v>0</v>
      </c>
      <c r="F47" s="237">
        <f t="shared" si="33"/>
        <v>0</v>
      </c>
      <c r="G47" s="254">
        <f t="array" ref="G47">_xll.AC(DB,_xll.ArrayDPT($AA47:$AE47),_xll.ArrayCOA($AG47:$AZ47),YR,PRD,_xll.ArrayDIM($BB47:$BE47))</f>
        <v>0</v>
      </c>
      <c r="H47" s="237">
        <f t="shared" si="34"/>
        <v>0</v>
      </c>
      <c r="I47" s="237"/>
      <c r="J47" s="328" t="s">
        <v>810</v>
      </c>
      <c r="K47" s="237"/>
      <c r="L47" s="254">
        <f t="array" ref="L47">_xll.ACC(DB,_xll.ArrayDPT($AA47:$AE47),_xll.ArrayCOA($AG47:$AZ47),YR,PRD,_xll.ArrayDIM($BB47:$BE47))</f>
        <v>0</v>
      </c>
      <c r="M47" s="237">
        <f t="shared" si="35"/>
        <v>0</v>
      </c>
      <c r="N47" s="254">
        <f t="array" ref="N47">_xll.BCC(DB,_xll.ArrayDPT($AA47:$AE47),_xll.ArrayCOA($AG47:$AZ47),YR,PRD,RV,_xll.ArrayDIM($BB47:$BE47))</f>
        <v>0</v>
      </c>
      <c r="O47" s="237">
        <f t="shared" si="36"/>
        <v>0</v>
      </c>
      <c r="P47" s="237">
        <f t="shared" si="37"/>
        <v>0</v>
      </c>
      <c r="Q47" s="237">
        <f t="shared" si="38"/>
        <v>0</v>
      </c>
      <c r="R47" s="254">
        <f t="array" ref="R47">_xll.ACC(DB,_xll.ArrayDPT($AA47:$AE47),_xll.ArrayCOA($AG47:$AZ47),YR-1,PRD,_xll.ArrayDIM($BB47:$BE47))</f>
        <v>0</v>
      </c>
      <c r="S47" s="237">
        <f t="shared" si="39"/>
        <v>0</v>
      </c>
      <c r="T47" s="295"/>
      <c r="U47" s="295"/>
      <c r="V47" s="295"/>
      <c r="W47" s="295"/>
      <c r="X47" s="295"/>
      <c r="Y47" s="295"/>
      <c r="Z47" s="295"/>
      <c r="AA47" s="95"/>
      <c r="AB47" s="96"/>
      <c r="AC47" s="96"/>
      <c r="AD47" s="96"/>
      <c r="AE47" s="96"/>
      <c r="AF47" s="97"/>
      <c r="AG47" s="95"/>
      <c r="AH47" s="96"/>
      <c r="AI47" s="95"/>
      <c r="AJ47" s="96"/>
      <c r="AK47" s="95"/>
      <c r="AL47" s="96"/>
      <c r="AM47" s="95"/>
      <c r="AN47" s="98"/>
      <c r="AO47" s="96"/>
      <c r="AP47" s="96"/>
      <c r="AQ47" s="95"/>
      <c r="AR47" s="98"/>
      <c r="AS47" s="96"/>
      <c r="AT47" s="96"/>
      <c r="AU47" s="95"/>
      <c r="AV47" s="98"/>
      <c r="AW47" s="96"/>
      <c r="AX47" s="96"/>
      <c r="AY47" s="95"/>
      <c r="AZ47" s="98"/>
      <c r="BA47" s="99"/>
      <c r="BB47" s="95"/>
      <c r="BC47" s="96"/>
      <c r="BD47" s="96"/>
      <c r="BE47" s="98"/>
    </row>
    <row r="48" spans="1:57" ht="11.25" customHeight="1">
      <c r="A48" s="254">
        <f t="array" ref="A48">_xll.AC(DB,_xll.ArrayDPT($AA48:$AE48),_xll.ArrayCOA($AG48:$AZ48),YR-1,PRD,_xll.ArrayDIM($BB48:$BE48))</f>
        <v>0</v>
      </c>
      <c r="B48" s="237">
        <f t="shared" si="30"/>
        <v>0</v>
      </c>
      <c r="C48" s="237">
        <f t="shared" si="31"/>
        <v>0</v>
      </c>
      <c r="D48" s="237">
        <f t="shared" si="32"/>
        <v>0</v>
      </c>
      <c r="E48" s="254">
        <f t="array" ref="E48">_xll.BC(DB,_xll.ArrayDPT($AA48:$AE48),_xll.ArrayCOA($AG48:$AZ48),YR,PRD,RV,_xll.ArrayDIM($BB48:$BE48))</f>
        <v>0</v>
      </c>
      <c r="F48" s="237">
        <f t="shared" si="33"/>
        <v>0</v>
      </c>
      <c r="G48" s="254">
        <f t="array" ref="G48">_xll.AC(DB,_xll.ArrayDPT($AA48:$AE48),_xll.ArrayCOA($AG48:$AZ48),YR,PRD,_xll.ArrayDIM($BB48:$BE48))</f>
        <v>0</v>
      </c>
      <c r="H48" s="237">
        <f t="shared" si="34"/>
        <v>0</v>
      </c>
      <c r="I48" s="237"/>
      <c r="J48" s="328" t="s">
        <v>926</v>
      </c>
      <c r="K48" s="237"/>
      <c r="L48" s="254">
        <f t="array" ref="L48">_xll.ACC(DB,_xll.ArrayDPT($AA48:$AE48),_xll.ArrayCOA($AG48:$AZ48),YR,PRD,_xll.ArrayDIM($BB48:$BE48))</f>
        <v>0</v>
      </c>
      <c r="M48" s="237">
        <f t="shared" si="35"/>
        <v>0</v>
      </c>
      <c r="N48" s="254">
        <f t="array" ref="N48">_xll.BCC(DB,_xll.ArrayDPT($AA48:$AE48),_xll.ArrayCOA($AG48:$AZ48),YR,PRD,RV,_xll.ArrayDIM($BB48:$BE48))</f>
        <v>0</v>
      </c>
      <c r="O48" s="237">
        <f t="shared" si="36"/>
        <v>0</v>
      </c>
      <c r="P48" s="237">
        <f t="shared" si="37"/>
        <v>0</v>
      </c>
      <c r="Q48" s="237">
        <f t="shared" si="38"/>
        <v>0</v>
      </c>
      <c r="R48" s="254">
        <f t="array" ref="R48">_xll.ACC(DB,_xll.ArrayDPT($AA48:$AE48),_xll.ArrayCOA($AG48:$AZ48),YR-1,PRD,_xll.ArrayDIM($BB48:$BE48))</f>
        <v>0</v>
      </c>
      <c r="S48" s="237">
        <f t="shared" si="39"/>
        <v>0</v>
      </c>
      <c r="T48" s="295"/>
      <c r="U48" s="295"/>
      <c r="V48" s="295"/>
      <c r="W48" s="295"/>
      <c r="X48" s="295"/>
      <c r="Y48" s="295"/>
      <c r="Z48" s="295"/>
      <c r="AA48" s="95"/>
      <c r="AB48" s="96"/>
      <c r="AC48" s="96"/>
      <c r="AD48" s="96"/>
      <c r="AE48" s="96"/>
      <c r="AF48" s="97"/>
      <c r="AG48" s="95"/>
      <c r="AH48" s="96"/>
      <c r="AI48" s="95"/>
      <c r="AJ48" s="96"/>
      <c r="AK48" s="95"/>
      <c r="AL48" s="96"/>
      <c r="AM48" s="95"/>
      <c r="AN48" s="98"/>
      <c r="AO48" s="96"/>
      <c r="AP48" s="96"/>
      <c r="AQ48" s="95"/>
      <c r="AR48" s="98"/>
      <c r="AS48" s="96"/>
      <c r="AT48" s="96"/>
      <c r="AU48" s="95"/>
      <c r="AV48" s="98"/>
      <c r="AW48" s="96"/>
      <c r="AX48" s="96"/>
      <c r="AY48" s="95"/>
      <c r="AZ48" s="98"/>
      <c r="BA48" s="99"/>
      <c r="BB48" s="95"/>
      <c r="BC48" s="96"/>
      <c r="BD48" s="96"/>
      <c r="BE48" s="98"/>
    </row>
    <row r="49" spans="1:57" ht="11.25" customHeight="1">
      <c r="A49" s="254">
        <f t="array" ref="A49">_xll.AC(DB,_xll.ArrayDPT($AA49:$AE49),_xll.ArrayCOA($AG49:$AZ49),YR-1,PRD,_xll.ArrayDIM($BB49:$BE49))</f>
        <v>0</v>
      </c>
      <c r="B49" s="237">
        <f t="shared" si="30"/>
        <v>0</v>
      </c>
      <c r="C49" s="237">
        <f t="shared" si="31"/>
        <v>0</v>
      </c>
      <c r="D49" s="237">
        <f t="shared" si="32"/>
        <v>0</v>
      </c>
      <c r="E49" s="254">
        <f t="array" ref="E49">_xll.BC(DB,_xll.ArrayDPT($AA49:$AE49),_xll.ArrayCOA($AG49:$AZ49),YR,PRD,RV,_xll.ArrayDIM($BB49:$BE49))</f>
        <v>0</v>
      </c>
      <c r="F49" s="237">
        <f t="shared" si="33"/>
        <v>0</v>
      </c>
      <c r="G49" s="254">
        <f t="array" ref="G49">_xll.AC(DB,_xll.ArrayDPT($AA49:$AE49),_xll.ArrayCOA($AG49:$AZ49),YR,PRD,_xll.ArrayDIM($BB49:$BE49))</f>
        <v>0</v>
      </c>
      <c r="H49" s="237">
        <f t="shared" si="34"/>
        <v>0</v>
      </c>
      <c r="I49" s="237"/>
      <c r="J49" s="328" t="s">
        <v>927</v>
      </c>
      <c r="K49" s="237"/>
      <c r="L49" s="254">
        <f t="array" ref="L49">_xll.ACC(DB,_xll.ArrayDPT($AA49:$AE49),_xll.ArrayCOA($AG49:$AZ49),YR,PRD,_xll.ArrayDIM($BB49:$BE49))</f>
        <v>0</v>
      </c>
      <c r="M49" s="237">
        <f t="shared" si="35"/>
        <v>0</v>
      </c>
      <c r="N49" s="254">
        <f t="array" ref="N49">_xll.BCC(DB,_xll.ArrayDPT($AA49:$AE49),_xll.ArrayCOA($AG49:$AZ49),YR,PRD,RV,_xll.ArrayDIM($BB49:$BE49))</f>
        <v>0</v>
      </c>
      <c r="O49" s="237">
        <f t="shared" si="36"/>
        <v>0</v>
      </c>
      <c r="P49" s="237">
        <f t="shared" si="37"/>
        <v>0</v>
      </c>
      <c r="Q49" s="237">
        <f t="shared" si="38"/>
        <v>0</v>
      </c>
      <c r="R49" s="254">
        <f t="array" ref="R49">_xll.ACC(DB,_xll.ArrayDPT($AA49:$AE49),_xll.ArrayCOA($AG49:$AZ49),YR-1,PRD,_xll.ArrayDIM($BB49:$BE49))</f>
        <v>0</v>
      </c>
      <c r="S49" s="237">
        <f t="shared" si="39"/>
        <v>0</v>
      </c>
      <c r="T49" s="295"/>
      <c r="U49" s="295"/>
      <c r="V49" s="295"/>
      <c r="W49" s="295"/>
      <c r="X49" s="295"/>
      <c r="Y49" s="295"/>
      <c r="Z49" s="295"/>
      <c r="AA49" s="95"/>
      <c r="AB49" s="96"/>
      <c r="AC49" s="96"/>
      <c r="AD49" s="96"/>
      <c r="AE49" s="96"/>
      <c r="AF49" s="97"/>
      <c r="AG49" s="95"/>
      <c r="AH49" s="96"/>
      <c r="AI49" s="95"/>
      <c r="AJ49" s="96"/>
      <c r="AK49" s="95"/>
      <c r="AL49" s="96"/>
      <c r="AM49" s="95"/>
      <c r="AN49" s="98"/>
      <c r="AO49" s="96"/>
      <c r="AP49" s="96"/>
      <c r="AQ49" s="95"/>
      <c r="AR49" s="98"/>
      <c r="AS49" s="96"/>
      <c r="AT49" s="96"/>
      <c r="AU49" s="95"/>
      <c r="AV49" s="98"/>
      <c r="AW49" s="96"/>
      <c r="AX49" s="96"/>
      <c r="AY49" s="95"/>
      <c r="AZ49" s="98"/>
      <c r="BA49" s="99"/>
      <c r="BB49" s="95"/>
      <c r="BC49" s="96"/>
      <c r="BD49" s="96"/>
      <c r="BE49" s="98"/>
    </row>
    <row r="50" spans="1:57" ht="11.25" customHeight="1">
      <c r="A50" s="254">
        <f t="array" ref="A50">_xll.AC(DB,_xll.ArrayDPT($AA50:$AE50),_xll.ArrayCOA($AG50:$AZ50),YR-1,PRD,_xll.ArrayDIM($BB50:$BE50))</f>
        <v>0</v>
      </c>
      <c r="B50" s="237">
        <f t="shared" si="30"/>
        <v>0</v>
      </c>
      <c r="C50" s="237">
        <f t="shared" si="31"/>
        <v>0</v>
      </c>
      <c r="D50" s="237">
        <f t="shared" si="32"/>
        <v>0</v>
      </c>
      <c r="E50" s="254">
        <f t="array" ref="E50">_xll.BC(DB,_xll.ArrayDPT($AA50:$AE50),_xll.ArrayCOA($AG50:$AZ50),YR,PRD,RV,_xll.ArrayDIM($BB50:$BE50))</f>
        <v>0</v>
      </c>
      <c r="F50" s="237">
        <f t="shared" si="33"/>
        <v>0</v>
      </c>
      <c r="G50" s="254">
        <f t="array" ref="G50">_xll.AC(DB,_xll.ArrayDPT($AA50:$AE50),_xll.ArrayCOA($AG50:$AZ50),YR,PRD,_xll.ArrayDIM($BB50:$BE50))</f>
        <v>0</v>
      </c>
      <c r="H50" s="237">
        <f t="shared" si="34"/>
        <v>0</v>
      </c>
      <c r="I50" s="237"/>
      <c r="J50" s="328" t="s">
        <v>876</v>
      </c>
      <c r="K50" s="237"/>
      <c r="L50" s="254">
        <f t="array" ref="L50">_xll.ACC(DB,_xll.ArrayDPT($AA50:$AE50),_xll.ArrayCOA($AG50:$AZ50),YR,PRD,_xll.ArrayDIM($BB50:$BE50))</f>
        <v>0</v>
      </c>
      <c r="M50" s="237">
        <f t="shared" si="35"/>
        <v>0</v>
      </c>
      <c r="N50" s="254">
        <f t="array" ref="N50">_xll.BCC(DB,_xll.ArrayDPT($AA50:$AE50),_xll.ArrayCOA($AG50:$AZ50),YR,PRD,RV,_xll.ArrayDIM($BB50:$BE50))</f>
        <v>0</v>
      </c>
      <c r="O50" s="237">
        <f t="shared" si="36"/>
        <v>0</v>
      </c>
      <c r="P50" s="237">
        <f t="shared" si="37"/>
        <v>0</v>
      </c>
      <c r="Q50" s="237">
        <f t="shared" si="38"/>
        <v>0</v>
      </c>
      <c r="R50" s="254">
        <f t="array" ref="R50">_xll.ACC(DB,_xll.ArrayDPT($AA50:$AE50),_xll.ArrayCOA($AG50:$AZ50),YR-1,PRD,_xll.ArrayDIM($BB50:$BE50))</f>
        <v>0</v>
      </c>
      <c r="S50" s="237">
        <f t="shared" si="39"/>
        <v>0</v>
      </c>
      <c r="T50" s="295"/>
      <c r="U50" s="295"/>
      <c r="V50" s="295"/>
      <c r="W50" s="295"/>
      <c r="X50" s="295"/>
      <c r="Y50" s="295"/>
      <c r="Z50" s="295"/>
      <c r="AA50" s="95"/>
      <c r="AB50" s="96"/>
      <c r="AC50" s="96"/>
      <c r="AD50" s="96"/>
      <c r="AE50" s="96"/>
      <c r="AF50" s="97"/>
      <c r="AG50" s="95"/>
      <c r="AH50" s="96"/>
      <c r="AI50" s="95"/>
      <c r="AJ50" s="96"/>
      <c r="AK50" s="95"/>
      <c r="AL50" s="96"/>
      <c r="AM50" s="95"/>
      <c r="AN50" s="98"/>
      <c r="AO50" s="96"/>
      <c r="AP50" s="96"/>
      <c r="AQ50" s="95"/>
      <c r="AR50" s="98"/>
      <c r="AS50" s="96"/>
      <c r="AT50" s="96"/>
      <c r="AU50" s="95"/>
      <c r="AV50" s="98"/>
      <c r="AW50" s="96"/>
      <c r="AX50" s="96"/>
      <c r="AY50" s="95"/>
      <c r="AZ50" s="98"/>
      <c r="BA50" s="99"/>
      <c r="BB50" s="95"/>
      <c r="BC50" s="96"/>
      <c r="BD50" s="96"/>
      <c r="BE50" s="98"/>
    </row>
    <row r="51" spans="1:57" ht="11.25" customHeight="1">
      <c r="A51" s="254">
        <f t="array" ref="A51">_xll.AC(DB,_xll.ArrayDPT($AA51:$AE51),_xll.ArrayCOA($AG51:$AZ51),YR-1,PRD,_xll.ArrayDIM($BB51:$BE51))</f>
        <v>0</v>
      </c>
      <c r="B51" s="237">
        <f t="shared" si="30"/>
        <v>0</v>
      </c>
      <c r="C51" s="237">
        <f t="shared" si="31"/>
        <v>0</v>
      </c>
      <c r="D51" s="237">
        <f t="shared" si="32"/>
        <v>0</v>
      </c>
      <c r="E51" s="254">
        <f t="array" ref="E51">_xll.BC(DB,_xll.ArrayDPT($AA51:$AE51),_xll.ArrayCOA($AG51:$AZ51),YR,PRD,RV,_xll.ArrayDIM($BB51:$BE51))</f>
        <v>0</v>
      </c>
      <c r="F51" s="237">
        <f t="shared" si="33"/>
        <v>0</v>
      </c>
      <c r="G51" s="254">
        <f t="array" ref="G51">_xll.AC(DB,_xll.ArrayDPT($AA51:$AE51),_xll.ArrayCOA($AG51:$AZ51),YR,PRD,_xll.ArrayDIM($BB51:$BE51))</f>
        <v>0</v>
      </c>
      <c r="H51" s="237">
        <f t="shared" si="34"/>
        <v>0</v>
      </c>
      <c r="I51" s="237"/>
      <c r="J51" s="328" t="s">
        <v>878</v>
      </c>
      <c r="K51" s="237"/>
      <c r="L51" s="254">
        <f t="array" ref="L51">_xll.ACC(DB,_xll.ArrayDPT($AA51:$AE51),_xll.ArrayCOA($AG51:$AZ51),YR,PRD,_xll.ArrayDIM($BB51:$BE51))</f>
        <v>0</v>
      </c>
      <c r="M51" s="237">
        <f t="shared" si="35"/>
        <v>0</v>
      </c>
      <c r="N51" s="254">
        <f t="array" ref="N51">_xll.BCC(DB,_xll.ArrayDPT($AA51:$AE51),_xll.ArrayCOA($AG51:$AZ51),YR,PRD,RV,_xll.ArrayDIM($BB51:$BE51))</f>
        <v>0</v>
      </c>
      <c r="O51" s="237">
        <f t="shared" si="36"/>
        <v>0</v>
      </c>
      <c r="P51" s="237">
        <f t="shared" si="37"/>
        <v>0</v>
      </c>
      <c r="Q51" s="237">
        <f t="shared" si="38"/>
        <v>0</v>
      </c>
      <c r="R51" s="254">
        <f t="array" ref="R51">_xll.ACC(DB,_xll.ArrayDPT($AA51:$AE51),_xll.ArrayCOA($AG51:$AZ51),YR-1,PRD,_xll.ArrayDIM($BB51:$BE51))</f>
        <v>0</v>
      </c>
      <c r="S51" s="237">
        <f t="shared" si="39"/>
        <v>0</v>
      </c>
      <c r="T51" s="295"/>
      <c r="U51" s="295"/>
      <c r="V51" s="295"/>
      <c r="W51" s="295"/>
      <c r="X51" s="295"/>
      <c r="Y51" s="295"/>
      <c r="Z51" s="295"/>
      <c r="AA51" s="95"/>
      <c r="AB51" s="96"/>
      <c r="AC51" s="96"/>
      <c r="AD51" s="96"/>
      <c r="AE51" s="96"/>
      <c r="AF51" s="97"/>
      <c r="AG51" s="95"/>
      <c r="AH51" s="96"/>
      <c r="AI51" s="95"/>
      <c r="AJ51" s="96"/>
      <c r="AK51" s="95"/>
      <c r="AL51" s="96"/>
      <c r="AM51" s="95"/>
      <c r="AN51" s="98"/>
      <c r="AO51" s="96"/>
      <c r="AP51" s="96"/>
      <c r="AQ51" s="95"/>
      <c r="AR51" s="98"/>
      <c r="AS51" s="96"/>
      <c r="AT51" s="96"/>
      <c r="AU51" s="95"/>
      <c r="AV51" s="98"/>
      <c r="AW51" s="96"/>
      <c r="AX51" s="96"/>
      <c r="AY51" s="95"/>
      <c r="AZ51" s="98"/>
      <c r="BA51" s="99"/>
      <c r="BB51" s="95"/>
      <c r="BC51" s="96"/>
      <c r="BD51" s="96"/>
      <c r="BE51" s="98"/>
    </row>
    <row r="52" spans="1:57" ht="11.25" customHeight="1">
      <c r="A52" s="254">
        <f t="array" ref="A52">_xll.AC(DB,_xll.ArrayDPT($AA52:$AE52),_xll.ArrayCOA($AG52:$AZ52),YR-1,PRD,_xll.ArrayDIM($BB52:$BE52))</f>
        <v>0</v>
      </c>
      <c r="B52" s="237">
        <f t="shared" si="30"/>
        <v>0</v>
      </c>
      <c r="C52" s="237">
        <f t="shared" si="31"/>
        <v>0</v>
      </c>
      <c r="D52" s="237">
        <f t="shared" si="32"/>
        <v>0</v>
      </c>
      <c r="E52" s="254">
        <f t="array" ref="E52">_xll.BC(DB,_xll.ArrayDPT($AA52:$AE52),_xll.ArrayCOA($AG52:$AZ52),YR,PRD,RV,_xll.ArrayDIM($BB52:$BE52))</f>
        <v>0</v>
      </c>
      <c r="F52" s="237">
        <f t="shared" si="33"/>
        <v>0</v>
      </c>
      <c r="G52" s="254">
        <f t="array" ref="G52">_xll.AC(DB,_xll.ArrayDPT($AA52:$AE52),_xll.ArrayCOA($AG52:$AZ52),YR,PRD,_xll.ArrayDIM($BB52:$BE52))</f>
        <v>0</v>
      </c>
      <c r="H52" s="237">
        <f t="shared" si="34"/>
        <v>0</v>
      </c>
      <c r="I52" s="237"/>
      <c r="J52" s="328" t="s">
        <v>928</v>
      </c>
      <c r="K52" s="237"/>
      <c r="L52" s="254">
        <f t="array" ref="L52">_xll.ACC(DB,_xll.ArrayDPT($AA52:$AE52),_xll.ArrayCOA($AG52:$AZ52),YR,PRD,_xll.ArrayDIM($BB52:$BE52))</f>
        <v>0</v>
      </c>
      <c r="M52" s="237">
        <f t="shared" si="35"/>
        <v>0</v>
      </c>
      <c r="N52" s="254">
        <f t="array" ref="N52">_xll.BCC(DB,_xll.ArrayDPT($AA52:$AE52),_xll.ArrayCOA($AG52:$AZ52),YR,PRD,RV,_xll.ArrayDIM($BB52:$BE52))</f>
        <v>0</v>
      </c>
      <c r="O52" s="237">
        <f t="shared" si="36"/>
        <v>0</v>
      </c>
      <c r="P52" s="237">
        <f t="shared" si="37"/>
        <v>0</v>
      </c>
      <c r="Q52" s="237">
        <f t="shared" si="38"/>
        <v>0</v>
      </c>
      <c r="R52" s="254">
        <f t="array" ref="R52">_xll.ACC(DB,_xll.ArrayDPT($AA52:$AE52),_xll.ArrayCOA($AG52:$AZ52),YR-1,PRD,_xll.ArrayDIM($BB52:$BE52))</f>
        <v>0</v>
      </c>
      <c r="S52" s="237">
        <f t="shared" si="39"/>
        <v>0</v>
      </c>
      <c r="T52" s="295"/>
      <c r="U52" s="295"/>
      <c r="V52" s="295"/>
      <c r="W52" s="295"/>
      <c r="X52" s="295"/>
      <c r="Y52" s="295"/>
      <c r="Z52" s="295"/>
      <c r="AA52" s="95"/>
      <c r="AB52" s="96"/>
      <c r="AC52" s="96"/>
      <c r="AD52" s="96"/>
      <c r="AE52" s="96"/>
      <c r="AF52" s="97"/>
      <c r="AG52" s="95"/>
      <c r="AH52" s="96"/>
      <c r="AI52" s="95"/>
      <c r="AJ52" s="96"/>
      <c r="AK52" s="95"/>
      <c r="AL52" s="96"/>
      <c r="AM52" s="95"/>
      <c r="AN52" s="98"/>
      <c r="AO52" s="96"/>
      <c r="AP52" s="96"/>
      <c r="AQ52" s="95"/>
      <c r="AR52" s="98"/>
      <c r="AS52" s="96"/>
      <c r="AT52" s="96"/>
      <c r="AU52" s="95"/>
      <c r="AV52" s="98"/>
      <c r="AW52" s="96"/>
      <c r="AX52" s="96"/>
      <c r="AY52" s="95"/>
      <c r="AZ52" s="98"/>
      <c r="BA52" s="99"/>
      <c r="BB52" s="95"/>
      <c r="BC52" s="96"/>
      <c r="BD52" s="96"/>
      <c r="BE52" s="98"/>
    </row>
    <row r="53" spans="1:57" ht="11.25" customHeight="1">
      <c r="A53" s="254">
        <f t="array" ref="A53">_xll.AC(DB,_xll.ArrayDPT($AA53:$AE53),_xll.ArrayCOA($AG53:$AZ53),YR-1,PRD,_xll.ArrayDIM($BB53:$BE53))</f>
        <v>0</v>
      </c>
      <c r="B53" s="237">
        <f t="shared" si="30"/>
        <v>0</v>
      </c>
      <c r="C53" s="237">
        <f t="shared" si="31"/>
        <v>0</v>
      </c>
      <c r="D53" s="237">
        <f t="shared" si="32"/>
        <v>0</v>
      </c>
      <c r="E53" s="254">
        <f t="array" ref="E53">_xll.BC(DB,_xll.ArrayDPT($AA53:$AE53),_xll.ArrayCOA($AG53:$AZ53),YR,PRD,RV,_xll.ArrayDIM($BB53:$BE53))</f>
        <v>0</v>
      </c>
      <c r="F53" s="237">
        <f t="shared" si="33"/>
        <v>0</v>
      </c>
      <c r="G53" s="254">
        <f t="array" ref="G53">_xll.AC(DB,_xll.ArrayDPT($AA53:$AE53),_xll.ArrayCOA($AG53:$AZ53),YR,PRD,_xll.ArrayDIM($BB53:$BE53))</f>
        <v>0</v>
      </c>
      <c r="H53" s="237">
        <f t="shared" si="34"/>
        <v>0</v>
      </c>
      <c r="I53" s="237"/>
      <c r="J53" s="328" t="s">
        <v>707</v>
      </c>
      <c r="K53" s="237"/>
      <c r="L53" s="254">
        <f t="array" ref="L53">_xll.ACC(DB,_xll.ArrayDPT($AA53:$AE53),_xll.ArrayCOA($AG53:$AZ53),YR,PRD,_xll.ArrayDIM($BB53:$BE53))</f>
        <v>0</v>
      </c>
      <c r="M53" s="237">
        <f t="shared" si="35"/>
        <v>0</v>
      </c>
      <c r="N53" s="254">
        <f t="array" ref="N53">_xll.BCC(DB,_xll.ArrayDPT($AA53:$AE53),_xll.ArrayCOA($AG53:$AZ53),YR,PRD,RV,_xll.ArrayDIM($BB53:$BE53))</f>
        <v>0</v>
      </c>
      <c r="O53" s="237">
        <f t="shared" si="36"/>
        <v>0</v>
      </c>
      <c r="P53" s="237">
        <f t="shared" si="37"/>
        <v>0</v>
      </c>
      <c r="Q53" s="237">
        <f t="shared" si="38"/>
        <v>0</v>
      </c>
      <c r="R53" s="254">
        <f t="array" ref="R53">_xll.ACC(DB,_xll.ArrayDPT($AA53:$AE53),_xll.ArrayCOA($AG53:$AZ53),YR-1,PRD,_xll.ArrayDIM($BB53:$BE53))</f>
        <v>0</v>
      </c>
      <c r="S53" s="237">
        <f t="shared" si="39"/>
        <v>0</v>
      </c>
      <c r="T53" s="295"/>
      <c r="U53" s="295"/>
      <c r="V53" s="295"/>
      <c r="W53" s="295"/>
      <c r="X53" s="295"/>
      <c r="Y53" s="295"/>
      <c r="Z53" s="295"/>
      <c r="AA53" s="95"/>
      <c r="AB53" s="96"/>
      <c r="AC53" s="96"/>
      <c r="AD53" s="96"/>
      <c r="AE53" s="96"/>
      <c r="AF53" s="97"/>
      <c r="AG53" s="95"/>
      <c r="AH53" s="96"/>
      <c r="AI53" s="95"/>
      <c r="AJ53" s="96"/>
      <c r="AK53" s="95"/>
      <c r="AL53" s="96"/>
      <c r="AM53" s="95"/>
      <c r="AN53" s="98"/>
      <c r="AO53" s="96"/>
      <c r="AP53" s="96"/>
      <c r="AQ53" s="95"/>
      <c r="AR53" s="98"/>
      <c r="AS53" s="96"/>
      <c r="AT53" s="96"/>
      <c r="AU53" s="95"/>
      <c r="AV53" s="98"/>
      <c r="AW53" s="96"/>
      <c r="AX53" s="96"/>
      <c r="AY53" s="95"/>
      <c r="AZ53" s="98"/>
      <c r="BA53" s="99"/>
      <c r="BB53" s="95"/>
      <c r="BC53" s="96"/>
      <c r="BD53" s="96"/>
      <c r="BE53" s="98"/>
    </row>
    <row r="54" spans="1:57" ht="11.25" customHeight="1">
      <c r="A54" s="254">
        <f t="array" ref="A54">_xll.AC(DB,_xll.ArrayDPT($AA54:$AE54),_xll.ArrayCOA($AG54:$AZ54),YR-1,PRD,_xll.ArrayDIM($BB54:$BE54))</f>
        <v>0</v>
      </c>
      <c r="B54" s="237">
        <f t="shared" si="30"/>
        <v>0</v>
      </c>
      <c r="C54" s="237">
        <f t="shared" si="31"/>
        <v>0</v>
      </c>
      <c r="D54" s="237">
        <f t="shared" si="32"/>
        <v>0</v>
      </c>
      <c r="E54" s="254">
        <f t="array" ref="E54">_xll.BC(DB,_xll.ArrayDPT($AA54:$AE54),_xll.ArrayCOA($AG54:$AZ54),YR,PRD,RV,_xll.ArrayDIM($BB54:$BE54))</f>
        <v>0</v>
      </c>
      <c r="F54" s="237">
        <f t="shared" si="33"/>
        <v>0</v>
      </c>
      <c r="G54" s="254">
        <f t="array" ref="G54">_xll.AC(DB,_xll.ArrayDPT($AA54:$AE54),_xll.ArrayCOA($AG54:$AZ54),YR,PRD,_xll.ArrayDIM($BB54:$BE54))</f>
        <v>0</v>
      </c>
      <c r="H54" s="237">
        <f t="shared" si="34"/>
        <v>0</v>
      </c>
      <c r="I54" s="237"/>
      <c r="J54" s="328" t="s">
        <v>826</v>
      </c>
      <c r="K54" s="237"/>
      <c r="L54" s="254">
        <f t="array" ref="L54">_xll.ACC(DB,_xll.ArrayDPT($AA54:$AE54),_xll.ArrayCOA($AG54:$AZ54),YR,PRD,_xll.ArrayDIM($BB54:$BE54))</f>
        <v>0</v>
      </c>
      <c r="M54" s="237">
        <f t="shared" si="35"/>
        <v>0</v>
      </c>
      <c r="N54" s="254">
        <f t="array" ref="N54">_xll.BCC(DB,_xll.ArrayDPT($AA54:$AE54),_xll.ArrayCOA($AG54:$AZ54),YR,PRD,RV,_xll.ArrayDIM($BB54:$BE54))</f>
        <v>0</v>
      </c>
      <c r="O54" s="237">
        <f t="shared" si="36"/>
        <v>0</v>
      </c>
      <c r="P54" s="237">
        <f t="shared" si="37"/>
        <v>0</v>
      </c>
      <c r="Q54" s="237">
        <f t="shared" si="38"/>
        <v>0</v>
      </c>
      <c r="R54" s="254">
        <f t="array" ref="R54">_xll.ACC(DB,_xll.ArrayDPT($AA54:$AE54),_xll.ArrayCOA($AG54:$AZ54),YR-1,PRD,_xll.ArrayDIM($BB54:$BE54))</f>
        <v>0</v>
      </c>
      <c r="S54" s="237">
        <f t="shared" si="39"/>
        <v>0</v>
      </c>
      <c r="T54" s="295"/>
      <c r="U54" s="295"/>
      <c r="V54" s="295"/>
      <c r="W54" s="295"/>
      <c r="X54" s="295"/>
      <c r="Y54" s="295"/>
      <c r="Z54" s="295"/>
      <c r="AA54" s="95"/>
      <c r="AB54" s="96"/>
      <c r="AC54" s="96"/>
      <c r="AD54" s="96"/>
      <c r="AE54" s="96"/>
      <c r="AF54" s="97"/>
      <c r="AG54" s="95"/>
      <c r="AH54" s="96"/>
      <c r="AI54" s="95"/>
      <c r="AJ54" s="96"/>
      <c r="AK54" s="95"/>
      <c r="AL54" s="96"/>
      <c r="AM54" s="95"/>
      <c r="AN54" s="98"/>
      <c r="AO54" s="96"/>
      <c r="AP54" s="96"/>
      <c r="AQ54" s="95"/>
      <c r="AR54" s="98"/>
      <c r="AS54" s="96"/>
      <c r="AT54" s="96"/>
      <c r="AU54" s="95"/>
      <c r="AV54" s="98"/>
      <c r="AW54" s="96"/>
      <c r="AX54" s="96"/>
      <c r="AY54" s="95"/>
      <c r="AZ54" s="98"/>
      <c r="BA54" s="99"/>
      <c r="BB54" s="95"/>
      <c r="BC54" s="96"/>
      <c r="BD54" s="96"/>
      <c r="BE54" s="98"/>
    </row>
    <row r="55" spans="1:57" ht="11.25" customHeight="1">
      <c r="A55" s="254">
        <f t="array" ref="A55">_xll.AC(DB,_xll.ArrayDPT($AA55:$AE55),_xll.ArrayCOA($AG55:$AZ55),YR-1,PRD,_xll.ArrayDIM($BB55:$BE55))</f>
        <v>0</v>
      </c>
      <c r="B55" s="237">
        <f t="shared" si="30"/>
        <v>0</v>
      </c>
      <c r="C55" s="237">
        <f t="shared" si="31"/>
        <v>0</v>
      </c>
      <c r="D55" s="237">
        <f t="shared" si="32"/>
        <v>0</v>
      </c>
      <c r="E55" s="254">
        <f t="array" ref="E55">_xll.BC(DB,_xll.ArrayDPT($AA55:$AE55),_xll.ArrayCOA($AG55:$AZ55),YR,PRD,RV,_xll.ArrayDIM($BB55:$BE55))</f>
        <v>0</v>
      </c>
      <c r="F55" s="237">
        <f t="shared" si="33"/>
        <v>0</v>
      </c>
      <c r="G55" s="254">
        <f t="array" ref="G55">_xll.AC(DB,_xll.ArrayDPT($AA55:$AE55),_xll.ArrayCOA($AG55:$AZ55),YR,PRD,_xll.ArrayDIM($BB55:$BE55))</f>
        <v>0</v>
      </c>
      <c r="H55" s="237">
        <f t="shared" si="34"/>
        <v>0</v>
      </c>
      <c r="I55" s="237"/>
      <c r="J55" s="328" t="s">
        <v>823</v>
      </c>
      <c r="K55" s="237"/>
      <c r="L55" s="254">
        <f t="array" ref="L55">_xll.ACC(DB,_xll.ArrayDPT($AA55:$AE55),_xll.ArrayCOA($AG55:$AZ55),YR,PRD,_xll.ArrayDIM($BB55:$BE55))</f>
        <v>0</v>
      </c>
      <c r="M55" s="237">
        <f t="shared" si="35"/>
        <v>0</v>
      </c>
      <c r="N55" s="254">
        <f t="array" ref="N55">_xll.BCC(DB,_xll.ArrayDPT($AA55:$AE55),_xll.ArrayCOA($AG55:$AZ55),YR,PRD,RV,_xll.ArrayDIM($BB55:$BE55))</f>
        <v>0</v>
      </c>
      <c r="O55" s="237">
        <f t="shared" si="36"/>
        <v>0</v>
      </c>
      <c r="P55" s="237">
        <f t="shared" si="37"/>
        <v>0</v>
      </c>
      <c r="Q55" s="237">
        <f t="shared" si="38"/>
        <v>0</v>
      </c>
      <c r="R55" s="254">
        <f t="array" ref="R55">_xll.ACC(DB,_xll.ArrayDPT($AA55:$AE55),_xll.ArrayCOA($AG55:$AZ55),YR-1,PRD,_xll.ArrayDIM($BB55:$BE55))</f>
        <v>0</v>
      </c>
      <c r="S55" s="237">
        <f t="shared" si="39"/>
        <v>0</v>
      </c>
      <c r="T55" s="295"/>
      <c r="U55" s="295"/>
      <c r="V55" s="295"/>
      <c r="W55" s="295"/>
      <c r="X55" s="295"/>
      <c r="Y55" s="295"/>
      <c r="Z55" s="295"/>
      <c r="AA55" s="95"/>
      <c r="AB55" s="96"/>
      <c r="AC55" s="96"/>
      <c r="AD55" s="96"/>
      <c r="AE55" s="96"/>
      <c r="AF55" s="97"/>
      <c r="AG55" s="95"/>
      <c r="AH55" s="96"/>
      <c r="AI55" s="95"/>
      <c r="AJ55" s="96"/>
      <c r="AK55" s="95"/>
      <c r="AL55" s="96"/>
      <c r="AM55" s="95"/>
      <c r="AN55" s="98"/>
      <c r="AO55" s="96"/>
      <c r="AP55" s="96"/>
      <c r="AQ55" s="95"/>
      <c r="AR55" s="98"/>
      <c r="AS55" s="96"/>
      <c r="AT55" s="96"/>
      <c r="AU55" s="95"/>
      <c r="AV55" s="98"/>
      <c r="AW55" s="96"/>
      <c r="AX55" s="96"/>
      <c r="AY55" s="95"/>
      <c r="AZ55" s="98"/>
      <c r="BA55" s="99"/>
      <c r="BB55" s="95"/>
      <c r="BC55" s="96"/>
      <c r="BD55" s="96"/>
      <c r="BE55" s="98"/>
    </row>
    <row r="56" spans="1:57" ht="11.25" customHeight="1">
      <c r="A56" s="254">
        <f t="array" ref="A56">_xll.AC(DB,_xll.ArrayDPT($AA56:$AE56),_xll.ArrayCOA($AG56:$AZ56),YR-1,PRD,_xll.ArrayDIM($BB56:$BE56))</f>
        <v>0</v>
      </c>
      <c r="B56" s="237">
        <f t="shared" si="30"/>
        <v>0</v>
      </c>
      <c r="C56" s="237">
        <f t="shared" si="31"/>
        <v>0</v>
      </c>
      <c r="D56" s="237">
        <f t="shared" si="32"/>
        <v>0</v>
      </c>
      <c r="E56" s="254">
        <f t="array" ref="E56">_xll.BC(DB,_xll.ArrayDPT($AA56:$AE56),_xll.ArrayCOA($AG56:$AZ56),YR,PRD,RV,_xll.ArrayDIM($BB56:$BE56))</f>
        <v>0</v>
      </c>
      <c r="F56" s="237">
        <f t="shared" si="33"/>
        <v>0</v>
      </c>
      <c r="G56" s="254">
        <f t="array" ref="G56">_xll.AC(DB,_xll.ArrayDPT($AA56:$AE56),_xll.ArrayCOA($AG56:$AZ56),YR,PRD,_xll.ArrayDIM($BB56:$BE56))</f>
        <v>0</v>
      </c>
      <c r="H56" s="237">
        <f t="shared" si="34"/>
        <v>0</v>
      </c>
      <c r="I56" s="237"/>
      <c r="J56" s="328" t="s">
        <v>721</v>
      </c>
      <c r="K56" s="237"/>
      <c r="L56" s="254">
        <f t="array" ref="L56">_xll.ACC(DB,_xll.ArrayDPT($AA56:$AE56),_xll.ArrayCOA($AG56:$AZ56),YR,PRD,_xll.ArrayDIM($BB56:$BE56))</f>
        <v>0</v>
      </c>
      <c r="M56" s="237">
        <f t="shared" si="35"/>
        <v>0</v>
      </c>
      <c r="N56" s="254">
        <f t="array" ref="N56">_xll.BCC(DB,_xll.ArrayDPT($AA56:$AE56),_xll.ArrayCOA($AG56:$AZ56),YR,PRD,RV,_xll.ArrayDIM($BB56:$BE56))</f>
        <v>0</v>
      </c>
      <c r="O56" s="237">
        <f t="shared" si="36"/>
        <v>0</v>
      </c>
      <c r="P56" s="237">
        <f t="shared" si="37"/>
        <v>0</v>
      </c>
      <c r="Q56" s="237">
        <f t="shared" si="38"/>
        <v>0</v>
      </c>
      <c r="R56" s="254">
        <f t="array" ref="R56">_xll.ACC(DB,_xll.ArrayDPT($AA56:$AE56),_xll.ArrayCOA($AG56:$AZ56),YR-1,PRD,_xll.ArrayDIM($BB56:$BE56))</f>
        <v>0</v>
      </c>
      <c r="S56" s="237">
        <f t="shared" si="39"/>
        <v>0</v>
      </c>
      <c r="T56" s="295"/>
      <c r="U56" s="295"/>
      <c r="V56" s="295"/>
      <c r="W56" s="295"/>
      <c r="X56" s="295"/>
      <c r="Y56" s="295"/>
      <c r="Z56" s="295"/>
      <c r="AA56" s="95"/>
      <c r="AB56" s="96"/>
      <c r="AC56" s="96"/>
      <c r="AD56" s="96"/>
      <c r="AE56" s="96"/>
      <c r="AF56" s="97"/>
      <c r="AG56" s="95"/>
      <c r="AH56" s="96"/>
      <c r="AI56" s="95"/>
      <c r="AJ56" s="96"/>
      <c r="AK56" s="95"/>
      <c r="AL56" s="96"/>
      <c r="AM56" s="95"/>
      <c r="AN56" s="98"/>
      <c r="AO56" s="96"/>
      <c r="AP56" s="96"/>
      <c r="AQ56" s="95"/>
      <c r="AR56" s="98"/>
      <c r="AS56" s="96"/>
      <c r="AT56" s="96"/>
      <c r="AU56" s="95"/>
      <c r="AV56" s="98"/>
      <c r="AW56" s="96"/>
      <c r="AX56" s="96"/>
      <c r="AY56" s="95"/>
      <c r="AZ56" s="98"/>
      <c r="BA56" s="99"/>
      <c r="BB56" s="95"/>
      <c r="BC56" s="96"/>
      <c r="BD56" s="96"/>
      <c r="BE56" s="98"/>
    </row>
    <row r="57" spans="1:57" ht="6" customHeight="1">
      <c r="A57" s="330"/>
      <c r="B57" s="329"/>
      <c r="C57" s="392"/>
      <c r="D57" s="329"/>
      <c r="E57" s="392"/>
      <c r="F57" s="329"/>
      <c r="G57" s="392"/>
      <c r="H57" s="329"/>
      <c r="I57" s="398"/>
      <c r="J57" s="392"/>
      <c r="K57" s="399"/>
      <c r="L57" s="393"/>
      <c r="M57" s="333"/>
      <c r="N57" s="393"/>
      <c r="O57" s="333"/>
      <c r="P57" s="393"/>
      <c r="Q57" s="333"/>
      <c r="R57" s="393"/>
      <c r="S57" s="341"/>
      <c r="T57" s="328"/>
      <c r="U57" s="328"/>
      <c r="V57" s="328"/>
      <c r="W57" s="328"/>
      <c r="X57" s="328"/>
      <c r="Y57" s="328"/>
      <c r="Z57" s="328"/>
      <c r="AA57" s="95"/>
      <c r="AB57" s="96"/>
      <c r="AC57" s="96"/>
      <c r="AD57" s="96"/>
      <c r="AE57" s="96"/>
      <c r="AF57" s="97"/>
      <c r="AG57" s="95"/>
      <c r="AH57" s="96"/>
      <c r="AI57" s="95"/>
      <c r="AJ57" s="96"/>
      <c r="AK57" s="95"/>
      <c r="AL57" s="96"/>
      <c r="AM57" s="95"/>
      <c r="AN57" s="98"/>
      <c r="AO57" s="96"/>
      <c r="AP57" s="96"/>
      <c r="AQ57" s="95"/>
      <c r="AR57" s="98"/>
      <c r="AS57" s="96"/>
      <c r="AT57" s="96"/>
      <c r="AU57" s="95"/>
      <c r="AV57" s="98"/>
      <c r="AW57" s="96"/>
      <c r="AX57" s="96"/>
      <c r="AY57" s="95"/>
      <c r="AZ57" s="98"/>
      <c r="BA57" s="99"/>
      <c r="BB57" s="95"/>
      <c r="BC57" s="96"/>
      <c r="BD57" s="96"/>
      <c r="BE57" s="98"/>
    </row>
    <row r="58" spans="1:57" ht="12" customHeight="1">
      <c r="A58" s="406">
        <f>SUM(A40:A56)</f>
        <v>0</v>
      </c>
      <c r="B58" s="407">
        <f>IF(A58=0,0,(A58*100)/A$19)</f>
        <v>0</v>
      </c>
      <c r="C58" s="262">
        <f>SUM(C40:C56)</f>
        <v>0</v>
      </c>
      <c r="D58" s="407">
        <f>IF(C58=0,0,(C58*100)/C$19)</f>
        <v>0</v>
      </c>
      <c r="E58" s="262">
        <f>SUM(E40:E56)</f>
        <v>0</v>
      </c>
      <c r="F58" s="407">
        <f>IF(E58=0,0,(E58*100)/E$19)</f>
        <v>0</v>
      </c>
      <c r="G58" s="262">
        <f>SUM(G40:G56)</f>
        <v>0</v>
      </c>
      <c r="H58" s="407">
        <f>IF(G58=0,0,(G58*100)/G$19)</f>
        <v>0</v>
      </c>
      <c r="I58" s="406"/>
      <c r="J58" s="424" t="s">
        <v>554</v>
      </c>
      <c r="K58" s="408"/>
      <c r="L58" s="262">
        <f>SUM(L40:L56)</f>
        <v>0</v>
      </c>
      <c r="M58" s="407">
        <f>IF(L58=0,0,(L58*100)/L$19)</f>
        <v>0</v>
      </c>
      <c r="N58" s="262">
        <f>SUM(N40:N56)</f>
        <v>0</v>
      </c>
      <c r="O58" s="407">
        <f>IF(N58=0,0,(N58*100)/N$19)</f>
        <v>0</v>
      </c>
      <c r="P58" s="262">
        <f>SUM(P40:P56)</f>
        <v>0</v>
      </c>
      <c r="Q58" s="407">
        <f>IF(P58=0,0,(P58*100)/P$19)</f>
        <v>0</v>
      </c>
      <c r="R58" s="262">
        <f>SUM(R40:R56)</f>
        <v>0</v>
      </c>
      <c r="S58" s="407">
        <f>IF(R58=0,0,(R58*100)/R$19)</f>
        <v>0</v>
      </c>
      <c r="T58" s="397"/>
      <c r="U58" s="397"/>
      <c r="V58" s="397"/>
      <c r="W58" s="397"/>
      <c r="X58" s="397"/>
      <c r="Y58" s="397"/>
      <c r="Z58" s="397"/>
      <c r="AA58" s="95"/>
      <c r="AB58" s="96"/>
      <c r="AC58" s="96"/>
      <c r="AD58" s="96"/>
      <c r="AE58" s="96"/>
      <c r="AF58" s="97"/>
      <c r="AG58" s="95"/>
      <c r="AH58" s="96"/>
      <c r="AI58" s="95"/>
      <c r="AJ58" s="96"/>
      <c r="AK58" s="95"/>
      <c r="AL58" s="96"/>
      <c r="AM58" s="95"/>
      <c r="AN58" s="98"/>
      <c r="AO58" s="96"/>
      <c r="AP58" s="96"/>
      <c r="AQ58" s="95"/>
      <c r="AR58" s="98"/>
      <c r="AS58" s="96"/>
      <c r="AT58" s="96"/>
      <c r="AU58" s="95"/>
      <c r="AV58" s="98"/>
      <c r="AW58" s="96"/>
      <c r="AX58" s="96"/>
      <c r="AY58" s="95"/>
      <c r="AZ58" s="98"/>
      <c r="BA58" s="99"/>
      <c r="BB58" s="95"/>
      <c r="BC58" s="96"/>
      <c r="BD58" s="96"/>
      <c r="BE58" s="98"/>
    </row>
    <row r="59" spans="1:57" ht="6" customHeight="1">
      <c r="A59" s="330"/>
      <c r="B59" s="329"/>
      <c r="C59" s="392"/>
      <c r="D59" s="329"/>
      <c r="E59" s="392"/>
      <c r="F59" s="329"/>
      <c r="G59" s="392"/>
      <c r="H59" s="329"/>
      <c r="I59" s="398"/>
      <c r="J59" s="392"/>
      <c r="K59" s="399"/>
      <c r="L59" s="393"/>
      <c r="M59" s="333"/>
      <c r="N59" s="393"/>
      <c r="O59" s="333"/>
      <c r="P59" s="393"/>
      <c r="Q59" s="333"/>
      <c r="R59" s="393"/>
      <c r="S59" s="341"/>
      <c r="T59" s="328"/>
      <c r="U59" s="328"/>
      <c r="V59" s="328"/>
      <c r="W59" s="328"/>
      <c r="X59" s="328"/>
      <c r="Y59" s="328"/>
      <c r="Z59" s="328"/>
      <c r="AA59" s="95"/>
      <c r="AB59" s="96"/>
      <c r="AC59" s="96"/>
      <c r="AD59" s="96"/>
      <c r="AE59" s="96"/>
      <c r="AF59" s="97"/>
      <c r="AG59" s="95"/>
      <c r="AH59" s="96"/>
      <c r="AI59" s="95"/>
      <c r="AJ59" s="96"/>
      <c r="AK59" s="95"/>
      <c r="AL59" s="96"/>
      <c r="AM59" s="95"/>
      <c r="AN59" s="98"/>
      <c r="AO59" s="96"/>
      <c r="AP59" s="96"/>
      <c r="AQ59" s="95"/>
      <c r="AR59" s="98"/>
      <c r="AS59" s="96"/>
      <c r="AT59" s="96"/>
      <c r="AU59" s="95"/>
      <c r="AV59" s="98"/>
      <c r="AW59" s="96"/>
      <c r="AX59" s="96"/>
      <c r="AY59" s="95"/>
      <c r="AZ59" s="98"/>
      <c r="BA59" s="99"/>
      <c r="BB59" s="95"/>
      <c r="BC59" s="96"/>
      <c r="BD59" s="96"/>
      <c r="BE59" s="98"/>
    </row>
    <row r="60" spans="1:57" ht="12" customHeight="1">
      <c r="A60" s="394">
        <f>+A31+A38+A58</f>
        <v>12536.48</v>
      </c>
      <c r="B60" s="338">
        <f>IF(A60=0,0,(A60*100)/A$19)</f>
        <v>6.0384140367906252</v>
      </c>
      <c r="C60" s="395">
        <f>+C31+C38+C58</f>
        <v>-52136.89</v>
      </c>
      <c r="D60" s="338">
        <f>IF(C60=0,0,(C60*100)/C$19)</f>
        <v>23.228966350919816</v>
      </c>
      <c r="E60" s="395">
        <f>+E31+E38+E58</f>
        <v>0</v>
      </c>
      <c r="F60" s="338">
        <f>IF(E60=0,0,(E60*100)/E$19)</f>
        <v>0</v>
      </c>
      <c r="G60" s="395">
        <f>+G31+G38+G58</f>
        <v>52136.89</v>
      </c>
      <c r="H60" s="338">
        <f>IF(G60=0,0,(G60*100)/G$19)</f>
        <v>23.228966350919816</v>
      </c>
      <c r="I60" s="394"/>
      <c r="J60" s="396" t="s">
        <v>831</v>
      </c>
      <c r="K60" s="400"/>
      <c r="L60" s="395">
        <f>+L31+L38+L58</f>
        <v>52136.89</v>
      </c>
      <c r="M60" s="338">
        <f>IF(L60=0,0,(L60*100)/L$19)</f>
        <v>23.228966350919816</v>
      </c>
      <c r="N60" s="395">
        <f>+N31+N38+N58</f>
        <v>0</v>
      </c>
      <c r="O60" s="338">
        <f>IF(N60=0,0,(N60*100)/N$19)</f>
        <v>0</v>
      </c>
      <c r="P60" s="395">
        <f>+P31+P38+P58</f>
        <v>-52136.89</v>
      </c>
      <c r="Q60" s="338">
        <f>IF(P60=0,0,(P60*100)/P$19)</f>
        <v>23.228966350919816</v>
      </c>
      <c r="R60" s="395">
        <f>+R31+R38+R58</f>
        <v>12536.48</v>
      </c>
      <c r="S60" s="338">
        <f>IF(R60=0,0,(R60*100)/R$19)</f>
        <v>6.0384140367906252</v>
      </c>
      <c r="T60" s="397"/>
      <c r="U60" s="397"/>
      <c r="V60" s="397"/>
      <c r="W60" s="397"/>
      <c r="X60" s="397"/>
      <c r="Y60" s="397"/>
      <c r="Z60" s="397"/>
      <c r="AA60" s="95"/>
      <c r="AB60" s="96"/>
      <c r="AC60" s="96"/>
      <c r="AD60" s="96"/>
      <c r="AE60" s="96"/>
      <c r="AF60" s="97"/>
      <c r="AG60" s="95"/>
      <c r="AH60" s="96"/>
      <c r="AI60" s="95"/>
      <c r="AJ60" s="96"/>
      <c r="AK60" s="95"/>
      <c r="AL60" s="96"/>
      <c r="AM60" s="95"/>
      <c r="AN60" s="98"/>
      <c r="AO60" s="96"/>
      <c r="AP60" s="96"/>
      <c r="AQ60" s="95"/>
      <c r="AR60" s="98"/>
      <c r="AS60" s="96"/>
      <c r="AT60" s="96"/>
      <c r="AU60" s="95"/>
      <c r="AV60" s="98"/>
      <c r="AW60" s="96"/>
      <c r="AX60" s="96"/>
      <c r="AY60" s="95"/>
      <c r="AZ60" s="98"/>
      <c r="BA60" s="99"/>
      <c r="BB60" s="95"/>
      <c r="BC60" s="96"/>
      <c r="BD60" s="96"/>
      <c r="BE60" s="98"/>
    </row>
    <row r="61" spans="1:57" ht="6" customHeight="1">
      <c r="A61" s="409"/>
      <c r="B61" s="410"/>
      <c r="C61" s="254"/>
      <c r="D61" s="410"/>
      <c r="E61" s="254"/>
      <c r="F61" s="410"/>
      <c r="G61" s="254"/>
      <c r="H61" s="410"/>
      <c r="I61" s="425"/>
      <c r="J61" s="254"/>
      <c r="K61" s="426"/>
      <c r="L61" s="237"/>
      <c r="M61" s="411"/>
      <c r="N61" s="237"/>
      <c r="O61" s="411"/>
      <c r="P61" s="237"/>
      <c r="Q61" s="411"/>
      <c r="R61" s="237"/>
      <c r="S61" s="427"/>
      <c r="T61" s="328"/>
      <c r="U61" s="328"/>
      <c r="V61" s="328"/>
      <c r="W61" s="328"/>
      <c r="X61" s="328"/>
      <c r="Y61" s="328"/>
      <c r="Z61" s="328"/>
      <c r="AA61" s="95"/>
      <c r="AB61" s="96"/>
      <c r="AC61" s="96"/>
      <c r="AD61" s="96"/>
      <c r="AE61" s="96"/>
      <c r="AF61" s="97"/>
      <c r="AG61" s="95"/>
      <c r="AH61" s="96"/>
      <c r="AI61" s="95"/>
      <c r="AJ61" s="96"/>
      <c r="AK61" s="95"/>
      <c r="AL61" s="96"/>
      <c r="AM61" s="95"/>
      <c r="AN61" s="98"/>
      <c r="AO61" s="96"/>
      <c r="AP61" s="96"/>
      <c r="AQ61" s="95"/>
      <c r="AR61" s="98"/>
      <c r="AS61" s="96"/>
      <c r="AT61" s="96"/>
      <c r="AU61" s="95"/>
      <c r="AV61" s="98"/>
      <c r="AW61" s="96"/>
      <c r="AX61" s="96"/>
      <c r="AY61" s="95"/>
      <c r="AZ61" s="98"/>
      <c r="BA61" s="99"/>
      <c r="BB61" s="95"/>
      <c r="BC61" s="96"/>
      <c r="BD61" s="96"/>
      <c r="BE61" s="98"/>
    </row>
    <row r="62" spans="1:57" ht="12" customHeight="1">
      <c r="A62" s="394">
        <f>A19-A60</f>
        <v>195075.65</v>
      </c>
      <c r="B62" s="338">
        <f>IF(A62=0,0,(A62*100)/A$19)</f>
        <v>93.961585963209373</v>
      </c>
      <c r="C62" s="395">
        <f>C19-C60</f>
        <v>-172310.85000000003</v>
      </c>
      <c r="D62" s="338">
        <f>IF(C62=0,0,(C62*100)/C$19)</f>
        <v>76.771033649080195</v>
      </c>
      <c r="E62" s="395">
        <f>E19-E60</f>
        <v>0</v>
      </c>
      <c r="F62" s="338">
        <f>IF(E62=0,0,(E62*100)/E$19)</f>
        <v>0</v>
      </c>
      <c r="G62" s="395">
        <f>G19-G60</f>
        <v>172310.85000000003</v>
      </c>
      <c r="H62" s="338">
        <f>IF(G62=0,0,(G62*100)/G$19)</f>
        <v>76.771033649080195</v>
      </c>
      <c r="I62" s="394"/>
      <c r="J62" s="396" t="s">
        <v>880</v>
      </c>
      <c r="K62" s="400"/>
      <c r="L62" s="395">
        <f>L19-L60</f>
        <v>172310.85000000003</v>
      </c>
      <c r="M62" s="338">
        <f>IF(L62=0,0,(L62*100)/L$19)</f>
        <v>76.771033649080195</v>
      </c>
      <c r="N62" s="395">
        <f>N19-N60</f>
        <v>0</v>
      </c>
      <c r="O62" s="338">
        <f>IF(N62=0,0,(N62*100)/N$19)</f>
        <v>0</v>
      </c>
      <c r="P62" s="395">
        <f>P19-P60</f>
        <v>-172310.85000000003</v>
      </c>
      <c r="Q62" s="338">
        <f>IF(P62=0,0,(P62*100)/P$19)</f>
        <v>76.771033649080195</v>
      </c>
      <c r="R62" s="395">
        <f>R19-R60</f>
        <v>195075.65</v>
      </c>
      <c r="S62" s="338">
        <f>IF(R62=0,0,(R62*100)/R$19)</f>
        <v>93.961585963209373</v>
      </c>
      <c r="T62" s="397"/>
      <c r="U62" s="397"/>
      <c r="V62" s="397"/>
      <c r="W62" s="397"/>
      <c r="X62" s="397"/>
      <c r="Y62" s="397"/>
      <c r="Z62" s="397"/>
      <c r="AA62" s="95"/>
      <c r="AB62" s="96"/>
      <c r="AC62" s="96"/>
      <c r="AD62" s="96"/>
      <c r="AE62" s="96"/>
      <c r="AF62" s="97"/>
      <c r="AG62" s="95"/>
      <c r="AH62" s="96"/>
      <c r="AI62" s="95"/>
      <c r="AJ62" s="96"/>
      <c r="AK62" s="95"/>
      <c r="AL62" s="96"/>
      <c r="AM62" s="95"/>
      <c r="AN62" s="98"/>
      <c r="AO62" s="96"/>
      <c r="AP62" s="96"/>
      <c r="AQ62" s="95"/>
      <c r="AR62" s="98"/>
      <c r="AS62" s="96"/>
      <c r="AT62" s="96"/>
      <c r="AU62" s="95"/>
      <c r="AV62" s="98"/>
      <c r="AW62" s="96"/>
      <c r="AX62" s="96"/>
      <c r="AY62" s="95"/>
      <c r="AZ62" s="98"/>
      <c r="BA62" s="99"/>
      <c r="BB62" s="95"/>
      <c r="BC62" s="96"/>
      <c r="BD62" s="96"/>
      <c r="BE62" s="98"/>
    </row>
    <row r="63" spans="1:57" ht="12" customHeight="1">
      <c r="A63" s="428"/>
      <c r="B63" s="428"/>
      <c r="C63" s="428"/>
      <c r="D63" s="428"/>
      <c r="E63" s="428"/>
      <c r="F63" s="428"/>
      <c r="G63" s="428"/>
      <c r="H63" s="428"/>
      <c r="I63" s="428"/>
      <c r="J63" s="125"/>
      <c r="K63" s="428"/>
      <c r="L63" s="428"/>
      <c r="M63" s="428"/>
      <c r="N63" s="428"/>
      <c r="O63" s="428"/>
      <c r="P63" s="428"/>
      <c r="Q63" s="428"/>
      <c r="R63" s="428"/>
      <c r="S63" s="428"/>
      <c r="T63" s="60"/>
      <c r="U63" s="60"/>
      <c r="V63" s="137"/>
      <c r="W63" s="137"/>
      <c r="X63" s="137"/>
      <c r="Y63" s="137"/>
      <c r="Z63" s="137"/>
    </row>
    <row r="64" spans="1:57" ht="12" customHeight="1">
      <c r="A64" s="428"/>
      <c r="B64" s="428"/>
      <c r="C64" s="428"/>
      <c r="D64" s="428"/>
      <c r="E64" s="428"/>
      <c r="F64" s="428"/>
      <c r="G64" s="428"/>
      <c r="H64" s="428"/>
      <c r="I64" s="428"/>
      <c r="J64" s="428"/>
      <c r="K64" s="428"/>
      <c r="L64" s="428"/>
      <c r="M64" s="428"/>
      <c r="N64" s="428"/>
      <c r="O64" s="428"/>
      <c r="P64" s="428"/>
      <c r="Q64" s="428"/>
      <c r="R64" s="428"/>
      <c r="S64" s="428"/>
      <c r="T64" s="60"/>
      <c r="U64" s="60"/>
      <c r="V64" s="137"/>
      <c r="W64" s="137"/>
      <c r="X64" s="137"/>
      <c r="Y64" s="137"/>
      <c r="Z64" s="137"/>
    </row>
    <row r="65" spans="1:26" ht="12" customHeight="1">
      <c r="A65" s="428"/>
      <c r="B65" s="428"/>
      <c r="C65" s="428"/>
      <c r="D65" s="428"/>
      <c r="E65" s="428"/>
      <c r="F65" s="428"/>
      <c r="G65" s="428"/>
      <c r="H65" s="428"/>
      <c r="I65" s="428"/>
      <c r="J65" s="428"/>
      <c r="K65" s="428"/>
      <c r="L65" s="428"/>
      <c r="M65" s="428"/>
      <c r="N65" s="428"/>
      <c r="O65" s="428"/>
      <c r="P65" s="428"/>
      <c r="Q65" s="428"/>
      <c r="R65" s="428"/>
      <c r="S65" s="428"/>
      <c r="T65" s="60"/>
      <c r="U65" s="60"/>
      <c r="V65" s="137"/>
      <c r="W65" s="137"/>
      <c r="X65" s="137"/>
      <c r="Y65" s="137"/>
      <c r="Z65" s="137"/>
    </row>
    <row r="66" spans="1:26" ht="12" customHeight="1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60"/>
      <c r="U66" s="60"/>
      <c r="V66" s="137"/>
      <c r="W66" s="137"/>
      <c r="X66" s="137"/>
      <c r="Y66" s="137"/>
      <c r="Z66" s="137"/>
    </row>
    <row r="67" spans="1:26" ht="12" customHeight="1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60"/>
      <c r="U67" s="60"/>
      <c r="V67" s="137"/>
      <c r="W67" s="137"/>
      <c r="X67" s="137"/>
      <c r="Y67" s="137"/>
      <c r="Z67" s="137"/>
    </row>
    <row r="68" spans="1:26" ht="12" customHeight="1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60"/>
      <c r="U68" s="60"/>
      <c r="V68" s="137"/>
      <c r="W68" s="137"/>
      <c r="X68" s="137"/>
      <c r="Y68" s="137"/>
      <c r="Z68" s="137"/>
    </row>
    <row r="69" spans="1:26" ht="12" customHeight="1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60"/>
      <c r="U69" s="60"/>
      <c r="V69" s="137"/>
      <c r="W69" s="137"/>
      <c r="X69" s="137"/>
      <c r="Y69" s="137"/>
      <c r="Z69" s="137"/>
    </row>
    <row r="70" spans="1:26" ht="12" customHeight="1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60"/>
      <c r="U70" s="60"/>
      <c r="V70" s="137"/>
      <c r="W70" s="137"/>
      <c r="X70" s="137"/>
      <c r="Y70" s="137"/>
      <c r="Z70" s="137"/>
    </row>
    <row r="71" spans="1:26" ht="12" customHeight="1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60"/>
      <c r="U71" s="60"/>
      <c r="V71" s="137"/>
      <c r="W71" s="137"/>
      <c r="X71" s="137"/>
      <c r="Y71" s="137"/>
      <c r="Z71" s="137"/>
    </row>
    <row r="72" spans="1:26" ht="12" customHeight="1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60"/>
      <c r="U72" s="60"/>
      <c r="V72" s="137"/>
      <c r="W72" s="137"/>
      <c r="X72" s="137"/>
      <c r="Y72" s="137"/>
      <c r="Z72" s="137"/>
    </row>
    <row r="73" spans="1:26" ht="12" customHeight="1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60"/>
      <c r="U73" s="60"/>
      <c r="V73" s="137"/>
      <c r="W73" s="137"/>
      <c r="X73" s="137"/>
      <c r="Y73" s="137"/>
      <c r="Z73" s="137"/>
    </row>
    <row r="74" spans="1:26" ht="12" customHeight="1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60"/>
      <c r="U74" s="60"/>
      <c r="V74" s="137"/>
      <c r="W74" s="137"/>
      <c r="X74" s="137"/>
      <c r="Y74" s="137"/>
      <c r="Z74" s="137"/>
    </row>
    <row r="75" spans="1:26" ht="12" customHeight="1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60"/>
      <c r="U75" s="60"/>
      <c r="V75" s="137"/>
      <c r="W75" s="137"/>
      <c r="X75" s="137"/>
      <c r="Y75" s="137"/>
      <c r="Z75" s="137"/>
    </row>
    <row r="76" spans="1:26" ht="12" customHeight="1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60"/>
      <c r="U76" s="60"/>
      <c r="V76" s="137"/>
      <c r="W76" s="137"/>
      <c r="X76" s="137"/>
      <c r="Y76" s="137"/>
      <c r="Z76" s="137"/>
    </row>
    <row r="77" spans="1:26" ht="12" customHeight="1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60"/>
      <c r="U77" s="60"/>
      <c r="V77" s="137"/>
      <c r="W77" s="137"/>
      <c r="X77" s="137"/>
      <c r="Y77" s="137"/>
      <c r="Z77" s="137"/>
    </row>
    <row r="78" spans="1:26" ht="12" customHeight="1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60"/>
      <c r="U78" s="60"/>
      <c r="V78" s="137"/>
      <c r="W78" s="137"/>
      <c r="X78" s="137"/>
      <c r="Y78" s="137"/>
      <c r="Z78" s="137"/>
    </row>
    <row r="79" spans="1:26" ht="12" customHeight="1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60"/>
      <c r="U79" s="60"/>
      <c r="V79" s="137"/>
      <c r="W79" s="137"/>
      <c r="X79" s="137"/>
      <c r="Y79" s="137"/>
      <c r="Z79" s="137"/>
    </row>
    <row r="80" spans="1:26" ht="12" customHeight="1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60"/>
      <c r="U80" s="60"/>
      <c r="V80" s="137"/>
      <c r="W80" s="137"/>
      <c r="X80" s="137"/>
      <c r="Y80" s="137"/>
      <c r="Z80" s="137"/>
    </row>
    <row r="81" spans="1:26" ht="12" customHeight="1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60"/>
      <c r="U81" s="60"/>
      <c r="V81" s="137"/>
      <c r="W81" s="137"/>
      <c r="X81" s="137"/>
      <c r="Y81" s="137"/>
      <c r="Z81" s="137"/>
    </row>
    <row r="82" spans="1:26" ht="12" customHeight="1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60"/>
      <c r="U82" s="60"/>
      <c r="V82" s="137"/>
      <c r="W82" s="137"/>
      <c r="X82" s="137"/>
      <c r="Y82" s="137"/>
      <c r="Z82" s="137"/>
    </row>
    <row r="83" spans="1:26" ht="12" customHeight="1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60"/>
      <c r="U83" s="60"/>
      <c r="V83" s="137"/>
      <c r="W83" s="137"/>
      <c r="X83" s="137"/>
      <c r="Y83" s="137"/>
      <c r="Z83" s="137"/>
    </row>
    <row r="84" spans="1:26" ht="12" customHeight="1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60"/>
      <c r="U84" s="60"/>
      <c r="V84" s="137"/>
      <c r="W84" s="137"/>
      <c r="X84" s="137"/>
      <c r="Y84" s="137"/>
      <c r="Z84" s="137"/>
    </row>
    <row r="85" spans="1:26" ht="12" customHeight="1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60"/>
      <c r="U85" s="60"/>
      <c r="V85" s="137"/>
      <c r="W85" s="137"/>
      <c r="X85" s="137"/>
      <c r="Y85" s="137"/>
      <c r="Z85" s="137"/>
    </row>
    <row r="86" spans="1:26" ht="12" customHeight="1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60"/>
      <c r="U86" s="60"/>
      <c r="V86" s="137"/>
      <c r="W86" s="137"/>
      <c r="X86" s="137"/>
      <c r="Y86" s="137"/>
      <c r="Z86" s="137"/>
    </row>
    <row r="87" spans="1:26" ht="12" customHeight="1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60"/>
      <c r="U87" s="60"/>
      <c r="V87" s="137"/>
      <c r="W87" s="137"/>
      <c r="X87" s="137"/>
      <c r="Y87" s="137"/>
      <c r="Z87" s="137"/>
    </row>
    <row r="88" spans="1:26" ht="12" customHeight="1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60"/>
      <c r="U88" s="60"/>
      <c r="V88" s="137"/>
      <c r="W88" s="137"/>
      <c r="X88" s="137"/>
      <c r="Y88" s="137"/>
      <c r="Z88" s="137"/>
    </row>
    <row r="89" spans="1:26" ht="12" customHeight="1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60"/>
      <c r="U89" s="60"/>
      <c r="V89" s="137"/>
      <c r="W89" s="137"/>
      <c r="X89" s="137"/>
      <c r="Y89" s="137"/>
      <c r="Z89" s="137"/>
    </row>
    <row r="90" spans="1:26" ht="12" customHeight="1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60"/>
      <c r="U90" s="60"/>
      <c r="V90" s="137"/>
      <c r="W90" s="137"/>
      <c r="X90" s="137"/>
      <c r="Y90" s="137"/>
      <c r="Z90" s="137"/>
    </row>
    <row r="91" spans="1:26" ht="12" customHeight="1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60"/>
      <c r="U91" s="60"/>
      <c r="V91" s="137"/>
      <c r="W91" s="137"/>
      <c r="X91" s="137"/>
      <c r="Y91" s="137"/>
      <c r="Z91" s="137"/>
    </row>
    <row r="92" spans="1:26" ht="12" customHeight="1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60"/>
      <c r="U92" s="60"/>
      <c r="V92" s="137"/>
      <c r="W92" s="137"/>
      <c r="X92" s="137"/>
      <c r="Y92" s="137"/>
      <c r="Z92" s="137"/>
    </row>
    <row r="93" spans="1:26" ht="12" customHeight="1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60"/>
      <c r="U93" s="60"/>
      <c r="V93" s="137"/>
      <c r="W93" s="137"/>
      <c r="X93" s="137"/>
      <c r="Y93" s="137"/>
      <c r="Z93" s="137"/>
    </row>
    <row r="94" spans="1:26" ht="12" customHeight="1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60"/>
      <c r="U94" s="60"/>
      <c r="V94" s="137"/>
      <c r="W94" s="137"/>
      <c r="X94" s="137"/>
      <c r="Y94" s="137"/>
      <c r="Z94" s="137"/>
    </row>
    <row r="95" spans="1:26" ht="12" customHeight="1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60"/>
      <c r="U95" s="60"/>
      <c r="V95" s="137"/>
      <c r="W95" s="137"/>
      <c r="X95" s="137"/>
      <c r="Y95" s="137"/>
      <c r="Z95" s="137"/>
    </row>
    <row r="96" spans="1:26" ht="12" customHeight="1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60"/>
      <c r="U96" s="60"/>
      <c r="V96" s="137"/>
      <c r="W96" s="137"/>
      <c r="X96" s="137"/>
      <c r="Y96" s="137"/>
      <c r="Z96" s="137"/>
    </row>
    <row r="97" spans="1:26" ht="12" customHeight="1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60"/>
      <c r="U97" s="60"/>
      <c r="V97" s="137"/>
      <c r="W97" s="137"/>
      <c r="X97" s="137"/>
      <c r="Y97" s="137"/>
      <c r="Z97" s="137"/>
    </row>
    <row r="98" spans="1:26" ht="12" customHeight="1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60"/>
      <c r="U98" s="60"/>
      <c r="V98" s="137"/>
      <c r="W98" s="137"/>
      <c r="X98" s="137"/>
      <c r="Y98" s="137"/>
      <c r="Z98" s="137"/>
    </row>
    <row r="99" spans="1:26" ht="12" customHeight="1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60"/>
      <c r="U99" s="60"/>
      <c r="V99" s="137"/>
      <c r="W99" s="137"/>
      <c r="X99" s="137"/>
      <c r="Y99" s="137"/>
      <c r="Z99" s="137"/>
    </row>
    <row r="100" spans="1:26" ht="12" customHeight="1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60"/>
      <c r="U100" s="60"/>
      <c r="V100" s="137"/>
      <c r="W100" s="137"/>
      <c r="X100" s="137"/>
      <c r="Y100" s="137"/>
      <c r="Z100" s="137"/>
    </row>
    <row r="101" spans="1:26" ht="12" customHeight="1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60"/>
      <c r="U101" s="60"/>
      <c r="V101" s="137"/>
      <c r="W101" s="137"/>
      <c r="X101" s="137"/>
      <c r="Y101" s="137"/>
      <c r="Z101" s="137"/>
    </row>
    <row r="102" spans="1:26" ht="12" customHeight="1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60"/>
      <c r="U102" s="60"/>
      <c r="V102" s="137"/>
      <c r="W102" s="137"/>
      <c r="X102" s="137"/>
      <c r="Y102" s="137"/>
      <c r="Z102" s="137"/>
    </row>
    <row r="103" spans="1:26" ht="12" customHeight="1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60"/>
      <c r="U103" s="60"/>
      <c r="V103" s="137"/>
      <c r="W103" s="137"/>
      <c r="X103" s="137"/>
      <c r="Y103" s="137"/>
      <c r="Z103" s="137"/>
    </row>
    <row r="104" spans="1:26" ht="12" customHeight="1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60"/>
      <c r="U104" s="60"/>
      <c r="V104" s="137"/>
      <c r="W104" s="137"/>
      <c r="X104" s="137"/>
      <c r="Y104" s="137"/>
      <c r="Z104" s="137"/>
    </row>
    <row r="105" spans="1:26" ht="12" customHeight="1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60"/>
      <c r="U105" s="60"/>
      <c r="V105" s="137"/>
      <c r="W105" s="137"/>
      <c r="X105" s="137"/>
      <c r="Y105" s="137"/>
      <c r="Z105" s="137"/>
    </row>
    <row r="106" spans="1:26" ht="12" customHeight="1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60"/>
      <c r="U106" s="60"/>
      <c r="V106" s="137"/>
      <c r="W106" s="137"/>
      <c r="X106" s="137"/>
      <c r="Y106" s="137"/>
      <c r="Z106" s="137"/>
    </row>
    <row r="107" spans="1:26" ht="12" customHeight="1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60"/>
      <c r="U107" s="60"/>
      <c r="V107" s="137"/>
      <c r="W107" s="137"/>
      <c r="X107" s="137"/>
      <c r="Y107" s="137"/>
      <c r="Z107" s="137"/>
    </row>
    <row r="108" spans="1:26" ht="12" customHeight="1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60"/>
      <c r="U108" s="60"/>
      <c r="V108" s="137"/>
      <c r="W108" s="137"/>
      <c r="X108" s="137"/>
      <c r="Y108" s="137"/>
      <c r="Z108" s="137"/>
    </row>
    <row r="109" spans="1:26" ht="12" customHeight="1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60"/>
      <c r="U109" s="60"/>
      <c r="V109" s="137"/>
      <c r="W109" s="137"/>
      <c r="X109" s="137"/>
      <c r="Y109" s="137"/>
      <c r="Z109" s="137"/>
    </row>
    <row r="110" spans="1:26" ht="12" customHeight="1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60"/>
      <c r="U110" s="60"/>
      <c r="V110" s="137"/>
      <c r="W110" s="137"/>
      <c r="X110" s="137"/>
      <c r="Y110" s="137"/>
      <c r="Z110" s="137"/>
    </row>
    <row r="111" spans="1:26" ht="12" customHeight="1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60"/>
      <c r="U111" s="60"/>
      <c r="V111" s="137"/>
      <c r="W111" s="137"/>
      <c r="X111" s="137"/>
      <c r="Y111" s="137"/>
      <c r="Z111" s="137"/>
    </row>
    <row r="112" spans="1:26" ht="12" customHeight="1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60"/>
      <c r="U112" s="60"/>
      <c r="V112" s="137"/>
      <c r="W112" s="137"/>
      <c r="X112" s="137"/>
      <c r="Y112" s="137"/>
      <c r="Z112" s="137"/>
    </row>
    <row r="113" spans="1:26" ht="12" customHeight="1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60"/>
      <c r="U113" s="60"/>
      <c r="V113" s="137"/>
      <c r="W113" s="137"/>
      <c r="X113" s="137"/>
      <c r="Y113" s="137"/>
      <c r="Z113" s="137"/>
    </row>
    <row r="114" spans="1:26" ht="12" customHeight="1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60"/>
      <c r="U114" s="60"/>
      <c r="V114" s="137"/>
      <c r="W114" s="137"/>
      <c r="X114" s="137"/>
      <c r="Y114" s="137"/>
      <c r="Z114" s="137"/>
    </row>
    <row r="115" spans="1:26" ht="12" customHeight="1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60"/>
      <c r="U115" s="60"/>
      <c r="V115" s="137"/>
      <c r="W115" s="137"/>
      <c r="X115" s="137"/>
      <c r="Y115" s="137"/>
      <c r="Z115" s="137"/>
    </row>
    <row r="116" spans="1:26" ht="12" customHeight="1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60"/>
      <c r="U116" s="60"/>
      <c r="V116" s="137"/>
      <c r="W116" s="137"/>
      <c r="X116" s="137"/>
      <c r="Y116" s="137"/>
      <c r="Z116" s="137"/>
    </row>
    <row r="117" spans="1:26" ht="12" customHeight="1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60"/>
      <c r="U117" s="60"/>
      <c r="V117" s="137"/>
      <c r="W117" s="137"/>
      <c r="X117" s="137"/>
      <c r="Y117" s="137"/>
      <c r="Z117" s="137"/>
    </row>
    <row r="118" spans="1:26" ht="12" customHeight="1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60"/>
      <c r="U118" s="60"/>
      <c r="V118" s="137"/>
      <c r="W118" s="137"/>
      <c r="X118" s="137"/>
      <c r="Y118" s="137"/>
      <c r="Z118" s="137"/>
    </row>
    <row r="119" spans="1:26" ht="12" customHeight="1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60"/>
      <c r="U119" s="60"/>
      <c r="V119" s="137"/>
      <c r="W119" s="137"/>
      <c r="X119" s="137"/>
      <c r="Y119" s="137"/>
      <c r="Z119" s="137"/>
    </row>
    <row r="120" spans="1:26" ht="12" customHeight="1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60"/>
      <c r="U120" s="60"/>
      <c r="V120" s="137"/>
      <c r="W120" s="137"/>
      <c r="X120" s="137"/>
      <c r="Y120" s="137"/>
      <c r="Z120" s="137"/>
    </row>
    <row r="121" spans="1:26" ht="12" customHeight="1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60"/>
      <c r="U121" s="60"/>
      <c r="V121" s="137"/>
      <c r="W121" s="137"/>
      <c r="X121" s="137"/>
      <c r="Y121" s="137"/>
      <c r="Z121" s="137"/>
    </row>
    <row r="122" spans="1:26" ht="12" customHeight="1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60"/>
      <c r="U122" s="60"/>
      <c r="V122" s="137"/>
      <c r="W122" s="137"/>
      <c r="X122" s="137"/>
      <c r="Y122" s="137"/>
      <c r="Z122" s="137"/>
    </row>
    <row r="123" spans="1:26" ht="12" customHeight="1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60"/>
      <c r="U123" s="60"/>
      <c r="V123" s="137"/>
      <c r="W123" s="137"/>
      <c r="X123" s="137"/>
      <c r="Y123" s="137"/>
      <c r="Z123" s="137"/>
    </row>
    <row r="124" spans="1:26" ht="12" customHeight="1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60"/>
      <c r="U124" s="60"/>
      <c r="V124" s="137"/>
      <c r="W124" s="137"/>
      <c r="X124" s="137"/>
      <c r="Y124" s="137"/>
      <c r="Z124" s="137"/>
    </row>
    <row r="125" spans="1:26" ht="12" customHeight="1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60"/>
      <c r="U125" s="60"/>
      <c r="V125" s="137"/>
      <c r="W125" s="137"/>
      <c r="X125" s="137"/>
      <c r="Y125" s="137"/>
      <c r="Z125" s="137"/>
    </row>
    <row r="126" spans="1:26" ht="12" customHeight="1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60"/>
      <c r="U126" s="60"/>
      <c r="V126" s="137"/>
      <c r="W126" s="137"/>
      <c r="X126" s="137"/>
      <c r="Y126" s="137"/>
      <c r="Z126" s="137"/>
    </row>
    <row r="127" spans="1:26" ht="12" customHeight="1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60"/>
      <c r="U127" s="60"/>
      <c r="V127" s="137"/>
      <c r="W127" s="137"/>
      <c r="X127" s="137"/>
      <c r="Y127" s="137"/>
      <c r="Z127" s="137"/>
    </row>
    <row r="128" spans="1:26" ht="12" customHeight="1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60"/>
      <c r="U128" s="60"/>
      <c r="V128" s="137"/>
      <c r="W128" s="137"/>
      <c r="X128" s="137"/>
      <c r="Y128" s="137"/>
      <c r="Z128" s="137"/>
    </row>
    <row r="129" spans="1:26" ht="12" customHeight="1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60"/>
      <c r="U129" s="60"/>
      <c r="V129" s="137"/>
      <c r="W129" s="137"/>
      <c r="X129" s="137"/>
      <c r="Y129" s="137"/>
      <c r="Z129" s="137"/>
    </row>
    <row r="130" spans="1:26" ht="12" customHeight="1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60"/>
      <c r="U130" s="60"/>
      <c r="V130" s="137"/>
      <c r="W130" s="137"/>
      <c r="X130" s="137"/>
      <c r="Y130" s="137"/>
      <c r="Z130" s="137"/>
    </row>
    <row r="131" spans="1:26" ht="12" customHeight="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60"/>
      <c r="U131" s="60"/>
      <c r="V131" s="137"/>
      <c r="W131" s="137"/>
      <c r="X131" s="137"/>
      <c r="Y131" s="137"/>
      <c r="Z131" s="137"/>
    </row>
    <row r="132" spans="1:26" ht="12" customHeight="1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60"/>
      <c r="U132" s="60"/>
      <c r="V132" s="137"/>
      <c r="W132" s="137"/>
      <c r="X132" s="137"/>
      <c r="Y132" s="137"/>
      <c r="Z132" s="137"/>
    </row>
    <row r="133" spans="1:26" ht="12" customHeight="1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60"/>
      <c r="U133" s="60"/>
      <c r="V133" s="137"/>
      <c r="W133" s="137"/>
      <c r="X133" s="137"/>
      <c r="Y133" s="137"/>
      <c r="Z133" s="137"/>
    </row>
    <row r="134" spans="1:26" ht="12" customHeight="1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60"/>
      <c r="U134" s="60"/>
      <c r="V134" s="137"/>
      <c r="W134" s="137"/>
      <c r="X134" s="137"/>
      <c r="Y134" s="137"/>
      <c r="Z134" s="137"/>
    </row>
    <row r="135" spans="1:26" ht="12" customHeight="1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60"/>
      <c r="U135" s="60"/>
      <c r="V135" s="137"/>
      <c r="W135" s="137"/>
      <c r="X135" s="137"/>
      <c r="Y135" s="137"/>
      <c r="Z135" s="137"/>
    </row>
    <row r="136" spans="1:26" ht="12" customHeight="1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60"/>
      <c r="U136" s="60"/>
      <c r="V136" s="137"/>
      <c r="W136" s="137"/>
      <c r="X136" s="137"/>
      <c r="Y136" s="137"/>
      <c r="Z136" s="137"/>
    </row>
    <row r="137" spans="1:26" ht="12" customHeight="1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60"/>
      <c r="U137" s="60"/>
      <c r="V137" s="137"/>
      <c r="W137" s="137"/>
      <c r="X137" s="137"/>
      <c r="Y137" s="137"/>
      <c r="Z137" s="137"/>
    </row>
    <row r="138" spans="1:26" ht="12" customHeight="1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60"/>
      <c r="U138" s="60"/>
      <c r="V138" s="137"/>
      <c r="W138" s="137"/>
      <c r="X138" s="137"/>
      <c r="Y138" s="137"/>
      <c r="Z138" s="137"/>
    </row>
    <row r="139" spans="1:26" ht="12" customHeight="1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60"/>
      <c r="U139" s="60"/>
      <c r="V139" s="137"/>
      <c r="W139" s="137"/>
      <c r="X139" s="137"/>
      <c r="Y139" s="137"/>
      <c r="Z139" s="137"/>
    </row>
    <row r="140" spans="1:26" ht="12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</row>
    <row r="141" spans="1:26" ht="12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</row>
    <row r="142" spans="1:26" ht="12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</row>
    <row r="143" spans="1:26" ht="12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</row>
    <row r="144" spans="1:26" ht="12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</row>
    <row r="145" spans="1:26" ht="12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</row>
    <row r="146" spans="1:26" ht="12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</row>
    <row r="147" spans="1:26" ht="12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</row>
    <row r="148" spans="1:26" ht="12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</row>
    <row r="149" spans="1:26" ht="12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</row>
    <row r="150" spans="1:26" ht="12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</row>
    <row r="151" spans="1:26" ht="12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</row>
    <row r="152" spans="1:26" ht="12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</row>
    <row r="153" spans="1:26" ht="12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</row>
    <row r="154" spans="1:26" ht="12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</row>
    <row r="155" spans="1:26" ht="12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</row>
    <row r="156" spans="1:26" ht="12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</row>
    <row r="157" spans="1:26" ht="12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</row>
    <row r="158" spans="1:26" ht="12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</row>
    <row r="159" spans="1:26" ht="12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</row>
    <row r="160" spans="1:26" ht="12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</row>
    <row r="161" spans="1:26" ht="12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</row>
    <row r="162" spans="1:26" ht="12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</row>
    <row r="163" spans="1:26" ht="12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</row>
    <row r="164" spans="1:26" ht="12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</row>
    <row r="165" spans="1:26" ht="12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</row>
    <row r="166" spans="1:26" ht="12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</row>
    <row r="167" spans="1:26" ht="12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</row>
    <row r="168" spans="1:26" ht="12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</row>
    <row r="169" spans="1:26" ht="12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</row>
    <row r="170" spans="1:26" ht="12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</row>
    <row r="171" spans="1:26" ht="12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</row>
    <row r="172" spans="1:26" ht="12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</row>
    <row r="173" spans="1:26" ht="12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</row>
    <row r="174" spans="1:26" ht="12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</row>
    <row r="175" spans="1:26" ht="12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</row>
    <row r="176" spans="1:26" ht="12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</row>
    <row r="177" spans="1:26" ht="12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</row>
    <row r="178" spans="1:26" ht="12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</row>
    <row r="179" spans="1:26" ht="12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</row>
    <row r="180" spans="1:26" ht="12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</row>
    <row r="181" spans="1:26" ht="12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</row>
    <row r="182" spans="1:26" ht="12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</row>
    <row r="183" spans="1:26" ht="12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</row>
    <row r="184" spans="1:26" ht="12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</row>
    <row r="185" spans="1:26" ht="12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</row>
    <row r="186" spans="1:26" ht="12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</row>
    <row r="187" spans="1:26" ht="12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</row>
    <row r="188" spans="1:26" ht="12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</row>
    <row r="189" spans="1:26" ht="12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</row>
    <row r="190" spans="1:26" ht="12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</row>
    <row r="191" spans="1:26" ht="12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</row>
    <row r="192" spans="1:26" ht="12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</row>
    <row r="193" spans="1:26" ht="12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</row>
    <row r="194" spans="1:26" ht="12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</row>
    <row r="195" spans="1:26" ht="12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</row>
    <row r="196" spans="1:26" ht="12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</row>
    <row r="197" spans="1:26" ht="12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</row>
    <row r="198" spans="1:26" ht="12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</row>
    <row r="199" spans="1:26" ht="12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</row>
    <row r="200" spans="1:26" ht="12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</row>
    <row r="201" spans="1:26" ht="12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</row>
    <row r="202" spans="1:26" ht="12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</row>
    <row r="203" spans="1:26" ht="12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</row>
    <row r="204" spans="1:26" ht="12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</row>
    <row r="205" spans="1:26" ht="12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</row>
    <row r="206" spans="1:26" ht="12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</row>
    <row r="207" spans="1:26" ht="12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</row>
    <row r="208" spans="1:26" ht="12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</row>
    <row r="209" spans="1:26" ht="12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</row>
    <row r="210" spans="1:26" ht="12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</row>
    <row r="211" spans="1:26" ht="12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</row>
    <row r="212" spans="1:26" ht="12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</row>
    <row r="213" spans="1:26" ht="12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</row>
    <row r="214" spans="1:26" ht="12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</row>
    <row r="215" spans="1:26" ht="12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</row>
    <row r="216" spans="1:26" ht="12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</row>
    <row r="217" spans="1:26" ht="12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</row>
    <row r="218" spans="1:26" ht="12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</row>
    <row r="219" spans="1:26" ht="12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</row>
    <row r="220" spans="1:26" ht="12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</row>
    <row r="221" spans="1:26" ht="12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</row>
    <row r="222" spans="1:26" ht="12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</row>
    <row r="223" spans="1:26" ht="12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</row>
    <row r="224" spans="1:26" ht="12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</row>
    <row r="225" spans="1:26" ht="12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</row>
    <row r="226" spans="1:26" ht="12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</row>
    <row r="227" spans="1:26" ht="12" customHeight="1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</row>
    <row r="228" spans="1:26" ht="12" customHeight="1">
      <c r="A228" s="137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</row>
    <row r="229" spans="1:26" ht="12" customHeight="1">
      <c r="A229" s="137"/>
      <c r="B229" s="137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</row>
    <row r="230" spans="1:26" ht="12" customHeight="1">
      <c r="A230" s="137"/>
      <c r="B230" s="137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</row>
    <row r="231" spans="1:26" ht="12" customHeight="1">
      <c r="A231" s="137"/>
      <c r="B231" s="137"/>
      <c r="C231" s="137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</row>
    <row r="232" spans="1:26" ht="12" customHeight="1">
      <c r="A232" s="137"/>
      <c r="B232" s="137"/>
      <c r="C232" s="137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</row>
    <row r="233" spans="1:26" ht="12" customHeight="1">
      <c r="A233" s="137"/>
      <c r="B233" s="137"/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</row>
    <row r="234" spans="1:26" ht="12" customHeight="1">
      <c r="A234" s="137"/>
      <c r="B234" s="137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</row>
    <row r="235" spans="1:26" ht="12" customHeight="1">
      <c r="A235" s="137"/>
      <c r="B235" s="137"/>
      <c r="C235" s="137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</row>
    <row r="236" spans="1:26" ht="12" customHeight="1">
      <c r="A236" s="137"/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</row>
    <row r="237" spans="1:26" ht="12" customHeight="1">
      <c r="A237" s="137"/>
      <c r="B237" s="137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</row>
    <row r="238" spans="1:26" ht="12" customHeight="1">
      <c r="A238" s="137"/>
      <c r="B238" s="137"/>
      <c r="C238" s="137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</row>
    <row r="239" spans="1:26" ht="12" customHeight="1">
      <c r="A239" s="137"/>
      <c r="B239" s="137"/>
      <c r="C239" s="137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</row>
    <row r="240" spans="1:26" ht="12" customHeight="1">
      <c r="A240" s="137"/>
      <c r="B240" s="137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</row>
    <row r="241" spans="1:26" ht="12" customHeight="1">
      <c r="A241" s="137"/>
      <c r="B241" s="137"/>
      <c r="C241" s="137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</row>
    <row r="242" spans="1:26" ht="12" customHeight="1">
      <c r="A242" s="137"/>
      <c r="B242" s="137"/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</row>
    <row r="243" spans="1:26" ht="12" customHeight="1">
      <c r="A243" s="137"/>
      <c r="B243" s="137"/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</row>
    <row r="244" spans="1:26" ht="12" customHeight="1">
      <c r="A244" s="137"/>
      <c r="B244" s="137"/>
      <c r="C244" s="137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</row>
    <row r="245" spans="1:26" ht="12" customHeight="1">
      <c r="A245" s="137"/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</row>
    <row r="246" spans="1:26" ht="12" customHeight="1">
      <c r="A246" s="137"/>
      <c r="B246" s="137"/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</row>
    <row r="247" spans="1:26" ht="12" customHeight="1">
      <c r="A247" s="137"/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</row>
    <row r="248" spans="1:26" ht="12" customHeight="1">
      <c r="A248" s="137"/>
      <c r="B248" s="137"/>
      <c r="C248" s="137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</row>
    <row r="249" spans="1:26" ht="12" customHeight="1">
      <c r="A249" s="137"/>
      <c r="B249" s="137"/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</row>
    <row r="250" spans="1:26" ht="12" customHeight="1">
      <c r="A250" s="137"/>
      <c r="B250" s="137"/>
      <c r="C250" s="137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</row>
    <row r="251" spans="1:26" ht="12" customHeight="1">
      <c r="A251" s="137"/>
      <c r="B251" s="137"/>
      <c r="C251" s="137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</row>
    <row r="252" spans="1:26" ht="12" customHeight="1">
      <c r="A252" s="137"/>
      <c r="B252" s="137"/>
      <c r="C252" s="137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</row>
    <row r="253" spans="1:26" ht="12" customHeight="1">
      <c r="A253" s="137"/>
      <c r="B253" s="137"/>
      <c r="C253" s="137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</row>
    <row r="254" spans="1:26" ht="12" customHeight="1">
      <c r="A254" s="137"/>
      <c r="B254" s="137"/>
      <c r="C254" s="137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</row>
    <row r="255" spans="1:26" ht="12" customHeight="1">
      <c r="A255" s="137"/>
      <c r="B255" s="137"/>
      <c r="C255" s="137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</row>
    <row r="256" spans="1:26" ht="12" customHeight="1">
      <c r="A256" s="137"/>
      <c r="B256" s="137"/>
      <c r="C256" s="137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</row>
    <row r="257" spans="1:26" ht="12" customHeight="1">
      <c r="A257" s="137"/>
      <c r="B257" s="137"/>
      <c r="C257" s="137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</row>
    <row r="258" spans="1:26" ht="12" customHeight="1">
      <c r="A258" s="137"/>
      <c r="B258" s="137"/>
      <c r="C258" s="137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</row>
    <row r="259" spans="1:26" ht="12" customHeight="1">
      <c r="A259" s="137"/>
      <c r="B259" s="137"/>
      <c r="C259" s="137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</row>
    <row r="260" spans="1:26" ht="12" customHeight="1">
      <c r="A260" s="137"/>
      <c r="B260" s="137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</row>
    <row r="261" spans="1:26" ht="12" customHeight="1">
      <c r="A261" s="137"/>
      <c r="B261" s="137"/>
      <c r="C261" s="137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</row>
    <row r="262" spans="1:26" ht="12" customHeight="1">
      <c r="A262" s="137"/>
      <c r="B262" s="137"/>
      <c r="C262" s="137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</row>
    <row r="263" spans="1:26" ht="15.75" customHeight="1"/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S5:AT5"/>
    <mergeCell ref="AU5:AV5"/>
    <mergeCell ref="AW5:AX5"/>
    <mergeCell ref="AY5:AZ5"/>
    <mergeCell ref="A2:S2"/>
    <mergeCell ref="AA3:BE3"/>
    <mergeCell ref="A4:H4"/>
    <mergeCell ref="L4:S4"/>
    <mergeCell ref="AA4:AE4"/>
    <mergeCell ref="AG4:AZ4"/>
    <mergeCell ref="BB4:BE5"/>
    <mergeCell ref="A5:B5"/>
    <mergeCell ref="C5:D5"/>
    <mergeCell ref="E5:F5"/>
    <mergeCell ref="G5:H5"/>
    <mergeCell ref="L5:M5"/>
    <mergeCell ref="N5:O5"/>
    <mergeCell ref="P5:Q5"/>
    <mergeCell ref="R5:S5"/>
    <mergeCell ref="AA5:AA6"/>
    <mergeCell ref="AB5:AB6"/>
    <mergeCell ref="AK5:AL5"/>
    <mergeCell ref="AM5:AN5"/>
    <mergeCell ref="AO5:AP5"/>
    <mergeCell ref="AQ5:AR5"/>
    <mergeCell ref="AC5:AC6"/>
    <mergeCell ref="AD5:AD6"/>
    <mergeCell ref="AE5:AE6"/>
    <mergeCell ref="AG5:AH5"/>
    <mergeCell ref="AI5:AJ5"/>
  </mergeCells>
  <dataValidations count="1">
    <dataValidation type="list" allowBlank="1" showErrorMessage="1" sqref="BB7:BB62" xr:uid="{00000000-0002-0000-0B00-000000000000}">
      <formula1>"A,O"</formula1>
    </dataValidation>
  </dataValidations>
  <printOptions horizontalCentered="1"/>
  <pageMargins left="0.02" right="0.02" top="0.54" bottom="0.3" header="0" footer="0"/>
  <pageSetup paperSize="9" scale="90" orientation="landscape"/>
  <headerFooter>
    <oddFooter>&amp;L&amp;F; &amp;A&amp;CPage &amp;P of &amp;RPrint on &amp;D, &amp;T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1000"/>
  <sheetViews>
    <sheetView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AA19" sqref="AA19"/>
    </sheetView>
  </sheetViews>
  <sheetFormatPr defaultColWidth="14.42578125" defaultRowHeight="15" customHeight="1"/>
  <cols>
    <col min="1" max="1" width="11.7109375" customWidth="1"/>
    <col min="2" max="2" width="5.42578125" customWidth="1"/>
    <col min="3" max="3" width="11.7109375" customWidth="1"/>
    <col min="4" max="4" width="6" customWidth="1"/>
    <col min="5" max="5" width="12.140625" customWidth="1"/>
    <col min="6" max="6" width="6" customWidth="1"/>
    <col min="7" max="7" width="11.7109375" customWidth="1"/>
    <col min="8" max="8" width="6" customWidth="1"/>
    <col min="9" max="9" width="2" customWidth="1"/>
    <col min="10" max="10" width="35.5703125" customWidth="1"/>
    <col min="11" max="11" width="2" customWidth="1"/>
    <col min="12" max="12" width="11.7109375" customWidth="1"/>
    <col min="13" max="13" width="6" customWidth="1"/>
    <col min="14" max="14" width="11.7109375" customWidth="1"/>
    <col min="15" max="15" width="6" customWidth="1"/>
    <col min="16" max="16" width="11.7109375" customWidth="1"/>
    <col min="17" max="17" width="6" customWidth="1"/>
    <col min="18" max="18" width="11.7109375" customWidth="1"/>
    <col min="19" max="19" width="6" customWidth="1"/>
    <col min="20" max="20" width="10.42578125" customWidth="1"/>
    <col min="21" max="21" width="5" customWidth="1"/>
    <col min="22" max="25" width="10.42578125" hidden="1" customWidth="1"/>
    <col min="26" max="26" width="4.5703125" customWidth="1"/>
  </cols>
  <sheetData>
    <row r="1" spans="1:57" ht="15" customHeight="1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382"/>
      <c r="U1" s="382"/>
      <c r="V1" s="382"/>
      <c r="W1" s="382"/>
      <c r="X1" s="382"/>
      <c r="Y1" s="382"/>
      <c r="Z1" s="382"/>
    </row>
    <row r="2" spans="1:57" ht="15" customHeight="1">
      <c r="A2" s="664" t="s">
        <v>26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665"/>
      <c r="O2" s="665"/>
      <c r="P2" s="665"/>
      <c r="Q2" s="665"/>
      <c r="R2" s="665"/>
      <c r="S2" s="665"/>
      <c r="T2" s="64" t="s">
        <v>506</v>
      </c>
      <c r="U2" s="64">
        <f>PRD</f>
        <v>1</v>
      </c>
      <c r="V2" s="382"/>
      <c r="W2" s="382"/>
      <c r="X2" s="382"/>
      <c r="Y2" s="382"/>
      <c r="Z2" s="382"/>
    </row>
    <row r="3" spans="1:57" ht="15" customHeight="1">
      <c r="A3" s="417"/>
      <c r="B3" s="418"/>
      <c r="C3" s="419"/>
      <c r="D3" s="420" t="s">
        <v>507</v>
      </c>
      <c r="E3" s="419"/>
      <c r="F3" s="421"/>
      <c r="G3" s="419"/>
      <c r="H3" s="382"/>
      <c r="I3" s="382"/>
      <c r="J3" s="429" t="s">
        <v>929</v>
      </c>
      <c r="K3" s="382"/>
      <c r="L3" s="67"/>
      <c r="M3" s="421"/>
      <c r="N3" s="419"/>
      <c r="O3" s="421"/>
      <c r="P3" s="67"/>
      <c r="Q3" s="222" t="s">
        <v>930</v>
      </c>
      <c r="R3" s="67"/>
      <c r="S3" s="67"/>
      <c r="T3" s="382"/>
      <c r="U3" s="382"/>
      <c r="V3" s="382"/>
      <c r="W3" s="382"/>
      <c r="X3" s="382"/>
      <c r="Y3" s="382"/>
      <c r="Z3" s="382"/>
      <c r="AA3" s="656" t="s">
        <v>29</v>
      </c>
      <c r="AB3" s="660"/>
      <c r="AC3" s="660"/>
      <c r="AD3" s="660"/>
      <c r="AE3" s="660"/>
      <c r="AF3" s="660"/>
      <c r="AG3" s="660"/>
      <c r="AH3" s="660"/>
      <c r="AI3" s="660"/>
      <c r="AJ3" s="660"/>
      <c r="AK3" s="660"/>
      <c r="AL3" s="660"/>
      <c r="AM3" s="660"/>
      <c r="AN3" s="660"/>
      <c r="AO3" s="660"/>
      <c r="AP3" s="660"/>
      <c r="AQ3" s="660"/>
      <c r="AR3" s="660"/>
      <c r="AS3" s="660"/>
      <c r="AT3" s="660"/>
      <c r="AU3" s="660"/>
      <c r="AV3" s="660"/>
      <c r="AW3" s="660"/>
      <c r="AX3" s="660"/>
      <c r="AY3" s="660"/>
      <c r="AZ3" s="660"/>
      <c r="BA3" s="660"/>
      <c r="BB3" s="660"/>
      <c r="BC3" s="660"/>
      <c r="BD3" s="660"/>
      <c r="BE3" s="657"/>
    </row>
    <row r="4" spans="1:57" ht="13.5" customHeight="1">
      <c r="A4" s="666" t="s">
        <v>509</v>
      </c>
      <c r="B4" s="667"/>
      <c r="C4" s="667"/>
      <c r="D4" s="667"/>
      <c r="E4" s="667"/>
      <c r="F4" s="667"/>
      <c r="G4" s="667"/>
      <c r="H4" s="668"/>
      <c r="I4" s="223"/>
      <c r="J4" s="225"/>
      <c r="K4" s="223"/>
      <c r="L4" s="669" t="s">
        <v>510</v>
      </c>
      <c r="M4" s="667"/>
      <c r="N4" s="667"/>
      <c r="O4" s="667"/>
      <c r="P4" s="667"/>
      <c r="Q4" s="667"/>
      <c r="R4" s="667"/>
      <c r="S4" s="670"/>
      <c r="T4" s="226"/>
      <c r="U4" s="226"/>
      <c r="V4" s="226"/>
      <c r="W4" s="226"/>
      <c r="X4" s="226"/>
      <c r="Y4" s="226"/>
      <c r="Z4" s="226"/>
      <c r="AA4" s="671" t="s">
        <v>30</v>
      </c>
      <c r="AB4" s="665"/>
      <c r="AC4" s="665"/>
      <c r="AD4" s="665"/>
      <c r="AE4" s="665"/>
      <c r="AF4" s="73"/>
      <c r="AG4" s="671" t="s">
        <v>31</v>
      </c>
      <c r="AH4" s="665"/>
      <c r="AI4" s="665"/>
      <c r="AJ4" s="665"/>
      <c r="AK4" s="665"/>
      <c r="AL4" s="665"/>
      <c r="AM4" s="665"/>
      <c r="AN4" s="665"/>
      <c r="AO4" s="665"/>
      <c r="AP4" s="665"/>
      <c r="AQ4" s="665"/>
      <c r="AR4" s="665"/>
      <c r="AS4" s="665"/>
      <c r="AT4" s="665"/>
      <c r="AU4" s="665"/>
      <c r="AV4" s="665"/>
      <c r="AW4" s="665"/>
      <c r="AX4" s="665"/>
      <c r="AY4" s="665"/>
      <c r="AZ4" s="672"/>
      <c r="BA4" s="74"/>
      <c r="BB4" s="673" t="s">
        <v>32</v>
      </c>
      <c r="BC4" s="674"/>
      <c r="BD4" s="674"/>
      <c r="BE4" s="675"/>
    </row>
    <row r="5" spans="1:57" ht="15" customHeight="1">
      <c r="A5" s="679" t="s">
        <v>511</v>
      </c>
      <c r="B5" s="662"/>
      <c r="C5" s="661" t="s">
        <v>512</v>
      </c>
      <c r="D5" s="662"/>
      <c r="E5" s="661" t="s">
        <v>513</v>
      </c>
      <c r="F5" s="662"/>
      <c r="G5" s="661" t="s">
        <v>514</v>
      </c>
      <c r="H5" s="662"/>
      <c r="I5" s="227"/>
      <c r="J5" s="229" t="s">
        <v>515</v>
      </c>
      <c r="K5" s="227"/>
      <c r="L5" s="661" t="s">
        <v>514</v>
      </c>
      <c r="M5" s="662"/>
      <c r="N5" s="661" t="s">
        <v>513</v>
      </c>
      <c r="O5" s="662"/>
      <c r="P5" s="661" t="s">
        <v>512</v>
      </c>
      <c r="Q5" s="662"/>
      <c r="R5" s="661" t="s">
        <v>511</v>
      </c>
      <c r="S5" s="663"/>
      <c r="T5" s="226"/>
      <c r="U5" s="226"/>
      <c r="V5" s="226"/>
      <c r="W5" s="226"/>
      <c r="X5" s="226"/>
      <c r="Y5" s="226"/>
      <c r="Z5" s="226"/>
      <c r="AA5" s="658" t="s">
        <v>38</v>
      </c>
      <c r="AB5" s="658" t="s">
        <v>39</v>
      </c>
      <c r="AC5" s="658" t="s">
        <v>40</v>
      </c>
      <c r="AD5" s="658" t="s">
        <v>41</v>
      </c>
      <c r="AE5" s="673" t="s">
        <v>42</v>
      </c>
      <c r="AF5" s="80"/>
      <c r="AG5" s="656" t="s">
        <v>43</v>
      </c>
      <c r="AH5" s="660"/>
      <c r="AI5" s="656" t="s">
        <v>44</v>
      </c>
      <c r="AJ5" s="660"/>
      <c r="AK5" s="656" t="s">
        <v>45</v>
      </c>
      <c r="AL5" s="660"/>
      <c r="AM5" s="656" t="s">
        <v>46</v>
      </c>
      <c r="AN5" s="657"/>
      <c r="AO5" s="680" t="s">
        <v>47</v>
      </c>
      <c r="AP5" s="660"/>
      <c r="AQ5" s="656" t="s">
        <v>48</v>
      </c>
      <c r="AR5" s="657"/>
      <c r="AS5" s="680" t="s">
        <v>49</v>
      </c>
      <c r="AT5" s="660"/>
      <c r="AU5" s="656" t="s">
        <v>50</v>
      </c>
      <c r="AV5" s="657"/>
      <c r="AW5" s="680" t="s">
        <v>51</v>
      </c>
      <c r="AX5" s="657"/>
      <c r="AY5" s="656" t="s">
        <v>52</v>
      </c>
      <c r="AZ5" s="657"/>
      <c r="BA5" s="81"/>
      <c r="BB5" s="676"/>
      <c r="BC5" s="677"/>
      <c r="BD5" s="677"/>
      <c r="BE5" s="678"/>
    </row>
    <row r="6" spans="1:57" ht="15" customHeight="1">
      <c r="A6" s="230" t="s">
        <v>526</v>
      </c>
      <c r="B6" s="231" t="s">
        <v>37</v>
      </c>
      <c r="C6" s="232" t="s">
        <v>526</v>
      </c>
      <c r="D6" s="231" t="s">
        <v>37</v>
      </c>
      <c r="E6" s="232" t="s">
        <v>526</v>
      </c>
      <c r="F6" s="231" t="s">
        <v>37</v>
      </c>
      <c r="G6" s="232" t="s">
        <v>526</v>
      </c>
      <c r="H6" s="231" t="s">
        <v>37</v>
      </c>
      <c r="I6" s="233"/>
      <c r="J6" s="235"/>
      <c r="K6" s="233"/>
      <c r="L6" s="232" t="s">
        <v>526</v>
      </c>
      <c r="M6" s="231" t="s">
        <v>37</v>
      </c>
      <c r="N6" s="232" t="s">
        <v>526</v>
      </c>
      <c r="O6" s="231" t="s">
        <v>37</v>
      </c>
      <c r="P6" s="232" t="s">
        <v>526</v>
      </c>
      <c r="Q6" s="231" t="s">
        <v>37</v>
      </c>
      <c r="R6" s="232" t="s">
        <v>526</v>
      </c>
      <c r="S6" s="236" t="s">
        <v>37</v>
      </c>
      <c r="T6" s="226"/>
      <c r="U6" s="226"/>
      <c r="V6" s="226"/>
      <c r="W6" s="226"/>
      <c r="X6" s="226"/>
      <c r="Y6" s="226"/>
      <c r="Z6" s="226"/>
      <c r="AA6" s="659"/>
      <c r="AB6" s="659"/>
      <c r="AC6" s="659"/>
      <c r="AD6" s="659"/>
      <c r="AE6" s="676"/>
      <c r="AF6" s="84"/>
      <c r="AG6" s="85" t="s">
        <v>56</v>
      </c>
      <c r="AH6" s="86" t="s">
        <v>57</v>
      </c>
      <c r="AI6" s="85" t="s">
        <v>56</v>
      </c>
      <c r="AJ6" s="86" t="s">
        <v>57</v>
      </c>
      <c r="AK6" s="85" t="s">
        <v>56</v>
      </c>
      <c r="AL6" s="86" t="s">
        <v>57</v>
      </c>
      <c r="AM6" s="64" t="s">
        <v>56</v>
      </c>
      <c r="AN6" s="87" t="s">
        <v>57</v>
      </c>
      <c r="AO6" s="88" t="s">
        <v>56</v>
      </c>
      <c r="AP6" s="86" t="s">
        <v>57</v>
      </c>
      <c r="AQ6" s="85" t="s">
        <v>56</v>
      </c>
      <c r="AR6" s="89" t="s">
        <v>57</v>
      </c>
      <c r="AS6" s="88" t="s">
        <v>56</v>
      </c>
      <c r="AT6" s="86" t="s">
        <v>57</v>
      </c>
      <c r="AU6" s="85" t="s">
        <v>56</v>
      </c>
      <c r="AV6" s="89" t="s">
        <v>57</v>
      </c>
      <c r="AW6" s="88" t="s">
        <v>56</v>
      </c>
      <c r="AX6" s="89" t="s">
        <v>57</v>
      </c>
      <c r="AY6" s="85" t="s">
        <v>56</v>
      </c>
      <c r="AZ6" s="89" t="s">
        <v>57</v>
      </c>
      <c r="BA6" s="90"/>
      <c r="BB6" s="64" t="s">
        <v>58</v>
      </c>
      <c r="BC6" s="64" t="s">
        <v>59</v>
      </c>
      <c r="BD6" s="64" t="s">
        <v>60</v>
      </c>
      <c r="BE6" s="91" t="s">
        <v>61</v>
      </c>
    </row>
    <row r="7" spans="1:57" ht="12" customHeight="1">
      <c r="A7" s="422"/>
      <c r="B7" s="422"/>
      <c r="C7" s="422"/>
      <c r="D7" s="422"/>
      <c r="E7" s="422"/>
      <c r="F7" s="422"/>
      <c r="G7" s="422"/>
      <c r="H7" s="422"/>
      <c r="I7" s="422"/>
      <c r="J7" s="423" t="s">
        <v>632</v>
      </c>
      <c r="K7" s="422"/>
      <c r="L7" s="422"/>
      <c r="M7" s="422"/>
      <c r="N7" s="430"/>
      <c r="O7" s="422"/>
      <c r="P7" s="422"/>
      <c r="Q7" s="422"/>
      <c r="R7" s="422"/>
      <c r="S7" s="422"/>
      <c r="T7" s="391"/>
      <c r="U7" s="391"/>
      <c r="V7" s="391"/>
      <c r="W7" s="391"/>
      <c r="X7" s="391"/>
      <c r="Y7" s="391"/>
      <c r="Z7" s="391"/>
      <c r="AA7" s="95"/>
      <c r="AB7" s="96"/>
      <c r="AC7" s="96"/>
      <c r="AD7" s="96"/>
      <c r="AE7" s="96"/>
      <c r="AF7" s="97"/>
      <c r="AG7" s="95"/>
      <c r="AH7" s="96"/>
      <c r="AI7" s="95"/>
      <c r="AJ7" s="96"/>
      <c r="AK7" s="95"/>
      <c r="AL7" s="96"/>
      <c r="AM7" s="95"/>
      <c r="AN7" s="98"/>
      <c r="AO7" s="96"/>
      <c r="AP7" s="96"/>
      <c r="AQ7" s="95"/>
      <c r="AR7" s="98"/>
      <c r="AS7" s="96"/>
      <c r="AT7" s="96"/>
      <c r="AU7" s="95"/>
      <c r="AV7" s="98"/>
      <c r="AW7" s="96"/>
      <c r="AX7" s="96"/>
      <c r="AY7" s="95"/>
      <c r="AZ7" s="98"/>
      <c r="BA7" s="99"/>
      <c r="BB7" s="95"/>
      <c r="BC7" s="100"/>
      <c r="BD7" s="100"/>
      <c r="BE7" s="98"/>
    </row>
    <row r="8" spans="1:57" ht="12" customHeight="1">
      <c r="A8" s="254">
        <f t="array" ref="A8">_xll.AC(DB,_xll.ArrayDPT($AA8:$AE8),_xll.ArrayCOA($AG8:$AZ8),YR-1,PRD,_xll.ArrayDIM($BB8:$BE8))</f>
        <v>0</v>
      </c>
      <c r="B8" s="237">
        <f t="shared" ref="B8:B19" si="0">IF(A8=0,0,(A8*100)/A$66)</f>
        <v>0</v>
      </c>
      <c r="C8" s="237">
        <f t="shared" ref="C8:C19" si="1">+E8-G8</f>
        <v>-44000</v>
      </c>
      <c r="D8" s="237">
        <f t="shared" ref="D8:D19" si="2">IF(C8=0,0,(C8*100)/C$66)</f>
        <v>2.8271276649573576</v>
      </c>
      <c r="E8" s="254">
        <f t="array" ref="E8">_xll.BC(DB,_xll.ArrayDPT($AA8:$AE8),_xll.ArrayCOA($AG8:$AZ8),YR,PRD,RV,_xll.ArrayDIM($BB8:$BE8))</f>
        <v>0</v>
      </c>
      <c r="F8" s="237">
        <f t="shared" ref="F8:F19" si="3">IF(E8=0,0,(E8*100)/E$66)</f>
        <v>0</v>
      </c>
      <c r="G8" s="254">
        <f t="array" ref="G8">_xll.AC(DB,_xll.ArrayDPT($AA8:$AE8),_xll.ArrayCOA($AG8:$AZ8),YR,PRD,_xll.ArrayDIM($BB8:$BE8))</f>
        <v>44000</v>
      </c>
      <c r="H8" s="237">
        <f t="shared" ref="H8:H19" si="4">IF(G8=0,0,(G8*100)/G$66)</f>
        <v>2.8271276649573576</v>
      </c>
      <c r="I8" s="237"/>
      <c r="J8" s="328" t="s">
        <v>931</v>
      </c>
      <c r="K8" s="237"/>
      <c r="L8" s="254">
        <f t="array" ref="L8">_xll.ACC(DB,_xll.ArrayDPT($AA8:$AE8),_xll.ArrayCOA($AG8:$AZ8),YR,PRD,_xll.ArrayDIM($BB8:$BE8))</f>
        <v>44000</v>
      </c>
      <c r="M8" s="237">
        <f t="shared" ref="M8:M19" si="5">IF(L8=0,0,(L8*100)/L$66)</f>
        <v>2.8271276649573576</v>
      </c>
      <c r="N8" s="254">
        <f t="array" ref="N8">_xll.BCC(DB,_xll.ArrayDPT($AA8:$AE8),_xll.ArrayCOA($AG8:$AZ8),YR,PRD,RV,_xll.ArrayDIM($BB8:$BE8))</f>
        <v>0</v>
      </c>
      <c r="O8" s="237">
        <f t="shared" ref="O8:O19" si="6">IF(N8=0,0,(N8*100)/N$66)</f>
        <v>0</v>
      </c>
      <c r="P8" s="237">
        <f t="shared" ref="P8:P19" si="7">+N8-L8</f>
        <v>-44000</v>
      </c>
      <c r="Q8" s="237">
        <f t="shared" ref="Q8:Q19" si="8">IF(P8=0,0,(P8*100)/P$66)</f>
        <v>2.8271276649573576</v>
      </c>
      <c r="R8" s="254">
        <f t="array" ref="R8">_xll.ACC(DB,_xll.ArrayDPT($AA8:$AE8),_xll.ArrayCOA($AG8:$AZ8),YR-1,PRD,_xll.ArrayDIM($BB8:$BE8))</f>
        <v>0</v>
      </c>
      <c r="S8" s="237">
        <f t="shared" ref="S8:S19" si="9">IF(R8=0,0,(R8*100)/R$66)</f>
        <v>0</v>
      </c>
      <c r="T8" s="295"/>
      <c r="U8" s="295"/>
      <c r="V8" s="295"/>
      <c r="W8" s="295"/>
      <c r="X8" s="295"/>
      <c r="Y8" s="295"/>
      <c r="Z8" s="295"/>
      <c r="AA8" s="95" t="s">
        <v>932</v>
      </c>
      <c r="AB8" s="96" t="s">
        <v>933</v>
      </c>
      <c r="AC8" s="96"/>
      <c r="AD8" s="96"/>
      <c r="AE8" s="96"/>
      <c r="AF8" s="97"/>
      <c r="AG8" s="95" t="s">
        <v>934</v>
      </c>
      <c r="AH8" s="96" t="s">
        <v>934</v>
      </c>
      <c r="AI8" s="95"/>
      <c r="AJ8" s="96"/>
      <c r="AK8" s="95"/>
      <c r="AL8" s="96"/>
      <c r="AM8" s="95"/>
      <c r="AN8" s="98"/>
      <c r="AO8" s="96"/>
      <c r="AP8" s="96"/>
      <c r="AQ8" s="95"/>
      <c r="AR8" s="98"/>
      <c r="AS8" s="96"/>
      <c r="AT8" s="96"/>
      <c r="AU8" s="95"/>
      <c r="AV8" s="98"/>
      <c r="AW8" s="96"/>
      <c r="AX8" s="96"/>
      <c r="AY8" s="95"/>
      <c r="AZ8" s="98"/>
      <c r="BA8" s="99"/>
      <c r="BB8" s="95"/>
      <c r="BC8" s="96"/>
      <c r="BD8" s="96"/>
      <c r="BE8" s="98"/>
    </row>
    <row r="9" spans="1:57" ht="12" customHeight="1">
      <c r="A9" s="254">
        <f t="array" ref="A9">_xll.AC(DB,_xll.ArrayDPT($AA9:$AE9),_xll.ArrayCOA($AG9:$AZ9),YR-1,PRD,_xll.ArrayDIM($BB9:$BE9))</f>
        <v>670000</v>
      </c>
      <c r="B9" s="237">
        <f t="shared" si="0"/>
        <v>39.07893561787936</v>
      </c>
      <c r="C9" s="237">
        <f t="shared" si="1"/>
        <v>-277000</v>
      </c>
      <c r="D9" s="237">
        <f t="shared" si="2"/>
        <v>17.798053708936092</v>
      </c>
      <c r="E9" s="254">
        <f t="array" ref="E9">_xll.BC(DB,_xll.ArrayDPT($AA9:$AE9),_xll.ArrayCOA($AG9:$AZ9),YR,PRD,RV,_xll.ArrayDIM($BB9:$BE9))</f>
        <v>0</v>
      </c>
      <c r="F9" s="237">
        <f t="shared" si="3"/>
        <v>0</v>
      </c>
      <c r="G9" s="254">
        <f t="array" ref="G9">_xll.AC(DB,_xll.ArrayDPT($AA9:$AE9),_xll.ArrayCOA($AG9:$AZ9),YR,PRD,_xll.ArrayDIM($BB9:$BE9))</f>
        <v>277000</v>
      </c>
      <c r="H9" s="237">
        <f t="shared" si="4"/>
        <v>17.798053708936092</v>
      </c>
      <c r="I9" s="237"/>
      <c r="J9" s="328" t="s">
        <v>935</v>
      </c>
      <c r="K9" s="237"/>
      <c r="L9" s="254">
        <f t="array" ref="L9">_xll.ACC(DB,_xll.ArrayDPT($AA9:$AE9),_xll.ArrayCOA($AG9:$AZ9),YR,PRD,_xll.ArrayDIM($BB9:$BE9))</f>
        <v>277000</v>
      </c>
      <c r="M9" s="237">
        <f t="shared" si="5"/>
        <v>17.798053708936092</v>
      </c>
      <c r="N9" s="254">
        <f t="array" ref="N9">_xll.BCC(DB,_xll.ArrayDPT($AA9:$AE9),_xll.ArrayCOA($AG9:$AZ9),YR,PRD,RV,_xll.ArrayDIM($BB9:$BE9))</f>
        <v>0</v>
      </c>
      <c r="O9" s="237">
        <f t="shared" si="6"/>
        <v>0</v>
      </c>
      <c r="P9" s="237">
        <f t="shared" si="7"/>
        <v>-277000</v>
      </c>
      <c r="Q9" s="237">
        <f t="shared" si="8"/>
        <v>17.798053708936092</v>
      </c>
      <c r="R9" s="254">
        <f t="array" ref="R9">_xll.ACC(DB,_xll.ArrayDPT($AA9:$AE9),_xll.ArrayCOA($AG9:$AZ9),YR-1,PRD,_xll.ArrayDIM($BB9:$BE9))</f>
        <v>670000</v>
      </c>
      <c r="S9" s="237">
        <f t="shared" si="9"/>
        <v>39.07893561787936</v>
      </c>
      <c r="T9" s="295"/>
      <c r="U9" s="295"/>
      <c r="V9" s="295"/>
      <c r="W9" s="295"/>
      <c r="X9" s="295"/>
      <c r="Y9" s="295"/>
      <c r="Z9" s="295"/>
      <c r="AA9" s="95" t="s">
        <v>936</v>
      </c>
      <c r="AB9" s="96" t="s">
        <v>932</v>
      </c>
      <c r="AC9" s="96" t="s">
        <v>933</v>
      </c>
      <c r="AD9" s="96"/>
      <c r="AE9" s="96"/>
      <c r="AF9" s="97"/>
      <c r="AG9" s="95" t="s">
        <v>638</v>
      </c>
      <c r="AH9" s="96" t="s">
        <v>638</v>
      </c>
      <c r="AI9" s="95"/>
      <c r="AJ9" s="96"/>
      <c r="AK9" s="95"/>
      <c r="AL9" s="96"/>
      <c r="AM9" s="95"/>
      <c r="AN9" s="98"/>
      <c r="AO9" s="96"/>
      <c r="AP9" s="96"/>
      <c r="AQ9" s="95"/>
      <c r="AR9" s="98"/>
      <c r="AS9" s="96"/>
      <c r="AT9" s="96"/>
      <c r="AU9" s="95"/>
      <c r="AV9" s="98"/>
      <c r="AW9" s="96"/>
      <c r="AX9" s="96"/>
      <c r="AY9" s="95"/>
      <c r="AZ9" s="98"/>
      <c r="BA9" s="99"/>
      <c r="BB9" s="95"/>
      <c r="BC9" s="96"/>
      <c r="BD9" s="96"/>
      <c r="BE9" s="98"/>
    </row>
    <row r="10" spans="1:57" ht="12" customHeight="1">
      <c r="A10" s="254">
        <f t="array" ref="A10">_xll.AC(DB,_xll.ArrayDPT($AA10:$AE10),_xll.ArrayCOA($AG10:$AZ10),YR-1,PRD,_xll.ArrayDIM($BB10:$BE10))</f>
        <v>63000</v>
      </c>
      <c r="B10" s="237">
        <f t="shared" si="0"/>
        <v>3.6745864834722379</v>
      </c>
      <c r="C10" s="237">
        <f t="shared" si="1"/>
        <v>-29400</v>
      </c>
      <c r="D10" s="237">
        <f t="shared" si="2"/>
        <v>1.8890353034033252</v>
      </c>
      <c r="E10" s="254">
        <f t="array" ref="E10">_xll.BC(DB,_xll.ArrayDPT($AA10:$AE10),_xll.ArrayCOA($AG10:$AZ10),YR,PRD,RV,_xll.ArrayDIM($BB10:$BE10))</f>
        <v>0</v>
      </c>
      <c r="F10" s="237">
        <f t="shared" si="3"/>
        <v>0</v>
      </c>
      <c r="G10" s="254">
        <f t="array" ref="G10">_xll.AC(DB,_xll.ArrayDPT($AA10:$AE10),_xll.ArrayCOA($AG10:$AZ10),YR,PRD,_xll.ArrayDIM($BB10:$BE10))</f>
        <v>29400</v>
      </c>
      <c r="H10" s="237">
        <f t="shared" si="4"/>
        <v>1.8890353034033252</v>
      </c>
      <c r="I10" s="237"/>
      <c r="J10" s="328" t="s">
        <v>937</v>
      </c>
      <c r="K10" s="237"/>
      <c r="L10" s="254">
        <f t="array" ref="L10">_xll.ACC(DB,_xll.ArrayDPT($AA10:$AE10),_xll.ArrayCOA($AG10:$AZ10),YR,PRD,_xll.ArrayDIM($BB10:$BE10))</f>
        <v>29400</v>
      </c>
      <c r="M10" s="237">
        <f t="shared" si="5"/>
        <v>1.8890353034033252</v>
      </c>
      <c r="N10" s="254">
        <f t="array" ref="N10">_xll.BCC(DB,_xll.ArrayDPT($AA10:$AE10),_xll.ArrayCOA($AG10:$AZ10),YR,PRD,RV,_xll.ArrayDIM($BB10:$BE10))</f>
        <v>0</v>
      </c>
      <c r="O10" s="237">
        <f t="shared" si="6"/>
        <v>0</v>
      </c>
      <c r="P10" s="237">
        <f t="shared" si="7"/>
        <v>-29400</v>
      </c>
      <c r="Q10" s="237">
        <f t="shared" si="8"/>
        <v>1.8890353034033252</v>
      </c>
      <c r="R10" s="254">
        <f t="array" ref="R10">_xll.ACC(DB,_xll.ArrayDPT($AA10:$AE10),_xll.ArrayCOA($AG10:$AZ10),YR-1,PRD,_xll.ArrayDIM($BB10:$BE10))</f>
        <v>63000</v>
      </c>
      <c r="S10" s="237">
        <f t="shared" si="9"/>
        <v>3.6745864834722379</v>
      </c>
      <c r="T10" s="295"/>
      <c r="U10" s="295"/>
      <c r="V10" s="295"/>
      <c r="W10" s="295"/>
      <c r="X10" s="295"/>
      <c r="Y10" s="295"/>
      <c r="Z10" s="295"/>
      <c r="AA10" s="95" t="s">
        <v>932</v>
      </c>
      <c r="AB10" s="96" t="s">
        <v>933</v>
      </c>
      <c r="AC10" s="96" t="s">
        <v>938</v>
      </c>
      <c r="AD10" s="96"/>
      <c r="AE10" s="96"/>
      <c r="AF10" s="97"/>
      <c r="AG10" s="95" t="s">
        <v>641</v>
      </c>
      <c r="AH10" s="96" t="s">
        <v>641</v>
      </c>
      <c r="AI10" s="95"/>
      <c r="AJ10" s="96"/>
      <c r="AK10" s="95"/>
      <c r="AL10" s="96"/>
      <c r="AM10" s="95"/>
      <c r="AN10" s="98"/>
      <c r="AO10" s="96"/>
      <c r="AP10" s="96"/>
      <c r="AQ10" s="95"/>
      <c r="AR10" s="98"/>
      <c r="AS10" s="96"/>
      <c r="AT10" s="96"/>
      <c r="AU10" s="95"/>
      <c r="AV10" s="98"/>
      <c r="AW10" s="96"/>
      <c r="AX10" s="96"/>
      <c r="AY10" s="95"/>
      <c r="AZ10" s="98"/>
      <c r="BA10" s="99"/>
      <c r="BB10" s="95"/>
      <c r="BC10" s="96"/>
      <c r="BD10" s="96"/>
      <c r="BE10" s="98"/>
    </row>
    <row r="11" spans="1:57" ht="12" customHeight="1">
      <c r="A11" s="254">
        <f t="array" ref="A11">_xll.AC(DB,_xll.ArrayDPT($AA11:$AE11),_xll.ArrayCOA($AG11:$AZ11),YR-1,PRD,_xll.ArrayDIM($BB11:$BE11))</f>
        <v>0</v>
      </c>
      <c r="B11" s="237">
        <f t="shared" si="0"/>
        <v>0</v>
      </c>
      <c r="C11" s="237">
        <f t="shared" si="1"/>
        <v>0</v>
      </c>
      <c r="D11" s="237">
        <f t="shared" si="2"/>
        <v>0</v>
      </c>
      <c r="E11" s="254">
        <f t="array" ref="E11">_xll.BC(DB,_xll.ArrayDPT($AA11:$AE11),_xll.ArrayCOA($AG11:$AZ11),YR,PRD,RV,_xll.ArrayDIM($BB11:$BE11))</f>
        <v>0</v>
      </c>
      <c r="F11" s="237">
        <f t="shared" si="3"/>
        <v>0</v>
      </c>
      <c r="G11" s="254">
        <f t="array" ref="G11">_xll.AC(DB,_xll.ArrayDPT($AA11:$AE11),_xll.ArrayCOA($AG11:$AZ11),YR,PRD,_xll.ArrayDIM($BB11:$BE11))</f>
        <v>0</v>
      </c>
      <c r="H11" s="237">
        <f t="shared" si="4"/>
        <v>0</v>
      </c>
      <c r="I11" s="237"/>
      <c r="J11" s="328" t="s">
        <v>939</v>
      </c>
      <c r="K11" s="237"/>
      <c r="L11" s="254">
        <f t="array" ref="L11">_xll.ACC(DB,_xll.ArrayDPT($AA11:$AE11),_xll.ArrayCOA($AG11:$AZ11),YR,PRD,_xll.ArrayDIM($BB11:$BE11))</f>
        <v>0</v>
      </c>
      <c r="M11" s="237">
        <f t="shared" si="5"/>
        <v>0</v>
      </c>
      <c r="N11" s="254">
        <f t="array" ref="N11">_xll.BCC(DB,_xll.ArrayDPT($AA11:$AE11),_xll.ArrayCOA($AG11:$AZ11),YR,PRD,RV,_xll.ArrayDIM($BB11:$BE11))</f>
        <v>0</v>
      </c>
      <c r="O11" s="237">
        <f t="shared" si="6"/>
        <v>0</v>
      </c>
      <c r="P11" s="237">
        <f t="shared" si="7"/>
        <v>0</v>
      </c>
      <c r="Q11" s="237">
        <f t="shared" si="8"/>
        <v>0</v>
      </c>
      <c r="R11" s="254">
        <f t="array" ref="R11">_xll.ACC(DB,_xll.ArrayDPT($AA11:$AE11),_xll.ArrayCOA($AG11:$AZ11),YR-1,PRD,_xll.ArrayDIM($BB11:$BE11))</f>
        <v>0</v>
      </c>
      <c r="S11" s="237">
        <f t="shared" si="9"/>
        <v>0</v>
      </c>
      <c r="T11" s="295"/>
      <c r="U11" s="295"/>
      <c r="V11" s="295"/>
      <c r="W11" s="295"/>
      <c r="X11" s="295"/>
      <c r="Y11" s="295"/>
      <c r="Z11" s="295"/>
      <c r="AA11" s="95" t="s">
        <v>938</v>
      </c>
      <c r="AB11" s="96"/>
      <c r="AC11" s="96"/>
      <c r="AD11" s="96"/>
      <c r="AE11" s="96"/>
      <c r="AF11" s="97"/>
      <c r="AG11" s="95" t="s">
        <v>940</v>
      </c>
      <c r="AH11" s="96" t="s">
        <v>940</v>
      </c>
      <c r="AI11" s="95"/>
      <c r="AJ11" s="96"/>
      <c r="AK11" s="95"/>
      <c r="AL11" s="96"/>
      <c r="AM11" s="95"/>
      <c r="AN11" s="98"/>
      <c r="AO11" s="96"/>
      <c r="AP11" s="96"/>
      <c r="AQ11" s="95"/>
      <c r="AR11" s="98"/>
      <c r="AS11" s="96"/>
      <c r="AT11" s="96"/>
      <c r="AU11" s="95"/>
      <c r="AV11" s="98"/>
      <c r="AW11" s="96"/>
      <c r="AX11" s="96"/>
      <c r="AY11" s="95"/>
      <c r="AZ11" s="98"/>
      <c r="BA11" s="99"/>
      <c r="BB11" s="95"/>
      <c r="BC11" s="96"/>
      <c r="BD11" s="96"/>
      <c r="BE11" s="98"/>
    </row>
    <row r="12" spans="1:57" ht="12" customHeight="1">
      <c r="A12" s="254">
        <f t="array" ref="A12">_xll.AC(DB,_xll.ArrayDPT($AA12:$AE12),_xll.ArrayCOA($AG12:$AZ12),YR-1,PRD,_xll.ArrayDIM($BB12:$BE12))</f>
        <v>26983.32</v>
      </c>
      <c r="B12" s="237">
        <f t="shared" si="0"/>
        <v>1.5738498881143828</v>
      </c>
      <c r="C12" s="237">
        <f t="shared" si="1"/>
        <v>-2845</v>
      </c>
      <c r="D12" s="237">
        <f t="shared" si="2"/>
        <v>0.18279950470008369</v>
      </c>
      <c r="E12" s="254">
        <f t="array" ref="E12">_xll.BC(DB,_xll.ArrayDPT($AA12:$AE12),_xll.ArrayCOA($AG12:$AZ12),YR,PRD,RV,_xll.ArrayDIM($BB12:$BE12))</f>
        <v>0</v>
      </c>
      <c r="F12" s="237">
        <f t="shared" si="3"/>
        <v>0</v>
      </c>
      <c r="G12" s="254">
        <f t="array" ref="G12">_xll.AC(DB,_xll.ArrayDPT($AA12:$AE12),_xll.ArrayCOA($AG12:$AZ12),YR,PRD,_xll.ArrayDIM($BB12:$BE12))</f>
        <v>2845</v>
      </c>
      <c r="H12" s="237">
        <f t="shared" si="4"/>
        <v>0.18279950470008369</v>
      </c>
      <c r="I12" s="237"/>
      <c r="J12" s="328" t="s">
        <v>646</v>
      </c>
      <c r="K12" s="237"/>
      <c r="L12" s="254">
        <f t="array" ref="L12">_xll.ACC(DB,_xll.ArrayDPT($AA12:$AE12),_xll.ArrayCOA($AG12:$AZ12),YR,PRD,_xll.ArrayDIM($BB12:$BE12))</f>
        <v>2845</v>
      </c>
      <c r="M12" s="237">
        <f t="shared" si="5"/>
        <v>0.18279950470008369</v>
      </c>
      <c r="N12" s="254">
        <f t="array" ref="N12">_xll.BCC(DB,_xll.ArrayDPT($AA12:$AE12),_xll.ArrayCOA($AG12:$AZ12),YR,PRD,RV,_xll.ArrayDIM($BB12:$BE12))</f>
        <v>0</v>
      </c>
      <c r="O12" s="237">
        <f t="shared" si="6"/>
        <v>0</v>
      </c>
      <c r="P12" s="237">
        <f t="shared" si="7"/>
        <v>-2845</v>
      </c>
      <c r="Q12" s="237">
        <f t="shared" si="8"/>
        <v>0.18279950470008369</v>
      </c>
      <c r="R12" s="254">
        <f t="array" ref="R12">_xll.ACC(DB,_xll.ArrayDPT($AA12:$AE12),_xll.ArrayCOA($AG12:$AZ12),YR-1,PRD,_xll.ArrayDIM($BB12:$BE12))</f>
        <v>26983.32</v>
      </c>
      <c r="S12" s="237">
        <f t="shared" si="9"/>
        <v>1.5738498881143828</v>
      </c>
      <c r="T12" s="295"/>
      <c r="U12" s="295"/>
      <c r="V12" s="295"/>
      <c r="W12" s="295"/>
      <c r="X12" s="295"/>
      <c r="Y12" s="295"/>
      <c r="Z12" s="295"/>
      <c r="AA12" s="95" t="s">
        <v>932</v>
      </c>
      <c r="AB12" s="96" t="s">
        <v>933</v>
      </c>
      <c r="AC12" s="96" t="s">
        <v>938</v>
      </c>
      <c r="AD12" s="96" t="s">
        <v>936</v>
      </c>
      <c r="AE12" s="96"/>
      <c r="AF12" s="97"/>
      <c r="AG12" s="95" t="s">
        <v>647</v>
      </c>
      <c r="AH12" s="96" t="s">
        <v>647</v>
      </c>
      <c r="AI12" s="95"/>
      <c r="AJ12" s="96"/>
      <c r="AK12" s="95"/>
      <c r="AL12" s="96"/>
      <c r="AM12" s="95"/>
      <c r="AN12" s="98"/>
      <c r="AO12" s="96"/>
      <c r="AP12" s="96"/>
      <c r="AQ12" s="95"/>
      <c r="AR12" s="98"/>
      <c r="AS12" s="96"/>
      <c r="AT12" s="96"/>
      <c r="AU12" s="95"/>
      <c r="AV12" s="98"/>
      <c r="AW12" s="96"/>
      <c r="AX12" s="96"/>
      <c r="AY12" s="95"/>
      <c r="AZ12" s="98"/>
      <c r="BA12" s="99"/>
      <c r="BB12" s="95"/>
      <c r="BC12" s="96"/>
      <c r="BD12" s="96"/>
      <c r="BE12" s="98"/>
    </row>
    <row r="13" spans="1:57" ht="12" customHeight="1">
      <c r="A13" s="254">
        <f t="array" ref="A13">_xll.AC(DB,_xll.ArrayDPT($AA13:$AE13),_xll.ArrayCOA($AG13:$AZ13),YR-1,PRD,_xll.ArrayDIM($BB13:$BE13))</f>
        <v>0</v>
      </c>
      <c r="B13" s="237">
        <f t="shared" si="0"/>
        <v>0</v>
      </c>
      <c r="C13" s="237">
        <f t="shared" si="1"/>
        <v>0</v>
      </c>
      <c r="D13" s="237">
        <f t="shared" si="2"/>
        <v>0</v>
      </c>
      <c r="E13" s="254">
        <f t="array" ref="E13">_xll.BC(DB,_xll.ArrayDPT($AA13:$AE13),_xll.ArrayCOA($AG13:$AZ13),YR,PRD,RV,_xll.ArrayDIM($BB13:$BE13))</f>
        <v>0</v>
      </c>
      <c r="F13" s="237">
        <f t="shared" si="3"/>
        <v>0</v>
      </c>
      <c r="G13" s="254">
        <f t="array" ref="G13">_xll.AC(DB,_xll.ArrayDPT($AA13:$AE13),_xll.ArrayCOA($AG13:$AZ13),YR,PRD,_xll.ArrayDIM($BB13:$BE13))</f>
        <v>0</v>
      </c>
      <c r="H13" s="237">
        <f t="shared" si="4"/>
        <v>0</v>
      </c>
      <c r="I13" s="237"/>
      <c r="J13" s="328" t="s">
        <v>941</v>
      </c>
      <c r="K13" s="237"/>
      <c r="L13" s="254">
        <f t="array" ref="L13">_xll.ACC(DB,_xll.ArrayDPT($AA13:$AE13),_xll.ArrayCOA($AG13:$AZ13),YR,PRD,_xll.ArrayDIM($BB13:$BE13))</f>
        <v>0</v>
      </c>
      <c r="M13" s="237">
        <f t="shared" si="5"/>
        <v>0</v>
      </c>
      <c r="N13" s="254">
        <f t="array" ref="N13">_xll.BCC(DB,_xll.ArrayDPT($AA13:$AE13),_xll.ArrayCOA($AG13:$AZ13),YR,PRD,RV,_xll.ArrayDIM($BB13:$BE13))</f>
        <v>0</v>
      </c>
      <c r="O13" s="237">
        <f t="shared" si="6"/>
        <v>0</v>
      </c>
      <c r="P13" s="237">
        <f t="shared" si="7"/>
        <v>0</v>
      </c>
      <c r="Q13" s="237">
        <f t="shared" si="8"/>
        <v>0</v>
      </c>
      <c r="R13" s="254">
        <f t="array" ref="R13">_xll.ACC(DB,_xll.ArrayDPT($AA13:$AE13),_xll.ArrayCOA($AG13:$AZ13),YR-1,PRD,_xll.ArrayDIM($BB13:$BE13))</f>
        <v>0</v>
      </c>
      <c r="S13" s="237">
        <f t="shared" si="9"/>
        <v>0</v>
      </c>
      <c r="T13" s="295"/>
      <c r="U13" s="295"/>
      <c r="V13" s="295"/>
      <c r="W13" s="295"/>
      <c r="X13" s="295"/>
      <c r="Y13" s="295"/>
      <c r="Z13" s="295"/>
      <c r="AA13" s="95" t="s">
        <v>936</v>
      </c>
      <c r="AB13" s="96"/>
      <c r="AC13" s="96"/>
      <c r="AD13" s="96"/>
      <c r="AE13" s="96"/>
      <c r="AF13" s="97"/>
      <c r="AG13" s="95" t="s">
        <v>934</v>
      </c>
      <c r="AH13" s="96" t="s">
        <v>934</v>
      </c>
      <c r="AI13" s="95"/>
      <c r="AJ13" s="96"/>
      <c r="AK13" s="95"/>
      <c r="AL13" s="96"/>
      <c r="AM13" s="95"/>
      <c r="AN13" s="98"/>
      <c r="AO13" s="96"/>
      <c r="AP13" s="96"/>
      <c r="AQ13" s="95"/>
      <c r="AR13" s="98"/>
      <c r="AS13" s="96"/>
      <c r="AT13" s="96"/>
      <c r="AU13" s="95"/>
      <c r="AV13" s="98"/>
      <c r="AW13" s="96"/>
      <c r="AX13" s="96"/>
      <c r="AY13" s="95"/>
      <c r="AZ13" s="98"/>
      <c r="BA13" s="99"/>
      <c r="BB13" s="95"/>
      <c r="BC13" s="96"/>
      <c r="BD13" s="96"/>
      <c r="BE13" s="98"/>
    </row>
    <row r="14" spans="1:57" ht="12" customHeight="1">
      <c r="A14" s="254">
        <f t="array" ref="A14">_xll.AC(DB,_xll.ArrayDPT($AA14:$AE14),_xll.ArrayCOA($AG14:$AZ14),YR-1,PRD,_xll.ArrayDIM($BB14:$BE14))</f>
        <v>0</v>
      </c>
      <c r="B14" s="237">
        <f t="shared" si="0"/>
        <v>0</v>
      </c>
      <c r="C14" s="237">
        <f t="shared" si="1"/>
        <v>0</v>
      </c>
      <c r="D14" s="237">
        <f t="shared" si="2"/>
        <v>0</v>
      </c>
      <c r="E14" s="254">
        <f t="array" ref="E14">_xll.BC(DB,_xll.ArrayDPT($AA14:$AE14),_xll.ArrayCOA($AG14:$AZ14),YR,PRD,RV,_xll.ArrayDIM($BB14:$BE14))</f>
        <v>0</v>
      </c>
      <c r="F14" s="237">
        <f t="shared" si="3"/>
        <v>0</v>
      </c>
      <c r="G14" s="254">
        <f t="array" ref="G14">_xll.AC(DB,_xll.ArrayDPT($AA14:$AE14),_xll.ArrayCOA($AG14:$AZ14),YR,PRD,_xll.ArrayDIM($BB14:$BE14))</f>
        <v>0</v>
      </c>
      <c r="H14" s="237">
        <f t="shared" si="4"/>
        <v>0</v>
      </c>
      <c r="I14" s="237"/>
      <c r="J14" s="328" t="s">
        <v>942</v>
      </c>
      <c r="K14" s="237"/>
      <c r="L14" s="254">
        <f t="array" ref="L14">_xll.ACC(DB,_xll.ArrayDPT($AA14:$AE14),_xll.ArrayCOA($AG14:$AZ14),YR,PRD,_xll.ArrayDIM($BB14:$BE14))</f>
        <v>0</v>
      </c>
      <c r="M14" s="237">
        <f t="shared" si="5"/>
        <v>0</v>
      </c>
      <c r="N14" s="254">
        <f t="array" ref="N14">_xll.BCC(DB,_xll.ArrayDPT($AA14:$AE14),_xll.ArrayCOA($AG14:$AZ14),YR,PRD,RV,_xll.ArrayDIM($BB14:$BE14))</f>
        <v>0</v>
      </c>
      <c r="O14" s="237">
        <f t="shared" si="6"/>
        <v>0</v>
      </c>
      <c r="P14" s="237">
        <f t="shared" si="7"/>
        <v>0</v>
      </c>
      <c r="Q14" s="237">
        <f t="shared" si="8"/>
        <v>0</v>
      </c>
      <c r="R14" s="254">
        <f t="array" ref="R14">_xll.ACC(DB,_xll.ArrayDPT($AA14:$AE14),_xll.ArrayCOA($AG14:$AZ14),YR-1,PRD,_xll.ArrayDIM($BB14:$BE14))</f>
        <v>0</v>
      </c>
      <c r="S14" s="237">
        <f t="shared" si="9"/>
        <v>0</v>
      </c>
      <c r="T14" s="295"/>
      <c r="U14" s="295"/>
      <c r="V14" s="295"/>
      <c r="W14" s="295"/>
      <c r="X14" s="295"/>
      <c r="Y14" s="295"/>
      <c r="Z14" s="295"/>
      <c r="AA14" s="95"/>
      <c r="AB14" s="96"/>
      <c r="AC14" s="96"/>
      <c r="AD14" s="96"/>
      <c r="AE14" s="96"/>
      <c r="AF14" s="97"/>
      <c r="AG14" s="95"/>
      <c r="AH14" s="96"/>
      <c r="AI14" s="95"/>
      <c r="AJ14" s="96"/>
      <c r="AK14" s="95"/>
      <c r="AL14" s="96"/>
      <c r="AM14" s="95"/>
      <c r="AN14" s="98"/>
      <c r="AO14" s="96"/>
      <c r="AP14" s="96"/>
      <c r="AQ14" s="95"/>
      <c r="AR14" s="98"/>
      <c r="AS14" s="96"/>
      <c r="AT14" s="96"/>
      <c r="AU14" s="95"/>
      <c r="AV14" s="98"/>
      <c r="AW14" s="96"/>
      <c r="AX14" s="96"/>
      <c r="AY14" s="95"/>
      <c r="AZ14" s="98"/>
      <c r="BA14" s="99"/>
      <c r="BB14" s="95"/>
      <c r="BC14" s="96"/>
      <c r="BD14" s="96"/>
      <c r="BE14" s="98"/>
    </row>
    <row r="15" spans="1:57" ht="12" customHeight="1">
      <c r="A15" s="254">
        <f t="array" ref="A15">_xll.AC(DB,_xll.ArrayDPT($AA15:$AE15),_xll.ArrayCOA($AG15:$AZ15),YR-1,PRD,_xll.ArrayDIM($BB15:$BE15))</f>
        <v>0</v>
      </c>
      <c r="B15" s="237">
        <f t="shared" si="0"/>
        <v>0</v>
      </c>
      <c r="C15" s="237">
        <f t="shared" si="1"/>
        <v>0</v>
      </c>
      <c r="D15" s="237">
        <f t="shared" si="2"/>
        <v>0</v>
      </c>
      <c r="E15" s="254">
        <f t="array" ref="E15">_xll.BC(DB,_xll.ArrayDPT($AA15:$AE15),_xll.ArrayCOA($AG15:$AZ15),YR,PRD,RV,_xll.ArrayDIM($BB15:$BE15))</f>
        <v>0</v>
      </c>
      <c r="F15" s="237">
        <f t="shared" si="3"/>
        <v>0</v>
      </c>
      <c r="G15" s="254">
        <f t="array" ref="G15">_xll.AC(DB,_xll.ArrayDPT($AA15:$AE15),_xll.ArrayCOA($AG15:$AZ15),YR,PRD,_xll.ArrayDIM($BB15:$BE15))</f>
        <v>0</v>
      </c>
      <c r="H15" s="237">
        <f t="shared" si="4"/>
        <v>0</v>
      </c>
      <c r="I15" s="237"/>
      <c r="J15" s="328" t="s">
        <v>650</v>
      </c>
      <c r="K15" s="237"/>
      <c r="L15" s="254">
        <f t="array" ref="L15">_xll.ACC(DB,_xll.ArrayDPT($AA15:$AE15),_xll.ArrayCOA($AG15:$AZ15),YR,PRD,_xll.ArrayDIM($BB15:$BE15))</f>
        <v>0</v>
      </c>
      <c r="M15" s="237">
        <f t="shared" si="5"/>
        <v>0</v>
      </c>
      <c r="N15" s="254">
        <f t="array" ref="N15">_xll.BCC(DB,_xll.ArrayDPT($AA15:$AE15),_xll.ArrayCOA($AG15:$AZ15),YR,PRD,RV,_xll.ArrayDIM($BB15:$BE15))</f>
        <v>0</v>
      </c>
      <c r="O15" s="237">
        <f t="shared" si="6"/>
        <v>0</v>
      </c>
      <c r="P15" s="237">
        <f t="shared" si="7"/>
        <v>0</v>
      </c>
      <c r="Q15" s="237">
        <f t="shared" si="8"/>
        <v>0</v>
      </c>
      <c r="R15" s="254">
        <f t="array" ref="R15">_xll.ACC(DB,_xll.ArrayDPT($AA15:$AE15),_xll.ArrayCOA($AG15:$AZ15),YR-1,PRD,_xll.ArrayDIM($BB15:$BE15))</f>
        <v>0</v>
      </c>
      <c r="S15" s="237">
        <f t="shared" si="9"/>
        <v>0</v>
      </c>
      <c r="T15" s="295"/>
      <c r="U15" s="295"/>
      <c r="V15" s="295"/>
      <c r="W15" s="295"/>
      <c r="X15" s="295"/>
      <c r="Y15" s="295"/>
      <c r="Z15" s="295"/>
      <c r="AA15" s="95" t="s">
        <v>932</v>
      </c>
      <c r="AB15" s="96" t="s">
        <v>938</v>
      </c>
      <c r="AC15" s="96"/>
      <c r="AD15" s="96"/>
      <c r="AE15" s="96"/>
      <c r="AF15" s="97"/>
      <c r="AG15" s="95" t="s">
        <v>651</v>
      </c>
      <c r="AH15" s="96" t="s">
        <v>651</v>
      </c>
      <c r="AI15" s="95"/>
      <c r="AJ15" s="96"/>
      <c r="AK15" s="95"/>
      <c r="AL15" s="96"/>
      <c r="AM15" s="95"/>
      <c r="AN15" s="98"/>
      <c r="AO15" s="96"/>
      <c r="AP15" s="96"/>
      <c r="AQ15" s="95"/>
      <c r="AR15" s="98"/>
      <c r="AS15" s="96"/>
      <c r="AT15" s="96"/>
      <c r="AU15" s="95"/>
      <c r="AV15" s="98"/>
      <c r="AW15" s="96"/>
      <c r="AX15" s="96"/>
      <c r="AY15" s="95"/>
      <c r="AZ15" s="98"/>
      <c r="BA15" s="99"/>
      <c r="BB15" s="95"/>
      <c r="BC15" s="96"/>
      <c r="BD15" s="96"/>
      <c r="BE15" s="98"/>
    </row>
    <row r="16" spans="1:57" ht="12" customHeight="1">
      <c r="A16" s="254">
        <f t="array" ref="A16">_xll.AC(DB,_xll.ArrayDPT($AA16:$AE16),_xll.ArrayCOA($AG16:$AZ16),YR-1,PRD,_xll.ArrayDIM($BB16:$BE16))</f>
        <v>0</v>
      </c>
      <c r="B16" s="237">
        <f t="shared" si="0"/>
        <v>0</v>
      </c>
      <c r="C16" s="237">
        <f t="shared" si="1"/>
        <v>0</v>
      </c>
      <c r="D16" s="237">
        <f t="shared" si="2"/>
        <v>0</v>
      </c>
      <c r="E16" s="254">
        <f t="array" ref="E16">_xll.BC(DB,_xll.ArrayDPT($AA16:$AE16),_xll.ArrayCOA($AG16:$AZ16),YR,PRD,RV,_xll.ArrayDIM($BB16:$BE16))</f>
        <v>0</v>
      </c>
      <c r="F16" s="237">
        <f t="shared" si="3"/>
        <v>0</v>
      </c>
      <c r="G16" s="254">
        <f t="array" ref="G16">_xll.AC(DB,_xll.ArrayDPT($AA16:$AE16),_xll.ArrayCOA($AG16:$AZ16),YR,PRD,_xll.ArrayDIM($BB16:$BE16))</f>
        <v>0</v>
      </c>
      <c r="H16" s="237">
        <f t="shared" si="4"/>
        <v>0</v>
      </c>
      <c r="I16" s="237"/>
      <c r="J16" s="328" t="s">
        <v>943</v>
      </c>
      <c r="K16" s="237"/>
      <c r="L16" s="254">
        <f t="array" ref="L16">_xll.ACC(DB,_xll.ArrayDPT($AA16:$AE16),_xll.ArrayCOA($AG16:$AZ16),YR,PRD,_xll.ArrayDIM($BB16:$BE16))</f>
        <v>0</v>
      </c>
      <c r="M16" s="237">
        <f t="shared" si="5"/>
        <v>0</v>
      </c>
      <c r="N16" s="254">
        <f t="array" ref="N16">_xll.BCC(DB,_xll.ArrayDPT($AA16:$AE16),_xll.ArrayCOA($AG16:$AZ16),YR,PRD,RV,_xll.ArrayDIM($BB16:$BE16))</f>
        <v>0</v>
      </c>
      <c r="O16" s="237">
        <f t="shared" si="6"/>
        <v>0</v>
      </c>
      <c r="P16" s="237">
        <f t="shared" si="7"/>
        <v>0</v>
      </c>
      <c r="Q16" s="237">
        <f t="shared" si="8"/>
        <v>0</v>
      </c>
      <c r="R16" s="254">
        <f t="array" ref="R16">_xll.ACC(DB,_xll.ArrayDPT($AA16:$AE16),_xll.ArrayCOA($AG16:$AZ16),YR-1,PRD,_xll.ArrayDIM($BB16:$BE16))</f>
        <v>0</v>
      </c>
      <c r="S16" s="237">
        <f t="shared" si="9"/>
        <v>0</v>
      </c>
      <c r="T16" s="295"/>
      <c r="U16" s="295"/>
      <c r="V16" s="295"/>
      <c r="W16" s="295"/>
      <c r="X16" s="295"/>
      <c r="Y16" s="295"/>
      <c r="Z16" s="295"/>
      <c r="AA16" s="95" t="s">
        <v>932</v>
      </c>
      <c r="AB16" s="96"/>
      <c r="AC16" s="96"/>
      <c r="AD16" s="96"/>
      <c r="AE16" s="96"/>
      <c r="AF16" s="97"/>
      <c r="AG16" s="95" t="s">
        <v>944</v>
      </c>
      <c r="AH16" s="96" t="s">
        <v>944</v>
      </c>
      <c r="AI16" s="95"/>
      <c r="AJ16" s="96"/>
      <c r="AK16" s="95"/>
      <c r="AL16" s="96"/>
      <c r="AM16" s="95"/>
      <c r="AN16" s="98"/>
      <c r="AO16" s="96"/>
      <c r="AP16" s="96"/>
      <c r="AQ16" s="95"/>
      <c r="AR16" s="98"/>
      <c r="AS16" s="96"/>
      <c r="AT16" s="96"/>
      <c r="AU16" s="95"/>
      <c r="AV16" s="98"/>
      <c r="AW16" s="96"/>
      <c r="AX16" s="96"/>
      <c r="AY16" s="95"/>
      <c r="AZ16" s="98"/>
      <c r="BA16" s="99"/>
      <c r="BB16" s="95"/>
      <c r="BC16" s="96"/>
      <c r="BD16" s="96"/>
      <c r="BE16" s="98"/>
    </row>
    <row r="17" spans="1:57" ht="12" customHeight="1">
      <c r="A17" s="254">
        <f t="array" ref="A17">_xll.AC(DB,_xll.ArrayDPT($AA17:$AE17),_xll.ArrayCOA($AG17:$AZ17),YR-1,PRD,_xll.ArrayDIM($BB17:$BE17))</f>
        <v>18665.759999999998</v>
      </c>
      <c r="B17" s="237">
        <f t="shared" si="0"/>
        <v>1.088713482535504</v>
      </c>
      <c r="C17" s="237">
        <f t="shared" si="1"/>
        <v>0</v>
      </c>
      <c r="D17" s="237">
        <f t="shared" si="2"/>
        <v>0</v>
      </c>
      <c r="E17" s="254">
        <f t="array" ref="E17">_xll.BC(DB,_xll.ArrayDPT($AA17:$AE17),_xll.ArrayCOA($AG17:$AZ17),YR,PRD,RV,_xll.ArrayDIM($BB17:$BE17))</f>
        <v>0</v>
      </c>
      <c r="F17" s="237">
        <f t="shared" si="3"/>
        <v>0</v>
      </c>
      <c r="G17" s="254">
        <f t="array" ref="G17">_xll.AC(DB,_xll.ArrayDPT($AA17:$AE17),_xll.ArrayCOA($AG17:$AZ17),YR,PRD,_xll.ArrayDIM($BB17:$BE17))</f>
        <v>0</v>
      </c>
      <c r="H17" s="237">
        <f t="shared" si="4"/>
        <v>0</v>
      </c>
      <c r="I17" s="237"/>
      <c r="J17" s="328" t="s">
        <v>945</v>
      </c>
      <c r="K17" s="237"/>
      <c r="L17" s="254">
        <f t="array" ref="L17">_xll.ACC(DB,_xll.ArrayDPT($AA17:$AE17),_xll.ArrayCOA($AG17:$AZ17),YR,PRD,_xll.ArrayDIM($BB17:$BE17))</f>
        <v>0</v>
      </c>
      <c r="M17" s="237">
        <f t="shared" si="5"/>
        <v>0</v>
      </c>
      <c r="N17" s="254">
        <f t="array" ref="N17">_xll.BCC(DB,_xll.ArrayDPT($AA17:$AE17),_xll.ArrayCOA($AG17:$AZ17),YR,PRD,RV,_xll.ArrayDIM($BB17:$BE17))</f>
        <v>0</v>
      </c>
      <c r="O17" s="237">
        <f t="shared" si="6"/>
        <v>0</v>
      </c>
      <c r="P17" s="237">
        <f t="shared" si="7"/>
        <v>0</v>
      </c>
      <c r="Q17" s="237">
        <f t="shared" si="8"/>
        <v>0</v>
      </c>
      <c r="R17" s="254">
        <f t="array" ref="R17">_xll.ACC(DB,_xll.ArrayDPT($AA17:$AE17),_xll.ArrayCOA($AG17:$AZ17),YR-1,PRD,_xll.ArrayDIM($BB17:$BE17))</f>
        <v>18665.759999999998</v>
      </c>
      <c r="S17" s="237">
        <f t="shared" si="9"/>
        <v>1.088713482535504</v>
      </c>
      <c r="T17" s="295"/>
      <c r="U17" s="295"/>
      <c r="V17" s="295"/>
      <c r="W17" s="295"/>
      <c r="X17" s="295"/>
      <c r="Y17" s="295"/>
      <c r="Z17" s="295"/>
      <c r="AA17" s="95" t="s">
        <v>932</v>
      </c>
      <c r="AB17" s="96"/>
      <c r="AC17" s="96"/>
      <c r="AD17" s="96"/>
      <c r="AE17" s="96"/>
      <c r="AF17" s="97"/>
      <c r="AG17" s="95" t="s">
        <v>946</v>
      </c>
      <c r="AH17" s="96" t="s">
        <v>946</v>
      </c>
      <c r="AI17" s="95"/>
      <c r="AJ17" s="96"/>
      <c r="AK17" s="95"/>
      <c r="AL17" s="96"/>
      <c r="AM17" s="95"/>
      <c r="AN17" s="98"/>
      <c r="AO17" s="96"/>
      <c r="AP17" s="96"/>
      <c r="AQ17" s="95"/>
      <c r="AR17" s="98"/>
      <c r="AS17" s="96"/>
      <c r="AT17" s="96"/>
      <c r="AU17" s="95"/>
      <c r="AV17" s="98"/>
      <c r="AW17" s="96"/>
      <c r="AX17" s="96"/>
      <c r="AY17" s="95"/>
      <c r="AZ17" s="98"/>
      <c r="BA17" s="99"/>
      <c r="BB17" s="95"/>
      <c r="BC17" s="96"/>
      <c r="BD17" s="96"/>
      <c r="BE17" s="98"/>
    </row>
    <row r="18" spans="1:57" ht="12" customHeight="1">
      <c r="A18" s="254">
        <f t="array" ref="A18">_xll.AC(DB,_xll.ArrayDPT($AA18:$AE18),_xll.ArrayCOA($AG18:$AZ18),YR-1,PRD,_xll.ArrayDIM($BB18:$BE18))</f>
        <v>41477.4</v>
      </c>
      <c r="B18" s="237">
        <f t="shared" si="0"/>
        <v>2.4192427525328797</v>
      </c>
      <c r="C18" s="237">
        <f t="shared" si="1"/>
        <v>-77634.509999999995</v>
      </c>
      <c r="D18" s="237">
        <f t="shared" si="2"/>
        <v>4.9882425221911042</v>
      </c>
      <c r="E18" s="254">
        <f t="array" ref="E18">_xll.BC(DB,_xll.ArrayDPT($AA18:$AE18),_xll.ArrayCOA($AG18:$AZ18),YR,PRD,RV,_xll.ArrayDIM($BB18:$BE18))</f>
        <v>0</v>
      </c>
      <c r="F18" s="237">
        <f t="shared" si="3"/>
        <v>0</v>
      </c>
      <c r="G18" s="254">
        <f t="array" ref="G18">_xll.AC(DB,_xll.ArrayDPT($AA18:$AE18),_xll.ArrayCOA($AG18:$AZ18),YR,PRD,_xll.ArrayDIM($BB18:$BE18))</f>
        <v>77634.509999999995</v>
      </c>
      <c r="H18" s="237">
        <f t="shared" si="4"/>
        <v>4.9882425221911042</v>
      </c>
      <c r="I18" s="237"/>
      <c r="J18" s="328" t="s">
        <v>947</v>
      </c>
      <c r="K18" s="237"/>
      <c r="L18" s="254">
        <f t="array" ref="L18">_xll.ACC(DB,_xll.ArrayDPT($AA18:$AE18),_xll.ArrayCOA($AG18:$AZ18),YR,PRD,_xll.ArrayDIM($BB18:$BE18))</f>
        <v>77634.509999999995</v>
      </c>
      <c r="M18" s="237">
        <f t="shared" si="5"/>
        <v>4.9882425221911042</v>
      </c>
      <c r="N18" s="254">
        <f t="array" ref="N18">_xll.BCC(DB,_xll.ArrayDPT($AA18:$AE18),_xll.ArrayCOA($AG18:$AZ18),YR,PRD,RV,_xll.ArrayDIM($BB18:$BE18))</f>
        <v>0</v>
      </c>
      <c r="O18" s="237">
        <f t="shared" si="6"/>
        <v>0</v>
      </c>
      <c r="P18" s="237">
        <f t="shared" si="7"/>
        <v>-77634.509999999995</v>
      </c>
      <c r="Q18" s="237">
        <f t="shared" si="8"/>
        <v>4.9882425221911042</v>
      </c>
      <c r="R18" s="254">
        <f t="array" ref="R18">_xll.ACC(DB,_xll.ArrayDPT($AA18:$AE18),_xll.ArrayCOA($AG18:$AZ18),YR-1,PRD,_xll.ArrayDIM($BB18:$BE18))</f>
        <v>41477.4</v>
      </c>
      <c r="S18" s="237">
        <f t="shared" si="9"/>
        <v>2.4192427525328797</v>
      </c>
      <c r="T18" s="295"/>
      <c r="U18" s="295"/>
      <c r="V18" s="295"/>
      <c r="W18" s="295"/>
      <c r="X18" s="295"/>
      <c r="Y18" s="295"/>
      <c r="Z18" s="295"/>
      <c r="AA18" s="95" t="s">
        <v>932</v>
      </c>
      <c r="AB18" s="96" t="s">
        <v>936</v>
      </c>
      <c r="AC18" s="96" t="s">
        <v>938</v>
      </c>
      <c r="AD18" s="96"/>
      <c r="AE18" s="96"/>
      <c r="AF18" s="97"/>
      <c r="AG18" s="95" t="s">
        <v>579</v>
      </c>
      <c r="AH18" s="96" t="s">
        <v>579</v>
      </c>
      <c r="AI18" s="95"/>
      <c r="AJ18" s="96"/>
      <c r="AK18" s="95"/>
      <c r="AL18" s="96"/>
      <c r="AM18" s="95"/>
      <c r="AN18" s="98"/>
      <c r="AO18" s="96"/>
      <c r="AP18" s="96"/>
      <c r="AQ18" s="95"/>
      <c r="AR18" s="98"/>
      <c r="AS18" s="96"/>
      <c r="AT18" s="96"/>
      <c r="AU18" s="95"/>
      <c r="AV18" s="98"/>
      <c r="AW18" s="96"/>
      <c r="AX18" s="96"/>
      <c r="AY18" s="95"/>
      <c r="AZ18" s="98"/>
      <c r="BA18" s="99"/>
      <c r="BB18" s="95"/>
      <c r="BC18" s="96"/>
      <c r="BD18" s="96"/>
      <c r="BE18" s="98"/>
    </row>
    <row r="19" spans="1:57" ht="12" customHeight="1">
      <c r="A19" s="254">
        <f t="array" ref="A19">_xll.AC(DB,_xll.ArrayDPT($AA19:$AE19),_xll.ArrayCOA($AG19:$AZ19),YR-1,PRD,_xll.ArrayDIM($BB19:$BE19))</f>
        <v>0</v>
      </c>
      <c r="B19" s="237">
        <f t="shared" si="0"/>
        <v>0</v>
      </c>
      <c r="C19" s="237">
        <f t="shared" si="1"/>
        <v>-3671.46</v>
      </c>
      <c r="D19" s="237">
        <f t="shared" si="2"/>
        <v>0.23590195765418953</v>
      </c>
      <c r="E19" s="254">
        <f t="array" ref="E19">_xll.BC(DB,_xll.ArrayDPT($AA19:$AE19),_xll.ArrayCOA($AG19:$AZ19),YR,PRD,RV,_xll.ArrayDIM($BB19:$BE19))</f>
        <v>0</v>
      </c>
      <c r="F19" s="237">
        <f t="shared" si="3"/>
        <v>0</v>
      </c>
      <c r="G19" s="254">
        <f t="array" ref="G19">_xll.AC(DB,_xll.ArrayDPT($AA19:$AE19),_xll.ArrayCOA($AG19:$AZ19),YR,PRD,_xll.ArrayDIM($BB19:$BE19))</f>
        <v>3671.46</v>
      </c>
      <c r="H19" s="237">
        <f t="shared" si="4"/>
        <v>0.23590195765418953</v>
      </c>
      <c r="I19" s="237"/>
      <c r="J19" s="328" t="s">
        <v>778</v>
      </c>
      <c r="K19" s="237"/>
      <c r="L19" s="254">
        <f t="array" ref="L19">_xll.ACC(DB,_xll.ArrayDPT($AA19:$AE19),_xll.ArrayCOA($AG19:$AZ19),YR,PRD,_xll.ArrayDIM($BB19:$BE19))</f>
        <v>3671.46</v>
      </c>
      <c r="M19" s="237">
        <f t="shared" si="5"/>
        <v>0.23590195765418953</v>
      </c>
      <c r="N19" s="254">
        <f t="array" ref="N19">_xll.BCC(DB,_xll.ArrayDPT($AA19:$AE19),_xll.ArrayCOA($AG19:$AZ19),YR,PRD,RV,_xll.ArrayDIM($BB19:$BE19))</f>
        <v>0</v>
      </c>
      <c r="O19" s="237">
        <f t="shared" si="6"/>
        <v>0</v>
      </c>
      <c r="P19" s="237">
        <f t="shared" si="7"/>
        <v>-3671.46</v>
      </c>
      <c r="Q19" s="237">
        <f t="shared" si="8"/>
        <v>0.23590195765418953</v>
      </c>
      <c r="R19" s="254">
        <f t="array" ref="R19">_xll.ACC(DB,_xll.ArrayDPT($AA19:$AE19),_xll.ArrayCOA($AG19:$AZ19),YR-1,PRD,_xll.ArrayDIM($BB19:$BE19))</f>
        <v>0</v>
      </c>
      <c r="S19" s="237">
        <f t="shared" si="9"/>
        <v>0</v>
      </c>
      <c r="T19" s="295"/>
      <c r="U19" s="295"/>
      <c r="V19" s="295"/>
      <c r="W19" s="295"/>
      <c r="X19" s="295"/>
      <c r="Y19" s="295"/>
      <c r="Z19" s="295"/>
      <c r="AA19" s="95" t="s">
        <v>936</v>
      </c>
      <c r="AB19" s="96"/>
      <c r="AC19" s="96"/>
      <c r="AD19" s="96"/>
      <c r="AE19" s="96"/>
      <c r="AF19" s="97"/>
      <c r="AG19" s="95" t="s">
        <v>779</v>
      </c>
      <c r="AH19" s="96" t="s">
        <v>779</v>
      </c>
      <c r="AI19" s="95"/>
      <c r="AJ19" s="96"/>
      <c r="AK19" s="95"/>
      <c r="AL19" s="96"/>
      <c r="AM19" s="95"/>
      <c r="AN19" s="98"/>
      <c r="AO19" s="96"/>
      <c r="AP19" s="96"/>
      <c r="AQ19" s="95"/>
      <c r="AR19" s="98"/>
      <c r="AS19" s="96"/>
      <c r="AT19" s="96"/>
      <c r="AU19" s="95"/>
      <c r="AV19" s="98"/>
      <c r="AW19" s="96"/>
      <c r="AX19" s="96"/>
      <c r="AY19" s="95"/>
      <c r="AZ19" s="98"/>
      <c r="BA19" s="99"/>
      <c r="BB19" s="95"/>
      <c r="BC19" s="96"/>
      <c r="BD19" s="96"/>
      <c r="BE19" s="98"/>
    </row>
    <row r="20" spans="1:57" ht="6" customHeight="1">
      <c r="A20" s="330"/>
      <c r="B20" s="329"/>
      <c r="C20" s="392"/>
      <c r="D20" s="329"/>
      <c r="E20" s="392"/>
      <c r="F20" s="329"/>
      <c r="G20" s="392"/>
      <c r="H20" s="329"/>
      <c r="I20" s="398"/>
      <c r="J20" s="392"/>
      <c r="K20" s="399"/>
      <c r="L20" s="393"/>
      <c r="M20" s="333"/>
      <c r="N20" s="393"/>
      <c r="O20" s="333"/>
      <c r="P20" s="393"/>
      <c r="Q20" s="333"/>
      <c r="R20" s="393"/>
      <c r="S20" s="341"/>
      <c r="T20" s="328"/>
      <c r="U20" s="328"/>
      <c r="V20" s="328"/>
      <c r="W20" s="328"/>
      <c r="X20" s="328"/>
      <c r="Y20" s="328"/>
      <c r="Z20" s="328"/>
      <c r="AA20" s="95"/>
      <c r="AB20" s="96"/>
      <c r="AC20" s="96"/>
      <c r="AD20" s="96"/>
      <c r="AE20" s="96"/>
      <c r="AF20" s="97"/>
      <c r="AG20" s="95"/>
      <c r="AH20" s="96"/>
      <c r="AI20" s="95"/>
      <c r="AJ20" s="96"/>
      <c r="AK20" s="95"/>
      <c r="AL20" s="96"/>
      <c r="AM20" s="95"/>
      <c r="AN20" s="98"/>
      <c r="AO20" s="96"/>
      <c r="AP20" s="96"/>
      <c r="AQ20" s="95"/>
      <c r="AR20" s="98"/>
      <c r="AS20" s="96"/>
      <c r="AT20" s="96"/>
      <c r="AU20" s="95"/>
      <c r="AV20" s="98"/>
      <c r="AW20" s="96"/>
      <c r="AX20" s="96"/>
      <c r="AY20" s="95"/>
      <c r="AZ20" s="98"/>
      <c r="BA20" s="99"/>
      <c r="BB20" s="95"/>
      <c r="BC20" s="96"/>
      <c r="BD20" s="96"/>
      <c r="BE20" s="98"/>
    </row>
    <row r="21" spans="1:57" ht="12" customHeight="1">
      <c r="A21" s="394">
        <f>SUM(A8:A19)</f>
        <v>820126.48</v>
      </c>
      <c r="B21" s="338">
        <f>IF(A21=0,0,(A21*100)/A$66)</f>
        <v>47.835328224534365</v>
      </c>
      <c r="C21" s="395">
        <f>SUM(C8:C19)</f>
        <v>-434550.97000000003</v>
      </c>
      <c r="D21" s="338">
        <f>IF(C21=0,0,(C21*100)/C$66)</f>
        <v>27.921160661842151</v>
      </c>
      <c r="E21" s="395">
        <f>SUM(E8:E19)</f>
        <v>0</v>
      </c>
      <c r="F21" s="338">
        <f>IF(E21=0,0,(E21*100)/E$66)</f>
        <v>0</v>
      </c>
      <c r="G21" s="395">
        <f>SUM(G8:G19)</f>
        <v>434550.97000000003</v>
      </c>
      <c r="H21" s="338">
        <f>IF(G21=0,0,(G21*100)/G$66)</f>
        <v>27.921160661842151</v>
      </c>
      <c r="I21" s="394"/>
      <c r="J21" s="396" t="s">
        <v>948</v>
      </c>
      <c r="K21" s="400"/>
      <c r="L21" s="395">
        <f>SUM(L8:L19)</f>
        <v>434550.97000000003</v>
      </c>
      <c r="M21" s="338">
        <f>IF(L21=0,0,(L21*100)/L$66)</f>
        <v>27.921160661842151</v>
      </c>
      <c r="N21" s="395">
        <f>SUM(N8:N19)</f>
        <v>0</v>
      </c>
      <c r="O21" s="338">
        <f>IF(N21=0,0,(N21*100)/N$66)</f>
        <v>0</v>
      </c>
      <c r="P21" s="395">
        <f>SUM(P8:P19)</f>
        <v>-434550.97000000003</v>
      </c>
      <c r="Q21" s="338">
        <f>IF(P21=0,0,(P21*100)/P$66)</f>
        <v>27.921160661842151</v>
      </c>
      <c r="R21" s="395">
        <f>SUM(R8:R19)</f>
        <v>820126.48</v>
      </c>
      <c r="S21" s="338">
        <f>IF(R21=0,0,(R21*100)/R$66)</f>
        <v>47.835328224534365</v>
      </c>
      <c r="T21" s="295"/>
      <c r="U21" s="295"/>
      <c r="V21" s="295"/>
      <c r="W21" s="295"/>
      <c r="X21" s="295"/>
      <c r="Y21" s="295"/>
      <c r="Z21" s="295"/>
      <c r="AA21" s="95"/>
      <c r="AB21" s="96"/>
      <c r="AC21" s="96"/>
      <c r="AD21" s="96"/>
      <c r="AE21" s="96"/>
      <c r="AF21" s="97"/>
      <c r="AG21" s="95"/>
      <c r="AH21" s="96"/>
      <c r="AI21" s="95"/>
      <c r="AJ21" s="96"/>
      <c r="AK21" s="95"/>
      <c r="AL21" s="96"/>
      <c r="AM21" s="95"/>
      <c r="AN21" s="98"/>
      <c r="AO21" s="96"/>
      <c r="AP21" s="96"/>
      <c r="AQ21" s="95"/>
      <c r="AR21" s="98"/>
      <c r="AS21" s="96"/>
      <c r="AT21" s="96"/>
      <c r="AU21" s="95"/>
      <c r="AV21" s="98"/>
      <c r="AW21" s="96"/>
      <c r="AX21" s="96"/>
      <c r="AY21" s="95"/>
      <c r="AZ21" s="98"/>
      <c r="BA21" s="99"/>
      <c r="BB21" s="95"/>
      <c r="BC21" s="96"/>
      <c r="BD21" s="96"/>
      <c r="BE21" s="98"/>
    </row>
    <row r="22" spans="1:57" ht="12" customHeight="1">
      <c r="A22" s="237"/>
      <c r="B22" s="237"/>
      <c r="C22" s="237"/>
      <c r="D22" s="237"/>
      <c r="E22" s="237"/>
      <c r="F22" s="237"/>
      <c r="G22" s="237"/>
      <c r="H22" s="237"/>
      <c r="I22" s="237"/>
      <c r="J22" s="340" t="s">
        <v>653</v>
      </c>
      <c r="K22" s="237"/>
      <c r="L22" s="237"/>
      <c r="M22" s="237"/>
      <c r="N22" s="237"/>
      <c r="O22" s="237"/>
      <c r="P22" s="237"/>
      <c r="Q22" s="237"/>
      <c r="R22" s="237"/>
      <c r="S22" s="237"/>
      <c r="T22" s="295"/>
      <c r="U22" s="295"/>
      <c r="V22" s="295"/>
      <c r="W22" s="295"/>
      <c r="X22" s="295"/>
      <c r="Y22" s="295"/>
      <c r="Z22" s="295"/>
      <c r="AA22" s="95"/>
      <c r="AB22" s="96"/>
      <c r="AC22" s="96"/>
      <c r="AD22" s="96"/>
      <c r="AE22" s="96"/>
      <c r="AF22" s="97"/>
      <c r="AG22" s="95"/>
      <c r="AH22" s="96"/>
      <c r="AI22" s="95"/>
      <c r="AJ22" s="96"/>
      <c r="AK22" s="95"/>
      <c r="AL22" s="96"/>
      <c r="AM22" s="95"/>
      <c r="AN22" s="98"/>
      <c r="AO22" s="96"/>
      <c r="AP22" s="96"/>
      <c r="AQ22" s="95"/>
      <c r="AR22" s="98"/>
      <c r="AS22" s="96"/>
      <c r="AT22" s="96"/>
      <c r="AU22" s="95"/>
      <c r="AV22" s="98"/>
      <c r="AW22" s="96"/>
      <c r="AX22" s="96"/>
      <c r="AY22" s="95"/>
      <c r="AZ22" s="98"/>
      <c r="BA22" s="99"/>
      <c r="BB22" s="95"/>
      <c r="BC22" s="96"/>
      <c r="BD22" s="96"/>
      <c r="BE22" s="98"/>
    </row>
    <row r="23" spans="1:57" ht="12" customHeight="1">
      <c r="A23" s="254">
        <f t="array" ref="A23">_xll.AC(DB,_xll.ArrayDPT($AA23:$AE23),_xll.ArrayCOA($AG23:$AZ23),YR-1,PRD,_xll.ArrayDIM($BB23:$BE23))</f>
        <v>0</v>
      </c>
      <c r="B23" s="237">
        <f t="shared" ref="B23:B63" si="10">IF(A23=0,0,(A23*100)/A$66)</f>
        <v>0</v>
      </c>
      <c r="C23" s="237">
        <f t="shared" ref="C23:C63" si="11">+E23-G23</f>
        <v>0</v>
      </c>
      <c r="D23" s="237">
        <f t="shared" ref="D23:D63" si="12">IF(C23=0,0,(C23*100)/C$66)</f>
        <v>0</v>
      </c>
      <c r="E23" s="254">
        <f t="array" ref="E23">_xll.BC(DB,_xll.ArrayDPT($AA23:$AE23),_xll.ArrayCOA($AG23:$AZ23),YR,PRD,RV,_xll.ArrayDIM($BB23:$BE23))</f>
        <v>0</v>
      </c>
      <c r="F23" s="237">
        <f t="shared" ref="F23:F63" si="13">IF(E23=0,0,(E23*100)/E$66)</f>
        <v>0</v>
      </c>
      <c r="G23" s="254">
        <f t="array" ref="G23">_xll.AC(DB,_xll.ArrayDPT($AA23:$AE23),_xll.ArrayCOA($AG23:$AZ23),YR,PRD,_xll.ArrayDIM($BB23:$BE23))</f>
        <v>0</v>
      </c>
      <c r="H23" s="237">
        <f t="shared" ref="H23:H63" si="14">IF(G23=0,0,(G23*100)/G$66)</f>
        <v>0</v>
      </c>
      <c r="I23" s="237"/>
      <c r="J23" s="328" t="s">
        <v>863</v>
      </c>
      <c r="K23" s="237"/>
      <c r="L23" s="254">
        <f t="array" ref="L23">_xll.ACC(DB,_xll.ArrayDPT($AA23:$AE23),_xll.ArrayCOA($AG23:$AZ23),YR,PRD,_xll.ArrayDIM($BB23:$BE23))</f>
        <v>0</v>
      </c>
      <c r="M23" s="237">
        <f t="shared" ref="M23:M63" si="15">IF(L23=0,0,(L23*100)/L$66)</f>
        <v>0</v>
      </c>
      <c r="N23" s="254">
        <f t="array" ref="N23">_xll.BCC(DB,_xll.ArrayDPT($AA23:$AE23),_xll.ArrayCOA($AG23:$AZ23),YR,PRD,RV,_xll.ArrayDIM($BB23:$BE23))</f>
        <v>0</v>
      </c>
      <c r="O23" s="237">
        <f t="shared" ref="O23:O63" si="16">IF(N23=0,0,(N23*100)/N$66)</f>
        <v>0</v>
      </c>
      <c r="P23" s="237">
        <f t="shared" ref="P23:P63" si="17">+N23-L23</f>
        <v>0</v>
      </c>
      <c r="Q23" s="237">
        <f t="shared" ref="Q23:Q63" si="18">IF(P23=0,0,(P23*100)/P$66)</f>
        <v>0</v>
      </c>
      <c r="R23" s="254">
        <f t="array" ref="R23">_xll.ACC(DB,_xll.ArrayDPT($AA23:$AE23),_xll.ArrayCOA($AG23:$AZ23),YR-1,PRD,_xll.ArrayDIM($BB23:$BE23))</f>
        <v>0</v>
      </c>
      <c r="S23" s="237">
        <f t="shared" ref="S23:S63" si="19">IF(R23=0,0,(R23*100)/R$66)</f>
        <v>0</v>
      </c>
      <c r="T23" s="295"/>
      <c r="U23" s="295"/>
      <c r="V23" s="295"/>
      <c r="W23" s="295"/>
      <c r="X23" s="295"/>
      <c r="Y23" s="295"/>
      <c r="Z23" s="295"/>
      <c r="AA23" s="95" t="s">
        <v>932</v>
      </c>
      <c r="AB23" s="96"/>
      <c r="AC23" s="96"/>
      <c r="AD23" s="96"/>
      <c r="AE23" s="96"/>
      <c r="AF23" s="97"/>
      <c r="AG23" s="95" t="s">
        <v>688</v>
      </c>
      <c r="AH23" s="96" t="s">
        <v>688</v>
      </c>
      <c r="AI23" s="95"/>
      <c r="AJ23" s="96"/>
      <c r="AK23" s="95"/>
      <c r="AL23" s="96"/>
      <c r="AM23" s="95"/>
      <c r="AN23" s="98"/>
      <c r="AO23" s="96"/>
      <c r="AP23" s="96"/>
      <c r="AQ23" s="95"/>
      <c r="AR23" s="98"/>
      <c r="AS23" s="96"/>
      <c r="AT23" s="96"/>
      <c r="AU23" s="95"/>
      <c r="AV23" s="98"/>
      <c r="AW23" s="96"/>
      <c r="AX23" s="96"/>
      <c r="AY23" s="95"/>
      <c r="AZ23" s="98"/>
      <c r="BA23" s="99"/>
      <c r="BB23" s="95"/>
      <c r="BC23" s="96"/>
      <c r="BD23" s="96"/>
      <c r="BE23" s="98"/>
    </row>
    <row r="24" spans="1:57" ht="12" customHeight="1">
      <c r="A24" s="254">
        <f t="array" ref="A24">_xll.AC(DB,_xll.ArrayDPT($AA24:$AE24),_xll.ArrayCOA($AG24:$AZ24),YR-1,PRD,_xll.ArrayDIM($BB24:$BE24))</f>
        <v>0</v>
      </c>
      <c r="B24" s="237">
        <f t="shared" si="10"/>
        <v>0</v>
      </c>
      <c r="C24" s="237">
        <f t="shared" si="11"/>
        <v>-320.31</v>
      </c>
      <c r="D24" s="237">
        <f t="shared" si="12"/>
        <v>2.0580846871874801E-2</v>
      </c>
      <c r="E24" s="254">
        <f t="array" ref="E24">_xll.BC(DB,_xll.ArrayDPT($AA24:$AE24),_xll.ArrayCOA($AG24:$AZ24),YR,PRD,RV,_xll.ArrayDIM($BB24:$BE24))</f>
        <v>0</v>
      </c>
      <c r="F24" s="237">
        <f t="shared" si="13"/>
        <v>0</v>
      </c>
      <c r="G24" s="254">
        <f t="array" ref="G24">_xll.AC(DB,_xll.ArrayDPT($AA24:$AE24),_xll.ArrayCOA($AG24:$AZ24),YR,PRD,_xll.ArrayDIM($BB24:$BE24))</f>
        <v>320.31</v>
      </c>
      <c r="H24" s="237">
        <f t="shared" si="14"/>
        <v>2.0580846871874801E-2</v>
      </c>
      <c r="I24" s="237"/>
      <c r="J24" s="328" t="s">
        <v>949</v>
      </c>
      <c r="K24" s="237"/>
      <c r="L24" s="254">
        <f t="array" ref="L24">_xll.ACC(DB,_xll.ArrayDPT($AA24:$AE24),_xll.ArrayCOA($AG24:$AZ24),YR,PRD,_xll.ArrayDIM($BB24:$BE24))</f>
        <v>320.31</v>
      </c>
      <c r="M24" s="237">
        <f t="shared" si="15"/>
        <v>2.0580846871874801E-2</v>
      </c>
      <c r="N24" s="254">
        <f t="array" ref="N24">_xll.BCC(DB,_xll.ArrayDPT($AA24:$AE24),_xll.ArrayCOA($AG24:$AZ24),YR,PRD,RV,_xll.ArrayDIM($BB24:$BE24))</f>
        <v>0</v>
      </c>
      <c r="O24" s="237">
        <f t="shared" si="16"/>
        <v>0</v>
      </c>
      <c r="P24" s="237">
        <f t="shared" si="17"/>
        <v>-320.31</v>
      </c>
      <c r="Q24" s="237">
        <f t="shared" si="18"/>
        <v>2.0580846871874801E-2</v>
      </c>
      <c r="R24" s="254">
        <f t="array" ref="R24">_xll.ACC(DB,_xll.ArrayDPT($AA24:$AE24),_xll.ArrayCOA($AG24:$AZ24),YR-1,PRD,_xll.ArrayDIM($BB24:$BE24))</f>
        <v>0</v>
      </c>
      <c r="S24" s="237">
        <f t="shared" si="19"/>
        <v>0</v>
      </c>
      <c r="T24" s="295"/>
      <c r="U24" s="295"/>
      <c r="V24" s="295"/>
      <c r="W24" s="295"/>
      <c r="X24" s="295"/>
      <c r="Y24" s="295"/>
      <c r="Z24" s="295"/>
      <c r="AA24" s="95" t="s">
        <v>936</v>
      </c>
      <c r="AB24" s="96" t="s">
        <v>932</v>
      </c>
      <c r="AC24" s="96"/>
      <c r="AD24" s="96"/>
      <c r="AE24" s="96"/>
      <c r="AF24" s="97"/>
      <c r="AG24" s="95" t="s">
        <v>580</v>
      </c>
      <c r="AH24" s="96" t="s">
        <v>580</v>
      </c>
      <c r="AI24" s="95"/>
      <c r="AJ24" s="96"/>
      <c r="AK24" s="95"/>
      <c r="AL24" s="96"/>
      <c r="AM24" s="95"/>
      <c r="AN24" s="98"/>
      <c r="AO24" s="96"/>
      <c r="AP24" s="96"/>
      <c r="AQ24" s="95"/>
      <c r="AR24" s="98"/>
      <c r="AS24" s="96"/>
      <c r="AT24" s="96"/>
      <c r="AU24" s="95"/>
      <c r="AV24" s="98"/>
      <c r="AW24" s="96"/>
      <c r="AX24" s="96"/>
      <c r="AY24" s="95"/>
      <c r="AZ24" s="98"/>
      <c r="BA24" s="99"/>
      <c r="BB24" s="95"/>
      <c r="BC24" s="96"/>
      <c r="BD24" s="96"/>
      <c r="BE24" s="98"/>
    </row>
    <row r="25" spans="1:57" ht="12" customHeight="1">
      <c r="A25" s="254">
        <f t="array" ref="A25">_xll.AC(DB,_xll.ArrayDPT($AA25:$AE25),_xll.ArrayCOA($AG25:$AZ25),YR-1,PRD,_xll.ArrayDIM($BB25:$BE25))</f>
        <v>0</v>
      </c>
      <c r="B25" s="237">
        <f t="shared" si="10"/>
        <v>0</v>
      </c>
      <c r="C25" s="237">
        <f t="shared" si="11"/>
        <v>0</v>
      </c>
      <c r="D25" s="237">
        <f t="shared" si="12"/>
        <v>0</v>
      </c>
      <c r="E25" s="254">
        <f t="array" ref="E25">_xll.BC(DB,_xll.ArrayDPT($AA25:$AE25),_xll.ArrayCOA($AG25:$AZ25),YR,PRD,RV,_xll.ArrayDIM($BB25:$BE25))</f>
        <v>0</v>
      </c>
      <c r="F25" s="237">
        <f t="shared" si="13"/>
        <v>0</v>
      </c>
      <c r="G25" s="254">
        <f t="array" ref="G25">_xll.AC(DB,_xll.ArrayDPT($AA25:$AE25),_xll.ArrayCOA($AG25:$AZ25),YR,PRD,_xll.ArrayDIM($BB25:$BE25))</f>
        <v>0</v>
      </c>
      <c r="H25" s="237">
        <f t="shared" si="14"/>
        <v>0</v>
      </c>
      <c r="I25" s="237"/>
      <c r="J25" s="328" t="s">
        <v>950</v>
      </c>
      <c r="K25" s="237"/>
      <c r="L25" s="254">
        <f t="array" ref="L25">_xll.ACC(DB,_xll.ArrayDPT($AA25:$AE25),_xll.ArrayCOA($AG25:$AZ25),YR,PRD,_xll.ArrayDIM($BB25:$BE25))</f>
        <v>0</v>
      </c>
      <c r="M25" s="237">
        <f t="shared" si="15"/>
        <v>0</v>
      </c>
      <c r="N25" s="254">
        <f t="array" ref="N25">_xll.BCC(DB,_xll.ArrayDPT($AA25:$AE25),_xll.ArrayCOA($AG25:$AZ25),YR,PRD,RV,_xll.ArrayDIM($BB25:$BE25))</f>
        <v>0</v>
      </c>
      <c r="O25" s="237">
        <f t="shared" si="16"/>
        <v>0</v>
      </c>
      <c r="P25" s="237">
        <f t="shared" si="17"/>
        <v>0</v>
      </c>
      <c r="Q25" s="237">
        <f t="shared" si="18"/>
        <v>0</v>
      </c>
      <c r="R25" s="254">
        <f t="array" ref="R25">_xll.ACC(DB,_xll.ArrayDPT($AA25:$AE25),_xll.ArrayCOA($AG25:$AZ25),YR-1,PRD,_xll.ArrayDIM($BB25:$BE25))</f>
        <v>0</v>
      </c>
      <c r="S25" s="237">
        <f t="shared" si="19"/>
        <v>0</v>
      </c>
      <c r="T25" s="295"/>
      <c r="U25" s="295"/>
      <c r="V25" s="295"/>
      <c r="W25" s="295"/>
      <c r="X25" s="295"/>
      <c r="Y25" s="295"/>
      <c r="Z25" s="295"/>
      <c r="AA25" s="95" t="s">
        <v>932</v>
      </c>
      <c r="AB25" s="96"/>
      <c r="AC25" s="96"/>
      <c r="AD25" s="96"/>
      <c r="AE25" s="96"/>
      <c r="AF25" s="97"/>
      <c r="AG25" s="95" t="s">
        <v>683</v>
      </c>
      <c r="AH25" s="96" t="s">
        <v>683</v>
      </c>
      <c r="AI25" s="95"/>
      <c r="AJ25" s="96"/>
      <c r="AK25" s="95"/>
      <c r="AL25" s="96"/>
      <c r="AM25" s="95"/>
      <c r="AN25" s="98"/>
      <c r="AO25" s="96"/>
      <c r="AP25" s="96"/>
      <c r="AQ25" s="95"/>
      <c r="AR25" s="98"/>
      <c r="AS25" s="96"/>
      <c r="AT25" s="96"/>
      <c r="AU25" s="95"/>
      <c r="AV25" s="98"/>
      <c r="AW25" s="96"/>
      <c r="AX25" s="96"/>
      <c r="AY25" s="95"/>
      <c r="AZ25" s="98"/>
      <c r="BA25" s="99"/>
      <c r="BB25" s="95"/>
      <c r="BC25" s="96"/>
      <c r="BD25" s="96"/>
      <c r="BE25" s="98"/>
    </row>
    <row r="26" spans="1:57" ht="12" customHeight="1">
      <c r="A26" s="254">
        <f t="array" ref="A26">_xll.AC(DB,_xll.ArrayDPT($AA26:$AE26),_xll.ArrayCOA($AG26:$AZ26),YR-1,PRD,_xll.ArrayDIM($BB26:$BE26))</f>
        <v>2000</v>
      </c>
      <c r="B26" s="237">
        <f t="shared" si="10"/>
        <v>0.11665353915784883</v>
      </c>
      <c r="C26" s="237">
        <f t="shared" si="11"/>
        <v>-56895.16</v>
      </c>
      <c r="D26" s="237">
        <f t="shared" si="12"/>
        <v>3.6556791099585282</v>
      </c>
      <c r="E26" s="254">
        <f t="array" ref="E26">_xll.BC(DB,_xll.ArrayDPT($AA26:$AE26),_xll.ArrayCOA($AG26:$AZ26),YR,PRD,RV,_xll.ArrayDIM($BB26:$BE26))</f>
        <v>0</v>
      </c>
      <c r="F26" s="237">
        <f t="shared" si="13"/>
        <v>0</v>
      </c>
      <c r="G26" s="254">
        <f t="array" ref="G26">_xll.AC(DB,_xll.ArrayDPT($AA26:$AE26),_xll.ArrayCOA($AG26:$AZ26),YR,PRD,_xll.ArrayDIM($BB26:$BE26))</f>
        <v>56895.16</v>
      </c>
      <c r="H26" s="237">
        <f t="shared" si="14"/>
        <v>3.6556791099585282</v>
      </c>
      <c r="I26" s="237"/>
      <c r="J26" s="328" t="s">
        <v>951</v>
      </c>
      <c r="K26" s="237"/>
      <c r="L26" s="254">
        <f t="array" ref="L26">_xll.ACC(DB,_xll.ArrayDPT($AA26:$AE26),_xll.ArrayCOA($AG26:$AZ26),YR,PRD,_xll.ArrayDIM($BB26:$BE26))</f>
        <v>56895.16</v>
      </c>
      <c r="M26" s="237">
        <f t="shared" si="15"/>
        <v>3.6556791099585282</v>
      </c>
      <c r="N26" s="254">
        <f t="array" ref="N26">_xll.BCC(DB,_xll.ArrayDPT($AA26:$AE26),_xll.ArrayCOA($AG26:$AZ26),YR,PRD,RV,_xll.ArrayDIM($BB26:$BE26))</f>
        <v>0</v>
      </c>
      <c r="O26" s="237">
        <f t="shared" si="16"/>
        <v>0</v>
      </c>
      <c r="P26" s="237">
        <f t="shared" si="17"/>
        <v>-56895.16</v>
      </c>
      <c r="Q26" s="237">
        <f t="shared" si="18"/>
        <v>3.6556791099585282</v>
      </c>
      <c r="R26" s="254">
        <f t="array" ref="R26">_xll.ACC(DB,_xll.ArrayDPT($AA26:$AE26),_xll.ArrayCOA($AG26:$AZ26),YR-1,PRD,_xll.ArrayDIM($BB26:$BE26))</f>
        <v>2000</v>
      </c>
      <c r="S26" s="237">
        <f t="shared" si="19"/>
        <v>0.11665353915784883</v>
      </c>
      <c r="T26" s="295"/>
      <c r="U26" s="295"/>
      <c r="V26" s="295"/>
      <c r="W26" s="295"/>
      <c r="X26" s="295"/>
      <c r="Y26" s="295"/>
      <c r="Z26" s="295"/>
      <c r="AA26" s="95" t="s">
        <v>938</v>
      </c>
      <c r="AB26" s="96"/>
      <c r="AC26" s="96"/>
      <c r="AD26" s="96"/>
      <c r="AE26" s="96"/>
      <c r="AF26" s="97"/>
      <c r="AG26" s="95" t="s">
        <v>952</v>
      </c>
      <c r="AH26" s="96" t="s">
        <v>952</v>
      </c>
      <c r="AI26" s="95" t="s">
        <v>953</v>
      </c>
      <c r="AJ26" s="96" t="s">
        <v>953</v>
      </c>
      <c r="AK26" s="95"/>
      <c r="AL26" s="96"/>
      <c r="AM26" s="95"/>
      <c r="AN26" s="98"/>
      <c r="AO26" s="96"/>
      <c r="AP26" s="96"/>
      <c r="AQ26" s="95"/>
      <c r="AR26" s="98"/>
      <c r="AS26" s="96"/>
      <c r="AT26" s="96"/>
      <c r="AU26" s="95"/>
      <c r="AV26" s="98"/>
      <c r="AW26" s="96"/>
      <c r="AX26" s="96"/>
      <c r="AY26" s="95"/>
      <c r="AZ26" s="98"/>
      <c r="BA26" s="99"/>
      <c r="BB26" s="95"/>
      <c r="BC26" s="96"/>
      <c r="BD26" s="96"/>
      <c r="BE26" s="98"/>
    </row>
    <row r="27" spans="1:57" ht="12" customHeight="1">
      <c r="A27" s="254">
        <f t="array" ref="A27">_xll.AC(DB,_xll.ArrayDPT($AA27:$AE27),_xll.ArrayCOA($AG27:$AZ27),YR-1,PRD,_xll.ArrayDIM($BB27:$BE27))</f>
        <v>0</v>
      </c>
      <c r="B27" s="237">
        <f t="shared" si="10"/>
        <v>0</v>
      </c>
      <c r="C27" s="237">
        <f t="shared" si="11"/>
        <v>0</v>
      </c>
      <c r="D27" s="237">
        <f t="shared" si="12"/>
        <v>0</v>
      </c>
      <c r="E27" s="254">
        <f t="array" ref="E27">_xll.BC(DB,_xll.ArrayDPT($AA27:$AE27),_xll.ArrayCOA($AG27:$AZ27),YR,PRD,RV,_xll.ArrayDIM($BB27:$BE27))</f>
        <v>0</v>
      </c>
      <c r="F27" s="237">
        <f t="shared" si="13"/>
        <v>0</v>
      </c>
      <c r="G27" s="254">
        <f t="array" ref="G27">_xll.AC(DB,_xll.ArrayDPT($AA27:$AE27),_xll.ArrayCOA($AG27:$AZ27),YR,PRD,_xll.ArrayDIM($BB27:$BE27))</f>
        <v>0</v>
      </c>
      <c r="H27" s="237">
        <f t="shared" si="14"/>
        <v>0</v>
      </c>
      <c r="I27" s="237"/>
      <c r="J27" s="328" t="s">
        <v>954</v>
      </c>
      <c r="K27" s="237"/>
      <c r="L27" s="254">
        <f t="array" ref="L27">_xll.ACC(DB,_xll.ArrayDPT($AA27:$AE27),_xll.ArrayCOA($AG27:$AZ27),YR,PRD,_xll.ArrayDIM($BB27:$BE27))</f>
        <v>0</v>
      </c>
      <c r="M27" s="237">
        <f t="shared" si="15"/>
        <v>0</v>
      </c>
      <c r="N27" s="254">
        <f t="array" ref="N27">_xll.BCC(DB,_xll.ArrayDPT($AA27:$AE27),_xll.ArrayCOA($AG27:$AZ27),YR,PRD,RV,_xll.ArrayDIM($BB27:$BE27))</f>
        <v>0</v>
      </c>
      <c r="O27" s="237">
        <f t="shared" si="16"/>
        <v>0</v>
      </c>
      <c r="P27" s="237">
        <f t="shared" si="17"/>
        <v>0</v>
      </c>
      <c r="Q27" s="237">
        <f t="shared" si="18"/>
        <v>0</v>
      </c>
      <c r="R27" s="254">
        <f t="array" ref="R27">_xll.ACC(DB,_xll.ArrayDPT($AA27:$AE27),_xll.ArrayCOA($AG27:$AZ27),YR-1,PRD,_xll.ArrayDIM($BB27:$BE27))</f>
        <v>0</v>
      </c>
      <c r="S27" s="237">
        <f t="shared" si="19"/>
        <v>0</v>
      </c>
      <c r="T27" s="295"/>
      <c r="U27" s="295"/>
      <c r="V27" s="295"/>
      <c r="W27" s="295"/>
      <c r="X27" s="295"/>
      <c r="Y27" s="295"/>
      <c r="Z27" s="295"/>
      <c r="AA27" s="95"/>
      <c r="AB27" s="96"/>
      <c r="AC27" s="96"/>
      <c r="AD27" s="96"/>
      <c r="AE27" s="96"/>
      <c r="AF27" s="97"/>
      <c r="AG27" s="95"/>
      <c r="AH27" s="96"/>
      <c r="AI27" s="95"/>
      <c r="AJ27" s="96"/>
      <c r="AK27" s="95"/>
      <c r="AL27" s="96"/>
      <c r="AM27" s="95"/>
      <c r="AN27" s="98"/>
      <c r="AO27" s="96"/>
      <c r="AP27" s="96"/>
      <c r="AQ27" s="95"/>
      <c r="AR27" s="98"/>
      <c r="AS27" s="96"/>
      <c r="AT27" s="96"/>
      <c r="AU27" s="95"/>
      <c r="AV27" s="98"/>
      <c r="AW27" s="96"/>
      <c r="AX27" s="96"/>
      <c r="AY27" s="95"/>
      <c r="AZ27" s="98"/>
      <c r="BA27" s="99"/>
      <c r="BB27" s="95"/>
      <c r="BC27" s="96"/>
      <c r="BD27" s="96"/>
      <c r="BE27" s="98"/>
    </row>
    <row r="28" spans="1:57" ht="12" customHeight="1">
      <c r="A28" s="254">
        <f t="array" ref="A28">_xll.AC(DB,_xll.ArrayDPT($AA28:$AE28),_xll.ArrayCOA($AG28:$AZ28),YR-1,PRD,_xll.ArrayDIM($BB28:$BE28))</f>
        <v>8500</v>
      </c>
      <c r="B28" s="237">
        <f t="shared" si="10"/>
        <v>0.4957775414208575</v>
      </c>
      <c r="C28" s="237">
        <f t="shared" si="11"/>
        <v>-45000</v>
      </c>
      <c r="D28" s="237">
        <f t="shared" si="12"/>
        <v>2.8913805664336611</v>
      </c>
      <c r="E28" s="254">
        <f t="array" ref="E28">_xll.BC(DB,_xll.ArrayDPT($AA28:$AE28),_xll.ArrayCOA($AG28:$AZ28),YR,PRD,RV,_xll.ArrayDIM($BB28:$BE28))</f>
        <v>0</v>
      </c>
      <c r="F28" s="237">
        <f t="shared" si="13"/>
        <v>0</v>
      </c>
      <c r="G28" s="254">
        <f t="array" ref="G28">_xll.AC(DB,_xll.ArrayDPT($AA28:$AE28),_xll.ArrayCOA($AG28:$AZ28),YR,PRD,_xll.ArrayDIM($BB28:$BE28))</f>
        <v>45000</v>
      </c>
      <c r="H28" s="237">
        <f t="shared" si="14"/>
        <v>2.8913805664336611</v>
      </c>
      <c r="I28" s="237"/>
      <c r="J28" s="328" t="s">
        <v>955</v>
      </c>
      <c r="K28" s="237"/>
      <c r="L28" s="254">
        <f t="array" ref="L28">_xll.ACC(DB,_xll.ArrayDPT($AA28:$AE28),_xll.ArrayCOA($AG28:$AZ28),YR,PRD,_xll.ArrayDIM($BB28:$BE28))</f>
        <v>45000</v>
      </c>
      <c r="M28" s="237">
        <f t="shared" si="15"/>
        <v>2.8913805664336611</v>
      </c>
      <c r="N28" s="254">
        <f t="array" ref="N28">_xll.BCC(DB,_xll.ArrayDPT($AA28:$AE28),_xll.ArrayCOA($AG28:$AZ28),YR,PRD,RV,_xll.ArrayDIM($BB28:$BE28))</f>
        <v>0</v>
      </c>
      <c r="O28" s="237">
        <f t="shared" si="16"/>
        <v>0</v>
      </c>
      <c r="P28" s="237">
        <f t="shared" si="17"/>
        <v>-45000</v>
      </c>
      <c r="Q28" s="237">
        <f t="shared" si="18"/>
        <v>2.8913805664336611</v>
      </c>
      <c r="R28" s="254">
        <f t="array" ref="R28">_xll.ACC(DB,_xll.ArrayDPT($AA28:$AE28),_xll.ArrayCOA($AG28:$AZ28),YR-1,PRD,_xll.ArrayDIM($BB28:$BE28))</f>
        <v>8500</v>
      </c>
      <c r="S28" s="237">
        <f t="shared" si="19"/>
        <v>0.4957775414208575</v>
      </c>
      <c r="T28" s="295"/>
      <c r="U28" s="295"/>
      <c r="V28" s="295"/>
      <c r="W28" s="295"/>
      <c r="X28" s="295"/>
      <c r="Y28" s="295"/>
      <c r="Z28" s="295"/>
      <c r="AA28" s="95" t="s">
        <v>932</v>
      </c>
      <c r="AB28" s="96"/>
      <c r="AC28" s="96"/>
      <c r="AD28" s="96"/>
      <c r="AE28" s="96"/>
      <c r="AF28" s="97"/>
      <c r="AG28" s="95" t="s">
        <v>956</v>
      </c>
      <c r="AH28" s="96" t="s">
        <v>956</v>
      </c>
      <c r="AI28" s="95"/>
      <c r="AJ28" s="96"/>
      <c r="AK28" s="95"/>
      <c r="AL28" s="96"/>
      <c r="AM28" s="95"/>
      <c r="AN28" s="98"/>
      <c r="AO28" s="96"/>
      <c r="AP28" s="96"/>
      <c r="AQ28" s="95"/>
      <c r="AR28" s="98"/>
      <c r="AS28" s="96"/>
      <c r="AT28" s="96"/>
      <c r="AU28" s="95"/>
      <c r="AV28" s="98"/>
      <c r="AW28" s="96"/>
      <c r="AX28" s="96"/>
      <c r="AY28" s="95"/>
      <c r="AZ28" s="98"/>
      <c r="BA28" s="99"/>
      <c r="BB28" s="95"/>
      <c r="BC28" s="96"/>
      <c r="BD28" s="96"/>
      <c r="BE28" s="98"/>
    </row>
    <row r="29" spans="1:57" ht="12" customHeight="1">
      <c r="A29" s="254">
        <f t="array" ref="A29">_xll.AC(DB,_xll.ArrayDPT($AA29:$AE29),_xll.ArrayCOA($AG29:$AZ29),YR-1,PRD,_xll.ArrayDIM($BB29:$BE29))</f>
        <v>0</v>
      </c>
      <c r="B29" s="237">
        <f t="shared" si="10"/>
        <v>0</v>
      </c>
      <c r="C29" s="237">
        <f t="shared" si="11"/>
        <v>0</v>
      </c>
      <c r="D29" s="237">
        <f t="shared" si="12"/>
        <v>0</v>
      </c>
      <c r="E29" s="254">
        <f t="array" ref="E29">_xll.BC(DB,_xll.ArrayDPT($AA29:$AE29),_xll.ArrayCOA($AG29:$AZ29),YR,PRD,RV,_xll.ArrayDIM($BB29:$BE29))</f>
        <v>0</v>
      </c>
      <c r="F29" s="237">
        <f t="shared" si="13"/>
        <v>0</v>
      </c>
      <c r="G29" s="254">
        <f t="array" ref="G29">_xll.AC(DB,_xll.ArrayDPT($AA29:$AE29),_xll.ArrayCOA($AG29:$AZ29),YR,PRD,_xll.ArrayDIM($BB29:$BE29))</f>
        <v>0</v>
      </c>
      <c r="H29" s="237">
        <f t="shared" si="14"/>
        <v>0</v>
      </c>
      <c r="I29" s="237"/>
      <c r="J29" s="328" t="s">
        <v>957</v>
      </c>
      <c r="K29" s="237"/>
      <c r="L29" s="254">
        <f t="array" ref="L29">_xll.ACC(DB,_xll.ArrayDPT($AA29:$AE29),_xll.ArrayCOA($AG29:$AZ29),YR,PRD,_xll.ArrayDIM($BB29:$BE29))</f>
        <v>0</v>
      </c>
      <c r="M29" s="237">
        <f t="shared" si="15"/>
        <v>0</v>
      </c>
      <c r="N29" s="254">
        <f t="array" ref="N29">_xll.BCC(DB,_xll.ArrayDPT($AA29:$AE29),_xll.ArrayCOA($AG29:$AZ29),YR,PRD,RV,_xll.ArrayDIM($BB29:$BE29))</f>
        <v>0</v>
      </c>
      <c r="O29" s="237">
        <f t="shared" si="16"/>
        <v>0</v>
      </c>
      <c r="P29" s="237">
        <f t="shared" si="17"/>
        <v>0</v>
      </c>
      <c r="Q29" s="237">
        <f t="shared" si="18"/>
        <v>0</v>
      </c>
      <c r="R29" s="254">
        <f t="array" ref="R29">_xll.ACC(DB,_xll.ArrayDPT($AA29:$AE29),_xll.ArrayCOA($AG29:$AZ29),YR-1,PRD,_xll.ArrayDIM($BB29:$BE29))</f>
        <v>0</v>
      </c>
      <c r="S29" s="237">
        <f t="shared" si="19"/>
        <v>0</v>
      </c>
      <c r="T29" s="295"/>
      <c r="U29" s="295"/>
      <c r="V29" s="295"/>
      <c r="W29" s="295"/>
      <c r="X29" s="295"/>
      <c r="Y29" s="295"/>
      <c r="Z29" s="295"/>
      <c r="AA29" s="95"/>
      <c r="AB29" s="96"/>
      <c r="AC29" s="96"/>
      <c r="AD29" s="96"/>
      <c r="AE29" s="96"/>
      <c r="AF29" s="97"/>
      <c r="AG29" s="95"/>
      <c r="AH29" s="96"/>
      <c r="AI29" s="95"/>
      <c r="AJ29" s="96"/>
      <c r="AK29" s="95"/>
      <c r="AL29" s="96"/>
      <c r="AM29" s="95"/>
      <c r="AN29" s="98"/>
      <c r="AO29" s="96"/>
      <c r="AP29" s="96"/>
      <c r="AQ29" s="95"/>
      <c r="AR29" s="98"/>
      <c r="AS29" s="96"/>
      <c r="AT29" s="96"/>
      <c r="AU29" s="95"/>
      <c r="AV29" s="98"/>
      <c r="AW29" s="96"/>
      <c r="AX29" s="96"/>
      <c r="AY29" s="95"/>
      <c r="AZ29" s="98"/>
      <c r="BA29" s="99"/>
      <c r="BB29" s="95"/>
      <c r="BC29" s="96"/>
      <c r="BD29" s="96"/>
      <c r="BE29" s="98"/>
    </row>
    <row r="30" spans="1:57" ht="12" customHeight="1">
      <c r="A30" s="254">
        <f t="array" ref="A30">_xll.AC(DB,_xll.ArrayDPT($AA30:$AE30),_xll.ArrayCOA($AG30:$AZ30),YR-1,PRD,_xll.ArrayDIM($BB30:$BE30))</f>
        <v>4995</v>
      </c>
      <c r="B30" s="237">
        <f t="shared" si="10"/>
        <v>0.29134221404672744</v>
      </c>
      <c r="C30" s="237">
        <f t="shared" si="11"/>
        <v>-3042</v>
      </c>
      <c r="D30" s="237">
        <f t="shared" si="12"/>
        <v>0.1954573262909155</v>
      </c>
      <c r="E30" s="254">
        <f t="array" ref="E30">_xll.BC(DB,_xll.ArrayDPT($AA30:$AE30),_xll.ArrayCOA($AG30:$AZ30),YR,PRD,RV,_xll.ArrayDIM($BB30:$BE30))</f>
        <v>0</v>
      </c>
      <c r="F30" s="237">
        <f t="shared" si="13"/>
        <v>0</v>
      </c>
      <c r="G30" s="254">
        <f t="array" ref="G30">_xll.AC(DB,_xll.ArrayDPT($AA30:$AE30),_xll.ArrayCOA($AG30:$AZ30),YR,PRD,_xll.ArrayDIM($BB30:$BE30))</f>
        <v>3042</v>
      </c>
      <c r="H30" s="237">
        <f t="shared" si="14"/>
        <v>0.1954573262909155</v>
      </c>
      <c r="I30" s="237"/>
      <c r="J30" s="328" t="s">
        <v>958</v>
      </c>
      <c r="K30" s="237"/>
      <c r="L30" s="254">
        <f t="array" ref="L30">_xll.ACC(DB,_xll.ArrayDPT($AA30:$AE30),_xll.ArrayCOA($AG30:$AZ30),YR,PRD,_xll.ArrayDIM($BB30:$BE30))</f>
        <v>3042</v>
      </c>
      <c r="M30" s="237">
        <f t="shared" si="15"/>
        <v>0.1954573262909155</v>
      </c>
      <c r="N30" s="254">
        <f t="array" ref="N30">_xll.BCC(DB,_xll.ArrayDPT($AA30:$AE30),_xll.ArrayCOA($AG30:$AZ30),YR,PRD,RV,_xll.ArrayDIM($BB30:$BE30))</f>
        <v>0</v>
      </c>
      <c r="O30" s="237">
        <f t="shared" si="16"/>
        <v>0</v>
      </c>
      <c r="P30" s="237">
        <f t="shared" si="17"/>
        <v>-3042</v>
      </c>
      <c r="Q30" s="237">
        <f t="shared" si="18"/>
        <v>0.1954573262909155</v>
      </c>
      <c r="R30" s="254">
        <f t="array" ref="R30">_xll.ACC(DB,_xll.ArrayDPT($AA30:$AE30),_xll.ArrayCOA($AG30:$AZ30),YR-1,PRD,_xll.ArrayDIM($BB30:$BE30))</f>
        <v>4995</v>
      </c>
      <c r="S30" s="237">
        <f t="shared" si="19"/>
        <v>0.29134221404672744</v>
      </c>
      <c r="T30" s="295"/>
      <c r="U30" s="295"/>
      <c r="V30" s="295"/>
      <c r="W30" s="295"/>
      <c r="X30" s="295"/>
      <c r="Y30" s="295"/>
      <c r="Z30" s="295"/>
      <c r="AA30" s="95" t="s">
        <v>932</v>
      </c>
      <c r="AB30" s="96"/>
      <c r="AC30" s="96"/>
      <c r="AD30" s="96"/>
      <c r="AE30" s="96"/>
      <c r="AF30" s="97"/>
      <c r="AG30" s="95" t="s">
        <v>959</v>
      </c>
      <c r="AH30" s="96" t="s">
        <v>959</v>
      </c>
      <c r="AI30" s="95"/>
      <c r="AJ30" s="96"/>
      <c r="AK30" s="95"/>
      <c r="AL30" s="96"/>
      <c r="AM30" s="95"/>
      <c r="AN30" s="98"/>
      <c r="AO30" s="96"/>
      <c r="AP30" s="96"/>
      <c r="AQ30" s="95"/>
      <c r="AR30" s="98"/>
      <c r="AS30" s="96"/>
      <c r="AT30" s="96"/>
      <c r="AU30" s="95"/>
      <c r="AV30" s="98"/>
      <c r="AW30" s="96"/>
      <c r="AX30" s="96"/>
      <c r="AY30" s="95"/>
      <c r="AZ30" s="98"/>
      <c r="BA30" s="99"/>
      <c r="BB30" s="95"/>
      <c r="BC30" s="96"/>
      <c r="BD30" s="96"/>
      <c r="BE30" s="98"/>
    </row>
    <row r="31" spans="1:57" ht="12" customHeight="1">
      <c r="A31" s="254">
        <f t="array" ref="A31">_xll.AC(DB,_xll.ArrayDPT($AA31:$AE31),_xll.ArrayCOA($AG31:$AZ31),YR-1,PRD,_xll.ArrayDIM($BB31:$BE31))</f>
        <v>0</v>
      </c>
      <c r="B31" s="237">
        <f t="shared" si="10"/>
        <v>0</v>
      </c>
      <c r="C31" s="237">
        <f t="shared" si="11"/>
        <v>0</v>
      </c>
      <c r="D31" s="237">
        <f t="shared" si="12"/>
        <v>0</v>
      </c>
      <c r="E31" s="254">
        <f t="array" ref="E31">_xll.BC(DB,_xll.ArrayDPT($AA31:$AE31),_xll.ArrayCOA($AG31:$AZ31),YR,PRD,RV,_xll.ArrayDIM($BB31:$BE31))</f>
        <v>0</v>
      </c>
      <c r="F31" s="237">
        <f t="shared" si="13"/>
        <v>0</v>
      </c>
      <c r="G31" s="254">
        <f t="array" ref="G31">_xll.AC(DB,_xll.ArrayDPT($AA31:$AE31),_xll.ArrayCOA($AG31:$AZ31),YR,PRD,_xll.ArrayDIM($BB31:$BE31))</f>
        <v>0</v>
      </c>
      <c r="H31" s="237">
        <f t="shared" si="14"/>
        <v>0</v>
      </c>
      <c r="I31" s="237"/>
      <c r="J31" s="328" t="s">
        <v>960</v>
      </c>
      <c r="K31" s="237"/>
      <c r="L31" s="254">
        <f t="array" ref="L31">_xll.ACC(DB,_xll.ArrayDPT($AA31:$AE31),_xll.ArrayCOA($AG31:$AZ31),YR,PRD,_xll.ArrayDIM($BB31:$BE31))</f>
        <v>0</v>
      </c>
      <c r="M31" s="237">
        <f t="shared" si="15"/>
        <v>0</v>
      </c>
      <c r="N31" s="254">
        <f t="array" ref="N31">_xll.BCC(DB,_xll.ArrayDPT($AA31:$AE31),_xll.ArrayCOA($AG31:$AZ31),YR,PRD,RV,_xll.ArrayDIM($BB31:$BE31))</f>
        <v>0</v>
      </c>
      <c r="O31" s="237">
        <f t="shared" si="16"/>
        <v>0</v>
      </c>
      <c r="P31" s="237">
        <f t="shared" si="17"/>
        <v>0</v>
      </c>
      <c r="Q31" s="237">
        <f t="shared" si="18"/>
        <v>0</v>
      </c>
      <c r="R31" s="254">
        <f t="array" ref="R31">_xll.ACC(DB,_xll.ArrayDPT($AA31:$AE31),_xll.ArrayCOA($AG31:$AZ31),YR-1,PRD,_xll.ArrayDIM($BB31:$BE31))</f>
        <v>0</v>
      </c>
      <c r="S31" s="237">
        <f t="shared" si="19"/>
        <v>0</v>
      </c>
      <c r="T31" s="295"/>
      <c r="U31" s="295"/>
      <c r="V31" s="295"/>
      <c r="W31" s="295"/>
      <c r="X31" s="295"/>
      <c r="Y31" s="295"/>
      <c r="Z31" s="295"/>
      <c r="AA31" s="95" t="s">
        <v>932</v>
      </c>
      <c r="AB31" s="96"/>
      <c r="AC31" s="96"/>
      <c r="AD31" s="96"/>
      <c r="AE31" s="96"/>
      <c r="AF31" s="97"/>
      <c r="AG31" s="95" t="s">
        <v>961</v>
      </c>
      <c r="AH31" s="96" t="s">
        <v>961</v>
      </c>
      <c r="AI31" s="95"/>
      <c r="AJ31" s="96"/>
      <c r="AK31" s="95"/>
      <c r="AL31" s="96"/>
      <c r="AM31" s="95"/>
      <c r="AN31" s="98"/>
      <c r="AO31" s="96"/>
      <c r="AP31" s="96"/>
      <c r="AQ31" s="95"/>
      <c r="AR31" s="98"/>
      <c r="AS31" s="96"/>
      <c r="AT31" s="96"/>
      <c r="AU31" s="95"/>
      <c r="AV31" s="98"/>
      <c r="AW31" s="96"/>
      <c r="AX31" s="96"/>
      <c r="AY31" s="95"/>
      <c r="AZ31" s="98"/>
      <c r="BA31" s="99"/>
      <c r="BB31" s="95"/>
      <c r="BC31" s="96"/>
      <c r="BD31" s="96"/>
      <c r="BE31" s="98"/>
    </row>
    <row r="32" spans="1:57" ht="12" customHeight="1">
      <c r="A32" s="254">
        <f t="array" ref="A32">_xll.AC(DB,_xll.ArrayDPT($AA32:$AE32),_xll.ArrayCOA($AG32:$AZ32),YR-1,PRD,_xll.ArrayDIM($BB32:$BE32))</f>
        <v>83298.58</v>
      </c>
      <c r="B32" s="237">
        <f t="shared" si="10"/>
        <v>4.8585370819116021</v>
      </c>
      <c r="C32" s="237">
        <f t="shared" si="11"/>
        <v>-186131.73</v>
      </c>
      <c r="D32" s="237">
        <f t="shared" si="12"/>
        <v>11.95950370930394</v>
      </c>
      <c r="E32" s="254">
        <f t="array" ref="E32">_xll.BC(DB,_xll.ArrayDPT($AA32:$AE32),_xll.ArrayCOA($AG32:$AZ32),YR,PRD,RV,_xll.ArrayDIM($BB32:$BE32))</f>
        <v>0</v>
      </c>
      <c r="F32" s="237">
        <f t="shared" si="13"/>
        <v>0</v>
      </c>
      <c r="G32" s="254">
        <f t="array" ref="G32">_xll.AC(DB,_xll.ArrayDPT($AA32:$AE32),_xll.ArrayCOA($AG32:$AZ32),YR,PRD,_xll.ArrayDIM($BB32:$BE32))</f>
        <v>186131.73</v>
      </c>
      <c r="H32" s="237">
        <f t="shared" si="14"/>
        <v>11.95950370930394</v>
      </c>
      <c r="I32" s="237"/>
      <c r="J32" s="328" t="s">
        <v>962</v>
      </c>
      <c r="K32" s="237"/>
      <c r="L32" s="254">
        <f t="array" ref="L32">_xll.ACC(DB,_xll.ArrayDPT($AA32:$AE32),_xll.ArrayCOA($AG32:$AZ32),YR,PRD,_xll.ArrayDIM($BB32:$BE32))</f>
        <v>186131.73</v>
      </c>
      <c r="M32" s="237">
        <f t="shared" si="15"/>
        <v>11.95950370930394</v>
      </c>
      <c r="N32" s="254">
        <f t="array" ref="N32">_xll.BCC(DB,_xll.ArrayDPT($AA32:$AE32),_xll.ArrayCOA($AG32:$AZ32),YR,PRD,RV,_xll.ArrayDIM($BB32:$BE32))</f>
        <v>0</v>
      </c>
      <c r="O32" s="237">
        <f t="shared" si="16"/>
        <v>0</v>
      </c>
      <c r="P32" s="237">
        <f t="shared" si="17"/>
        <v>-186131.73</v>
      </c>
      <c r="Q32" s="237">
        <f t="shared" si="18"/>
        <v>11.95950370930394</v>
      </c>
      <c r="R32" s="254">
        <f t="array" ref="R32">_xll.ACC(DB,_xll.ArrayDPT($AA32:$AE32),_xll.ArrayCOA($AG32:$AZ32),YR-1,PRD,_xll.ArrayDIM($BB32:$BE32))</f>
        <v>83298.58</v>
      </c>
      <c r="S32" s="237">
        <f t="shared" si="19"/>
        <v>4.8585370819116021</v>
      </c>
      <c r="T32" s="295"/>
      <c r="U32" s="295"/>
      <c r="V32" s="295"/>
      <c r="W32" s="295"/>
      <c r="X32" s="295"/>
      <c r="Y32" s="295"/>
      <c r="Z32" s="295"/>
      <c r="AA32" s="95" t="s">
        <v>932</v>
      </c>
      <c r="AB32" s="96" t="s">
        <v>963</v>
      </c>
      <c r="AC32" s="96"/>
      <c r="AD32" s="96"/>
      <c r="AE32" s="96"/>
      <c r="AF32" s="97"/>
      <c r="AG32" s="95" t="s">
        <v>964</v>
      </c>
      <c r="AH32" s="96" t="s">
        <v>964</v>
      </c>
      <c r="AI32" s="95" t="s">
        <v>965</v>
      </c>
      <c r="AJ32" s="96" t="s">
        <v>965</v>
      </c>
      <c r="AK32" s="95" t="s">
        <v>966</v>
      </c>
      <c r="AL32" s="96" t="s">
        <v>966</v>
      </c>
      <c r="AM32" s="95" t="s">
        <v>967</v>
      </c>
      <c r="AN32" s="98" t="s">
        <v>967</v>
      </c>
      <c r="AO32" s="96" t="s">
        <v>968</v>
      </c>
      <c r="AP32" s="96" t="s">
        <v>968</v>
      </c>
      <c r="AQ32" s="95" t="s">
        <v>969</v>
      </c>
      <c r="AR32" s="98" t="s">
        <v>969</v>
      </c>
      <c r="AS32" s="96" t="s">
        <v>970</v>
      </c>
      <c r="AT32" s="96" t="s">
        <v>970</v>
      </c>
      <c r="AU32" s="95" t="s">
        <v>971</v>
      </c>
      <c r="AV32" s="98" t="s">
        <v>971</v>
      </c>
      <c r="AW32" s="96"/>
      <c r="AX32" s="96"/>
      <c r="AY32" s="95"/>
      <c r="AZ32" s="98"/>
      <c r="BA32" s="99"/>
      <c r="BB32" s="95"/>
      <c r="BC32" s="96"/>
      <c r="BD32" s="96"/>
      <c r="BE32" s="98"/>
    </row>
    <row r="33" spans="1:57" ht="12" hidden="1" customHeight="1">
      <c r="A33" s="254">
        <f t="array" ref="A33">_xll.AC(DB,_xll.ArrayDPT($AA33:$AE33),_xll.ArrayCOA($AG33:$AZ33),YR-1,PRD,_xll.ArrayDIM($BB33:$BE33))</f>
        <v>0</v>
      </c>
      <c r="B33" s="237">
        <f t="shared" si="10"/>
        <v>0</v>
      </c>
      <c r="C33" s="237">
        <f t="shared" si="11"/>
        <v>0</v>
      </c>
      <c r="D33" s="237">
        <f t="shared" si="12"/>
        <v>0</v>
      </c>
      <c r="E33" s="254">
        <f t="array" ref="E33">_xll.BC(DB,_xll.ArrayDPT($AA33:$AE33),_xll.ArrayCOA($AG33:$AZ33),YR,PRD,RV,_xll.ArrayDIM($BB33:$BE33))</f>
        <v>0</v>
      </c>
      <c r="F33" s="237">
        <f t="shared" si="13"/>
        <v>0</v>
      </c>
      <c r="G33" s="254">
        <f t="array" ref="G33">_xll.AC(DB,_xll.ArrayDPT($AA33:$AE33),_xll.ArrayCOA($AG33:$AZ33),YR,PRD,_xll.ArrayDIM($BB33:$BE33))</f>
        <v>0</v>
      </c>
      <c r="H33" s="237">
        <f t="shared" si="14"/>
        <v>0</v>
      </c>
      <c r="I33" s="237"/>
      <c r="J33" s="328" t="s">
        <v>972</v>
      </c>
      <c r="K33" s="237"/>
      <c r="L33" s="254">
        <f t="array" ref="L33">_xll.ACC(DB,_xll.ArrayDPT($AA33:$AE33),_xll.ArrayCOA($AG33:$AZ33),YR,PRD,_xll.ArrayDIM($BB33:$BE33))</f>
        <v>0</v>
      </c>
      <c r="M33" s="237">
        <f t="shared" si="15"/>
        <v>0</v>
      </c>
      <c r="N33" s="254">
        <f t="array" ref="N33">_xll.BCC(DB,_xll.ArrayDPT($AA33:$AE33),_xll.ArrayCOA($AG33:$AZ33),YR,PRD,RV,_xll.ArrayDIM($BB33:$BE33))</f>
        <v>0</v>
      </c>
      <c r="O33" s="237">
        <f t="shared" si="16"/>
        <v>0</v>
      </c>
      <c r="P33" s="237">
        <f t="shared" si="17"/>
        <v>0</v>
      </c>
      <c r="Q33" s="237">
        <f t="shared" si="18"/>
        <v>0</v>
      </c>
      <c r="R33" s="254">
        <f t="array" ref="R33">_xll.ACC(DB,_xll.ArrayDPT($AA33:$AE33),_xll.ArrayCOA($AG33:$AZ33),YR-1,PRD,_xll.ArrayDIM($BB33:$BE33))</f>
        <v>0</v>
      </c>
      <c r="S33" s="237">
        <f t="shared" si="19"/>
        <v>0</v>
      </c>
      <c r="T33" s="295"/>
      <c r="U33" s="295"/>
      <c r="V33" s="295"/>
      <c r="W33" s="295"/>
      <c r="X33" s="295"/>
      <c r="Y33" s="295"/>
      <c r="Z33" s="295"/>
      <c r="AA33" s="95"/>
      <c r="AB33" s="96"/>
      <c r="AC33" s="96"/>
      <c r="AD33" s="96"/>
      <c r="AE33" s="96"/>
      <c r="AF33" s="97"/>
      <c r="AG33" s="95"/>
      <c r="AH33" s="96"/>
      <c r="AI33" s="95"/>
      <c r="AJ33" s="96"/>
      <c r="AK33" s="95"/>
      <c r="AL33" s="96"/>
      <c r="AM33" s="95"/>
      <c r="AN33" s="98"/>
      <c r="AO33" s="96"/>
      <c r="AP33" s="96"/>
      <c r="AQ33" s="95"/>
      <c r="AR33" s="98"/>
      <c r="AS33" s="96"/>
      <c r="AT33" s="96"/>
      <c r="AU33" s="95"/>
      <c r="AV33" s="98"/>
      <c r="AW33" s="96"/>
      <c r="AX33" s="96"/>
      <c r="AY33" s="95"/>
      <c r="AZ33" s="98"/>
      <c r="BA33" s="99"/>
      <c r="BB33" s="95"/>
      <c r="BC33" s="96"/>
      <c r="BD33" s="96"/>
      <c r="BE33" s="98"/>
    </row>
    <row r="34" spans="1:57" ht="12" hidden="1" customHeight="1">
      <c r="A34" s="254">
        <f t="array" ref="A34">_xll.AC(DB,_xll.ArrayDPT($AA34:$AE34),_xll.ArrayCOA($AG34:$AZ34),YR-1,PRD,_xll.ArrayDIM($BB34:$BE34))</f>
        <v>0</v>
      </c>
      <c r="B34" s="237">
        <f t="shared" si="10"/>
        <v>0</v>
      </c>
      <c r="C34" s="237">
        <f t="shared" si="11"/>
        <v>0</v>
      </c>
      <c r="D34" s="237">
        <f t="shared" si="12"/>
        <v>0</v>
      </c>
      <c r="E34" s="254">
        <f t="array" ref="E34">_xll.BC(DB,_xll.ArrayDPT($AA34:$AE34),_xll.ArrayCOA($AG34:$AZ34),YR,PRD,RV,_xll.ArrayDIM($BB34:$BE34))</f>
        <v>0</v>
      </c>
      <c r="F34" s="237">
        <f t="shared" si="13"/>
        <v>0</v>
      </c>
      <c r="G34" s="254">
        <f t="array" ref="G34">_xll.AC(DB,_xll.ArrayDPT($AA34:$AE34),_xll.ArrayCOA($AG34:$AZ34),YR,PRD,_xll.ArrayDIM($BB34:$BE34))</f>
        <v>0</v>
      </c>
      <c r="H34" s="237">
        <f t="shared" si="14"/>
        <v>0</v>
      </c>
      <c r="I34" s="237"/>
      <c r="J34" s="328" t="s">
        <v>973</v>
      </c>
      <c r="K34" s="237"/>
      <c r="L34" s="254">
        <f t="array" ref="L34">_xll.ACC(DB,_xll.ArrayDPT($AA34:$AE34),_xll.ArrayCOA($AG34:$AZ34),YR,PRD,_xll.ArrayDIM($BB34:$BE34))</f>
        <v>0</v>
      </c>
      <c r="M34" s="237">
        <f t="shared" si="15"/>
        <v>0</v>
      </c>
      <c r="N34" s="254">
        <f t="array" ref="N34">_xll.BCC(DB,_xll.ArrayDPT($AA34:$AE34),_xll.ArrayCOA($AG34:$AZ34),YR,PRD,RV,_xll.ArrayDIM($BB34:$BE34))</f>
        <v>0</v>
      </c>
      <c r="O34" s="237">
        <f t="shared" si="16"/>
        <v>0</v>
      </c>
      <c r="P34" s="237">
        <f t="shared" si="17"/>
        <v>0</v>
      </c>
      <c r="Q34" s="237">
        <f t="shared" si="18"/>
        <v>0</v>
      </c>
      <c r="R34" s="254">
        <f t="array" ref="R34">_xll.ACC(DB,_xll.ArrayDPT($AA34:$AE34),_xll.ArrayCOA($AG34:$AZ34),YR-1,PRD,_xll.ArrayDIM($BB34:$BE34))</f>
        <v>0</v>
      </c>
      <c r="S34" s="237">
        <f t="shared" si="19"/>
        <v>0</v>
      </c>
      <c r="T34" s="295"/>
      <c r="U34" s="295"/>
      <c r="V34" s="295"/>
      <c r="W34" s="295"/>
      <c r="X34" s="295"/>
      <c r="Y34" s="295"/>
      <c r="Z34" s="295"/>
      <c r="AA34" s="95"/>
      <c r="AB34" s="96"/>
      <c r="AC34" s="96"/>
      <c r="AD34" s="96"/>
      <c r="AE34" s="96"/>
      <c r="AF34" s="97"/>
      <c r="AG34" s="95"/>
      <c r="AH34" s="96"/>
      <c r="AI34" s="95"/>
      <c r="AJ34" s="96"/>
      <c r="AK34" s="95"/>
      <c r="AL34" s="96"/>
      <c r="AM34" s="95"/>
      <c r="AN34" s="98"/>
      <c r="AO34" s="96"/>
      <c r="AP34" s="96"/>
      <c r="AQ34" s="95"/>
      <c r="AR34" s="98"/>
      <c r="AS34" s="96"/>
      <c r="AT34" s="96"/>
      <c r="AU34" s="95"/>
      <c r="AV34" s="98"/>
      <c r="AW34" s="96"/>
      <c r="AX34" s="96"/>
      <c r="AY34" s="95"/>
      <c r="AZ34" s="98"/>
      <c r="BA34" s="99"/>
      <c r="BB34" s="95"/>
      <c r="BC34" s="96"/>
      <c r="BD34" s="96"/>
      <c r="BE34" s="98"/>
    </row>
    <row r="35" spans="1:57" ht="12" customHeight="1">
      <c r="A35" s="254">
        <f t="array" ref="A35">_xll.AC(DB,_xll.ArrayDPT($AA35:$AE35),_xll.ArrayCOA($AG35:$AZ35),YR-1,PRD,_xll.ArrayDIM($BB35:$BE35))</f>
        <v>0</v>
      </c>
      <c r="B35" s="237">
        <f t="shared" si="10"/>
        <v>0</v>
      </c>
      <c r="C35" s="237">
        <f t="shared" si="11"/>
        <v>0</v>
      </c>
      <c r="D35" s="237">
        <f t="shared" si="12"/>
        <v>0</v>
      </c>
      <c r="E35" s="254">
        <f t="array" ref="E35">_xll.BC(DB,_xll.ArrayDPT($AA35:$AE35),_xll.ArrayCOA($AG35:$AZ35),YR,PRD,RV,_xll.ArrayDIM($BB35:$BE35))</f>
        <v>0</v>
      </c>
      <c r="F35" s="237">
        <f t="shared" si="13"/>
        <v>0</v>
      </c>
      <c r="G35" s="254">
        <f t="array" ref="G35">_xll.AC(DB,_xll.ArrayDPT($AA35:$AE35),_xll.ArrayCOA($AG35:$AZ35),YR,PRD,_xll.ArrayDIM($BB35:$BE35))</f>
        <v>0</v>
      </c>
      <c r="H35" s="237">
        <f t="shared" si="14"/>
        <v>0</v>
      </c>
      <c r="I35" s="237"/>
      <c r="J35" s="328" t="s">
        <v>826</v>
      </c>
      <c r="K35" s="237"/>
      <c r="L35" s="254">
        <f t="array" ref="L35">_xll.ACC(DB,_xll.ArrayDPT($AA35:$AE35),_xll.ArrayCOA($AG35:$AZ35),YR,PRD,_xll.ArrayDIM($BB35:$BE35))</f>
        <v>0</v>
      </c>
      <c r="M35" s="237">
        <f t="shared" si="15"/>
        <v>0</v>
      </c>
      <c r="N35" s="254">
        <f t="array" ref="N35">_xll.BCC(DB,_xll.ArrayDPT($AA35:$AE35),_xll.ArrayCOA($AG35:$AZ35),YR,PRD,RV,_xll.ArrayDIM($BB35:$BE35))</f>
        <v>0</v>
      </c>
      <c r="O35" s="237">
        <f t="shared" si="16"/>
        <v>0</v>
      </c>
      <c r="P35" s="237">
        <f t="shared" si="17"/>
        <v>0</v>
      </c>
      <c r="Q35" s="237">
        <f t="shared" si="18"/>
        <v>0</v>
      </c>
      <c r="R35" s="254">
        <f t="array" ref="R35">_xll.ACC(DB,_xll.ArrayDPT($AA35:$AE35),_xll.ArrayCOA($AG35:$AZ35),YR-1,PRD,_xll.ArrayDIM($BB35:$BE35))</f>
        <v>0</v>
      </c>
      <c r="S35" s="237">
        <f t="shared" si="19"/>
        <v>0</v>
      </c>
      <c r="T35" s="295"/>
      <c r="U35" s="295"/>
      <c r="V35" s="295"/>
      <c r="W35" s="295"/>
      <c r="X35" s="295"/>
      <c r="Y35" s="295"/>
      <c r="Z35" s="295"/>
      <c r="AA35" s="95" t="s">
        <v>932</v>
      </c>
      <c r="AB35" s="96"/>
      <c r="AC35" s="96"/>
      <c r="AD35" s="96"/>
      <c r="AE35" s="96"/>
      <c r="AF35" s="97"/>
      <c r="AG35" s="95" t="s">
        <v>578</v>
      </c>
      <c r="AH35" s="96" t="s">
        <v>578</v>
      </c>
      <c r="AI35" s="95"/>
      <c r="AJ35" s="96"/>
      <c r="AK35" s="95"/>
      <c r="AL35" s="96"/>
      <c r="AM35" s="95"/>
      <c r="AN35" s="98"/>
      <c r="AO35" s="96"/>
      <c r="AP35" s="96"/>
      <c r="AQ35" s="95"/>
      <c r="AR35" s="98"/>
      <c r="AS35" s="96"/>
      <c r="AT35" s="96"/>
      <c r="AU35" s="95"/>
      <c r="AV35" s="98"/>
      <c r="AW35" s="96"/>
      <c r="AX35" s="96"/>
      <c r="AY35" s="95"/>
      <c r="AZ35" s="98"/>
      <c r="BA35" s="99"/>
      <c r="BB35" s="95"/>
      <c r="BC35" s="96"/>
      <c r="BD35" s="96"/>
      <c r="BE35" s="98"/>
    </row>
    <row r="36" spans="1:57" ht="12" hidden="1" customHeight="1">
      <c r="A36" s="254">
        <f t="array" ref="A36">_xll.AC(DB,_xll.ArrayDPT($AA36:$AE36),_xll.ArrayCOA($AG36:$AZ36),YR-1,PRD,_xll.ArrayDIM($BB36:$BE36))</f>
        <v>0</v>
      </c>
      <c r="B36" s="237">
        <f t="shared" si="10"/>
        <v>0</v>
      </c>
      <c r="C36" s="237">
        <f t="shared" si="11"/>
        <v>0</v>
      </c>
      <c r="D36" s="237">
        <f t="shared" si="12"/>
        <v>0</v>
      </c>
      <c r="E36" s="254">
        <f t="array" ref="E36">_xll.BC(DB,_xll.ArrayDPT($AA36:$AE36),_xll.ArrayCOA($AG36:$AZ36),YR,PRD,RV,_xll.ArrayDIM($BB36:$BE36))</f>
        <v>0</v>
      </c>
      <c r="F36" s="237">
        <f t="shared" si="13"/>
        <v>0</v>
      </c>
      <c r="G36" s="254">
        <f t="array" ref="G36">_xll.AC(DB,_xll.ArrayDPT($AA36:$AE36),_xll.ArrayCOA($AG36:$AZ36),YR,PRD,_xll.ArrayDIM($BB36:$BE36))</f>
        <v>0</v>
      </c>
      <c r="H36" s="237">
        <f t="shared" si="14"/>
        <v>0</v>
      </c>
      <c r="I36" s="237"/>
      <c r="J36" s="328" t="s">
        <v>974</v>
      </c>
      <c r="K36" s="237"/>
      <c r="L36" s="254">
        <f t="array" ref="L36">_xll.ACC(DB,_xll.ArrayDPT($AA36:$AE36),_xll.ArrayCOA($AG36:$AZ36),YR,PRD,_xll.ArrayDIM($BB36:$BE36))</f>
        <v>0</v>
      </c>
      <c r="M36" s="237">
        <f t="shared" si="15"/>
        <v>0</v>
      </c>
      <c r="N36" s="254">
        <f t="array" ref="N36">_xll.BCC(DB,_xll.ArrayDPT($AA36:$AE36),_xll.ArrayCOA($AG36:$AZ36),YR,PRD,RV,_xll.ArrayDIM($BB36:$BE36))</f>
        <v>0</v>
      </c>
      <c r="O36" s="237">
        <f t="shared" si="16"/>
        <v>0</v>
      </c>
      <c r="P36" s="237">
        <f t="shared" si="17"/>
        <v>0</v>
      </c>
      <c r="Q36" s="237">
        <f t="shared" si="18"/>
        <v>0</v>
      </c>
      <c r="R36" s="254">
        <f t="array" ref="R36">_xll.ACC(DB,_xll.ArrayDPT($AA36:$AE36),_xll.ArrayCOA($AG36:$AZ36),YR-1,PRD,_xll.ArrayDIM($BB36:$BE36))</f>
        <v>0</v>
      </c>
      <c r="S36" s="237">
        <f t="shared" si="19"/>
        <v>0</v>
      </c>
      <c r="T36" s="295"/>
      <c r="U36" s="295"/>
      <c r="V36" s="295"/>
      <c r="W36" s="295"/>
      <c r="X36" s="295"/>
      <c r="Y36" s="295"/>
      <c r="Z36" s="295"/>
      <c r="AA36" s="95"/>
      <c r="AB36" s="96"/>
      <c r="AC36" s="96"/>
      <c r="AD36" s="96"/>
      <c r="AE36" s="96"/>
      <c r="AF36" s="97"/>
      <c r="AG36" s="95"/>
      <c r="AH36" s="96"/>
      <c r="AI36" s="95"/>
      <c r="AJ36" s="96"/>
      <c r="AK36" s="95"/>
      <c r="AL36" s="96"/>
      <c r="AM36" s="95"/>
      <c r="AN36" s="98"/>
      <c r="AO36" s="96"/>
      <c r="AP36" s="96"/>
      <c r="AQ36" s="95"/>
      <c r="AR36" s="98"/>
      <c r="AS36" s="96"/>
      <c r="AT36" s="96"/>
      <c r="AU36" s="95"/>
      <c r="AV36" s="98"/>
      <c r="AW36" s="96"/>
      <c r="AX36" s="96"/>
      <c r="AY36" s="95"/>
      <c r="AZ36" s="98"/>
      <c r="BA36" s="99"/>
      <c r="BB36" s="95"/>
      <c r="BC36" s="96"/>
      <c r="BD36" s="96"/>
      <c r="BE36" s="98"/>
    </row>
    <row r="37" spans="1:57" ht="12" hidden="1" customHeight="1">
      <c r="A37" s="254">
        <f t="array" ref="A37">_xll.AC(DB,_xll.ArrayDPT($AA37:$AE37),_xll.ArrayCOA($AG37:$AZ37),YR-1,PRD,_xll.ArrayDIM($BB37:$BE37))</f>
        <v>0</v>
      </c>
      <c r="B37" s="237">
        <f t="shared" si="10"/>
        <v>0</v>
      </c>
      <c r="C37" s="237">
        <f t="shared" si="11"/>
        <v>0</v>
      </c>
      <c r="D37" s="237">
        <f t="shared" si="12"/>
        <v>0</v>
      </c>
      <c r="E37" s="254">
        <f t="array" ref="E37">_xll.BC(DB,_xll.ArrayDPT($AA37:$AE37),_xll.ArrayCOA($AG37:$AZ37),YR,PRD,RV,_xll.ArrayDIM($BB37:$BE37))</f>
        <v>0</v>
      </c>
      <c r="F37" s="237">
        <f t="shared" si="13"/>
        <v>0</v>
      </c>
      <c r="G37" s="254">
        <f t="array" ref="G37">_xll.AC(DB,_xll.ArrayDPT($AA37:$AE37),_xll.ArrayCOA($AG37:$AZ37),YR,PRD,_xll.ArrayDIM($BB37:$BE37))</f>
        <v>0</v>
      </c>
      <c r="H37" s="237">
        <f t="shared" si="14"/>
        <v>0</v>
      </c>
      <c r="I37" s="237"/>
      <c r="J37" s="328" t="s">
        <v>663</v>
      </c>
      <c r="K37" s="237"/>
      <c r="L37" s="254">
        <f t="array" ref="L37">_xll.ACC(DB,_xll.ArrayDPT($AA37:$AE37),_xll.ArrayCOA($AG37:$AZ37),YR,PRD,_xll.ArrayDIM($BB37:$BE37))</f>
        <v>0</v>
      </c>
      <c r="M37" s="237">
        <f t="shared" si="15"/>
        <v>0</v>
      </c>
      <c r="N37" s="254">
        <f t="array" ref="N37">_xll.BCC(DB,_xll.ArrayDPT($AA37:$AE37),_xll.ArrayCOA($AG37:$AZ37),YR,PRD,RV,_xll.ArrayDIM($BB37:$BE37))</f>
        <v>0</v>
      </c>
      <c r="O37" s="237">
        <f t="shared" si="16"/>
        <v>0</v>
      </c>
      <c r="P37" s="237">
        <f t="shared" si="17"/>
        <v>0</v>
      </c>
      <c r="Q37" s="237">
        <f t="shared" si="18"/>
        <v>0</v>
      </c>
      <c r="R37" s="254">
        <f t="array" ref="R37">_xll.ACC(DB,_xll.ArrayDPT($AA37:$AE37),_xll.ArrayCOA($AG37:$AZ37),YR-1,PRD,_xll.ArrayDIM($BB37:$BE37))</f>
        <v>0</v>
      </c>
      <c r="S37" s="237">
        <f t="shared" si="19"/>
        <v>0</v>
      </c>
      <c r="T37" s="295"/>
      <c r="U37" s="295"/>
      <c r="V37" s="295"/>
      <c r="W37" s="295"/>
      <c r="X37" s="295"/>
      <c r="Y37" s="295"/>
      <c r="Z37" s="295"/>
      <c r="AA37" s="95"/>
      <c r="AB37" s="96"/>
      <c r="AC37" s="96"/>
      <c r="AD37" s="96"/>
      <c r="AE37" s="96"/>
      <c r="AF37" s="97"/>
      <c r="AG37" s="95"/>
      <c r="AH37" s="96"/>
      <c r="AI37" s="95"/>
      <c r="AJ37" s="96"/>
      <c r="AK37" s="95"/>
      <c r="AL37" s="96"/>
      <c r="AM37" s="95"/>
      <c r="AN37" s="98"/>
      <c r="AO37" s="96"/>
      <c r="AP37" s="96"/>
      <c r="AQ37" s="95"/>
      <c r="AR37" s="98"/>
      <c r="AS37" s="96"/>
      <c r="AT37" s="96"/>
      <c r="AU37" s="95"/>
      <c r="AV37" s="98"/>
      <c r="AW37" s="96"/>
      <c r="AX37" s="96"/>
      <c r="AY37" s="95"/>
      <c r="AZ37" s="98"/>
      <c r="BA37" s="99"/>
      <c r="BB37" s="95"/>
      <c r="BC37" s="96"/>
      <c r="BD37" s="96"/>
      <c r="BE37" s="98"/>
    </row>
    <row r="38" spans="1:57" ht="12" customHeight="1">
      <c r="A38" s="254">
        <f t="array" ref="A38">_xll.AC(DB,_xll.ArrayDPT($AA38:$AE38),_xll.ArrayCOA($AG38:$AZ38),YR-1,PRD,_xll.ArrayDIM($BB38:$BE38))</f>
        <v>0</v>
      </c>
      <c r="B38" s="237">
        <f t="shared" si="10"/>
        <v>0</v>
      </c>
      <c r="C38" s="237">
        <f t="shared" si="11"/>
        <v>0</v>
      </c>
      <c r="D38" s="237">
        <f t="shared" si="12"/>
        <v>0</v>
      </c>
      <c r="E38" s="254">
        <f t="array" ref="E38">_xll.BC(DB,_xll.ArrayDPT($AA38:$AE38),_xll.ArrayCOA($AG38:$AZ38),YR,PRD,RV,_xll.ArrayDIM($BB38:$BE38))</f>
        <v>0</v>
      </c>
      <c r="F38" s="237">
        <f t="shared" si="13"/>
        <v>0</v>
      </c>
      <c r="G38" s="254">
        <f t="array" ref="G38">_xll.AC(DB,_xll.ArrayDPT($AA38:$AE38),_xll.ArrayCOA($AG38:$AZ38),YR,PRD,_xll.ArrayDIM($BB38:$BE38))</f>
        <v>0</v>
      </c>
      <c r="H38" s="237">
        <f t="shared" si="14"/>
        <v>0</v>
      </c>
      <c r="I38" s="237"/>
      <c r="J38" s="328" t="s">
        <v>975</v>
      </c>
      <c r="K38" s="237"/>
      <c r="L38" s="254">
        <f t="array" ref="L38">_xll.ACC(DB,_xll.ArrayDPT($AA38:$AE38),_xll.ArrayCOA($AG38:$AZ38),YR,PRD,_xll.ArrayDIM($BB38:$BE38))</f>
        <v>0</v>
      </c>
      <c r="M38" s="237">
        <f t="shared" si="15"/>
        <v>0</v>
      </c>
      <c r="N38" s="254">
        <f t="array" ref="N38">_xll.BCC(DB,_xll.ArrayDPT($AA38:$AE38),_xll.ArrayCOA($AG38:$AZ38),YR,PRD,RV,_xll.ArrayDIM($BB38:$BE38))</f>
        <v>0</v>
      </c>
      <c r="O38" s="237">
        <f t="shared" si="16"/>
        <v>0</v>
      </c>
      <c r="P38" s="237">
        <f t="shared" si="17"/>
        <v>0</v>
      </c>
      <c r="Q38" s="237">
        <f t="shared" si="18"/>
        <v>0</v>
      </c>
      <c r="R38" s="254">
        <f t="array" ref="R38">_xll.ACC(DB,_xll.ArrayDPT($AA38:$AE38),_xll.ArrayCOA($AG38:$AZ38),YR-1,PRD,_xll.ArrayDIM($BB38:$BE38))</f>
        <v>0</v>
      </c>
      <c r="S38" s="237">
        <f t="shared" si="19"/>
        <v>0</v>
      </c>
      <c r="T38" s="295"/>
      <c r="U38" s="295"/>
      <c r="V38" s="295"/>
      <c r="W38" s="295"/>
      <c r="X38" s="295"/>
      <c r="Y38" s="295"/>
      <c r="Z38" s="295"/>
      <c r="AA38" s="95" t="s">
        <v>932</v>
      </c>
      <c r="AB38" s="96"/>
      <c r="AC38" s="96"/>
      <c r="AD38" s="96"/>
      <c r="AE38" s="96"/>
      <c r="AF38" s="97"/>
      <c r="AG38" s="95" t="s">
        <v>692</v>
      </c>
      <c r="AH38" s="96" t="s">
        <v>692</v>
      </c>
      <c r="AI38" s="95"/>
      <c r="AJ38" s="96"/>
      <c r="AK38" s="95"/>
      <c r="AL38" s="96"/>
      <c r="AM38" s="95"/>
      <c r="AN38" s="98"/>
      <c r="AO38" s="96"/>
      <c r="AP38" s="96"/>
      <c r="AQ38" s="95"/>
      <c r="AR38" s="98"/>
      <c r="AS38" s="96"/>
      <c r="AT38" s="96"/>
      <c r="AU38" s="95"/>
      <c r="AV38" s="98"/>
      <c r="AW38" s="96"/>
      <c r="AX38" s="96"/>
      <c r="AY38" s="95"/>
      <c r="AZ38" s="98"/>
      <c r="BA38" s="99"/>
      <c r="BB38" s="95"/>
      <c r="BC38" s="96"/>
      <c r="BD38" s="96"/>
      <c r="BE38" s="98"/>
    </row>
    <row r="39" spans="1:57" ht="12" customHeight="1">
      <c r="A39" s="254">
        <f t="array" ref="A39">_xll.AC(DB,_xll.ArrayDPT($AA39:$AE39),_xll.ArrayCOA($AG39:$AZ39),YR-1,PRD,_xll.ArrayDIM($BB39:$BE39))</f>
        <v>15378.9</v>
      </c>
      <c r="B39" s="237">
        <f t="shared" si="10"/>
        <v>0.89700155667732062</v>
      </c>
      <c r="C39" s="237">
        <f t="shared" si="11"/>
        <v>-2021.2</v>
      </c>
      <c r="D39" s="237">
        <f t="shared" si="12"/>
        <v>0.12986796446390481</v>
      </c>
      <c r="E39" s="254">
        <f t="array" ref="E39">_xll.BC(DB,_xll.ArrayDPT($AA39:$AE39),_xll.ArrayCOA($AG39:$AZ39),YR,PRD,RV,_xll.ArrayDIM($BB39:$BE39))</f>
        <v>0</v>
      </c>
      <c r="F39" s="237">
        <f t="shared" si="13"/>
        <v>0</v>
      </c>
      <c r="G39" s="254">
        <f t="array" ref="G39">_xll.AC(DB,_xll.ArrayDPT($AA39:$AE39),_xll.ArrayCOA($AG39:$AZ39),YR,PRD,_xll.ArrayDIM($BB39:$BE39))</f>
        <v>2021.2</v>
      </c>
      <c r="H39" s="237">
        <f t="shared" si="14"/>
        <v>0.12986796446390481</v>
      </c>
      <c r="I39" s="237"/>
      <c r="J39" s="328" t="s">
        <v>976</v>
      </c>
      <c r="K39" s="237"/>
      <c r="L39" s="254">
        <f t="array" ref="L39">_xll.ACC(DB,_xll.ArrayDPT($AA39:$AE39),_xll.ArrayCOA($AG39:$AZ39),YR,PRD,_xll.ArrayDIM($BB39:$BE39))</f>
        <v>2021.2</v>
      </c>
      <c r="M39" s="237">
        <f t="shared" si="15"/>
        <v>0.12986796446390481</v>
      </c>
      <c r="N39" s="254">
        <f t="array" ref="N39">_xll.BCC(DB,_xll.ArrayDPT($AA39:$AE39),_xll.ArrayCOA($AG39:$AZ39),YR,PRD,RV,_xll.ArrayDIM($BB39:$BE39))</f>
        <v>0</v>
      </c>
      <c r="O39" s="237">
        <f t="shared" si="16"/>
        <v>0</v>
      </c>
      <c r="P39" s="237">
        <f t="shared" si="17"/>
        <v>-2021.2</v>
      </c>
      <c r="Q39" s="237">
        <f t="shared" si="18"/>
        <v>0.12986796446390481</v>
      </c>
      <c r="R39" s="254">
        <f t="array" ref="R39">_xll.ACC(DB,_xll.ArrayDPT($AA39:$AE39),_xll.ArrayCOA($AG39:$AZ39),YR-1,PRD,_xll.ArrayDIM($BB39:$BE39))</f>
        <v>15378.9</v>
      </c>
      <c r="S39" s="237">
        <f t="shared" si="19"/>
        <v>0.89700155667732062</v>
      </c>
      <c r="T39" s="295"/>
      <c r="U39" s="295"/>
      <c r="V39" s="295"/>
      <c r="W39" s="295"/>
      <c r="X39" s="295"/>
      <c r="Y39" s="295"/>
      <c r="Z39" s="295"/>
      <c r="AA39" s="95" t="s">
        <v>932</v>
      </c>
      <c r="AB39" s="96" t="s">
        <v>938</v>
      </c>
      <c r="AC39" s="96"/>
      <c r="AD39" s="96"/>
      <c r="AE39" s="96"/>
      <c r="AF39" s="97"/>
      <c r="AG39" s="95" t="s">
        <v>685</v>
      </c>
      <c r="AH39" s="96" t="s">
        <v>685</v>
      </c>
      <c r="AI39" s="95"/>
      <c r="AJ39" s="96"/>
      <c r="AK39" s="95"/>
      <c r="AL39" s="96"/>
      <c r="AM39" s="95"/>
      <c r="AN39" s="98"/>
      <c r="AO39" s="96"/>
      <c r="AP39" s="96"/>
      <c r="AQ39" s="95"/>
      <c r="AR39" s="98"/>
      <c r="AS39" s="96"/>
      <c r="AT39" s="96"/>
      <c r="AU39" s="95"/>
      <c r="AV39" s="98"/>
      <c r="AW39" s="96"/>
      <c r="AX39" s="96"/>
      <c r="AY39" s="95"/>
      <c r="AZ39" s="98"/>
      <c r="BA39" s="99"/>
      <c r="BB39" s="95"/>
      <c r="BC39" s="96"/>
      <c r="BD39" s="96"/>
      <c r="BE39" s="98"/>
    </row>
    <row r="40" spans="1:57" ht="12" customHeight="1">
      <c r="A40" s="254">
        <f t="array" ref="A40">_xll.AC(DB,_xll.ArrayDPT($AA40:$AE40),_xll.ArrayCOA($AG40:$AZ40),YR-1,PRD,_xll.ArrayDIM($BB40:$BE40))</f>
        <v>111372.34</v>
      </c>
      <c r="B40" s="237">
        <f t="shared" si="10"/>
        <v>6.4959888126456269</v>
      </c>
      <c r="C40" s="237">
        <f t="shared" si="11"/>
        <v>0</v>
      </c>
      <c r="D40" s="237">
        <f t="shared" si="12"/>
        <v>0</v>
      </c>
      <c r="E40" s="254">
        <f t="array" ref="E40">_xll.BC(DB,_xll.ArrayDPT($AA40:$AE40),_xll.ArrayCOA($AG40:$AZ40),YR,PRD,RV,_xll.ArrayDIM($BB40:$BE40))</f>
        <v>0</v>
      </c>
      <c r="F40" s="237">
        <f t="shared" si="13"/>
        <v>0</v>
      </c>
      <c r="G40" s="254">
        <f t="array" ref="G40">_xll.AC(DB,_xll.ArrayDPT($AA40:$AE40),_xll.ArrayCOA($AG40:$AZ40),YR,PRD,_xll.ArrayDIM($BB40:$BE40))</f>
        <v>0</v>
      </c>
      <c r="H40" s="237">
        <f t="shared" si="14"/>
        <v>0</v>
      </c>
      <c r="I40" s="237"/>
      <c r="J40" s="328" t="s">
        <v>977</v>
      </c>
      <c r="K40" s="237"/>
      <c r="L40" s="254">
        <f t="array" ref="L40">_xll.ACC(DB,_xll.ArrayDPT($AA40:$AE40),_xll.ArrayCOA($AG40:$AZ40),YR,PRD,_xll.ArrayDIM($BB40:$BE40))</f>
        <v>0</v>
      </c>
      <c r="M40" s="237">
        <f t="shared" si="15"/>
        <v>0</v>
      </c>
      <c r="N40" s="254">
        <f t="array" ref="N40">_xll.BCC(DB,_xll.ArrayDPT($AA40:$AE40),_xll.ArrayCOA($AG40:$AZ40),YR,PRD,RV,_xll.ArrayDIM($BB40:$BE40))</f>
        <v>0</v>
      </c>
      <c r="O40" s="237">
        <f t="shared" si="16"/>
        <v>0</v>
      </c>
      <c r="P40" s="237">
        <f t="shared" si="17"/>
        <v>0</v>
      </c>
      <c r="Q40" s="237">
        <f t="shared" si="18"/>
        <v>0</v>
      </c>
      <c r="R40" s="254">
        <f t="array" ref="R40">_xll.ACC(DB,_xll.ArrayDPT($AA40:$AE40),_xll.ArrayCOA($AG40:$AZ40),YR-1,PRD,_xll.ArrayDIM($BB40:$BE40))</f>
        <v>111372.34</v>
      </c>
      <c r="S40" s="237">
        <f t="shared" si="19"/>
        <v>6.4959888126456269</v>
      </c>
      <c r="T40" s="295"/>
      <c r="U40" s="295"/>
      <c r="V40" s="295"/>
      <c r="W40" s="295"/>
      <c r="X40" s="295"/>
      <c r="Y40" s="295"/>
      <c r="Z40" s="295"/>
      <c r="AA40" s="95" t="s">
        <v>932</v>
      </c>
      <c r="AB40" s="96" t="s">
        <v>978</v>
      </c>
      <c r="AC40" s="96"/>
      <c r="AD40" s="96"/>
      <c r="AE40" s="96"/>
      <c r="AF40" s="97"/>
      <c r="AG40" s="95" t="s">
        <v>702</v>
      </c>
      <c r="AH40" s="96" t="s">
        <v>702</v>
      </c>
      <c r="AI40" s="95"/>
      <c r="AJ40" s="96"/>
      <c r="AK40" s="95"/>
      <c r="AL40" s="96"/>
      <c r="AM40" s="95"/>
      <c r="AN40" s="98"/>
      <c r="AO40" s="96"/>
      <c r="AP40" s="96"/>
      <c r="AQ40" s="95"/>
      <c r="AR40" s="98"/>
      <c r="AS40" s="96"/>
      <c r="AT40" s="96"/>
      <c r="AU40" s="95"/>
      <c r="AV40" s="98"/>
      <c r="AW40" s="96"/>
      <c r="AX40" s="96"/>
      <c r="AY40" s="95"/>
      <c r="AZ40" s="98"/>
      <c r="BA40" s="99"/>
      <c r="BB40" s="95"/>
      <c r="BC40" s="96"/>
      <c r="BD40" s="96"/>
      <c r="BE40" s="98"/>
    </row>
    <row r="41" spans="1:57" ht="12" customHeight="1">
      <c r="A41" s="254">
        <f t="array" ref="A41">_xll.AC(DB,_xll.ArrayDPT($AA41:$AE41),_xll.ArrayCOA($AG41:$AZ41),YR-1,PRD,_xll.ArrayDIM($BB41:$BE41))</f>
        <v>0</v>
      </c>
      <c r="B41" s="237">
        <f t="shared" si="10"/>
        <v>0</v>
      </c>
      <c r="C41" s="237">
        <f t="shared" si="11"/>
        <v>-137</v>
      </c>
      <c r="D41" s="237">
        <f t="shared" si="12"/>
        <v>8.8026475022535897E-3</v>
      </c>
      <c r="E41" s="254">
        <f t="array" ref="E41">_xll.BC(DB,_xll.ArrayDPT($AA41:$AE41),_xll.ArrayCOA($AG41:$AZ41),YR,PRD,RV,_xll.ArrayDIM($BB41:$BE41))</f>
        <v>0</v>
      </c>
      <c r="F41" s="237">
        <f t="shared" si="13"/>
        <v>0</v>
      </c>
      <c r="G41" s="254">
        <f t="array" ref="G41">_xll.AC(DB,_xll.ArrayDPT($AA41:$AE41),_xll.ArrayCOA($AG41:$AZ41),YR,PRD,_xll.ArrayDIM($BB41:$BE41))</f>
        <v>137</v>
      </c>
      <c r="H41" s="237">
        <f t="shared" si="14"/>
        <v>8.8026475022535897E-3</v>
      </c>
      <c r="I41" s="237"/>
      <c r="J41" s="328" t="s">
        <v>705</v>
      </c>
      <c r="K41" s="237"/>
      <c r="L41" s="254">
        <f t="array" ref="L41">_xll.ACC(DB,_xll.ArrayDPT($AA41:$AE41),_xll.ArrayCOA($AG41:$AZ41),YR,PRD,_xll.ArrayDIM($BB41:$BE41))</f>
        <v>137</v>
      </c>
      <c r="M41" s="237">
        <f t="shared" si="15"/>
        <v>8.8026475022535897E-3</v>
      </c>
      <c r="N41" s="254">
        <f t="array" ref="N41">_xll.BCC(DB,_xll.ArrayDPT($AA41:$AE41),_xll.ArrayCOA($AG41:$AZ41),YR,PRD,RV,_xll.ArrayDIM($BB41:$BE41))</f>
        <v>0</v>
      </c>
      <c r="O41" s="237">
        <f t="shared" si="16"/>
        <v>0</v>
      </c>
      <c r="P41" s="237">
        <f t="shared" si="17"/>
        <v>-137</v>
      </c>
      <c r="Q41" s="237">
        <f t="shared" si="18"/>
        <v>8.8026475022535897E-3</v>
      </c>
      <c r="R41" s="254">
        <f t="array" ref="R41">_xll.ACC(DB,_xll.ArrayDPT($AA41:$AE41),_xll.ArrayCOA($AG41:$AZ41),YR-1,PRD,_xll.ArrayDIM($BB41:$BE41))</f>
        <v>0</v>
      </c>
      <c r="S41" s="237">
        <f t="shared" si="19"/>
        <v>0</v>
      </c>
      <c r="T41" s="295"/>
      <c r="U41" s="295"/>
      <c r="V41" s="295"/>
      <c r="W41" s="295"/>
      <c r="X41" s="295"/>
      <c r="Y41" s="295"/>
      <c r="Z41" s="295"/>
      <c r="AA41" s="95" t="s">
        <v>932</v>
      </c>
      <c r="AB41" s="96" t="s">
        <v>933</v>
      </c>
      <c r="AC41" s="96"/>
      <c r="AD41" s="96"/>
      <c r="AE41" s="96"/>
      <c r="AF41" s="97"/>
      <c r="AG41" s="95" t="s">
        <v>706</v>
      </c>
      <c r="AH41" s="96" t="s">
        <v>706</v>
      </c>
      <c r="AI41" s="95"/>
      <c r="AJ41" s="96"/>
      <c r="AK41" s="95"/>
      <c r="AL41" s="96"/>
      <c r="AM41" s="95"/>
      <c r="AN41" s="98"/>
      <c r="AO41" s="96"/>
      <c r="AP41" s="96"/>
      <c r="AQ41" s="95"/>
      <c r="AR41" s="98"/>
      <c r="AS41" s="96"/>
      <c r="AT41" s="96"/>
      <c r="AU41" s="95"/>
      <c r="AV41" s="98"/>
      <c r="AW41" s="96"/>
      <c r="AX41" s="96"/>
      <c r="AY41" s="95"/>
      <c r="AZ41" s="98"/>
      <c r="BA41" s="99"/>
      <c r="BB41" s="95"/>
      <c r="BC41" s="96"/>
      <c r="BD41" s="96"/>
      <c r="BE41" s="98"/>
    </row>
    <row r="42" spans="1:57" ht="12" hidden="1" customHeight="1">
      <c r="A42" s="254">
        <f t="array" ref="A42">_xll.AC(DB,_xll.ArrayDPT($AA42:$AE42),_xll.ArrayCOA($AG42:$AZ42),YR-1,PRD,_xll.ArrayDIM($BB42:$BE42))</f>
        <v>0</v>
      </c>
      <c r="B42" s="237">
        <f t="shared" si="10"/>
        <v>0</v>
      </c>
      <c r="C42" s="237">
        <f t="shared" si="11"/>
        <v>0</v>
      </c>
      <c r="D42" s="237">
        <f t="shared" si="12"/>
        <v>0</v>
      </c>
      <c r="E42" s="254">
        <f t="array" ref="E42">_xll.BC(DB,_xll.ArrayDPT($AA42:$AE42),_xll.ArrayCOA($AG42:$AZ42),YR,PRD,RV,_xll.ArrayDIM($BB42:$BE42))</f>
        <v>0</v>
      </c>
      <c r="F42" s="237">
        <f t="shared" si="13"/>
        <v>0</v>
      </c>
      <c r="G42" s="254">
        <f t="array" ref="G42">_xll.AC(DB,_xll.ArrayDPT($AA42:$AE42),_xll.ArrayCOA($AG42:$AZ42),YR,PRD,_xll.ArrayDIM($BB42:$BE42))</f>
        <v>0</v>
      </c>
      <c r="H42" s="237">
        <f t="shared" si="14"/>
        <v>0</v>
      </c>
      <c r="I42" s="237"/>
      <c r="J42" s="328" t="s">
        <v>979</v>
      </c>
      <c r="K42" s="237"/>
      <c r="L42" s="254">
        <f t="array" ref="L42">_xll.ACC(DB,_xll.ArrayDPT($AA42:$AE42),_xll.ArrayCOA($AG42:$AZ42),YR,PRD,_xll.ArrayDIM($BB42:$BE42))</f>
        <v>0</v>
      </c>
      <c r="M42" s="237">
        <f t="shared" si="15"/>
        <v>0</v>
      </c>
      <c r="N42" s="254">
        <f t="array" ref="N42">_xll.BCC(DB,_xll.ArrayDPT($AA42:$AE42),_xll.ArrayCOA($AG42:$AZ42),YR,PRD,RV,_xll.ArrayDIM($BB42:$BE42))</f>
        <v>0</v>
      </c>
      <c r="O42" s="237">
        <f t="shared" si="16"/>
        <v>0</v>
      </c>
      <c r="P42" s="237">
        <f t="shared" si="17"/>
        <v>0</v>
      </c>
      <c r="Q42" s="237">
        <f t="shared" si="18"/>
        <v>0</v>
      </c>
      <c r="R42" s="254">
        <f t="array" ref="R42">_xll.ACC(DB,_xll.ArrayDPT($AA42:$AE42),_xll.ArrayCOA($AG42:$AZ42),YR-1,PRD,_xll.ArrayDIM($BB42:$BE42))</f>
        <v>0</v>
      </c>
      <c r="S42" s="237">
        <f t="shared" si="19"/>
        <v>0</v>
      </c>
      <c r="T42" s="295"/>
      <c r="U42" s="295"/>
      <c r="V42" s="295"/>
      <c r="W42" s="295"/>
      <c r="X42" s="295"/>
      <c r="Y42" s="295"/>
      <c r="Z42" s="295"/>
      <c r="AA42" s="95"/>
      <c r="AB42" s="96"/>
      <c r="AC42" s="96"/>
      <c r="AD42" s="96"/>
      <c r="AE42" s="96"/>
      <c r="AF42" s="97"/>
      <c r="AG42" s="95"/>
      <c r="AH42" s="96"/>
      <c r="AI42" s="95"/>
      <c r="AJ42" s="96"/>
      <c r="AK42" s="95"/>
      <c r="AL42" s="96"/>
      <c r="AM42" s="95"/>
      <c r="AN42" s="98"/>
      <c r="AO42" s="96"/>
      <c r="AP42" s="96"/>
      <c r="AQ42" s="95"/>
      <c r="AR42" s="98"/>
      <c r="AS42" s="96"/>
      <c r="AT42" s="96"/>
      <c r="AU42" s="95"/>
      <c r="AV42" s="98"/>
      <c r="AW42" s="96"/>
      <c r="AX42" s="96"/>
      <c r="AY42" s="95"/>
      <c r="AZ42" s="98"/>
      <c r="BA42" s="99"/>
      <c r="BB42" s="95"/>
      <c r="BC42" s="96"/>
      <c r="BD42" s="96"/>
      <c r="BE42" s="98"/>
    </row>
    <row r="43" spans="1:57" ht="12" customHeight="1">
      <c r="A43" s="254">
        <f t="array" ref="A43">_xll.AC(DB,_xll.ArrayDPT($AA43:$AE43),_xll.ArrayCOA($AG43:$AZ43),YR-1,PRD,_xll.ArrayDIM($BB43:$BE43))</f>
        <v>0</v>
      </c>
      <c r="B43" s="237">
        <f t="shared" si="10"/>
        <v>0</v>
      </c>
      <c r="C43" s="237">
        <f t="shared" si="11"/>
        <v>0</v>
      </c>
      <c r="D43" s="237">
        <f t="shared" si="12"/>
        <v>0</v>
      </c>
      <c r="E43" s="254">
        <f t="array" ref="E43">_xll.BC(DB,_xll.ArrayDPT($AA43:$AE43),_xll.ArrayCOA($AG43:$AZ43),YR,PRD,RV,_xll.ArrayDIM($BB43:$BE43))</f>
        <v>0</v>
      </c>
      <c r="F43" s="237">
        <f t="shared" si="13"/>
        <v>0</v>
      </c>
      <c r="G43" s="254">
        <f t="array" ref="G43">_xll.AC(DB,_xll.ArrayDPT($AA43:$AE43),_xll.ArrayCOA($AG43:$AZ43),YR,PRD,_xll.ArrayDIM($BB43:$BE43))</f>
        <v>0</v>
      </c>
      <c r="H43" s="237">
        <f t="shared" si="14"/>
        <v>0</v>
      </c>
      <c r="I43" s="237"/>
      <c r="J43" s="328" t="s">
        <v>980</v>
      </c>
      <c r="K43" s="237"/>
      <c r="L43" s="254">
        <f t="array" ref="L43">_xll.ACC(DB,_xll.ArrayDPT($AA43:$AE43),_xll.ArrayCOA($AG43:$AZ43),YR,PRD,_xll.ArrayDIM($BB43:$BE43))</f>
        <v>0</v>
      </c>
      <c r="M43" s="237">
        <f t="shared" si="15"/>
        <v>0</v>
      </c>
      <c r="N43" s="254">
        <f t="array" ref="N43">_xll.BCC(DB,_xll.ArrayDPT($AA43:$AE43),_xll.ArrayCOA($AG43:$AZ43),YR,PRD,RV,_xll.ArrayDIM($BB43:$BE43))</f>
        <v>0</v>
      </c>
      <c r="O43" s="237">
        <f t="shared" si="16"/>
        <v>0</v>
      </c>
      <c r="P43" s="237">
        <f t="shared" si="17"/>
        <v>0</v>
      </c>
      <c r="Q43" s="237">
        <f t="shared" si="18"/>
        <v>0</v>
      </c>
      <c r="R43" s="254">
        <f t="array" ref="R43">_xll.ACC(DB,_xll.ArrayDPT($AA43:$AE43),_xll.ArrayCOA($AG43:$AZ43),YR-1,PRD,_xll.ArrayDIM($BB43:$BE43))</f>
        <v>0</v>
      </c>
      <c r="S43" s="237">
        <f t="shared" si="19"/>
        <v>0</v>
      </c>
      <c r="T43" s="295"/>
      <c r="U43" s="295"/>
      <c r="V43" s="295"/>
      <c r="W43" s="295"/>
      <c r="X43" s="295"/>
      <c r="Y43" s="295"/>
      <c r="Z43" s="295"/>
      <c r="AA43" s="95" t="s">
        <v>932</v>
      </c>
      <c r="AB43" s="96"/>
      <c r="AC43" s="96"/>
      <c r="AD43" s="96"/>
      <c r="AE43" s="96"/>
      <c r="AF43" s="97"/>
      <c r="AG43" s="95" t="s">
        <v>981</v>
      </c>
      <c r="AH43" s="96" t="s">
        <v>981</v>
      </c>
      <c r="AI43" s="95"/>
      <c r="AJ43" s="96"/>
      <c r="AK43" s="95"/>
      <c r="AL43" s="96"/>
      <c r="AM43" s="95"/>
      <c r="AN43" s="98"/>
      <c r="AO43" s="96"/>
      <c r="AP43" s="96"/>
      <c r="AQ43" s="95"/>
      <c r="AR43" s="98"/>
      <c r="AS43" s="96"/>
      <c r="AT43" s="96"/>
      <c r="AU43" s="95"/>
      <c r="AV43" s="98"/>
      <c r="AW43" s="96"/>
      <c r="AX43" s="96"/>
      <c r="AY43" s="95"/>
      <c r="AZ43" s="98"/>
      <c r="BA43" s="99"/>
      <c r="BB43" s="95"/>
      <c r="BC43" s="96"/>
      <c r="BD43" s="96"/>
      <c r="BE43" s="98"/>
    </row>
    <row r="44" spans="1:57" ht="12" customHeight="1">
      <c r="A44" s="254">
        <f t="array" ref="A44">_xll.AC(DB,_xll.ArrayDPT($AA44:$AE44),_xll.ArrayCOA($AG44:$AZ44),YR-1,PRD,_xll.ArrayDIM($BB44:$BE44))</f>
        <v>623000</v>
      </c>
      <c r="B44" s="237">
        <f t="shared" si="10"/>
        <v>36.337577447669908</v>
      </c>
      <c r="C44" s="237">
        <f t="shared" si="11"/>
        <v>-760000</v>
      </c>
      <c r="D44" s="237">
        <f t="shared" si="12"/>
        <v>48.832205121990718</v>
      </c>
      <c r="E44" s="254">
        <f t="array" ref="E44">_xll.BC(DB,_xll.ArrayDPT($AA44:$AE44),_xll.ArrayCOA($AG44:$AZ44),YR,PRD,RV,_xll.ArrayDIM($BB44:$BE44))</f>
        <v>0</v>
      </c>
      <c r="F44" s="237">
        <f t="shared" si="13"/>
        <v>0</v>
      </c>
      <c r="G44" s="254">
        <f t="array" ref="G44">_xll.AC(DB,_xll.ArrayDPT($AA44:$AE44),_xll.ArrayCOA($AG44:$AZ44),YR,PRD,_xll.ArrayDIM($BB44:$BE44))</f>
        <v>760000</v>
      </c>
      <c r="H44" s="237">
        <f t="shared" si="14"/>
        <v>48.832205121990718</v>
      </c>
      <c r="I44" s="237"/>
      <c r="J44" s="328" t="s">
        <v>982</v>
      </c>
      <c r="K44" s="237"/>
      <c r="L44" s="254">
        <f t="array" ref="L44">_xll.ACC(DB,_xll.ArrayDPT($AA44:$AE44),_xll.ArrayCOA($AG44:$AZ44),YR,PRD,_xll.ArrayDIM($BB44:$BE44))</f>
        <v>760000</v>
      </c>
      <c r="M44" s="237">
        <f t="shared" si="15"/>
        <v>48.832205121990718</v>
      </c>
      <c r="N44" s="254">
        <f t="array" ref="N44">_xll.BCC(DB,_xll.ArrayDPT($AA44:$AE44),_xll.ArrayCOA($AG44:$AZ44),YR,PRD,RV,_xll.ArrayDIM($BB44:$BE44))</f>
        <v>0</v>
      </c>
      <c r="O44" s="237">
        <f t="shared" si="16"/>
        <v>0</v>
      </c>
      <c r="P44" s="237">
        <f t="shared" si="17"/>
        <v>-760000</v>
      </c>
      <c r="Q44" s="237">
        <f t="shared" si="18"/>
        <v>48.832205121990718</v>
      </c>
      <c r="R44" s="254">
        <f t="array" ref="R44">_xll.ACC(DB,_xll.ArrayDPT($AA44:$AE44),_xll.ArrayCOA($AG44:$AZ44),YR-1,PRD,_xll.ArrayDIM($BB44:$BE44))</f>
        <v>623000</v>
      </c>
      <c r="S44" s="237">
        <f t="shared" si="19"/>
        <v>36.337577447669908</v>
      </c>
      <c r="T44" s="295"/>
      <c r="U44" s="295"/>
      <c r="V44" s="295"/>
      <c r="W44" s="295"/>
      <c r="X44" s="295"/>
      <c r="Y44" s="295"/>
      <c r="Z44" s="295"/>
      <c r="AA44" s="95" t="s">
        <v>932</v>
      </c>
      <c r="AB44" s="96"/>
      <c r="AC44" s="96"/>
      <c r="AD44" s="96"/>
      <c r="AE44" s="96"/>
      <c r="AF44" s="97"/>
      <c r="AG44" s="95" t="s">
        <v>983</v>
      </c>
      <c r="AH44" s="96" t="s">
        <v>983</v>
      </c>
      <c r="AI44" s="95"/>
      <c r="AJ44" s="96"/>
      <c r="AK44" s="95"/>
      <c r="AL44" s="96"/>
      <c r="AM44" s="95"/>
      <c r="AN44" s="98"/>
      <c r="AO44" s="96"/>
      <c r="AP44" s="96"/>
      <c r="AQ44" s="95"/>
      <c r="AR44" s="98"/>
      <c r="AS44" s="96"/>
      <c r="AT44" s="96"/>
      <c r="AU44" s="95"/>
      <c r="AV44" s="98"/>
      <c r="AW44" s="96"/>
      <c r="AX44" s="96"/>
      <c r="AY44" s="95"/>
      <c r="AZ44" s="98"/>
      <c r="BA44" s="99"/>
      <c r="BB44" s="95"/>
      <c r="BC44" s="96"/>
      <c r="BD44" s="96"/>
      <c r="BE44" s="98"/>
    </row>
    <row r="45" spans="1:57" ht="12" customHeight="1">
      <c r="A45" s="254">
        <f t="array" ref="A45">_xll.AC(DB,_xll.ArrayDPT($AA45:$AE45),_xll.ArrayCOA($AG45:$AZ45),YR-1,PRD,_xll.ArrayDIM($BB45:$BE45))</f>
        <v>0</v>
      </c>
      <c r="B45" s="237">
        <f t="shared" si="10"/>
        <v>0</v>
      </c>
      <c r="C45" s="237">
        <f t="shared" si="11"/>
        <v>-20479</v>
      </c>
      <c r="D45" s="237">
        <f t="shared" si="12"/>
        <v>1.3158351693332211</v>
      </c>
      <c r="E45" s="254">
        <f t="array" ref="E45">_xll.BC(DB,_xll.ArrayDPT($AA45:$AE45),_xll.ArrayCOA($AG45:$AZ45),YR,PRD,RV,_xll.ArrayDIM($BB45:$BE45))</f>
        <v>0</v>
      </c>
      <c r="F45" s="237">
        <f t="shared" si="13"/>
        <v>0</v>
      </c>
      <c r="G45" s="254">
        <f t="array" ref="G45">_xll.AC(DB,_xll.ArrayDPT($AA45:$AE45),_xll.ArrayCOA($AG45:$AZ45),YR,PRD,_xll.ArrayDIM($BB45:$BE45))</f>
        <v>20479</v>
      </c>
      <c r="H45" s="237">
        <f t="shared" si="14"/>
        <v>1.3158351693332211</v>
      </c>
      <c r="I45" s="237"/>
      <c r="J45" s="328" t="s">
        <v>823</v>
      </c>
      <c r="K45" s="237"/>
      <c r="L45" s="254">
        <f t="array" ref="L45">_xll.ACC(DB,_xll.ArrayDPT($AA45:$AE45),_xll.ArrayCOA($AG45:$AZ45),YR,PRD,_xll.ArrayDIM($BB45:$BE45))</f>
        <v>20479</v>
      </c>
      <c r="M45" s="237">
        <f t="shared" si="15"/>
        <v>1.3158351693332211</v>
      </c>
      <c r="N45" s="254">
        <f t="array" ref="N45">_xll.BCC(DB,_xll.ArrayDPT($AA45:$AE45),_xll.ArrayCOA($AG45:$AZ45),YR,PRD,RV,_xll.ArrayDIM($BB45:$BE45))</f>
        <v>0</v>
      </c>
      <c r="O45" s="237">
        <f t="shared" si="16"/>
        <v>0</v>
      </c>
      <c r="P45" s="237">
        <f t="shared" si="17"/>
        <v>-20479</v>
      </c>
      <c r="Q45" s="237">
        <f t="shared" si="18"/>
        <v>1.3158351693332211</v>
      </c>
      <c r="R45" s="254">
        <f t="array" ref="R45">_xll.ACC(DB,_xll.ArrayDPT($AA45:$AE45),_xll.ArrayCOA($AG45:$AZ45),YR-1,PRD,_xll.ArrayDIM($BB45:$BE45))</f>
        <v>0</v>
      </c>
      <c r="S45" s="237">
        <f t="shared" si="19"/>
        <v>0</v>
      </c>
      <c r="T45" s="295"/>
      <c r="U45" s="295"/>
      <c r="V45" s="295"/>
      <c r="W45" s="295"/>
      <c r="X45" s="295"/>
      <c r="Y45" s="295"/>
      <c r="Z45" s="295"/>
      <c r="AA45" s="95" t="s">
        <v>932</v>
      </c>
      <c r="AB45" s="96" t="s">
        <v>936</v>
      </c>
      <c r="AC45" s="96" t="s">
        <v>933</v>
      </c>
      <c r="AD45" s="96"/>
      <c r="AE45" s="96"/>
      <c r="AF45" s="97"/>
      <c r="AG45" s="95" t="s">
        <v>718</v>
      </c>
      <c r="AH45" s="96" t="s">
        <v>718</v>
      </c>
      <c r="AI45" s="95"/>
      <c r="AJ45" s="96"/>
      <c r="AK45" s="95"/>
      <c r="AL45" s="96"/>
      <c r="AM45" s="95"/>
      <c r="AN45" s="98"/>
      <c r="AO45" s="96"/>
      <c r="AP45" s="96"/>
      <c r="AQ45" s="95"/>
      <c r="AR45" s="98"/>
      <c r="AS45" s="96"/>
      <c r="AT45" s="96"/>
      <c r="AU45" s="95"/>
      <c r="AV45" s="98"/>
      <c r="AW45" s="96"/>
      <c r="AX45" s="96"/>
      <c r="AY45" s="95"/>
      <c r="AZ45" s="98"/>
      <c r="BA45" s="99"/>
      <c r="BB45" s="95"/>
      <c r="BC45" s="96"/>
      <c r="BD45" s="96"/>
      <c r="BE45" s="98"/>
    </row>
    <row r="46" spans="1:57" ht="12" customHeight="1">
      <c r="A46" s="254">
        <f t="array" ref="A46">_xll.AC(DB,_xll.ArrayDPT($AA46:$AE46),_xll.ArrayCOA($AG46:$AZ46),YR-1,PRD,_xll.ArrayDIM($BB46:$BE46))</f>
        <v>0</v>
      </c>
      <c r="B46" s="237">
        <f t="shared" si="10"/>
        <v>0</v>
      </c>
      <c r="C46" s="237">
        <f t="shared" si="11"/>
        <v>0</v>
      </c>
      <c r="D46" s="237">
        <f t="shared" si="12"/>
        <v>0</v>
      </c>
      <c r="E46" s="254">
        <f t="array" ref="E46">_xll.BC(DB,_xll.ArrayDPT($AA46:$AE46),_xll.ArrayCOA($AG46:$AZ46),YR,PRD,RV,_xll.ArrayDIM($BB46:$BE46))</f>
        <v>0</v>
      </c>
      <c r="F46" s="237">
        <f t="shared" si="13"/>
        <v>0</v>
      </c>
      <c r="G46" s="254">
        <f t="array" ref="G46">_xll.AC(DB,_xll.ArrayDPT($AA46:$AE46),_xll.ArrayCOA($AG46:$AZ46),YR,PRD,_xll.ArrayDIM($BB46:$BE46))</f>
        <v>0</v>
      </c>
      <c r="H46" s="237">
        <f t="shared" si="14"/>
        <v>0</v>
      </c>
      <c r="I46" s="237"/>
      <c r="J46" s="328" t="s">
        <v>984</v>
      </c>
      <c r="K46" s="237"/>
      <c r="L46" s="254">
        <f t="array" ref="L46">_xll.ACC(DB,_xll.ArrayDPT($AA46:$AE46),_xll.ArrayCOA($AG46:$AZ46),YR,PRD,_xll.ArrayDIM($BB46:$BE46))</f>
        <v>0</v>
      </c>
      <c r="M46" s="237">
        <f t="shared" si="15"/>
        <v>0</v>
      </c>
      <c r="N46" s="254">
        <f t="array" ref="N46">_xll.BCC(DB,_xll.ArrayDPT($AA46:$AE46),_xll.ArrayCOA($AG46:$AZ46),YR,PRD,RV,_xll.ArrayDIM($BB46:$BE46))</f>
        <v>0</v>
      </c>
      <c r="O46" s="237">
        <f t="shared" si="16"/>
        <v>0</v>
      </c>
      <c r="P46" s="237">
        <f t="shared" si="17"/>
        <v>0</v>
      </c>
      <c r="Q46" s="237">
        <f t="shared" si="18"/>
        <v>0</v>
      </c>
      <c r="R46" s="254">
        <f t="array" ref="R46">_xll.ACC(DB,_xll.ArrayDPT($AA46:$AE46),_xll.ArrayCOA($AG46:$AZ46),YR-1,PRD,_xll.ArrayDIM($BB46:$BE46))</f>
        <v>0</v>
      </c>
      <c r="S46" s="237">
        <f t="shared" si="19"/>
        <v>0</v>
      </c>
      <c r="T46" s="295"/>
      <c r="U46" s="295"/>
      <c r="V46" s="295"/>
      <c r="W46" s="295"/>
      <c r="X46" s="295"/>
      <c r="Y46" s="295"/>
      <c r="Z46" s="295"/>
      <c r="AA46" s="95" t="s">
        <v>932</v>
      </c>
      <c r="AB46" s="96"/>
      <c r="AC46" s="96"/>
      <c r="AD46" s="96"/>
      <c r="AE46" s="96"/>
      <c r="AF46" s="97"/>
      <c r="AG46" s="95" t="s">
        <v>985</v>
      </c>
      <c r="AH46" s="96" t="s">
        <v>985</v>
      </c>
      <c r="AI46" s="95"/>
      <c r="AJ46" s="96"/>
      <c r="AK46" s="95"/>
      <c r="AL46" s="96"/>
      <c r="AM46" s="95"/>
      <c r="AN46" s="98"/>
      <c r="AO46" s="96"/>
      <c r="AP46" s="96"/>
      <c r="AQ46" s="95"/>
      <c r="AR46" s="98"/>
      <c r="AS46" s="96"/>
      <c r="AT46" s="96"/>
      <c r="AU46" s="95"/>
      <c r="AV46" s="98"/>
      <c r="AW46" s="96"/>
      <c r="AX46" s="96"/>
      <c r="AY46" s="95"/>
      <c r="AZ46" s="98"/>
      <c r="BA46" s="99"/>
      <c r="BB46" s="95"/>
      <c r="BC46" s="96"/>
      <c r="BD46" s="96"/>
      <c r="BE46" s="98"/>
    </row>
    <row r="47" spans="1:57" ht="12" customHeight="1">
      <c r="A47" s="254">
        <f t="array" ref="A47">_xll.AC(DB,_xll.ArrayDPT($AA47:$AE47),_xll.ArrayCOA($AG47:$AZ47),YR-1,PRD,_xll.ArrayDIM($BB47:$BE47))</f>
        <v>0</v>
      </c>
      <c r="B47" s="237">
        <f t="shared" si="10"/>
        <v>0</v>
      </c>
      <c r="C47" s="237">
        <f t="shared" si="11"/>
        <v>0</v>
      </c>
      <c r="D47" s="237">
        <f t="shared" si="12"/>
        <v>0</v>
      </c>
      <c r="E47" s="254">
        <f t="array" ref="E47">_xll.BC(DB,_xll.ArrayDPT($AA47:$AE47),_xll.ArrayCOA($AG47:$AZ47),YR,PRD,RV,_xll.ArrayDIM($BB47:$BE47))</f>
        <v>0</v>
      </c>
      <c r="F47" s="237">
        <f t="shared" si="13"/>
        <v>0</v>
      </c>
      <c r="G47" s="254">
        <f t="array" ref="G47">_xll.AC(DB,_xll.ArrayDPT($AA47:$AE47),_xll.ArrayCOA($AG47:$AZ47),YR,PRD,_xll.ArrayDIM($BB47:$BE47))</f>
        <v>0</v>
      </c>
      <c r="H47" s="237">
        <f t="shared" si="14"/>
        <v>0</v>
      </c>
      <c r="I47" s="237"/>
      <c r="J47" s="328" t="s">
        <v>714</v>
      </c>
      <c r="K47" s="237"/>
      <c r="L47" s="254">
        <f t="array" ref="L47">_xll.ACC(DB,_xll.ArrayDPT($AA47:$AE47),_xll.ArrayCOA($AG47:$AZ47),YR,PRD,_xll.ArrayDIM($BB47:$BE47))</f>
        <v>0</v>
      </c>
      <c r="M47" s="237">
        <f t="shared" si="15"/>
        <v>0</v>
      </c>
      <c r="N47" s="254">
        <f t="array" ref="N47">_xll.BCC(DB,_xll.ArrayDPT($AA47:$AE47),_xll.ArrayCOA($AG47:$AZ47),YR,PRD,RV,_xll.ArrayDIM($BB47:$BE47))</f>
        <v>0</v>
      </c>
      <c r="O47" s="237">
        <f t="shared" si="16"/>
        <v>0</v>
      </c>
      <c r="P47" s="237">
        <f t="shared" si="17"/>
        <v>0</v>
      </c>
      <c r="Q47" s="237">
        <f t="shared" si="18"/>
        <v>0</v>
      </c>
      <c r="R47" s="254">
        <f t="array" ref="R47">_xll.ACC(DB,_xll.ArrayDPT($AA47:$AE47),_xll.ArrayCOA($AG47:$AZ47),YR-1,PRD,_xll.ArrayDIM($BB47:$BE47))</f>
        <v>0</v>
      </c>
      <c r="S47" s="237">
        <f t="shared" si="19"/>
        <v>0</v>
      </c>
      <c r="T47" s="295"/>
      <c r="U47" s="295"/>
      <c r="V47" s="295"/>
      <c r="W47" s="295"/>
      <c r="X47" s="295"/>
      <c r="Y47" s="295"/>
      <c r="Z47" s="295"/>
      <c r="AA47" s="95" t="s">
        <v>932</v>
      </c>
      <c r="AB47" s="96"/>
      <c r="AC47" s="96"/>
      <c r="AD47" s="96"/>
      <c r="AE47" s="96"/>
      <c r="AF47" s="97"/>
      <c r="AG47" s="95" t="s">
        <v>715</v>
      </c>
      <c r="AH47" s="96" t="s">
        <v>715</v>
      </c>
      <c r="AI47" s="95" t="s">
        <v>716</v>
      </c>
      <c r="AJ47" s="96" t="s">
        <v>716</v>
      </c>
      <c r="AK47" s="95"/>
      <c r="AL47" s="96"/>
      <c r="AM47" s="95"/>
      <c r="AN47" s="98"/>
      <c r="AO47" s="96"/>
      <c r="AP47" s="96"/>
      <c r="AQ47" s="95"/>
      <c r="AR47" s="98"/>
      <c r="AS47" s="96"/>
      <c r="AT47" s="96"/>
      <c r="AU47" s="95"/>
      <c r="AV47" s="98"/>
      <c r="AW47" s="96"/>
      <c r="AX47" s="96"/>
      <c r="AY47" s="95"/>
      <c r="AZ47" s="98"/>
      <c r="BA47" s="99"/>
      <c r="BB47" s="95"/>
      <c r="BC47" s="96"/>
      <c r="BD47" s="96"/>
      <c r="BE47" s="98"/>
    </row>
    <row r="48" spans="1:57" ht="12" customHeight="1">
      <c r="A48" s="254">
        <f t="array" ref="A48">_xll.AC(DB,_xll.ArrayDPT($AA48:$AE48),_xll.ArrayCOA($AG48:$AZ48),YR-1,PRD,_xll.ArrayDIM($BB48:$BE48))</f>
        <v>0</v>
      </c>
      <c r="B48" s="237">
        <f t="shared" si="10"/>
        <v>0</v>
      </c>
      <c r="C48" s="237">
        <f t="shared" si="11"/>
        <v>0</v>
      </c>
      <c r="D48" s="237">
        <f t="shared" si="12"/>
        <v>0</v>
      </c>
      <c r="E48" s="254">
        <f t="array" ref="E48">_xll.BC(DB,_xll.ArrayDPT($AA48:$AE48),_xll.ArrayCOA($AG48:$AZ48),YR,PRD,RV,_xll.ArrayDIM($BB48:$BE48))</f>
        <v>0</v>
      </c>
      <c r="F48" s="237">
        <f t="shared" si="13"/>
        <v>0</v>
      </c>
      <c r="G48" s="254">
        <f t="array" ref="G48">_xll.AC(DB,_xll.ArrayDPT($AA48:$AE48),_xll.ArrayCOA($AG48:$AZ48),YR,PRD,_xll.ArrayDIM($BB48:$BE48))</f>
        <v>0</v>
      </c>
      <c r="H48" s="237">
        <f t="shared" si="14"/>
        <v>0</v>
      </c>
      <c r="I48" s="237"/>
      <c r="J48" s="328" t="s">
        <v>876</v>
      </c>
      <c r="K48" s="237"/>
      <c r="L48" s="254">
        <f t="array" ref="L48">_xll.ACC(DB,_xll.ArrayDPT($AA48:$AE48),_xll.ArrayCOA($AG48:$AZ48),YR,PRD,_xll.ArrayDIM($BB48:$BE48))</f>
        <v>0</v>
      </c>
      <c r="M48" s="237">
        <f t="shared" si="15"/>
        <v>0</v>
      </c>
      <c r="N48" s="254">
        <f t="array" ref="N48">_xll.BCC(DB,_xll.ArrayDPT($AA48:$AE48),_xll.ArrayCOA($AG48:$AZ48),YR,PRD,RV,_xll.ArrayDIM($BB48:$BE48))</f>
        <v>0</v>
      </c>
      <c r="O48" s="237">
        <f t="shared" si="16"/>
        <v>0</v>
      </c>
      <c r="P48" s="237">
        <f t="shared" si="17"/>
        <v>0</v>
      </c>
      <c r="Q48" s="237">
        <f t="shared" si="18"/>
        <v>0</v>
      </c>
      <c r="R48" s="254">
        <f t="array" ref="R48">_xll.ACC(DB,_xll.ArrayDPT($AA48:$AE48),_xll.ArrayCOA($AG48:$AZ48),YR-1,PRD,_xll.ArrayDIM($BB48:$BE48))</f>
        <v>0</v>
      </c>
      <c r="S48" s="237">
        <f t="shared" si="19"/>
        <v>0</v>
      </c>
      <c r="T48" s="295"/>
      <c r="U48" s="295"/>
      <c r="V48" s="295"/>
      <c r="W48" s="295"/>
      <c r="X48" s="295"/>
      <c r="Y48" s="295"/>
      <c r="Z48" s="295"/>
      <c r="AA48" s="95"/>
      <c r="AB48" s="96"/>
      <c r="AC48" s="96"/>
      <c r="AD48" s="96"/>
      <c r="AE48" s="96"/>
      <c r="AF48" s="97"/>
      <c r="AG48" s="95"/>
      <c r="AH48" s="96"/>
      <c r="AI48" s="95"/>
      <c r="AJ48" s="96"/>
      <c r="AK48" s="95"/>
      <c r="AL48" s="96"/>
      <c r="AM48" s="95"/>
      <c r="AN48" s="98"/>
      <c r="AO48" s="96"/>
      <c r="AP48" s="96"/>
      <c r="AQ48" s="95"/>
      <c r="AR48" s="98"/>
      <c r="AS48" s="96"/>
      <c r="AT48" s="96"/>
      <c r="AU48" s="95"/>
      <c r="AV48" s="98"/>
      <c r="AW48" s="96"/>
      <c r="AX48" s="96"/>
      <c r="AY48" s="95"/>
      <c r="AZ48" s="98"/>
      <c r="BA48" s="99"/>
      <c r="BB48" s="95"/>
      <c r="BC48" s="96"/>
      <c r="BD48" s="96"/>
      <c r="BE48" s="98"/>
    </row>
    <row r="49" spans="1:57" ht="12" customHeight="1">
      <c r="A49" s="254">
        <f t="array" ref="A49">_xll.AC(DB,_xll.ArrayDPT($AA49:$AE49),_xll.ArrayCOA($AG49:$AZ49),YR-1,PRD,_xll.ArrayDIM($BB49:$BE49))</f>
        <v>0</v>
      </c>
      <c r="B49" s="237">
        <f t="shared" si="10"/>
        <v>0</v>
      </c>
      <c r="C49" s="237">
        <f t="shared" si="11"/>
        <v>0</v>
      </c>
      <c r="D49" s="237">
        <f t="shared" si="12"/>
        <v>0</v>
      </c>
      <c r="E49" s="254">
        <f t="array" ref="E49">_xll.BC(DB,_xll.ArrayDPT($AA49:$AE49),_xll.ArrayCOA($AG49:$AZ49),YR,PRD,RV,_xll.ArrayDIM($BB49:$BE49))</f>
        <v>0</v>
      </c>
      <c r="F49" s="237">
        <f t="shared" si="13"/>
        <v>0</v>
      </c>
      <c r="G49" s="254">
        <f t="array" ref="G49">_xll.AC(DB,_xll.ArrayDPT($AA49:$AE49),_xll.ArrayCOA($AG49:$AZ49),YR,PRD,_xll.ArrayDIM($BB49:$BE49))</f>
        <v>0</v>
      </c>
      <c r="H49" s="237">
        <f t="shared" si="14"/>
        <v>0</v>
      </c>
      <c r="I49" s="237"/>
      <c r="J49" s="328" t="s">
        <v>986</v>
      </c>
      <c r="K49" s="237"/>
      <c r="L49" s="254">
        <f t="array" ref="L49">_xll.ACC(DB,_xll.ArrayDPT($AA49:$AE49),_xll.ArrayCOA($AG49:$AZ49),YR,PRD,_xll.ArrayDIM($BB49:$BE49))</f>
        <v>0</v>
      </c>
      <c r="M49" s="237">
        <f t="shared" si="15"/>
        <v>0</v>
      </c>
      <c r="N49" s="254">
        <f t="array" ref="N49">_xll.BCC(DB,_xll.ArrayDPT($AA49:$AE49),_xll.ArrayCOA($AG49:$AZ49),YR,PRD,RV,_xll.ArrayDIM($BB49:$BE49))</f>
        <v>0</v>
      </c>
      <c r="O49" s="237">
        <f t="shared" si="16"/>
        <v>0</v>
      </c>
      <c r="P49" s="237">
        <f t="shared" si="17"/>
        <v>0</v>
      </c>
      <c r="Q49" s="237">
        <f t="shared" si="18"/>
        <v>0</v>
      </c>
      <c r="R49" s="254">
        <f t="array" ref="R49">_xll.ACC(DB,_xll.ArrayDPT($AA49:$AE49),_xll.ArrayCOA($AG49:$AZ49),YR-1,PRD,_xll.ArrayDIM($BB49:$BE49))</f>
        <v>0</v>
      </c>
      <c r="S49" s="237">
        <f t="shared" si="19"/>
        <v>0</v>
      </c>
      <c r="T49" s="295"/>
      <c r="U49" s="295"/>
      <c r="V49" s="295"/>
      <c r="W49" s="295"/>
      <c r="X49" s="295"/>
      <c r="Y49" s="295"/>
      <c r="Z49" s="295"/>
      <c r="AA49" s="95"/>
      <c r="AB49" s="96"/>
      <c r="AC49" s="96"/>
      <c r="AD49" s="96"/>
      <c r="AE49" s="96"/>
      <c r="AF49" s="97"/>
      <c r="AG49" s="95"/>
      <c r="AH49" s="96"/>
      <c r="AI49" s="95"/>
      <c r="AJ49" s="96"/>
      <c r="AK49" s="95"/>
      <c r="AL49" s="96"/>
      <c r="AM49" s="95"/>
      <c r="AN49" s="98"/>
      <c r="AO49" s="96"/>
      <c r="AP49" s="96"/>
      <c r="AQ49" s="95"/>
      <c r="AR49" s="98"/>
      <c r="AS49" s="96"/>
      <c r="AT49" s="96"/>
      <c r="AU49" s="95"/>
      <c r="AV49" s="98"/>
      <c r="AW49" s="96"/>
      <c r="AX49" s="96"/>
      <c r="AY49" s="95"/>
      <c r="AZ49" s="98"/>
      <c r="BA49" s="99"/>
      <c r="BB49" s="95"/>
      <c r="BC49" s="96"/>
      <c r="BD49" s="96"/>
      <c r="BE49" s="98"/>
    </row>
    <row r="50" spans="1:57" ht="12" customHeight="1">
      <c r="A50" s="254">
        <f t="array" ref="A50">_xll.AC(DB,_xll.ArrayDPT($AA50:$AE50),_xll.ArrayCOA($AG50:$AZ50),YR-1,PRD,_xll.ArrayDIM($BB50:$BE50))</f>
        <v>0</v>
      </c>
      <c r="B50" s="237">
        <f t="shared" si="10"/>
        <v>0</v>
      </c>
      <c r="C50" s="237">
        <f t="shared" si="11"/>
        <v>0</v>
      </c>
      <c r="D50" s="237">
        <f t="shared" si="12"/>
        <v>0</v>
      </c>
      <c r="E50" s="254">
        <f t="array" ref="E50">_xll.BC(DB,_xll.ArrayDPT($AA50:$AE50),_xll.ArrayCOA($AG50:$AZ50),YR,PRD,RV,_xll.ArrayDIM($BB50:$BE50))</f>
        <v>0</v>
      </c>
      <c r="F50" s="237">
        <f t="shared" si="13"/>
        <v>0</v>
      </c>
      <c r="G50" s="254">
        <f t="array" ref="G50">_xll.AC(DB,_xll.ArrayDPT($AA50:$AE50),_xll.ArrayCOA($AG50:$AZ50),YR,PRD,_xll.ArrayDIM($BB50:$BE50))</f>
        <v>0</v>
      </c>
      <c r="H50" s="237">
        <f t="shared" si="14"/>
        <v>0</v>
      </c>
      <c r="I50" s="237"/>
      <c r="J50" s="328" t="s">
        <v>987</v>
      </c>
      <c r="K50" s="237"/>
      <c r="L50" s="254">
        <f t="array" ref="L50">_xll.ACC(DB,_xll.ArrayDPT($AA50:$AE50),_xll.ArrayCOA($AG50:$AZ50),YR,PRD,_xll.ArrayDIM($BB50:$BE50))</f>
        <v>0</v>
      </c>
      <c r="M50" s="237">
        <f t="shared" si="15"/>
        <v>0</v>
      </c>
      <c r="N50" s="254">
        <f t="array" ref="N50">_xll.BCC(DB,_xll.ArrayDPT($AA50:$AE50),_xll.ArrayCOA($AG50:$AZ50),YR,PRD,RV,_xll.ArrayDIM($BB50:$BE50))</f>
        <v>0</v>
      </c>
      <c r="O50" s="237">
        <f t="shared" si="16"/>
        <v>0</v>
      </c>
      <c r="P50" s="237">
        <f t="shared" si="17"/>
        <v>0</v>
      </c>
      <c r="Q50" s="237">
        <f t="shared" si="18"/>
        <v>0</v>
      </c>
      <c r="R50" s="254">
        <f t="array" ref="R50">_xll.ACC(DB,_xll.ArrayDPT($AA50:$AE50),_xll.ArrayCOA($AG50:$AZ50),YR-1,PRD,_xll.ArrayDIM($BB50:$BE50))</f>
        <v>0</v>
      </c>
      <c r="S50" s="237">
        <f t="shared" si="19"/>
        <v>0</v>
      </c>
      <c r="T50" s="295"/>
      <c r="U50" s="295"/>
      <c r="V50" s="295"/>
      <c r="W50" s="295"/>
      <c r="X50" s="295"/>
      <c r="Y50" s="295"/>
      <c r="Z50" s="295"/>
      <c r="AA50" s="95"/>
      <c r="AB50" s="96"/>
      <c r="AC50" s="96"/>
      <c r="AD50" s="96"/>
      <c r="AE50" s="96"/>
      <c r="AF50" s="97"/>
      <c r="AG50" s="95"/>
      <c r="AH50" s="96"/>
      <c r="AI50" s="95"/>
      <c r="AJ50" s="96"/>
      <c r="AK50" s="95"/>
      <c r="AL50" s="96"/>
      <c r="AM50" s="95"/>
      <c r="AN50" s="98"/>
      <c r="AO50" s="96"/>
      <c r="AP50" s="96"/>
      <c r="AQ50" s="95"/>
      <c r="AR50" s="98"/>
      <c r="AS50" s="96"/>
      <c r="AT50" s="96"/>
      <c r="AU50" s="95"/>
      <c r="AV50" s="98"/>
      <c r="AW50" s="96"/>
      <c r="AX50" s="96"/>
      <c r="AY50" s="95"/>
      <c r="AZ50" s="98"/>
      <c r="BA50" s="99"/>
      <c r="BB50" s="95"/>
      <c r="BC50" s="96"/>
      <c r="BD50" s="96"/>
      <c r="BE50" s="98"/>
    </row>
    <row r="51" spans="1:57" ht="12" customHeight="1">
      <c r="A51" s="254">
        <f t="array" ref="A51">_xll.AC(DB,_xll.ArrayDPT($AA51:$AE51),_xll.ArrayCOA($AG51:$AZ51),YR-1,PRD,_xll.ArrayDIM($BB51:$BE51))</f>
        <v>0</v>
      </c>
      <c r="B51" s="237">
        <f t="shared" si="10"/>
        <v>0</v>
      </c>
      <c r="C51" s="237">
        <f t="shared" si="11"/>
        <v>0</v>
      </c>
      <c r="D51" s="237">
        <f t="shared" si="12"/>
        <v>0</v>
      </c>
      <c r="E51" s="254">
        <f t="array" ref="E51">_xll.BC(DB,_xll.ArrayDPT($AA51:$AE51),_xll.ArrayCOA($AG51:$AZ51),YR,PRD,RV,_xll.ArrayDIM($BB51:$BE51))</f>
        <v>0</v>
      </c>
      <c r="F51" s="237">
        <f t="shared" si="13"/>
        <v>0</v>
      </c>
      <c r="G51" s="254">
        <f t="array" ref="G51">_xll.AC(DB,_xll.ArrayDPT($AA51:$AE51),_xll.ArrayCOA($AG51:$AZ51),YR,PRD,_xll.ArrayDIM($BB51:$BE51))</f>
        <v>0</v>
      </c>
      <c r="H51" s="237">
        <f t="shared" si="14"/>
        <v>0</v>
      </c>
      <c r="I51" s="237"/>
      <c r="J51" s="328" t="s">
        <v>988</v>
      </c>
      <c r="K51" s="237"/>
      <c r="L51" s="254">
        <f t="array" ref="L51">_xll.ACC(DB,_xll.ArrayDPT($AA51:$AE51),_xll.ArrayCOA($AG51:$AZ51),YR,PRD,_xll.ArrayDIM($BB51:$BE51))</f>
        <v>0</v>
      </c>
      <c r="M51" s="237">
        <f t="shared" si="15"/>
        <v>0</v>
      </c>
      <c r="N51" s="254">
        <f t="array" ref="N51">_xll.BCC(DB,_xll.ArrayDPT($AA51:$AE51),_xll.ArrayCOA($AG51:$AZ51),YR,PRD,RV,_xll.ArrayDIM($BB51:$BE51))</f>
        <v>0</v>
      </c>
      <c r="O51" s="237">
        <f t="shared" si="16"/>
        <v>0</v>
      </c>
      <c r="P51" s="237">
        <f t="shared" si="17"/>
        <v>0</v>
      </c>
      <c r="Q51" s="237">
        <f t="shared" si="18"/>
        <v>0</v>
      </c>
      <c r="R51" s="254">
        <f t="array" ref="R51">_xll.ACC(DB,_xll.ArrayDPT($AA51:$AE51),_xll.ArrayCOA($AG51:$AZ51),YR-1,PRD,_xll.ArrayDIM($BB51:$BE51))</f>
        <v>0</v>
      </c>
      <c r="S51" s="237">
        <f t="shared" si="19"/>
        <v>0</v>
      </c>
      <c r="T51" s="295"/>
      <c r="U51" s="295"/>
      <c r="V51" s="295"/>
      <c r="W51" s="295"/>
      <c r="X51" s="295"/>
      <c r="Y51" s="295"/>
      <c r="Z51" s="295"/>
      <c r="AA51" s="95"/>
      <c r="AB51" s="96"/>
      <c r="AC51" s="96"/>
      <c r="AD51" s="96"/>
      <c r="AE51" s="96"/>
      <c r="AF51" s="97"/>
      <c r="AG51" s="95"/>
      <c r="AH51" s="96"/>
      <c r="AI51" s="95"/>
      <c r="AJ51" s="96"/>
      <c r="AK51" s="95"/>
      <c r="AL51" s="96"/>
      <c r="AM51" s="95"/>
      <c r="AN51" s="98"/>
      <c r="AO51" s="96"/>
      <c r="AP51" s="96"/>
      <c r="AQ51" s="95"/>
      <c r="AR51" s="98"/>
      <c r="AS51" s="96"/>
      <c r="AT51" s="96"/>
      <c r="AU51" s="95"/>
      <c r="AV51" s="98"/>
      <c r="AW51" s="96"/>
      <c r="AX51" s="96"/>
      <c r="AY51" s="95"/>
      <c r="AZ51" s="98"/>
      <c r="BA51" s="99"/>
      <c r="BB51" s="95"/>
      <c r="BC51" s="96"/>
      <c r="BD51" s="96"/>
      <c r="BE51" s="98"/>
    </row>
    <row r="52" spans="1:57" ht="12" customHeight="1">
      <c r="A52" s="254">
        <f t="array" ref="A52">_xll.AC(DB,_xll.ArrayDPT($AA52:$AE52),_xll.ArrayCOA($AG52:$AZ52),YR-1,PRD,_xll.ArrayDIM($BB52:$BE52))</f>
        <v>0</v>
      </c>
      <c r="B52" s="237">
        <f t="shared" si="10"/>
        <v>0</v>
      </c>
      <c r="C52" s="237">
        <f t="shared" si="11"/>
        <v>0</v>
      </c>
      <c r="D52" s="237">
        <f t="shared" si="12"/>
        <v>0</v>
      </c>
      <c r="E52" s="254">
        <f t="array" ref="E52">_xll.BC(DB,_xll.ArrayDPT($AA52:$AE52),_xll.ArrayCOA($AG52:$AZ52),YR,PRD,RV,_xll.ArrayDIM($BB52:$BE52))</f>
        <v>0</v>
      </c>
      <c r="F52" s="237">
        <f t="shared" si="13"/>
        <v>0</v>
      </c>
      <c r="G52" s="254">
        <f t="array" ref="G52">_xll.AC(DB,_xll.ArrayDPT($AA52:$AE52),_xll.ArrayCOA($AG52:$AZ52),YR,PRD,_xll.ArrayDIM($BB52:$BE52))</f>
        <v>0</v>
      </c>
      <c r="H52" s="237">
        <f t="shared" si="14"/>
        <v>0</v>
      </c>
      <c r="I52" s="237"/>
      <c r="J52" s="328" t="s">
        <v>989</v>
      </c>
      <c r="K52" s="237"/>
      <c r="L52" s="254">
        <f t="array" ref="L52">_xll.ACC(DB,_xll.ArrayDPT($AA52:$AE52),_xll.ArrayCOA($AG52:$AZ52),YR,PRD,_xll.ArrayDIM($BB52:$BE52))</f>
        <v>0</v>
      </c>
      <c r="M52" s="237">
        <f t="shared" si="15"/>
        <v>0</v>
      </c>
      <c r="N52" s="254">
        <f t="array" ref="N52">_xll.BCC(DB,_xll.ArrayDPT($AA52:$AE52),_xll.ArrayCOA($AG52:$AZ52),YR,PRD,RV,_xll.ArrayDIM($BB52:$BE52))</f>
        <v>0</v>
      </c>
      <c r="O52" s="237">
        <f t="shared" si="16"/>
        <v>0</v>
      </c>
      <c r="P52" s="237">
        <f t="shared" si="17"/>
        <v>0</v>
      </c>
      <c r="Q52" s="237">
        <f t="shared" si="18"/>
        <v>0</v>
      </c>
      <c r="R52" s="254">
        <f t="array" ref="R52">_xll.ACC(DB,_xll.ArrayDPT($AA52:$AE52),_xll.ArrayCOA($AG52:$AZ52),YR-1,PRD,_xll.ArrayDIM($BB52:$BE52))</f>
        <v>0</v>
      </c>
      <c r="S52" s="237">
        <f t="shared" si="19"/>
        <v>0</v>
      </c>
      <c r="T52" s="295"/>
      <c r="U52" s="295"/>
      <c r="V52" s="295"/>
      <c r="W52" s="295"/>
      <c r="X52" s="295"/>
      <c r="Y52" s="295"/>
      <c r="Z52" s="295"/>
      <c r="AA52" s="95"/>
      <c r="AB52" s="96"/>
      <c r="AC52" s="96"/>
      <c r="AD52" s="96"/>
      <c r="AE52" s="96"/>
      <c r="AF52" s="97"/>
      <c r="AG52" s="95"/>
      <c r="AH52" s="96"/>
      <c r="AI52" s="95"/>
      <c r="AJ52" s="96"/>
      <c r="AK52" s="95"/>
      <c r="AL52" s="96"/>
      <c r="AM52" s="95"/>
      <c r="AN52" s="98"/>
      <c r="AO52" s="96"/>
      <c r="AP52" s="96"/>
      <c r="AQ52" s="95"/>
      <c r="AR52" s="98"/>
      <c r="AS52" s="96"/>
      <c r="AT52" s="96"/>
      <c r="AU52" s="95"/>
      <c r="AV52" s="98"/>
      <c r="AW52" s="96"/>
      <c r="AX52" s="96"/>
      <c r="AY52" s="95"/>
      <c r="AZ52" s="98"/>
      <c r="BA52" s="99"/>
      <c r="BB52" s="95"/>
      <c r="BC52" s="96"/>
      <c r="BD52" s="96"/>
      <c r="BE52" s="98"/>
    </row>
    <row r="53" spans="1:57" ht="12" customHeight="1">
      <c r="A53" s="254">
        <f t="array" ref="A53">_xll.AC(DB,_xll.ArrayDPT($AA53:$AE53),_xll.ArrayCOA($AG53:$AZ53),YR-1,PRD,_xll.ArrayDIM($BB53:$BE53))</f>
        <v>0</v>
      </c>
      <c r="B53" s="237">
        <f t="shared" si="10"/>
        <v>0</v>
      </c>
      <c r="C53" s="237">
        <f t="shared" si="11"/>
        <v>0</v>
      </c>
      <c r="D53" s="237">
        <f t="shared" si="12"/>
        <v>0</v>
      </c>
      <c r="E53" s="254">
        <f t="array" ref="E53">_xll.BC(DB,_xll.ArrayDPT($AA53:$AE53),_xll.ArrayCOA($AG53:$AZ53),YR,PRD,RV,_xll.ArrayDIM($BB53:$BE53))</f>
        <v>0</v>
      </c>
      <c r="F53" s="237">
        <f t="shared" si="13"/>
        <v>0</v>
      </c>
      <c r="G53" s="254">
        <f t="array" ref="G53">_xll.AC(DB,_xll.ArrayDPT($AA53:$AE53),_xll.ArrayCOA($AG53:$AZ53),YR,PRD,_xll.ArrayDIM($BB53:$BE53))</f>
        <v>0</v>
      </c>
      <c r="H53" s="237">
        <f t="shared" si="14"/>
        <v>0</v>
      </c>
      <c r="I53" s="237"/>
      <c r="J53" s="328" t="s">
        <v>829</v>
      </c>
      <c r="K53" s="237"/>
      <c r="L53" s="254">
        <f t="array" ref="L53">_xll.ACC(DB,_xll.ArrayDPT($AA53:$AE53),_xll.ArrayCOA($AG53:$AZ53),YR,PRD,_xll.ArrayDIM($BB53:$BE53))</f>
        <v>0</v>
      </c>
      <c r="M53" s="237">
        <f t="shared" si="15"/>
        <v>0</v>
      </c>
      <c r="N53" s="254">
        <f t="array" ref="N53">_xll.BCC(DB,_xll.ArrayDPT($AA53:$AE53),_xll.ArrayCOA($AG53:$AZ53),YR,PRD,RV,_xll.ArrayDIM($BB53:$BE53))</f>
        <v>0</v>
      </c>
      <c r="O53" s="237">
        <f t="shared" si="16"/>
        <v>0</v>
      </c>
      <c r="P53" s="237">
        <f t="shared" si="17"/>
        <v>0</v>
      </c>
      <c r="Q53" s="237">
        <f t="shared" si="18"/>
        <v>0</v>
      </c>
      <c r="R53" s="254">
        <f t="array" ref="R53">_xll.ACC(DB,_xll.ArrayDPT($AA53:$AE53),_xll.ArrayCOA($AG53:$AZ53),YR-1,PRD,_xll.ArrayDIM($BB53:$BE53))</f>
        <v>0</v>
      </c>
      <c r="S53" s="237">
        <f t="shared" si="19"/>
        <v>0</v>
      </c>
      <c r="T53" s="295"/>
      <c r="U53" s="295"/>
      <c r="V53" s="295"/>
      <c r="W53" s="295"/>
      <c r="X53" s="295"/>
      <c r="Y53" s="295"/>
      <c r="Z53" s="295"/>
      <c r="AA53" s="95" t="s">
        <v>932</v>
      </c>
      <c r="AB53" s="96" t="s">
        <v>936</v>
      </c>
      <c r="AC53" s="96"/>
      <c r="AD53" s="96"/>
      <c r="AE53" s="96"/>
      <c r="AF53" s="97"/>
      <c r="AG53" s="95" t="s">
        <v>720</v>
      </c>
      <c r="AH53" s="96" t="s">
        <v>720</v>
      </c>
      <c r="AI53" s="95"/>
      <c r="AJ53" s="96"/>
      <c r="AK53" s="95"/>
      <c r="AL53" s="96"/>
      <c r="AM53" s="95"/>
      <c r="AN53" s="98"/>
      <c r="AO53" s="96"/>
      <c r="AP53" s="96"/>
      <c r="AQ53" s="95"/>
      <c r="AR53" s="98"/>
      <c r="AS53" s="96"/>
      <c r="AT53" s="96"/>
      <c r="AU53" s="95"/>
      <c r="AV53" s="98"/>
      <c r="AW53" s="96"/>
      <c r="AX53" s="96"/>
      <c r="AY53" s="95"/>
      <c r="AZ53" s="98"/>
      <c r="BA53" s="99"/>
      <c r="BB53" s="95"/>
      <c r="BC53" s="96"/>
      <c r="BD53" s="96"/>
      <c r="BE53" s="98"/>
    </row>
    <row r="54" spans="1:57" ht="12" customHeight="1">
      <c r="A54" s="254">
        <f t="array" ref="A54">_xll.AC(DB,_xll.ArrayDPT($AA54:$AE54),_xll.ArrayCOA($AG54:$AZ54),YR-1,PRD,_xll.ArrayDIM($BB54:$BE54))</f>
        <v>1179</v>
      </c>
      <c r="B54" s="237">
        <f t="shared" si="10"/>
        <v>6.8767261333551891E-2</v>
      </c>
      <c r="C54" s="237">
        <f t="shared" si="11"/>
        <v>-873</v>
      </c>
      <c r="D54" s="237">
        <f t="shared" si="12"/>
        <v>5.6092782988813025E-2</v>
      </c>
      <c r="E54" s="254">
        <f t="array" ref="E54">_xll.BC(DB,_xll.ArrayDPT($AA54:$AE54),_xll.ArrayCOA($AG54:$AZ54),YR,PRD,RV,_xll.ArrayDIM($BB54:$BE54))</f>
        <v>0</v>
      </c>
      <c r="F54" s="237">
        <f t="shared" si="13"/>
        <v>0</v>
      </c>
      <c r="G54" s="254">
        <f t="array" ref="G54">_xll.AC(DB,_xll.ArrayDPT($AA54:$AE54),_xll.ArrayCOA($AG54:$AZ54),YR,PRD,_xll.ArrayDIM($BB54:$BE54))</f>
        <v>873</v>
      </c>
      <c r="H54" s="237">
        <f t="shared" si="14"/>
        <v>5.6092782988813025E-2</v>
      </c>
      <c r="I54" s="237"/>
      <c r="J54" s="328" t="s">
        <v>990</v>
      </c>
      <c r="K54" s="237"/>
      <c r="L54" s="254">
        <f t="array" ref="L54">_xll.ACC(DB,_xll.ArrayDPT($AA54:$AE54),_xll.ArrayCOA($AG54:$AZ54),YR,PRD,_xll.ArrayDIM($BB54:$BE54))</f>
        <v>873</v>
      </c>
      <c r="M54" s="237">
        <f t="shared" si="15"/>
        <v>5.6092782988813025E-2</v>
      </c>
      <c r="N54" s="254">
        <f t="array" ref="N54">_xll.BCC(DB,_xll.ArrayDPT($AA54:$AE54),_xll.ArrayCOA($AG54:$AZ54),YR,PRD,RV,_xll.ArrayDIM($BB54:$BE54))</f>
        <v>0</v>
      </c>
      <c r="O54" s="237">
        <f t="shared" si="16"/>
        <v>0</v>
      </c>
      <c r="P54" s="237">
        <f t="shared" si="17"/>
        <v>-873</v>
      </c>
      <c r="Q54" s="237">
        <f t="shared" si="18"/>
        <v>5.6092782988813025E-2</v>
      </c>
      <c r="R54" s="254">
        <f t="array" ref="R54">_xll.ACC(DB,_xll.ArrayDPT($AA54:$AE54),_xll.ArrayCOA($AG54:$AZ54),YR-1,PRD,_xll.ArrayDIM($BB54:$BE54))</f>
        <v>1179</v>
      </c>
      <c r="S54" s="237">
        <f t="shared" si="19"/>
        <v>6.8767261333551891E-2</v>
      </c>
      <c r="T54" s="295"/>
      <c r="U54" s="295"/>
      <c r="V54" s="295"/>
      <c r="W54" s="295"/>
      <c r="X54" s="295"/>
      <c r="Y54" s="295"/>
      <c r="Z54" s="295"/>
      <c r="AA54" s="95" t="s">
        <v>932</v>
      </c>
      <c r="AB54" s="96"/>
      <c r="AC54" s="96"/>
      <c r="AD54" s="96"/>
      <c r="AE54" s="96"/>
      <c r="AF54" s="97"/>
      <c r="AG54" s="95" t="s">
        <v>991</v>
      </c>
      <c r="AH54" s="96" t="s">
        <v>991</v>
      </c>
      <c r="AI54" s="95"/>
      <c r="AJ54" s="96"/>
      <c r="AK54" s="95"/>
      <c r="AL54" s="96"/>
      <c r="AM54" s="95"/>
      <c r="AN54" s="98"/>
      <c r="AO54" s="96"/>
      <c r="AP54" s="96"/>
      <c r="AQ54" s="95"/>
      <c r="AR54" s="98"/>
      <c r="AS54" s="96"/>
      <c r="AT54" s="96"/>
      <c r="AU54" s="95"/>
      <c r="AV54" s="98"/>
      <c r="AW54" s="96"/>
      <c r="AX54" s="96"/>
      <c r="AY54" s="95"/>
      <c r="AZ54" s="98"/>
      <c r="BA54" s="99"/>
      <c r="BB54" s="95"/>
      <c r="BC54" s="96"/>
      <c r="BD54" s="96"/>
      <c r="BE54" s="98"/>
    </row>
    <row r="55" spans="1:57" ht="12" customHeight="1">
      <c r="A55" s="254">
        <f t="array" ref="A55">_xll.AC(DB,_xll.ArrayDPT($AA55:$AE55),_xll.ArrayCOA($AG55:$AZ55),YR-1,PRD,_xll.ArrayDIM($BB55:$BE55))</f>
        <v>0</v>
      </c>
      <c r="B55" s="237">
        <f t="shared" si="10"/>
        <v>0</v>
      </c>
      <c r="C55" s="237">
        <f t="shared" si="11"/>
        <v>0</v>
      </c>
      <c r="D55" s="237">
        <f t="shared" si="12"/>
        <v>0</v>
      </c>
      <c r="E55" s="254">
        <f t="array" ref="E55">_xll.BC(DB,_xll.ArrayDPT($AA55:$AE55),_xll.ArrayCOA($AG55:$AZ55),YR,PRD,RV,_xll.ArrayDIM($BB55:$BE55))</f>
        <v>0</v>
      </c>
      <c r="F55" s="237">
        <f t="shared" si="13"/>
        <v>0</v>
      </c>
      <c r="G55" s="254">
        <f t="array" ref="G55">_xll.AC(DB,_xll.ArrayDPT($AA55:$AE55),_xll.ArrayCOA($AG55:$AZ55),YR,PRD,_xll.ArrayDIM($BB55:$BE55))</f>
        <v>0</v>
      </c>
      <c r="H55" s="237">
        <f t="shared" si="14"/>
        <v>0</v>
      </c>
      <c r="I55" s="237"/>
      <c r="J55" s="328" t="s">
        <v>992</v>
      </c>
      <c r="K55" s="237"/>
      <c r="L55" s="254">
        <f t="array" ref="L55">_xll.ACC(DB,_xll.ArrayDPT($AA55:$AE55),_xll.ArrayCOA($AG55:$AZ55),YR,PRD,_xll.ArrayDIM($BB55:$BE55))</f>
        <v>0</v>
      </c>
      <c r="M55" s="237">
        <f t="shared" si="15"/>
        <v>0</v>
      </c>
      <c r="N55" s="254">
        <f t="array" ref="N55">_xll.BCC(DB,_xll.ArrayDPT($AA55:$AE55),_xll.ArrayCOA($AG55:$AZ55),YR,PRD,RV,_xll.ArrayDIM($BB55:$BE55))</f>
        <v>0</v>
      </c>
      <c r="O55" s="237">
        <f t="shared" si="16"/>
        <v>0</v>
      </c>
      <c r="P55" s="237">
        <f t="shared" si="17"/>
        <v>0</v>
      </c>
      <c r="Q55" s="237">
        <f t="shared" si="18"/>
        <v>0</v>
      </c>
      <c r="R55" s="254">
        <f t="array" ref="R55">_xll.ACC(DB,_xll.ArrayDPT($AA55:$AE55),_xll.ArrayCOA($AG55:$AZ55),YR-1,PRD,_xll.ArrayDIM($BB55:$BE55))</f>
        <v>0</v>
      </c>
      <c r="S55" s="237">
        <f t="shared" si="19"/>
        <v>0</v>
      </c>
      <c r="T55" s="295"/>
      <c r="U55" s="295"/>
      <c r="V55" s="295"/>
      <c r="W55" s="295"/>
      <c r="X55" s="295"/>
      <c r="Y55" s="295"/>
      <c r="Z55" s="295"/>
      <c r="AA55" s="95" t="s">
        <v>932</v>
      </c>
      <c r="AB55" s="96"/>
      <c r="AC55" s="96"/>
      <c r="AD55" s="96"/>
      <c r="AE55" s="96"/>
      <c r="AF55" s="97"/>
      <c r="AG55" s="95" t="s">
        <v>993</v>
      </c>
      <c r="AH55" s="96" t="s">
        <v>993</v>
      </c>
      <c r="AI55" s="95"/>
      <c r="AJ55" s="96"/>
      <c r="AK55" s="95"/>
      <c r="AL55" s="96"/>
      <c r="AM55" s="95"/>
      <c r="AN55" s="98"/>
      <c r="AO55" s="96"/>
      <c r="AP55" s="96"/>
      <c r="AQ55" s="95"/>
      <c r="AR55" s="98"/>
      <c r="AS55" s="96"/>
      <c r="AT55" s="96"/>
      <c r="AU55" s="95"/>
      <c r="AV55" s="98"/>
      <c r="AW55" s="96"/>
      <c r="AX55" s="96"/>
      <c r="AY55" s="95"/>
      <c r="AZ55" s="98"/>
      <c r="BA55" s="99"/>
      <c r="BB55" s="95"/>
      <c r="BC55" s="96"/>
      <c r="BD55" s="96"/>
      <c r="BE55" s="98"/>
    </row>
    <row r="56" spans="1:57" ht="12" customHeight="1">
      <c r="A56" s="254">
        <f t="array" ref="A56">_xll.AC(DB,_xll.ArrayDPT($AA56:$AE56),_xll.ArrayCOA($AG56:$AZ56),YR-1,PRD,_xll.ArrayDIM($BB56:$BE56))</f>
        <v>0</v>
      </c>
      <c r="B56" s="237">
        <f t="shared" si="10"/>
        <v>0</v>
      </c>
      <c r="C56" s="237">
        <f t="shared" si="11"/>
        <v>0</v>
      </c>
      <c r="D56" s="237">
        <f t="shared" si="12"/>
        <v>0</v>
      </c>
      <c r="E56" s="254">
        <f t="array" ref="E56">_xll.BC(DB,_xll.ArrayDPT($AA56:$AE56),_xll.ArrayCOA($AG56:$AZ56),YR,PRD,RV,_xll.ArrayDIM($BB56:$BE56))</f>
        <v>0</v>
      </c>
      <c r="F56" s="237">
        <f t="shared" si="13"/>
        <v>0</v>
      </c>
      <c r="G56" s="254">
        <f t="array" ref="G56">_xll.AC(DB,_xll.ArrayDPT($AA56:$AE56),_xll.ArrayCOA($AG56:$AZ56),YR,PRD,_xll.ArrayDIM($BB56:$BE56))</f>
        <v>0</v>
      </c>
      <c r="H56" s="237">
        <f t="shared" si="14"/>
        <v>0</v>
      </c>
      <c r="I56" s="237"/>
      <c r="J56" s="328" t="s">
        <v>994</v>
      </c>
      <c r="K56" s="237"/>
      <c r="L56" s="254">
        <f t="array" ref="L56">_xll.ACC(DB,_xll.ArrayDPT($AA56:$AE56),_xll.ArrayCOA($AG56:$AZ56),YR,PRD,_xll.ArrayDIM($BB56:$BE56))</f>
        <v>0</v>
      </c>
      <c r="M56" s="237">
        <f t="shared" si="15"/>
        <v>0</v>
      </c>
      <c r="N56" s="254">
        <f t="array" ref="N56">_xll.BCC(DB,_xll.ArrayDPT($AA56:$AE56),_xll.ArrayCOA($AG56:$AZ56),YR,PRD,RV,_xll.ArrayDIM($BB56:$BE56))</f>
        <v>0</v>
      </c>
      <c r="O56" s="237">
        <f t="shared" si="16"/>
        <v>0</v>
      </c>
      <c r="P56" s="237">
        <f t="shared" si="17"/>
        <v>0</v>
      </c>
      <c r="Q56" s="237">
        <f t="shared" si="18"/>
        <v>0</v>
      </c>
      <c r="R56" s="254">
        <f t="array" ref="R56">_xll.ACC(DB,_xll.ArrayDPT($AA56:$AE56),_xll.ArrayCOA($AG56:$AZ56),YR-1,PRD,_xll.ArrayDIM($BB56:$BE56))</f>
        <v>0</v>
      </c>
      <c r="S56" s="237">
        <f t="shared" si="19"/>
        <v>0</v>
      </c>
      <c r="T56" s="295"/>
      <c r="U56" s="295"/>
      <c r="V56" s="295"/>
      <c r="W56" s="295"/>
      <c r="X56" s="295"/>
      <c r="Y56" s="295"/>
      <c r="Z56" s="295"/>
      <c r="AA56" s="95"/>
      <c r="AB56" s="96"/>
      <c r="AC56" s="96"/>
      <c r="AD56" s="96"/>
      <c r="AE56" s="96"/>
      <c r="AF56" s="97"/>
      <c r="AG56" s="95"/>
      <c r="AH56" s="96"/>
      <c r="AI56" s="95"/>
      <c r="AJ56" s="96"/>
      <c r="AK56" s="95"/>
      <c r="AL56" s="96"/>
      <c r="AM56" s="95"/>
      <c r="AN56" s="98"/>
      <c r="AO56" s="96"/>
      <c r="AP56" s="96"/>
      <c r="AQ56" s="95"/>
      <c r="AR56" s="98"/>
      <c r="AS56" s="96"/>
      <c r="AT56" s="96"/>
      <c r="AU56" s="95"/>
      <c r="AV56" s="98"/>
      <c r="AW56" s="96"/>
      <c r="AX56" s="96"/>
      <c r="AY56" s="95"/>
      <c r="AZ56" s="98"/>
      <c r="BA56" s="99"/>
      <c r="BB56" s="95"/>
      <c r="BC56" s="96"/>
      <c r="BD56" s="96"/>
      <c r="BE56" s="98"/>
    </row>
    <row r="57" spans="1:57" ht="12" customHeight="1">
      <c r="A57" s="254">
        <f t="array" ref="A57">_xll.AC(DB,_xll.ArrayDPT($AA57:$AE57),_xll.ArrayCOA($AG57:$AZ57),YR-1,PRD,_xll.ArrayDIM($BB57:$BE57))</f>
        <v>7595</v>
      </c>
      <c r="B57" s="237">
        <f t="shared" si="10"/>
        <v>0.44299181495193091</v>
      </c>
      <c r="C57" s="237">
        <f t="shared" si="11"/>
        <v>-7595</v>
      </c>
      <c r="D57" s="237">
        <f t="shared" si="12"/>
        <v>0.48800078671252567</v>
      </c>
      <c r="E57" s="254">
        <f t="array" ref="E57">_xll.BC(DB,_xll.ArrayDPT($AA57:$AE57),_xll.ArrayCOA($AG57:$AZ57),YR,PRD,RV,_xll.ArrayDIM($BB57:$BE57))</f>
        <v>0</v>
      </c>
      <c r="F57" s="237">
        <f t="shared" si="13"/>
        <v>0</v>
      </c>
      <c r="G57" s="254">
        <f t="array" ref="G57">_xll.AC(DB,_xll.ArrayDPT($AA57:$AE57),_xll.ArrayCOA($AG57:$AZ57),YR,PRD,_xll.ArrayDIM($BB57:$BE57))</f>
        <v>7595</v>
      </c>
      <c r="H57" s="237">
        <f t="shared" si="14"/>
        <v>0.48800078671252567</v>
      </c>
      <c r="I57" s="237"/>
      <c r="J57" s="328" t="s">
        <v>995</v>
      </c>
      <c r="K57" s="237"/>
      <c r="L57" s="254">
        <f t="array" ref="L57">_xll.ACC(DB,_xll.ArrayDPT($AA57:$AE57),_xll.ArrayCOA($AG57:$AZ57),YR,PRD,_xll.ArrayDIM($BB57:$BE57))</f>
        <v>7595</v>
      </c>
      <c r="M57" s="237">
        <f t="shared" si="15"/>
        <v>0.48800078671252567</v>
      </c>
      <c r="N57" s="254">
        <f t="array" ref="N57">_xll.BCC(DB,_xll.ArrayDPT($AA57:$AE57),_xll.ArrayCOA($AG57:$AZ57),YR,PRD,RV,_xll.ArrayDIM($BB57:$BE57))</f>
        <v>0</v>
      </c>
      <c r="O57" s="237">
        <f t="shared" si="16"/>
        <v>0</v>
      </c>
      <c r="P57" s="237">
        <f t="shared" si="17"/>
        <v>-7595</v>
      </c>
      <c r="Q57" s="237">
        <f t="shared" si="18"/>
        <v>0.48800078671252567</v>
      </c>
      <c r="R57" s="254">
        <f t="array" ref="R57">_xll.ACC(DB,_xll.ArrayDPT($AA57:$AE57),_xll.ArrayCOA($AG57:$AZ57),YR-1,PRD,_xll.ArrayDIM($BB57:$BE57))</f>
        <v>7595</v>
      </c>
      <c r="S57" s="237">
        <f t="shared" si="19"/>
        <v>0.44299181495193091</v>
      </c>
      <c r="T57" s="295"/>
      <c r="U57" s="295"/>
      <c r="V57" s="295"/>
      <c r="W57" s="295"/>
      <c r="X57" s="295"/>
      <c r="Y57" s="295"/>
      <c r="Z57" s="295"/>
      <c r="AA57" s="95" t="s">
        <v>978</v>
      </c>
      <c r="AB57" s="96"/>
      <c r="AC57" s="96"/>
      <c r="AD57" s="96"/>
      <c r="AE57" s="96"/>
      <c r="AF57" s="97"/>
      <c r="AG57" s="95" t="s">
        <v>910</v>
      </c>
      <c r="AH57" s="96" t="s">
        <v>910</v>
      </c>
      <c r="AI57" s="95"/>
      <c r="AJ57" s="96"/>
      <c r="AK57" s="95"/>
      <c r="AL57" s="96"/>
      <c r="AM57" s="95"/>
      <c r="AN57" s="98"/>
      <c r="AO57" s="96"/>
      <c r="AP57" s="96"/>
      <c r="AQ57" s="95"/>
      <c r="AR57" s="98"/>
      <c r="AS57" s="96"/>
      <c r="AT57" s="96"/>
      <c r="AU57" s="95"/>
      <c r="AV57" s="98"/>
      <c r="AW57" s="96"/>
      <c r="AX57" s="96"/>
      <c r="AY57" s="95"/>
      <c r="AZ57" s="98"/>
      <c r="BA57" s="99"/>
      <c r="BB57" s="95"/>
      <c r="BC57" s="96"/>
      <c r="BD57" s="96"/>
      <c r="BE57" s="98"/>
    </row>
    <row r="58" spans="1:57" ht="12" customHeight="1">
      <c r="A58" s="254">
        <f t="array" ref="A58">_xll.AC(DB,_xll.ArrayDPT($AA58:$AE58),_xll.ArrayCOA($AG58:$AZ58),YR-1,PRD,_xll.ArrayDIM($BB58:$BE58))</f>
        <v>0</v>
      </c>
      <c r="B58" s="237">
        <f t="shared" si="10"/>
        <v>0</v>
      </c>
      <c r="C58" s="237">
        <f t="shared" si="11"/>
        <v>0</v>
      </c>
      <c r="D58" s="237">
        <f t="shared" si="12"/>
        <v>0</v>
      </c>
      <c r="E58" s="254">
        <f t="array" ref="E58">_xll.BC(DB,_xll.ArrayDPT($AA58:$AE58),_xll.ArrayCOA($AG58:$AZ58),YR,PRD,RV,_xll.ArrayDIM($BB58:$BE58))</f>
        <v>0</v>
      </c>
      <c r="F58" s="237">
        <f t="shared" si="13"/>
        <v>0</v>
      </c>
      <c r="G58" s="254">
        <f t="array" ref="G58">_xll.AC(DB,_xll.ArrayDPT($AA58:$AE58),_xll.ArrayCOA($AG58:$AZ58),YR,PRD,_xll.ArrayDIM($BB58:$BE58))</f>
        <v>0</v>
      </c>
      <c r="H58" s="237">
        <f t="shared" si="14"/>
        <v>0</v>
      </c>
      <c r="I58" s="237"/>
      <c r="J58" s="328" t="s">
        <v>996</v>
      </c>
      <c r="K58" s="237"/>
      <c r="L58" s="254">
        <f t="array" ref="L58">_xll.ACC(DB,_xll.ArrayDPT($AA58:$AE58),_xll.ArrayCOA($AG58:$AZ58),YR,PRD,_xll.ArrayDIM($BB58:$BE58))</f>
        <v>0</v>
      </c>
      <c r="M58" s="237">
        <f t="shared" si="15"/>
        <v>0</v>
      </c>
      <c r="N58" s="254">
        <f t="array" ref="N58">_xll.BCC(DB,_xll.ArrayDPT($AA58:$AE58),_xll.ArrayCOA($AG58:$AZ58),YR,PRD,RV,_xll.ArrayDIM($BB58:$BE58))</f>
        <v>0</v>
      </c>
      <c r="O58" s="237">
        <f t="shared" si="16"/>
        <v>0</v>
      </c>
      <c r="P58" s="237">
        <f t="shared" si="17"/>
        <v>0</v>
      </c>
      <c r="Q58" s="237">
        <f t="shared" si="18"/>
        <v>0</v>
      </c>
      <c r="R58" s="254">
        <f t="array" ref="R58">_xll.ACC(DB,_xll.ArrayDPT($AA58:$AE58),_xll.ArrayCOA($AG58:$AZ58),YR-1,PRD,_xll.ArrayDIM($BB58:$BE58))</f>
        <v>0</v>
      </c>
      <c r="S58" s="237">
        <f t="shared" si="19"/>
        <v>0</v>
      </c>
      <c r="T58" s="295"/>
      <c r="U58" s="295"/>
      <c r="V58" s="295"/>
      <c r="W58" s="295"/>
      <c r="X58" s="295"/>
      <c r="Y58" s="295"/>
      <c r="Z58" s="295"/>
      <c r="AA58" s="95" t="s">
        <v>978</v>
      </c>
      <c r="AB58" s="96"/>
      <c r="AC58" s="96"/>
      <c r="AD58" s="96"/>
      <c r="AE58" s="96"/>
      <c r="AF58" s="97"/>
      <c r="AG58" s="95" t="s">
        <v>997</v>
      </c>
      <c r="AH58" s="96" t="s">
        <v>997</v>
      </c>
      <c r="AI58" s="95"/>
      <c r="AJ58" s="96"/>
      <c r="AK58" s="95"/>
      <c r="AL58" s="96"/>
      <c r="AM58" s="95"/>
      <c r="AN58" s="98"/>
      <c r="AO58" s="96"/>
      <c r="AP58" s="96"/>
      <c r="AQ58" s="95"/>
      <c r="AR58" s="98"/>
      <c r="AS58" s="96"/>
      <c r="AT58" s="96"/>
      <c r="AU58" s="95"/>
      <c r="AV58" s="98"/>
      <c r="AW58" s="96"/>
      <c r="AX58" s="96"/>
      <c r="AY58" s="95"/>
      <c r="AZ58" s="98"/>
      <c r="BA58" s="99"/>
      <c r="BB58" s="95"/>
      <c r="BC58" s="96"/>
      <c r="BD58" s="96"/>
      <c r="BE58" s="98"/>
    </row>
    <row r="59" spans="1:57" ht="12" customHeight="1">
      <c r="A59" s="254">
        <f t="array" ref="A59">_xll.AC(DB,_xll.ArrayDPT($AA59:$AE59),_xll.ArrayCOA($AG59:$AZ59),YR-1,PRD,_xll.ArrayDIM($BB59:$BE59))</f>
        <v>36958.33</v>
      </c>
      <c r="B59" s="237">
        <f t="shared" si="10"/>
        <v>2.1556599979318496</v>
      </c>
      <c r="C59" s="237">
        <f t="shared" si="11"/>
        <v>-35000</v>
      </c>
      <c r="D59" s="237">
        <f t="shared" si="12"/>
        <v>2.2488515516706253</v>
      </c>
      <c r="E59" s="254">
        <f t="array" ref="E59">_xll.BC(DB,_xll.ArrayDPT($AA59:$AE59),_xll.ArrayCOA($AG59:$AZ59),YR,PRD,RV,_xll.ArrayDIM($BB59:$BE59))</f>
        <v>0</v>
      </c>
      <c r="F59" s="237">
        <f t="shared" si="13"/>
        <v>0</v>
      </c>
      <c r="G59" s="254">
        <f t="array" ref="G59">_xll.AC(DB,_xll.ArrayDPT($AA59:$AE59),_xll.ArrayCOA($AG59:$AZ59),YR,PRD,_xll.ArrayDIM($BB59:$BE59))</f>
        <v>35000</v>
      </c>
      <c r="H59" s="237">
        <f t="shared" si="14"/>
        <v>2.2488515516706253</v>
      </c>
      <c r="I59" s="237"/>
      <c r="J59" s="328" t="s">
        <v>998</v>
      </c>
      <c r="K59" s="237"/>
      <c r="L59" s="254">
        <f t="array" ref="L59">_xll.ACC(DB,_xll.ArrayDPT($AA59:$AE59),_xll.ArrayCOA($AG59:$AZ59),YR,PRD,_xll.ArrayDIM($BB59:$BE59))</f>
        <v>35000</v>
      </c>
      <c r="M59" s="237">
        <f t="shared" si="15"/>
        <v>2.2488515516706253</v>
      </c>
      <c r="N59" s="254">
        <f t="array" ref="N59">_xll.BCC(DB,_xll.ArrayDPT($AA59:$AE59),_xll.ArrayCOA($AG59:$AZ59),YR,PRD,RV,_xll.ArrayDIM($BB59:$BE59))</f>
        <v>0</v>
      </c>
      <c r="O59" s="237">
        <f t="shared" si="16"/>
        <v>0</v>
      </c>
      <c r="P59" s="237">
        <f t="shared" si="17"/>
        <v>-35000</v>
      </c>
      <c r="Q59" s="237">
        <f t="shared" si="18"/>
        <v>2.2488515516706253</v>
      </c>
      <c r="R59" s="254">
        <f t="array" ref="R59">_xll.ACC(DB,_xll.ArrayDPT($AA59:$AE59),_xll.ArrayCOA($AG59:$AZ59),YR-1,PRD,_xll.ArrayDIM($BB59:$BE59))</f>
        <v>36958.33</v>
      </c>
      <c r="S59" s="237">
        <f t="shared" si="19"/>
        <v>2.1556599979318496</v>
      </c>
      <c r="T59" s="295"/>
      <c r="U59" s="295"/>
      <c r="V59" s="295"/>
      <c r="W59" s="295"/>
      <c r="X59" s="295"/>
      <c r="Y59" s="295"/>
      <c r="Z59" s="295"/>
      <c r="AA59" s="95" t="s">
        <v>978</v>
      </c>
      <c r="AB59" s="96"/>
      <c r="AC59" s="96"/>
      <c r="AD59" s="96"/>
      <c r="AE59" s="96"/>
      <c r="AF59" s="97"/>
      <c r="AG59" s="95" t="s">
        <v>580</v>
      </c>
      <c r="AH59" s="96" t="s">
        <v>580</v>
      </c>
      <c r="AI59" s="95"/>
      <c r="AJ59" s="96"/>
      <c r="AK59" s="95"/>
      <c r="AL59" s="96"/>
      <c r="AM59" s="95"/>
      <c r="AN59" s="98"/>
      <c r="AO59" s="96"/>
      <c r="AP59" s="96"/>
      <c r="AQ59" s="95"/>
      <c r="AR59" s="98"/>
      <c r="AS59" s="96"/>
      <c r="AT59" s="96"/>
      <c r="AU59" s="95"/>
      <c r="AV59" s="98"/>
      <c r="AW59" s="96"/>
      <c r="AX59" s="96"/>
      <c r="AY59" s="95"/>
      <c r="AZ59" s="98"/>
      <c r="BA59" s="99"/>
      <c r="BB59" s="95"/>
      <c r="BC59" s="96"/>
      <c r="BD59" s="96"/>
      <c r="BE59" s="98"/>
    </row>
    <row r="60" spans="1:57" ht="12" customHeight="1">
      <c r="A60" s="254">
        <f t="array" ref="A60">_xll.AC(DB,_xll.ArrayDPT($AA60:$AE60),_xll.ArrayCOA($AG60:$AZ60),YR-1,PRD,_xll.ArrayDIM($BB60:$BE60))</f>
        <v>75</v>
      </c>
      <c r="B60" s="237">
        <f t="shared" si="10"/>
        <v>4.3745077184193307E-3</v>
      </c>
      <c r="C60" s="237">
        <f t="shared" si="11"/>
        <v>-75</v>
      </c>
      <c r="D60" s="237">
        <f t="shared" si="12"/>
        <v>4.8189676107227688E-3</v>
      </c>
      <c r="E60" s="254">
        <f t="array" ref="E60">_xll.BC(DB,_xll.ArrayDPT($AA60:$AE60),_xll.ArrayCOA($AG60:$AZ60),YR,PRD,RV,_xll.ArrayDIM($BB60:$BE60))</f>
        <v>0</v>
      </c>
      <c r="F60" s="237">
        <f t="shared" si="13"/>
        <v>0</v>
      </c>
      <c r="G60" s="254">
        <f t="array" ref="G60">_xll.AC(DB,_xll.ArrayDPT($AA60:$AE60),_xll.ArrayCOA($AG60:$AZ60),YR,PRD,_xll.ArrayDIM($BB60:$BE60))</f>
        <v>75</v>
      </c>
      <c r="H60" s="237">
        <f t="shared" si="14"/>
        <v>4.8189676107227688E-3</v>
      </c>
      <c r="I60" s="237"/>
      <c r="J60" s="328" t="s">
        <v>999</v>
      </c>
      <c r="K60" s="237"/>
      <c r="L60" s="254">
        <f t="array" ref="L60">_xll.ACC(DB,_xll.ArrayDPT($AA60:$AE60),_xll.ArrayCOA($AG60:$AZ60),YR,PRD,_xll.ArrayDIM($BB60:$BE60))</f>
        <v>75</v>
      </c>
      <c r="M60" s="237">
        <f t="shared" si="15"/>
        <v>4.8189676107227688E-3</v>
      </c>
      <c r="N60" s="254">
        <f t="array" ref="N60">_xll.BCC(DB,_xll.ArrayDPT($AA60:$AE60),_xll.ArrayCOA($AG60:$AZ60),YR,PRD,RV,_xll.ArrayDIM($BB60:$BE60))</f>
        <v>0</v>
      </c>
      <c r="O60" s="237">
        <f t="shared" si="16"/>
        <v>0</v>
      </c>
      <c r="P60" s="237">
        <f t="shared" si="17"/>
        <v>-75</v>
      </c>
      <c r="Q60" s="237">
        <f t="shared" si="18"/>
        <v>4.8189676107227688E-3</v>
      </c>
      <c r="R60" s="254">
        <f t="array" ref="R60">_xll.ACC(DB,_xll.ArrayDPT($AA60:$AE60),_xll.ArrayCOA($AG60:$AZ60),YR-1,PRD,_xll.ArrayDIM($BB60:$BE60))</f>
        <v>75</v>
      </c>
      <c r="S60" s="237">
        <f t="shared" si="19"/>
        <v>4.3745077184193307E-3</v>
      </c>
      <c r="T60" s="295"/>
      <c r="U60" s="295"/>
      <c r="V60" s="295"/>
      <c r="W60" s="295"/>
      <c r="X60" s="295"/>
      <c r="Y60" s="295"/>
      <c r="Z60" s="295"/>
      <c r="AA60" s="95" t="s">
        <v>978</v>
      </c>
      <c r="AB60" s="96"/>
      <c r="AC60" s="96"/>
      <c r="AD60" s="96"/>
      <c r="AE60" s="96"/>
      <c r="AF60" s="97"/>
      <c r="AG60" s="95" t="s">
        <v>1000</v>
      </c>
      <c r="AH60" s="96" t="s">
        <v>1000</v>
      </c>
      <c r="AI60" s="95"/>
      <c r="AJ60" s="96"/>
      <c r="AK60" s="95"/>
      <c r="AL60" s="96"/>
      <c r="AM60" s="95"/>
      <c r="AN60" s="98"/>
      <c r="AO60" s="96"/>
      <c r="AP60" s="96"/>
      <c r="AQ60" s="95"/>
      <c r="AR60" s="98"/>
      <c r="AS60" s="96"/>
      <c r="AT60" s="96"/>
      <c r="AU60" s="95"/>
      <c r="AV60" s="98"/>
      <c r="AW60" s="96"/>
      <c r="AX60" s="96"/>
      <c r="AY60" s="95"/>
      <c r="AZ60" s="98"/>
      <c r="BA60" s="99"/>
      <c r="BB60" s="95"/>
      <c r="BC60" s="96"/>
      <c r="BD60" s="96"/>
      <c r="BE60" s="98"/>
    </row>
    <row r="61" spans="1:57" ht="12" customHeight="1">
      <c r="A61" s="254">
        <f t="array" ref="A61">_xll.AC(DB,_xll.ArrayDPT($AA61:$AE61),_xll.ArrayCOA($AG61:$AZ61),YR-1,PRD,_xll.ArrayDIM($BB61:$BE61))</f>
        <v>0</v>
      </c>
      <c r="B61" s="237">
        <f t="shared" si="10"/>
        <v>0</v>
      </c>
      <c r="C61" s="237">
        <f t="shared" si="11"/>
        <v>0</v>
      </c>
      <c r="D61" s="237">
        <f t="shared" si="12"/>
        <v>0</v>
      </c>
      <c r="E61" s="254">
        <f t="array" ref="E61">_xll.BC(DB,_xll.ArrayDPT($AA61:$AE61),_xll.ArrayCOA($AG61:$AZ61),YR,PRD,RV,_xll.ArrayDIM($BB61:$BE61))</f>
        <v>0</v>
      </c>
      <c r="F61" s="237">
        <f t="shared" si="13"/>
        <v>0</v>
      </c>
      <c r="G61" s="254">
        <f t="array" ref="G61">_xll.AC(DB,_xll.ArrayDPT($AA61:$AE61),_xll.ArrayCOA($AG61:$AZ61),YR,PRD,_xll.ArrayDIM($BB61:$BE61))</f>
        <v>0</v>
      </c>
      <c r="H61" s="237">
        <f t="shared" si="14"/>
        <v>0</v>
      </c>
      <c r="I61" s="237"/>
      <c r="J61" s="328" t="s">
        <v>1001</v>
      </c>
      <c r="K61" s="237"/>
      <c r="L61" s="254">
        <f t="array" ref="L61">_xll.ACC(DB,_xll.ArrayDPT($AA61:$AE61),_xll.ArrayCOA($AG61:$AZ61),YR,PRD,_xll.ArrayDIM($BB61:$BE61))</f>
        <v>0</v>
      </c>
      <c r="M61" s="237">
        <f t="shared" si="15"/>
        <v>0</v>
      </c>
      <c r="N61" s="254">
        <f t="array" ref="N61">_xll.BCC(DB,_xll.ArrayDPT($AA61:$AE61),_xll.ArrayCOA($AG61:$AZ61),YR,PRD,RV,_xll.ArrayDIM($BB61:$BE61))</f>
        <v>0</v>
      </c>
      <c r="O61" s="237">
        <f t="shared" si="16"/>
        <v>0</v>
      </c>
      <c r="P61" s="237">
        <f t="shared" si="17"/>
        <v>0</v>
      </c>
      <c r="Q61" s="237">
        <f t="shared" si="18"/>
        <v>0</v>
      </c>
      <c r="R61" s="254">
        <f t="array" ref="R61">_xll.ACC(DB,_xll.ArrayDPT($AA61:$AE61),_xll.ArrayCOA($AG61:$AZ61),YR-1,PRD,_xll.ArrayDIM($BB61:$BE61))</f>
        <v>0</v>
      </c>
      <c r="S61" s="237">
        <f t="shared" si="19"/>
        <v>0</v>
      </c>
      <c r="T61" s="295"/>
      <c r="U61" s="295"/>
      <c r="V61" s="295"/>
      <c r="W61" s="295"/>
      <c r="X61" s="295"/>
      <c r="Y61" s="295"/>
      <c r="Z61" s="295"/>
      <c r="AA61" s="95" t="s">
        <v>978</v>
      </c>
      <c r="AB61" s="96"/>
      <c r="AC61" s="96"/>
      <c r="AD61" s="96"/>
      <c r="AE61" s="96"/>
      <c r="AF61" s="97"/>
      <c r="AG61" s="95" t="s">
        <v>1002</v>
      </c>
      <c r="AH61" s="96" t="s">
        <v>1002</v>
      </c>
      <c r="AI61" s="95" t="s">
        <v>1003</v>
      </c>
      <c r="AJ61" s="96" t="s">
        <v>1003</v>
      </c>
      <c r="AK61" s="95"/>
      <c r="AL61" s="96"/>
      <c r="AM61" s="95"/>
      <c r="AN61" s="98"/>
      <c r="AO61" s="96"/>
      <c r="AP61" s="96"/>
      <c r="AQ61" s="95"/>
      <c r="AR61" s="98"/>
      <c r="AS61" s="96"/>
      <c r="AT61" s="96"/>
      <c r="AU61" s="95"/>
      <c r="AV61" s="98"/>
      <c r="AW61" s="96"/>
      <c r="AX61" s="96"/>
      <c r="AY61" s="95"/>
      <c r="AZ61" s="98"/>
      <c r="BA61" s="99"/>
      <c r="BB61" s="95"/>
      <c r="BC61" s="96"/>
      <c r="BD61" s="96"/>
      <c r="BE61" s="98"/>
    </row>
    <row r="62" spans="1:57" ht="12" customHeight="1">
      <c r="A62" s="254">
        <f t="array" ref="A62">_xll.AC(DB,_xll.ArrayDPT($AA62:$AE62),_xll.ArrayCOA($AG62:$AZ62),YR-1,PRD,_xll.ArrayDIM($BB62:$BE62))</f>
        <v>0</v>
      </c>
      <c r="B62" s="237">
        <f t="shared" si="10"/>
        <v>0</v>
      </c>
      <c r="C62" s="237">
        <f t="shared" si="11"/>
        <v>0</v>
      </c>
      <c r="D62" s="237">
        <f t="shared" si="12"/>
        <v>0</v>
      </c>
      <c r="E62" s="254">
        <f t="array" ref="E62">_xll.BC(DB,_xll.ArrayDPT($AA62:$AE62),_xll.ArrayCOA($AG62:$AZ62),YR,PRD,RV,_xll.ArrayDIM($BB62:$BE62))</f>
        <v>0</v>
      </c>
      <c r="F62" s="237">
        <f t="shared" si="13"/>
        <v>0</v>
      </c>
      <c r="G62" s="254">
        <f t="array" ref="G62">_xll.AC(DB,_xll.ArrayDPT($AA62:$AE62),_xll.ArrayCOA($AG62:$AZ62),YR,PRD,_xll.ArrayDIM($BB62:$BE62))</f>
        <v>0</v>
      </c>
      <c r="H62" s="237">
        <f t="shared" si="14"/>
        <v>0</v>
      </c>
      <c r="I62" s="237"/>
      <c r="J62" s="328" t="s">
        <v>1004</v>
      </c>
      <c r="K62" s="237"/>
      <c r="L62" s="254">
        <f t="array" ref="L62">_xll.ACC(DB,_xll.ArrayDPT($AA62:$AE62),_xll.ArrayCOA($AG62:$AZ62),YR,PRD,_xll.ArrayDIM($BB62:$BE62))</f>
        <v>0</v>
      </c>
      <c r="M62" s="237">
        <f t="shared" si="15"/>
        <v>0</v>
      </c>
      <c r="N62" s="254">
        <f t="array" ref="N62">_xll.BCC(DB,_xll.ArrayDPT($AA62:$AE62),_xll.ArrayCOA($AG62:$AZ62),YR,PRD,RV,_xll.ArrayDIM($BB62:$BE62))</f>
        <v>0</v>
      </c>
      <c r="O62" s="237">
        <f t="shared" si="16"/>
        <v>0</v>
      </c>
      <c r="P62" s="237">
        <f t="shared" si="17"/>
        <v>0</v>
      </c>
      <c r="Q62" s="237">
        <f t="shared" si="18"/>
        <v>0</v>
      </c>
      <c r="R62" s="254">
        <f t="array" ref="R62">_xll.ACC(DB,_xll.ArrayDPT($AA62:$AE62),_xll.ArrayCOA($AG62:$AZ62),YR-1,PRD,_xll.ArrayDIM($BB62:$BE62))</f>
        <v>0</v>
      </c>
      <c r="S62" s="237">
        <f t="shared" si="19"/>
        <v>0</v>
      </c>
      <c r="T62" s="295"/>
      <c r="U62" s="295"/>
      <c r="V62" s="295"/>
      <c r="W62" s="295"/>
      <c r="X62" s="295"/>
      <c r="Y62" s="295"/>
      <c r="Z62" s="295"/>
      <c r="AA62" s="95" t="s">
        <v>978</v>
      </c>
      <c r="AB62" s="96"/>
      <c r="AC62" s="96"/>
      <c r="AD62" s="96"/>
      <c r="AE62" s="96"/>
      <c r="AF62" s="97"/>
      <c r="AG62" s="95" t="s">
        <v>1005</v>
      </c>
      <c r="AH62" s="96" t="s">
        <v>1005</v>
      </c>
      <c r="AI62" s="95"/>
      <c r="AJ62" s="96"/>
      <c r="AK62" s="95"/>
      <c r="AL62" s="96"/>
      <c r="AM62" s="95"/>
      <c r="AN62" s="98"/>
      <c r="AO62" s="96"/>
      <c r="AP62" s="96"/>
      <c r="AQ62" s="95"/>
      <c r="AR62" s="98"/>
      <c r="AS62" s="96"/>
      <c r="AT62" s="96"/>
      <c r="AU62" s="95"/>
      <c r="AV62" s="98"/>
      <c r="AW62" s="96"/>
      <c r="AX62" s="96"/>
      <c r="AY62" s="95"/>
      <c r="AZ62" s="98"/>
      <c r="BA62" s="99"/>
      <c r="BB62" s="95"/>
      <c r="BC62" s="96"/>
      <c r="BD62" s="96"/>
      <c r="BE62" s="98"/>
    </row>
    <row r="63" spans="1:57" ht="12" customHeight="1">
      <c r="A63" s="254">
        <f t="array" ref="A63">_xll.AC(DB,_xll.ArrayDPT($AA63:$AE63),_xll.ArrayCOA($AG63:$AZ63),YR-1,PRD,_xll.ArrayDIM($BB63:$BE63))</f>
        <v>0</v>
      </c>
      <c r="B63" s="237">
        <f t="shared" si="10"/>
        <v>0</v>
      </c>
      <c r="C63" s="237">
        <f t="shared" si="11"/>
        <v>-4229.58</v>
      </c>
      <c r="D63" s="237">
        <f t="shared" si="12"/>
        <v>0.27176278702614409</v>
      </c>
      <c r="E63" s="254">
        <f t="array" ref="E63">_xll.BC(DB,_xll.ArrayDPT($AA63:$AE63),_xll.ArrayCOA($AG63:$AZ63),YR,PRD,RV,_xll.ArrayDIM($BB63:$BE63))</f>
        <v>0</v>
      </c>
      <c r="F63" s="237">
        <f t="shared" si="13"/>
        <v>0</v>
      </c>
      <c r="G63" s="254">
        <f t="array" ref="G63">_xll.AC(DB,_xll.ArrayDPT($AA63:$AE63),_xll.ArrayCOA($AG63:$AZ63),YR,PRD,_xll.ArrayDIM($BB63:$BE63))</f>
        <v>4229.58</v>
      </c>
      <c r="H63" s="237">
        <f t="shared" si="14"/>
        <v>0.27176278702614409</v>
      </c>
      <c r="I63" s="237"/>
      <c r="J63" s="328" t="s">
        <v>721</v>
      </c>
      <c r="K63" s="237"/>
      <c r="L63" s="254">
        <f t="array" ref="L63">_xll.ACC(DB,_xll.ArrayDPT($AA63:$AE63),_xll.ArrayCOA($AG63:$AZ63),YR,PRD,_xll.ArrayDIM($BB63:$BE63))</f>
        <v>4229.58</v>
      </c>
      <c r="M63" s="237">
        <f t="shared" si="15"/>
        <v>0.27176278702614409</v>
      </c>
      <c r="N63" s="254">
        <f t="array" ref="N63">_xll.BCC(DB,_xll.ArrayDPT($AA63:$AE63),_xll.ArrayCOA($AG63:$AZ63),YR,PRD,RV,_xll.ArrayDIM($BB63:$BE63))</f>
        <v>0</v>
      </c>
      <c r="O63" s="237">
        <f t="shared" si="16"/>
        <v>0</v>
      </c>
      <c r="P63" s="237">
        <f t="shared" si="17"/>
        <v>-4229.58</v>
      </c>
      <c r="Q63" s="237">
        <f t="shared" si="18"/>
        <v>0.27176278702614409</v>
      </c>
      <c r="R63" s="254">
        <f t="array" ref="R63">_xll.ACC(DB,_xll.ArrayDPT($AA63:$AE63),_xll.ArrayCOA($AG63:$AZ63),YR-1,PRD,_xll.ArrayDIM($BB63:$BE63))</f>
        <v>0</v>
      </c>
      <c r="S63" s="237">
        <f t="shared" si="19"/>
        <v>0</v>
      </c>
      <c r="T63" s="295"/>
      <c r="U63" s="295"/>
      <c r="V63" s="295"/>
      <c r="W63" s="295"/>
      <c r="X63" s="295"/>
      <c r="Y63" s="295"/>
      <c r="Z63" s="295"/>
      <c r="AA63" s="95" t="s">
        <v>932</v>
      </c>
      <c r="AB63" s="96" t="s">
        <v>938</v>
      </c>
      <c r="AC63" s="96"/>
      <c r="AD63" s="96"/>
      <c r="AE63" s="96"/>
      <c r="AF63" s="97"/>
      <c r="AG63" s="95" t="s">
        <v>722</v>
      </c>
      <c r="AH63" s="96" t="s">
        <v>722</v>
      </c>
      <c r="AI63" s="95"/>
      <c r="AJ63" s="96"/>
      <c r="AK63" s="95"/>
      <c r="AL63" s="96"/>
      <c r="AM63" s="95"/>
      <c r="AN63" s="98"/>
      <c r="AO63" s="96"/>
      <c r="AP63" s="96"/>
      <c r="AQ63" s="95"/>
      <c r="AR63" s="98"/>
      <c r="AS63" s="96"/>
      <c r="AT63" s="96"/>
      <c r="AU63" s="95"/>
      <c r="AV63" s="98"/>
      <c r="AW63" s="96"/>
      <c r="AX63" s="96"/>
      <c r="AY63" s="95"/>
      <c r="AZ63" s="98"/>
      <c r="BA63" s="99"/>
      <c r="BB63" s="95"/>
      <c r="BC63" s="96"/>
      <c r="BD63" s="96"/>
      <c r="BE63" s="98"/>
    </row>
    <row r="64" spans="1:57" ht="6" customHeight="1">
      <c r="A64" s="330"/>
      <c r="B64" s="329"/>
      <c r="C64" s="392"/>
      <c r="D64" s="329"/>
      <c r="E64" s="392"/>
      <c r="F64" s="329"/>
      <c r="G64" s="392"/>
      <c r="H64" s="329"/>
      <c r="I64" s="331"/>
      <c r="J64" s="392"/>
      <c r="K64" s="393"/>
      <c r="L64" s="333"/>
      <c r="M64" s="393"/>
      <c r="N64" s="333"/>
      <c r="O64" s="393"/>
      <c r="P64" s="333"/>
      <c r="Q64" s="393"/>
      <c r="R64" s="333"/>
      <c r="S64" s="403"/>
      <c r="T64" s="328"/>
      <c r="U64" s="328"/>
      <c r="V64" s="328"/>
      <c r="W64" s="328"/>
      <c r="X64" s="328"/>
      <c r="Y64" s="328"/>
      <c r="Z64" s="328"/>
      <c r="AA64" s="95"/>
      <c r="AB64" s="96"/>
      <c r="AC64" s="96"/>
      <c r="AD64" s="96"/>
      <c r="AE64" s="96"/>
      <c r="AF64" s="97"/>
      <c r="AG64" s="95"/>
      <c r="AH64" s="96"/>
      <c r="AI64" s="95"/>
      <c r="AJ64" s="96"/>
      <c r="AK64" s="95"/>
      <c r="AL64" s="96"/>
      <c r="AM64" s="95"/>
      <c r="AN64" s="98"/>
      <c r="AO64" s="96"/>
      <c r="AP64" s="96"/>
      <c r="AQ64" s="95"/>
      <c r="AR64" s="98"/>
      <c r="AS64" s="96"/>
      <c r="AT64" s="96"/>
      <c r="AU64" s="95"/>
      <c r="AV64" s="98"/>
      <c r="AW64" s="96"/>
      <c r="AX64" s="96"/>
      <c r="AY64" s="95"/>
      <c r="AZ64" s="98"/>
      <c r="BA64" s="99"/>
      <c r="BB64" s="95"/>
      <c r="BC64" s="96"/>
      <c r="BD64" s="96"/>
      <c r="BE64" s="98"/>
    </row>
    <row r="65" spans="1:57" ht="12" customHeight="1">
      <c r="A65" s="394">
        <f>SUM(A23:A63)</f>
        <v>894352.15</v>
      </c>
      <c r="B65" s="338">
        <f t="shared" ref="B65:B66" si="20">IF(A65=0,0,(A65*100)/A$66)</f>
        <v>52.164671775465642</v>
      </c>
      <c r="C65" s="395">
        <f>SUM(C23:C63)</f>
        <v>-1121798.98</v>
      </c>
      <c r="D65" s="338">
        <f t="shared" ref="D65:D66" si="21">IF(C65=0,0,(C65*100)/C$66)</f>
        <v>72.078839338157849</v>
      </c>
      <c r="E65" s="395">
        <f>SUM(E23:E63)</f>
        <v>0</v>
      </c>
      <c r="F65" s="338">
        <f t="shared" ref="F65:F66" si="22">IF(E65=0,0,(E65*100)/E$66)</f>
        <v>0</v>
      </c>
      <c r="G65" s="395">
        <f>SUM(G23:G63)</f>
        <v>1121798.98</v>
      </c>
      <c r="H65" s="338">
        <f t="shared" ref="H65:H66" si="23">IF(G65=0,0,(G65*100)/G$66)</f>
        <v>72.078839338157849</v>
      </c>
      <c r="I65" s="395"/>
      <c r="J65" s="396" t="s">
        <v>554</v>
      </c>
      <c r="K65" s="395"/>
      <c r="L65" s="338">
        <f>SUM(L23:L63)</f>
        <v>1121798.98</v>
      </c>
      <c r="M65" s="395">
        <f t="shared" ref="M65:M66" si="24">IF(L65=0,0,(L65*100)/L$66)</f>
        <v>72.078839338157849</v>
      </c>
      <c r="N65" s="338">
        <f>SUM(N23:N63)</f>
        <v>0</v>
      </c>
      <c r="O65" s="395">
        <f t="shared" ref="O65:O66" si="25">IF(N65=0,0,(N65*100)/N$66)</f>
        <v>0</v>
      </c>
      <c r="P65" s="338">
        <f>SUM(P23:P63)</f>
        <v>-1121798.98</v>
      </c>
      <c r="Q65" s="395">
        <f t="shared" ref="Q65:Q66" si="26">IF(P65=0,0,(P65*100)/P$66)</f>
        <v>72.078839338157849</v>
      </c>
      <c r="R65" s="338">
        <f>SUM(R23:R63)</f>
        <v>894352.15</v>
      </c>
      <c r="S65" s="400">
        <f t="shared" ref="S65:S66" si="27">IF(R65=0,0,(R65*100)/R$66)</f>
        <v>52.164671775465642</v>
      </c>
      <c r="T65" s="397"/>
      <c r="U65" s="397"/>
      <c r="V65" s="397"/>
      <c r="W65" s="397"/>
      <c r="X65" s="397"/>
      <c r="Y65" s="397"/>
      <c r="Z65" s="397"/>
      <c r="AA65" s="95"/>
      <c r="AB65" s="96"/>
      <c r="AC65" s="96"/>
      <c r="AD65" s="96"/>
      <c r="AE65" s="96"/>
      <c r="AF65" s="97"/>
      <c r="AG65" s="95"/>
      <c r="AH65" s="96"/>
      <c r="AI65" s="95"/>
      <c r="AJ65" s="96"/>
      <c r="AK65" s="95"/>
      <c r="AL65" s="96"/>
      <c r="AM65" s="95"/>
      <c r="AN65" s="98"/>
      <c r="AO65" s="96"/>
      <c r="AP65" s="96"/>
      <c r="AQ65" s="95"/>
      <c r="AR65" s="98"/>
      <c r="AS65" s="96"/>
      <c r="AT65" s="96"/>
      <c r="AU65" s="95"/>
      <c r="AV65" s="98"/>
      <c r="AW65" s="96"/>
      <c r="AX65" s="96"/>
      <c r="AY65" s="95"/>
      <c r="AZ65" s="98"/>
      <c r="BA65" s="99"/>
      <c r="BB65" s="95"/>
      <c r="BC65" s="96"/>
      <c r="BD65" s="96"/>
      <c r="BE65" s="98"/>
    </row>
    <row r="66" spans="1:57" ht="12" customHeight="1">
      <c r="A66" s="394">
        <f>+A21+A65</f>
        <v>1714478.63</v>
      </c>
      <c r="B66" s="338">
        <f t="shared" si="20"/>
        <v>100</v>
      </c>
      <c r="C66" s="395">
        <f>+C21+C65</f>
        <v>-1556349.95</v>
      </c>
      <c r="D66" s="338">
        <f t="shared" si="21"/>
        <v>100</v>
      </c>
      <c r="E66" s="395">
        <f>+E21+E65</f>
        <v>0</v>
      </c>
      <c r="F66" s="338">
        <f t="shared" si="22"/>
        <v>0</v>
      </c>
      <c r="G66" s="395">
        <f>+G21+G65</f>
        <v>1556349.95</v>
      </c>
      <c r="H66" s="338">
        <f t="shared" si="23"/>
        <v>100</v>
      </c>
      <c r="I66" s="395"/>
      <c r="J66" s="396" t="s">
        <v>1006</v>
      </c>
      <c r="K66" s="395"/>
      <c r="L66" s="338">
        <f>+L21+L65</f>
        <v>1556349.95</v>
      </c>
      <c r="M66" s="395">
        <f t="shared" si="24"/>
        <v>100</v>
      </c>
      <c r="N66" s="338">
        <f>+N21+N65</f>
        <v>0</v>
      </c>
      <c r="O66" s="395">
        <f t="shared" si="25"/>
        <v>0</v>
      </c>
      <c r="P66" s="338">
        <f>+P21+P65</f>
        <v>-1556349.95</v>
      </c>
      <c r="Q66" s="395">
        <f t="shared" si="26"/>
        <v>100</v>
      </c>
      <c r="R66" s="338">
        <f>+R21+R65</f>
        <v>1714478.63</v>
      </c>
      <c r="S66" s="400">
        <f t="shared" si="27"/>
        <v>100</v>
      </c>
      <c r="T66" s="295"/>
      <c r="U66" s="295"/>
      <c r="V66" s="295"/>
      <c r="W66" s="295"/>
      <c r="X66" s="295"/>
      <c r="Y66" s="295"/>
      <c r="Z66" s="295"/>
      <c r="AA66" s="95"/>
      <c r="AB66" s="96"/>
      <c r="AC66" s="96"/>
      <c r="AD66" s="96"/>
      <c r="AE66" s="96"/>
      <c r="AF66" s="97"/>
      <c r="AG66" s="95"/>
      <c r="AH66" s="96"/>
      <c r="AI66" s="95"/>
      <c r="AJ66" s="96"/>
      <c r="AK66" s="95"/>
      <c r="AL66" s="96"/>
      <c r="AM66" s="95"/>
      <c r="AN66" s="98"/>
      <c r="AO66" s="96"/>
      <c r="AP66" s="96"/>
      <c r="AQ66" s="95"/>
      <c r="AR66" s="98"/>
      <c r="AS66" s="96"/>
      <c r="AT66" s="96"/>
      <c r="AU66" s="95"/>
      <c r="AV66" s="98"/>
      <c r="AW66" s="96"/>
      <c r="AX66" s="96"/>
      <c r="AY66" s="95"/>
      <c r="AZ66" s="98"/>
      <c r="BA66" s="99"/>
      <c r="BB66" s="95"/>
      <c r="BC66" s="96"/>
      <c r="BD66" s="96"/>
      <c r="BE66" s="98"/>
    </row>
    <row r="67" spans="1:57" ht="12" customHeight="1">
      <c r="A67" s="431"/>
      <c r="B67" s="431"/>
      <c r="C67" s="431"/>
      <c r="D67" s="431"/>
      <c r="E67" s="431"/>
      <c r="F67" s="431"/>
      <c r="G67" s="431"/>
      <c r="H67" s="431"/>
      <c r="I67" s="431"/>
      <c r="J67" s="432"/>
      <c r="K67" s="431"/>
      <c r="L67" s="431"/>
      <c r="M67" s="431"/>
      <c r="N67" s="431"/>
      <c r="O67" s="431"/>
      <c r="P67" s="431"/>
      <c r="Q67" s="431"/>
      <c r="R67" s="431"/>
      <c r="S67" s="431"/>
      <c r="T67" s="60"/>
      <c r="U67" s="60"/>
      <c r="V67" s="382"/>
      <c r="W67" s="382"/>
      <c r="X67" s="382"/>
      <c r="Y67" s="382"/>
      <c r="Z67" s="382"/>
    </row>
    <row r="68" spans="1:57" ht="12" customHeight="1">
      <c r="A68" s="431"/>
      <c r="B68" s="431"/>
      <c r="C68" s="431"/>
      <c r="D68" s="431"/>
      <c r="E68" s="431"/>
      <c r="F68" s="431"/>
      <c r="G68" s="431"/>
      <c r="H68" s="431"/>
      <c r="I68" s="431"/>
      <c r="J68" s="431"/>
      <c r="K68" s="431"/>
      <c r="L68" s="431"/>
      <c r="M68" s="431"/>
      <c r="N68" s="431"/>
      <c r="O68" s="431"/>
      <c r="P68" s="431"/>
      <c r="Q68" s="431"/>
      <c r="R68" s="431"/>
      <c r="S68" s="431"/>
      <c r="T68" s="60"/>
      <c r="U68" s="60"/>
      <c r="V68" s="382"/>
      <c r="W68" s="382"/>
      <c r="X68" s="382"/>
      <c r="Y68" s="382"/>
      <c r="Z68" s="382"/>
    </row>
    <row r="69" spans="1:57" ht="12" customHeight="1">
      <c r="A69" s="428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8"/>
      <c r="Q69" s="428"/>
      <c r="R69" s="428"/>
      <c r="S69" s="428"/>
      <c r="T69" s="60"/>
      <c r="U69" s="60"/>
      <c r="V69" s="137"/>
      <c r="W69" s="137"/>
      <c r="X69" s="137"/>
      <c r="Y69" s="137"/>
      <c r="Z69" s="137"/>
    </row>
    <row r="70" spans="1:57" ht="12" customHeight="1">
      <c r="A70" s="428"/>
      <c r="B70" s="428"/>
      <c r="C70" s="428"/>
      <c r="D70" s="428"/>
      <c r="E70" s="428"/>
      <c r="F70" s="428"/>
      <c r="G70" s="428"/>
      <c r="H70" s="428"/>
      <c r="I70" s="428"/>
      <c r="J70" s="428"/>
      <c r="K70" s="428"/>
      <c r="L70" s="428"/>
      <c r="M70" s="428"/>
      <c r="N70" s="428"/>
      <c r="O70" s="428"/>
      <c r="P70" s="428"/>
      <c r="Q70" s="428"/>
      <c r="R70" s="428"/>
      <c r="S70" s="428"/>
      <c r="T70" s="60"/>
      <c r="U70" s="60"/>
      <c r="V70" s="137"/>
      <c r="W70" s="137"/>
      <c r="X70" s="137"/>
      <c r="Y70" s="137"/>
      <c r="Z70" s="137"/>
    </row>
    <row r="71" spans="1:57" ht="12" customHeight="1">
      <c r="A71" s="428"/>
      <c r="B71" s="428"/>
      <c r="C71" s="428"/>
      <c r="D71" s="428"/>
      <c r="E71" s="428"/>
      <c r="F71" s="428"/>
      <c r="G71" s="428"/>
      <c r="H71" s="428"/>
      <c r="I71" s="428"/>
      <c r="J71" s="428"/>
      <c r="K71" s="428"/>
      <c r="L71" s="428"/>
      <c r="M71" s="428"/>
      <c r="N71" s="428"/>
      <c r="O71" s="428"/>
      <c r="P71" s="428"/>
      <c r="Q71" s="428"/>
      <c r="R71" s="428"/>
      <c r="S71" s="428"/>
      <c r="T71" s="60"/>
      <c r="U71" s="60"/>
      <c r="V71" s="137"/>
      <c r="W71" s="137"/>
      <c r="X71" s="137"/>
      <c r="Y71" s="137"/>
      <c r="Z71" s="137"/>
    </row>
    <row r="72" spans="1:57" ht="12" customHeight="1">
      <c r="A72" s="428"/>
      <c r="B72" s="428"/>
      <c r="C72" s="428"/>
      <c r="D72" s="428"/>
      <c r="E72" s="428"/>
      <c r="F72" s="428"/>
      <c r="G72" s="428"/>
      <c r="H72" s="428"/>
      <c r="I72" s="428"/>
      <c r="J72" s="428"/>
      <c r="K72" s="428"/>
      <c r="L72" s="428"/>
      <c r="M72" s="428"/>
      <c r="N72" s="428"/>
      <c r="O72" s="428"/>
      <c r="P72" s="428"/>
      <c r="Q72" s="428"/>
      <c r="R72" s="428"/>
      <c r="S72" s="428"/>
      <c r="T72" s="60"/>
      <c r="U72" s="60"/>
      <c r="V72" s="137"/>
      <c r="W72" s="137"/>
      <c r="X72" s="137"/>
      <c r="Y72" s="137"/>
      <c r="Z72" s="137"/>
    </row>
    <row r="73" spans="1:57" ht="12" customHeight="1">
      <c r="A73" s="428"/>
      <c r="B73" s="428"/>
      <c r="C73" s="428"/>
      <c r="D73" s="428"/>
      <c r="E73" s="428"/>
      <c r="F73" s="428"/>
      <c r="G73" s="428"/>
      <c r="H73" s="428"/>
      <c r="I73" s="428"/>
      <c r="J73" s="428"/>
      <c r="K73" s="428"/>
      <c r="L73" s="428"/>
      <c r="M73" s="428"/>
      <c r="N73" s="428"/>
      <c r="O73" s="428"/>
      <c r="P73" s="428"/>
      <c r="Q73" s="428"/>
      <c r="R73" s="428"/>
      <c r="S73" s="428"/>
      <c r="T73" s="60"/>
      <c r="U73" s="60"/>
      <c r="V73" s="137"/>
      <c r="W73" s="137"/>
      <c r="X73" s="137"/>
      <c r="Y73" s="137"/>
      <c r="Z73" s="137"/>
    </row>
    <row r="74" spans="1:57" ht="12" customHeight="1">
      <c r="A74" s="428"/>
      <c r="B74" s="428"/>
      <c r="C74" s="428"/>
      <c r="D74" s="428"/>
      <c r="E74" s="428"/>
      <c r="F74" s="428"/>
      <c r="G74" s="428"/>
      <c r="H74" s="428"/>
      <c r="I74" s="428"/>
      <c r="J74" s="428"/>
      <c r="K74" s="428"/>
      <c r="L74" s="428"/>
      <c r="M74" s="428"/>
      <c r="N74" s="428"/>
      <c r="O74" s="428"/>
      <c r="P74" s="428"/>
      <c r="Q74" s="428"/>
      <c r="R74" s="428"/>
      <c r="S74" s="428"/>
      <c r="T74" s="60"/>
      <c r="U74" s="60"/>
      <c r="V74" s="137"/>
      <c r="W74" s="137"/>
      <c r="X74" s="137"/>
      <c r="Y74" s="137"/>
      <c r="Z74" s="137"/>
    </row>
    <row r="75" spans="1:57" ht="12" customHeight="1">
      <c r="A75" s="428"/>
      <c r="B75" s="428"/>
      <c r="C75" s="428"/>
      <c r="D75" s="428"/>
      <c r="E75" s="428"/>
      <c r="F75" s="428"/>
      <c r="G75" s="428"/>
      <c r="H75" s="428"/>
      <c r="I75" s="428"/>
      <c r="J75" s="428"/>
      <c r="K75" s="428"/>
      <c r="L75" s="428"/>
      <c r="M75" s="428"/>
      <c r="N75" s="428"/>
      <c r="O75" s="428"/>
      <c r="P75" s="428"/>
      <c r="Q75" s="428"/>
      <c r="R75" s="428"/>
      <c r="S75" s="428"/>
      <c r="T75" s="60"/>
      <c r="U75" s="60"/>
      <c r="V75" s="137"/>
      <c r="W75" s="137"/>
      <c r="X75" s="137"/>
      <c r="Y75" s="137"/>
      <c r="Z75" s="137"/>
    </row>
    <row r="76" spans="1:57" ht="12" customHeight="1">
      <c r="A76" s="428"/>
      <c r="B76" s="428"/>
      <c r="C76" s="428"/>
      <c r="D76" s="428"/>
      <c r="E76" s="428"/>
      <c r="F76" s="428"/>
      <c r="G76" s="428"/>
      <c r="H76" s="428"/>
      <c r="I76" s="428"/>
      <c r="J76" s="428"/>
      <c r="K76" s="428"/>
      <c r="L76" s="428"/>
      <c r="M76" s="428"/>
      <c r="N76" s="428"/>
      <c r="O76" s="428"/>
      <c r="P76" s="428"/>
      <c r="Q76" s="428"/>
      <c r="R76" s="428"/>
      <c r="S76" s="428"/>
      <c r="T76" s="60"/>
      <c r="U76" s="60"/>
      <c r="V76" s="137"/>
      <c r="W76" s="137"/>
      <c r="X76" s="137"/>
      <c r="Y76" s="137"/>
      <c r="Z76" s="137"/>
    </row>
    <row r="77" spans="1:57" ht="12" customHeight="1">
      <c r="A77" s="428"/>
      <c r="B77" s="428"/>
      <c r="C77" s="428"/>
      <c r="D77" s="428"/>
      <c r="E77" s="428"/>
      <c r="F77" s="428"/>
      <c r="G77" s="428"/>
      <c r="H77" s="428"/>
      <c r="I77" s="428"/>
      <c r="J77" s="428"/>
      <c r="K77" s="428"/>
      <c r="L77" s="428"/>
      <c r="M77" s="428"/>
      <c r="N77" s="428"/>
      <c r="O77" s="428"/>
      <c r="P77" s="428"/>
      <c r="Q77" s="428"/>
      <c r="R77" s="428"/>
      <c r="S77" s="428"/>
      <c r="T77" s="60"/>
      <c r="U77" s="60"/>
      <c r="V77" s="137"/>
      <c r="W77" s="137"/>
      <c r="X77" s="137"/>
      <c r="Y77" s="137"/>
      <c r="Z77" s="137"/>
    </row>
    <row r="78" spans="1:57" ht="12" customHeight="1">
      <c r="A78" s="428"/>
      <c r="B78" s="428"/>
      <c r="C78" s="428"/>
      <c r="D78" s="428"/>
      <c r="E78" s="428"/>
      <c r="F78" s="428"/>
      <c r="G78" s="428"/>
      <c r="H78" s="428"/>
      <c r="I78" s="428"/>
      <c r="J78" s="428"/>
      <c r="K78" s="428"/>
      <c r="L78" s="428"/>
      <c r="M78" s="428"/>
      <c r="N78" s="428"/>
      <c r="O78" s="428"/>
      <c r="P78" s="428"/>
      <c r="Q78" s="428"/>
      <c r="R78" s="428"/>
      <c r="S78" s="428"/>
      <c r="T78" s="60"/>
      <c r="U78" s="60"/>
      <c r="V78" s="137"/>
      <c r="W78" s="137"/>
      <c r="X78" s="137"/>
      <c r="Y78" s="137"/>
      <c r="Z78" s="137"/>
    </row>
    <row r="79" spans="1:57" ht="12" customHeight="1">
      <c r="A79" s="428"/>
      <c r="B79" s="428"/>
      <c r="C79" s="428"/>
      <c r="D79" s="428"/>
      <c r="E79" s="428"/>
      <c r="F79" s="428"/>
      <c r="G79" s="428"/>
      <c r="H79" s="428"/>
      <c r="I79" s="428"/>
      <c r="J79" s="428"/>
      <c r="K79" s="428"/>
      <c r="L79" s="428"/>
      <c r="M79" s="428"/>
      <c r="N79" s="428"/>
      <c r="O79" s="428"/>
      <c r="P79" s="428"/>
      <c r="Q79" s="428"/>
      <c r="R79" s="428"/>
      <c r="S79" s="428"/>
      <c r="T79" s="60"/>
      <c r="U79" s="60"/>
      <c r="V79" s="137"/>
      <c r="W79" s="137"/>
      <c r="X79" s="137"/>
      <c r="Y79" s="137"/>
      <c r="Z79" s="137"/>
    </row>
    <row r="80" spans="1:57" ht="12" customHeight="1">
      <c r="A80" s="428"/>
      <c r="B80" s="428"/>
      <c r="C80" s="428"/>
      <c r="D80" s="428"/>
      <c r="E80" s="428"/>
      <c r="F80" s="428"/>
      <c r="G80" s="428"/>
      <c r="H80" s="428"/>
      <c r="I80" s="428"/>
      <c r="J80" s="428"/>
      <c r="K80" s="428"/>
      <c r="L80" s="428"/>
      <c r="M80" s="428"/>
      <c r="N80" s="428"/>
      <c r="O80" s="428"/>
      <c r="P80" s="428"/>
      <c r="Q80" s="428"/>
      <c r="R80" s="428"/>
      <c r="S80" s="428"/>
      <c r="T80" s="60"/>
      <c r="U80" s="60"/>
      <c r="V80" s="137"/>
      <c r="W80" s="137"/>
      <c r="X80" s="137"/>
      <c r="Y80" s="137"/>
      <c r="Z80" s="137"/>
    </row>
    <row r="81" spans="1:26" ht="12" customHeight="1">
      <c r="A81" s="428"/>
      <c r="B81" s="428"/>
      <c r="C81" s="428"/>
      <c r="D81" s="428"/>
      <c r="E81" s="428"/>
      <c r="F81" s="428"/>
      <c r="G81" s="428"/>
      <c r="H81" s="428"/>
      <c r="I81" s="428"/>
      <c r="J81" s="428"/>
      <c r="K81" s="428"/>
      <c r="L81" s="428"/>
      <c r="M81" s="428"/>
      <c r="N81" s="428"/>
      <c r="O81" s="428"/>
      <c r="P81" s="428"/>
      <c r="Q81" s="428"/>
      <c r="R81" s="428"/>
      <c r="S81" s="428"/>
      <c r="T81" s="60"/>
      <c r="U81" s="60"/>
      <c r="V81" s="137"/>
      <c r="W81" s="137"/>
      <c r="X81" s="137"/>
      <c r="Y81" s="137"/>
      <c r="Z81" s="137"/>
    </row>
    <row r="82" spans="1:26" ht="12" customHeight="1">
      <c r="A82" s="428"/>
      <c r="B82" s="428"/>
      <c r="C82" s="428"/>
      <c r="D82" s="428"/>
      <c r="E82" s="428"/>
      <c r="F82" s="428"/>
      <c r="G82" s="428"/>
      <c r="H82" s="428"/>
      <c r="I82" s="428"/>
      <c r="J82" s="428"/>
      <c r="K82" s="428"/>
      <c r="L82" s="428"/>
      <c r="M82" s="428"/>
      <c r="N82" s="428"/>
      <c r="O82" s="428"/>
      <c r="P82" s="428"/>
      <c r="Q82" s="428"/>
      <c r="R82" s="428"/>
      <c r="S82" s="428"/>
      <c r="T82" s="60"/>
      <c r="U82" s="60"/>
      <c r="V82" s="137"/>
      <c r="W82" s="137"/>
      <c r="X82" s="137"/>
      <c r="Y82" s="137"/>
      <c r="Z82" s="137"/>
    </row>
    <row r="83" spans="1:26" ht="12" customHeight="1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60"/>
      <c r="U83" s="60"/>
      <c r="V83" s="137"/>
      <c r="W83" s="137"/>
      <c r="X83" s="137"/>
      <c r="Y83" s="137"/>
      <c r="Z83" s="137"/>
    </row>
    <row r="84" spans="1:26" ht="12" customHeight="1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60"/>
      <c r="U84" s="60"/>
      <c r="V84" s="137"/>
      <c r="W84" s="137"/>
      <c r="X84" s="137"/>
      <c r="Y84" s="137"/>
      <c r="Z84" s="137"/>
    </row>
    <row r="85" spans="1:26" ht="12" customHeight="1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60"/>
      <c r="U85" s="60"/>
      <c r="V85" s="137"/>
      <c r="W85" s="137"/>
      <c r="X85" s="137"/>
      <c r="Y85" s="137"/>
      <c r="Z85" s="137"/>
    </row>
    <row r="86" spans="1:26" ht="12" customHeight="1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60"/>
      <c r="U86" s="60"/>
      <c r="V86" s="137"/>
      <c r="W86" s="137"/>
      <c r="X86" s="137"/>
      <c r="Y86" s="137"/>
      <c r="Z86" s="137"/>
    </row>
    <row r="87" spans="1:26" ht="12" customHeight="1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60"/>
      <c r="U87" s="60"/>
      <c r="V87" s="137"/>
      <c r="W87" s="137"/>
      <c r="X87" s="137"/>
      <c r="Y87" s="137"/>
      <c r="Z87" s="137"/>
    </row>
    <row r="88" spans="1:26" ht="12" customHeight="1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60"/>
      <c r="U88" s="60"/>
      <c r="V88" s="137"/>
      <c r="W88" s="137"/>
      <c r="X88" s="137"/>
      <c r="Y88" s="137"/>
      <c r="Z88" s="137"/>
    </row>
    <row r="89" spans="1:26" ht="12" customHeight="1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60"/>
      <c r="U89" s="60"/>
      <c r="V89" s="137"/>
      <c r="W89" s="137"/>
      <c r="X89" s="137"/>
      <c r="Y89" s="137"/>
      <c r="Z89" s="137"/>
    </row>
    <row r="90" spans="1:26" ht="12" customHeight="1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60"/>
      <c r="U90" s="60"/>
      <c r="V90" s="137"/>
      <c r="W90" s="137"/>
      <c r="X90" s="137"/>
      <c r="Y90" s="137"/>
      <c r="Z90" s="137"/>
    </row>
    <row r="91" spans="1:26" ht="12" customHeight="1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60"/>
      <c r="U91" s="60"/>
      <c r="V91" s="137"/>
      <c r="W91" s="137"/>
      <c r="X91" s="137"/>
      <c r="Y91" s="137"/>
      <c r="Z91" s="137"/>
    </row>
    <row r="92" spans="1:26" ht="12" customHeight="1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60"/>
      <c r="U92" s="60"/>
      <c r="V92" s="137"/>
      <c r="W92" s="137"/>
      <c r="X92" s="137"/>
      <c r="Y92" s="137"/>
      <c r="Z92" s="137"/>
    </row>
    <row r="93" spans="1:26" ht="12" customHeight="1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60"/>
      <c r="U93" s="60"/>
      <c r="V93" s="137"/>
      <c r="W93" s="137"/>
      <c r="X93" s="137"/>
      <c r="Y93" s="137"/>
      <c r="Z93" s="137"/>
    </row>
    <row r="94" spans="1:26" ht="12" customHeight="1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60"/>
      <c r="U94" s="60"/>
      <c r="V94" s="137"/>
      <c r="W94" s="137"/>
      <c r="X94" s="137"/>
      <c r="Y94" s="137"/>
      <c r="Z94" s="137"/>
    </row>
    <row r="95" spans="1:26" ht="12" customHeight="1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60"/>
      <c r="U95" s="60"/>
      <c r="V95" s="137"/>
      <c r="W95" s="137"/>
      <c r="X95" s="137"/>
      <c r="Y95" s="137"/>
      <c r="Z95" s="137"/>
    </row>
    <row r="96" spans="1:26" ht="12" customHeight="1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60"/>
      <c r="U96" s="60"/>
      <c r="V96" s="137"/>
      <c r="W96" s="137"/>
      <c r="X96" s="137"/>
      <c r="Y96" s="137"/>
      <c r="Z96" s="137"/>
    </row>
    <row r="97" spans="1:26" ht="12" customHeight="1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60"/>
      <c r="U97" s="60"/>
      <c r="V97" s="137"/>
      <c r="W97" s="137"/>
      <c r="X97" s="137"/>
      <c r="Y97" s="137"/>
      <c r="Z97" s="137"/>
    </row>
    <row r="98" spans="1:26" ht="12" customHeight="1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60"/>
      <c r="U98" s="60"/>
      <c r="V98" s="137"/>
      <c r="W98" s="137"/>
      <c r="X98" s="137"/>
      <c r="Y98" s="137"/>
      <c r="Z98" s="137"/>
    </row>
    <row r="99" spans="1:26" ht="12" customHeight="1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60"/>
      <c r="U99" s="60"/>
      <c r="V99" s="137"/>
      <c r="W99" s="137"/>
      <c r="X99" s="137"/>
      <c r="Y99" s="137"/>
      <c r="Z99" s="137"/>
    </row>
    <row r="100" spans="1:26" ht="12" customHeight="1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60"/>
      <c r="U100" s="60"/>
      <c r="V100" s="137"/>
      <c r="W100" s="137"/>
      <c r="X100" s="137"/>
      <c r="Y100" s="137"/>
      <c r="Z100" s="137"/>
    </row>
    <row r="101" spans="1:26" ht="12" customHeight="1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60"/>
      <c r="U101" s="60"/>
      <c r="V101" s="137"/>
      <c r="W101" s="137"/>
      <c r="X101" s="137"/>
      <c r="Y101" s="137"/>
      <c r="Z101" s="137"/>
    </row>
    <row r="102" spans="1:26" ht="12" customHeight="1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60"/>
      <c r="U102" s="60"/>
      <c r="V102" s="137"/>
      <c r="W102" s="137"/>
      <c r="X102" s="137"/>
      <c r="Y102" s="137"/>
      <c r="Z102" s="137"/>
    </row>
    <row r="103" spans="1:26" ht="12" customHeight="1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60"/>
      <c r="U103" s="60"/>
      <c r="V103" s="137"/>
      <c r="W103" s="137"/>
      <c r="X103" s="137"/>
      <c r="Y103" s="137"/>
      <c r="Z103" s="137"/>
    </row>
    <row r="104" spans="1:26" ht="12" customHeight="1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60"/>
      <c r="U104" s="60"/>
      <c r="V104" s="137"/>
      <c r="W104" s="137"/>
      <c r="X104" s="137"/>
      <c r="Y104" s="137"/>
      <c r="Z104" s="137"/>
    </row>
    <row r="105" spans="1:26" ht="12" customHeight="1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60"/>
      <c r="U105" s="60"/>
      <c r="V105" s="137"/>
      <c r="W105" s="137"/>
      <c r="X105" s="137"/>
      <c r="Y105" s="137"/>
      <c r="Z105" s="137"/>
    </row>
    <row r="106" spans="1:26" ht="12" customHeight="1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60"/>
      <c r="U106" s="60"/>
      <c r="V106" s="137"/>
      <c r="W106" s="137"/>
      <c r="X106" s="137"/>
      <c r="Y106" s="137"/>
      <c r="Z106" s="137"/>
    </row>
    <row r="107" spans="1:26" ht="12" customHeight="1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60"/>
      <c r="U107" s="60"/>
      <c r="V107" s="137"/>
      <c r="W107" s="137"/>
      <c r="X107" s="137"/>
      <c r="Y107" s="137"/>
      <c r="Z107" s="137"/>
    </row>
    <row r="108" spans="1:26" ht="12" customHeight="1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60"/>
      <c r="U108" s="60"/>
      <c r="V108" s="137"/>
      <c r="W108" s="137"/>
      <c r="X108" s="137"/>
      <c r="Y108" s="137"/>
      <c r="Z108" s="137"/>
    </row>
    <row r="109" spans="1:26" ht="12" customHeight="1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60"/>
      <c r="U109" s="60"/>
      <c r="V109" s="137"/>
      <c r="W109" s="137"/>
      <c r="X109" s="137"/>
      <c r="Y109" s="137"/>
      <c r="Z109" s="137"/>
    </row>
    <row r="110" spans="1:26" ht="12" customHeight="1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60"/>
      <c r="U110" s="60"/>
      <c r="V110" s="137"/>
      <c r="W110" s="137"/>
      <c r="X110" s="137"/>
      <c r="Y110" s="137"/>
      <c r="Z110" s="137"/>
    </row>
    <row r="111" spans="1:26" ht="12" customHeight="1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60"/>
      <c r="U111" s="60"/>
      <c r="V111" s="137"/>
      <c r="W111" s="137"/>
      <c r="X111" s="137"/>
      <c r="Y111" s="137"/>
      <c r="Z111" s="137"/>
    </row>
    <row r="112" spans="1:26" ht="12" customHeight="1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60"/>
      <c r="U112" s="60"/>
      <c r="V112" s="137"/>
      <c r="W112" s="137"/>
      <c r="X112" s="137"/>
      <c r="Y112" s="137"/>
      <c r="Z112" s="137"/>
    </row>
    <row r="113" spans="1:26" ht="12" customHeight="1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60"/>
      <c r="U113" s="60"/>
      <c r="V113" s="137"/>
      <c r="W113" s="137"/>
      <c r="X113" s="137"/>
      <c r="Y113" s="137"/>
      <c r="Z113" s="137"/>
    </row>
    <row r="114" spans="1:26" ht="12" customHeight="1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60"/>
      <c r="U114" s="60"/>
      <c r="V114" s="137"/>
      <c r="W114" s="137"/>
      <c r="X114" s="137"/>
      <c r="Y114" s="137"/>
      <c r="Z114" s="137"/>
    </row>
    <row r="115" spans="1:26" ht="12" customHeight="1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60"/>
      <c r="U115" s="60"/>
      <c r="V115" s="137"/>
      <c r="W115" s="137"/>
      <c r="X115" s="137"/>
      <c r="Y115" s="137"/>
      <c r="Z115" s="137"/>
    </row>
    <row r="116" spans="1:26" ht="12" customHeight="1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60"/>
      <c r="U116" s="60"/>
      <c r="V116" s="137"/>
      <c r="W116" s="137"/>
      <c r="X116" s="137"/>
      <c r="Y116" s="137"/>
      <c r="Z116" s="137"/>
    </row>
    <row r="117" spans="1:26" ht="12" customHeight="1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60"/>
      <c r="U117" s="60"/>
      <c r="V117" s="137"/>
      <c r="W117" s="137"/>
      <c r="X117" s="137"/>
      <c r="Y117" s="137"/>
      <c r="Z117" s="137"/>
    </row>
    <row r="118" spans="1:26" ht="12" customHeight="1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60"/>
      <c r="U118" s="60"/>
      <c r="V118" s="137"/>
      <c r="W118" s="137"/>
      <c r="X118" s="137"/>
      <c r="Y118" s="137"/>
      <c r="Z118" s="137"/>
    </row>
    <row r="119" spans="1:26" ht="12" customHeight="1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60"/>
      <c r="U119" s="60"/>
      <c r="V119" s="137"/>
      <c r="W119" s="137"/>
      <c r="X119" s="137"/>
      <c r="Y119" s="137"/>
      <c r="Z119" s="137"/>
    </row>
    <row r="120" spans="1:26" ht="12" customHeight="1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60"/>
      <c r="U120" s="60"/>
      <c r="V120" s="137"/>
      <c r="W120" s="137"/>
      <c r="X120" s="137"/>
      <c r="Y120" s="137"/>
      <c r="Z120" s="137"/>
    </row>
    <row r="121" spans="1:26" ht="12" customHeight="1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60"/>
      <c r="U121" s="60"/>
      <c r="V121" s="137"/>
      <c r="W121" s="137"/>
      <c r="X121" s="137"/>
      <c r="Y121" s="137"/>
      <c r="Z121" s="137"/>
    </row>
    <row r="122" spans="1:26" ht="12" customHeight="1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60"/>
      <c r="U122" s="60"/>
      <c r="V122" s="137"/>
      <c r="W122" s="137"/>
      <c r="X122" s="137"/>
      <c r="Y122" s="137"/>
      <c r="Z122" s="137"/>
    </row>
    <row r="123" spans="1:26" ht="12" customHeight="1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60"/>
      <c r="U123" s="60"/>
      <c r="V123" s="137"/>
      <c r="W123" s="137"/>
      <c r="X123" s="137"/>
      <c r="Y123" s="137"/>
      <c r="Z123" s="137"/>
    </row>
    <row r="124" spans="1:26" ht="12" customHeight="1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60"/>
      <c r="U124" s="60"/>
      <c r="V124" s="137"/>
      <c r="W124" s="137"/>
      <c r="X124" s="137"/>
      <c r="Y124" s="137"/>
      <c r="Z124" s="137"/>
    </row>
    <row r="125" spans="1:26" ht="12" customHeight="1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60"/>
      <c r="U125" s="60"/>
      <c r="V125" s="137"/>
      <c r="W125" s="137"/>
      <c r="X125" s="137"/>
      <c r="Y125" s="137"/>
      <c r="Z125" s="137"/>
    </row>
    <row r="126" spans="1:26" ht="12" customHeight="1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60"/>
      <c r="U126" s="60"/>
      <c r="V126" s="137"/>
      <c r="W126" s="137"/>
      <c r="X126" s="137"/>
      <c r="Y126" s="137"/>
      <c r="Z126" s="137"/>
    </row>
    <row r="127" spans="1:26" ht="12" customHeight="1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60"/>
      <c r="U127" s="60"/>
      <c r="V127" s="137"/>
      <c r="W127" s="137"/>
      <c r="X127" s="137"/>
      <c r="Y127" s="137"/>
      <c r="Z127" s="137"/>
    </row>
    <row r="128" spans="1:26" ht="12" customHeight="1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60"/>
      <c r="U128" s="60"/>
      <c r="V128" s="137"/>
      <c r="W128" s="137"/>
      <c r="X128" s="137"/>
      <c r="Y128" s="137"/>
      <c r="Z128" s="137"/>
    </row>
    <row r="129" spans="1:26" ht="12" customHeight="1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60"/>
      <c r="U129" s="60"/>
      <c r="V129" s="137"/>
      <c r="W129" s="137"/>
      <c r="X129" s="137"/>
      <c r="Y129" s="137"/>
      <c r="Z129" s="137"/>
    </row>
    <row r="130" spans="1:26" ht="12" customHeight="1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60"/>
      <c r="U130" s="60"/>
      <c r="V130" s="137"/>
      <c r="W130" s="137"/>
      <c r="X130" s="137"/>
      <c r="Y130" s="137"/>
      <c r="Z130" s="137"/>
    </row>
    <row r="131" spans="1:26" ht="12" customHeight="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60"/>
      <c r="U131" s="60"/>
      <c r="V131" s="137"/>
      <c r="W131" s="137"/>
      <c r="X131" s="137"/>
      <c r="Y131" s="137"/>
      <c r="Z131" s="137"/>
    </row>
    <row r="132" spans="1:26" ht="12" customHeight="1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60"/>
      <c r="U132" s="60"/>
      <c r="V132" s="137"/>
      <c r="W132" s="137"/>
      <c r="X132" s="137"/>
      <c r="Y132" s="137"/>
      <c r="Z132" s="137"/>
    </row>
    <row r="133" spans="1:26" ht="12" customHeight="1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60"/>
      <c r="U133" s="60"/>
      <c r="V133" s="137"/>
      <c r="W133" s="137"/>
      <c r="X133" s="137"/>
      <c r="Y133" s="137"/>
      <c r="Z133" s="137"/>
    </row>
    <row r="134" spans="1:26" ht="12" customHeight="1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60"/>
      <c r="U134" s="60"/>
      <c r="V134" s="137"/>
      <c r="W134" s="137"/>
      <c r="X134" s="137"/>
      <c r="Y134" s="137"/>
      <c r="Z134" s="137"/>
    </row>
    <row r="135" spans="1:26" ht="12" customHeight="1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60"/>
      <c r="U135" s="60"/>
      <c r="V135" s="137"/>
      <c r="W135" s="137"/>
      <c r="X135" s="137"/>
      <c r="Y135" s="137"/>
      <c r="Z135" s="137"/>
    </row>
    <row r="136" spans="1:26" ht="12" customHeight="1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60"/>
      <c r="U136" s="60"/>
      <c r="V136" s="137"/>
      <c r="W136" s="137"/>
      <c r="X136" s="137"/>
      <c r="Y136" s="137"/>
      <c r="Z136" s="137"/>
    </row>
    <row r="137" spans="1:26" ht="12" customHeight="1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60"/>
      <c r="U137" s="60"/>
      <c r="V137" s="137"/>
      <c r="W137" s="137"/>
      <c r="X137" s="137"/>
      <c r="Y137" s="137"/>
      <c r="Z137" s="137"/>
    </row>
    <row r="138" spans="1:26" ht="12" customHeight="1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60"/>
      <c r="U138" s="60"/>
      <c r="V138" s="137"/>
      <c r="W138" s="137"/>
      <c r="X138" s="137"/>
      <c r="Y138" s="137"/>
      <c r="Z138" s="137"/>
    </row>
    <row r="139" spans="1:26" ht="12" customHeight="1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60"/>
      <c r="U139" s="60"/>
      <c r="V139" s="137"/>
      <c r="W139" s="137"/>
      <c r="X139" s="137"/>
      <c r="Y139" s="137"/>
      <c r="Z139" s="137"/>
    </row>
    <row r="140" spans="1:26" ht="12" customHeight="1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60"/>
      <c r="U140" s="60"/>
      <c r="V140" s="137"/>
      <c r="W140" s="137"/>
      <c r="X140" s="137"/>
      <c r="Y140" s="137"/>
      <c r="Z140" s="137"/>
    </row>
    <row r="141" spans="1:26" ht="12" customHeight="1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60"/>
      <c r="U141" s="60"/>
      <c r="V141" s="137"/>
      <c r="W141" s="137"/>
      <c r="X141" s="137"/>
      <c r="Y141" s="137"/>
      <c r="Z141" s="137"/>
    </row>
    <row r="142" spans="1:26" ht="12" customHeight="1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60"/>
      <c r="U142" s="60"/>
      <c r="V142" s="137"/>
      <c r="W142" s="137"/>
      <c r="X142" s="137"/>
      <c r="Y142" s="137"/>
      <c r="Z142" s="137"/>
    </row>
    <row r="143" spans="1:26" ht="12" customHeight="1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60"/>
      <c r="U143" s="60"/>
      <c r="V143" s="137"/>
      <c r="W143" s="137"/>
      <c r="X143" s="137"/>
      <c r="Y143" s="137"/>
      <c r="Z143" s="137"/>
    </row>
    <row r="144" spans="1:26" ht="12" customHeight="1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60"/>
      <c r="U144" s="60"/>
      <c r="V144" s="137"/>
      <c r="W144" s="137"/>
      <c r="X144" s="137"/>
      <c r="Y144" s="137"/>
      <c r="Z144" s="137"/>
    </row>
    <row r="145" spans="1:26" ht="12" customHeight="1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60"/>
      <c r="U145" s="60"/>
      <c r="V145" s="137"/>
      <c r="W145" s="137"/>
      <c r="X145" s="137"/>
      <c r="Y145" s="137"/>
      <c r="Z145" s="137"/>
    </row>
    <row r="146" spans="1:26" ht="12" customHeight="1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60"/>
      <c r="U146" s="60"/>
      <c r="V146" s="137"/>
      <c r="W146" s="137"/>
      <c r="X146" s="137"/>
      <c r="Y146" s="137"/>
      <c r="Z146" s="137"/>
    </row>
    <row r="147" spans="1:26" ht="12" customHeight="1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60"/>
      <c r="U147" s="60"/>
      <c r="V147" s="137"/>
      <c r="W147" s="137"/>
      <c r="X147" s="137"/>
      <c r="Y147" s="137"/>
      <c r="Z147" s="137"/>
    </row>
    <row r="148" spans="1:26" ht="12" customHeight="1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60"/>
      <c r="U148" s="60"/>
      <c r="V148" s="137"/>
      <c r="W148" s="137"/>
      <c r="X148" s="137"/>
      <c r="Y148" s="137"/>
      <c r="Z148" s="137"/>
    </row>
    <row r="149" spans="1:26" ht="12" customHeight="1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60"/>
      <c r="U149" s="60"/>
      <c r="V149" s="137"/>
      <c r="W149" s="137"/>
      <c r="X149" s="137"/>
      <c r="Y149" s="137"/>
      <c r="Z149" s="137"/>
    </row>
    <row r="150" spans="1:26" ht="12" customHeight="1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60"/>
      <c r="U150" s="60"/>
      <c r="V150" s="137"/>
      <c r="W150" s="137"/>
      <c r="X150" s="137"/>
      <c r="Y150" s="137"/>
      <c r="Z150" s="137"/>
    </row>
    <row r="151" spans="1:26" ht="12" customHeight="1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60"/>
      <c r="U151" s="60"/>
      <c r="V151" s="137"/>
      <c r="W151" s="137"/>
      <c r="X151" s="137"/>
      <c r="Y151" s="137"/>
      <c r="Z151" s="137"/>
    </row>
    <row r="152" spans="1:26" ht="12" customHeight="1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60"/>
      <c r="U152" s="60"/>
      <c r="V152" s="137"/>
      <c r="W152" s="137"/>
      <c r="X152" s="137"/>
      <c r="Y152" s="137"/>
      <c r="Z152" s="137"/>
    </row>
    <row r="153" spans="1:26" ht="12" customHeight="1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60"/>
      <c r="U153" s="60"/>
      <c r="V153" s="137"/>
      <c r="W153" s="137"/>
      <c r="X153" s="137"/>
      <c r="Y153" s="137"/>
      <c r="Z153" s="137"/>
    </row>
    <row r="154" spans="1:26" ht="12" customHeight="1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60"/>
      <c r="U154" s="60"/>
      <c r="V154" s="137"/>
      <c r="W154" s="137"/>
      <c r="X154" s="137"/>
      <c r="Y154" s="137"/>
      <c r="Z154" s="137"/>
    </row>
    <row r="155" spans="1:26" ht="12" customHeight="1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60"/>
      <c r="U155" s="60"/>
      <c r="V155" s="137"/>
      <c r="W155" s="137"/>
      <c r="X155" s="137"/>
      <c r="Y155" s="137"/>
      <c r="Z155" s="137"/>
    </row>
    <row r="156" spans="1:26" ht="12" customHeight="1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60"/>
      <c r="U156" s="60"/>
      <c r="V156" s="137"/>
      <c r="W156" s="137"/>
      <c r="X156" s="137"/>
      <c r="Y156" s="137"/>
      <c r="Z156" s="137"/>
    </row>
    <row r="157" spans="1:26" ht="12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</row>
    <row r="158" spans="1:26" ht="12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</row>
    <row r="159" spans="1:26" ht="12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</row>
    <row r="160" spans="1:26" ht="12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</row>
    <row r="161" spans="1:26" ht="12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</row>
    <row r="162" spans="1:26" ht="12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</row>
    <row r="163" spans="1:26" ht="12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</row>
    <row r="164" spans="1:26" ht="12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</row>
    <row r="165" spans="1:26" ht="12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</row>
    <row r="166" spans="1:26" ht="12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</row>
    <row r="167" spans="1:26" ht="12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</row>
    <row r="168" spans="1:26" ht="12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</row>
    <row r="169" spans="1:26" ht="12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</row>
    <row r="170" spans="1:26" ht="12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</row>
    <row r="171" spans="1:26" ht="12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</row>
    <row r="172" spans="1:26" ht="12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</row>
    <row r="173" spans="1:26" ht="12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</row>
    <row r="174" spans="1:26" ht="12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</row>
    <row r="175" spans="1:26" ht="12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</row>
    <row r="176" spans="1:26" ht="12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</row>
    <row r="177" spans="1:26" ht="12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</row>
    <row r="178" spans="1:26" ht="12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</row>
    <row r="179" spans="1:26" ht="12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</row>
    <row r="180" spans="1:26" ht="12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</row>
    <row r="181" spans="1:26" ht="12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</row>
    <row r="182" spans="1:26" ht="12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</row>
    <row r="183" spans="1:26" ht="12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</row>
    <row r="184" spans="1:26" ht="12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</row>
    <row r="185" spans="1:26" ht="12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</row>
    <row r="186" spans="1:26" ht="12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</row>
    <row r="187" spans="1:26" ht="12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</row>
    <row r="188" spans="1:26" ht="12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</row>
    <row r="189" spans="1:26" ht="12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</row>
    <row r="190" spans="1:26" ht="12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</row>
    <row r="191" spans="1:26" ht="12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</row>
    <row r="192" spans="1:26" ht="12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</row>
    <row r="193" spans="1:26" ht="12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</row>
    <row r="194" spans="1:26" ht="12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</row>
    <row r="195" spans="1:26" ht="12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</row>
    <row r="196" spans="1:26" ht="12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</row>
    <row r="197" spans="1:26" ht="12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</row>
    <row r="198" spans="1:26" ht="12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</row>
    <row r="199" spans="1:26" ht="12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</row>
    <row r="200" spans="1:26" ht="12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</row>
    <row r="201" spans="1:26" ht="12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</row>
    <row r="202" spans="1:26" ht="12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</row>
    <row r="203" spans="1:26" ht="12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</row>
    <row r="204" spans="1:26" ht="12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</row>
    <row r="205" spans="1:26" ht="12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</row>
    <row r="206" spans="1:26" ht="12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</row>
    <row r="207" spans="1:26" ht="12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</row>
    <row r="208" spans="1:26" ht="12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</row>
    <row r="209" spans="1:26" ht="12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</row>
    <row r="210" spans="1:26" ht="12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</row>
    <row r="211" spans="1:26" ht="12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</row>
    <row r="212" spans="1:26" ht="12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</row>
    <row r="213" spans="1:26" ht="12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</row>
    <row r="214" spans="1:26" ht="12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</row>
    <row r="215" spans="1:26" ht="12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</row>
    <row r="216" spans="1:26" ht="12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</row>
    <row r="217" spans="1:26" ht="12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</row>
    <row r="218" spans="1:26" ht="12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</row>
    <row r="219" spans="1:26" ht="12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</row>
    <row r="220" spans="1:26" ht="12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</row>
    <row r="221" spans="1:26" ht="12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</row>
    <row r="222" spans="1:26" ht="12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</row>
    <row r="223" spans="1:26" ht="12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</row>
    <row r="224" spans="1:26" ht="12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</row>
    <row r="225" spans="1:26" ht="12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</row>
    <row r="226" spans="1:26" ht="12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</row>
    <row r="227" spans="1:26" ht="12" customHeight="1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</row>
    <row r="228" spans="1:26" ht="12" customHeight="1">
      <c r="A228" s="137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</row>
    <row r="229" spans="1:26" ht="12" customHeight="1">
      <c r="A229" s="137"/>
      <c r="B229" s="137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</row>
    <row r="230" spans="1:26" ht="12" customHeight="1">
      <c r="A230" s="137"/>
      <c r="B230" s="137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</row>
    <row r="231" spans="1:26" ht="12" customHeight="1">
      <c r="A231" s="137"/>
      <c r="B231" s="137"/>
      <c r="C231" s="137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</row>
    <row r="232" spans="1:26" ht="12" customHeight="1">
      <c r="A232" s="137"/>
      <c r="B232" s="137"/>
      <c r="C232" s="137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</row>
    <row r="233" spans="1:26" ht="12" customHeight="1">
      <c r="A233" s="137"/>
      <c r="B233" s="137"/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</row>
    <row r="234" spans="1:26" ht="12" customHeight="1">
      <c r="A234" s="137"/>
      <c r="B234" s="137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</row>
    <row r="235" spans="1:26" ht="12" customHeight="1">
      <c r="A235" s="137"/>
      <c r="B235" s="137"/>
      <c r="C235" s="137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</row>
    <row r="236" spans="1:26" ht="12" customHeight="1">
      <c r="A236" s="137"/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</row>
    <row r="237" spans="1:26" ht="12" customHeight="1">
      <c r="A237" s="137"/>
      <c r="B237" s="137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</row>
    <row r="238" spans="1:26" ht="12" customHeight="1">
      <c r="A238" s="137"/>
      <c r="B238" s="137"/>
      <c r="C238" s="137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</row>
    <row r="239" spans="1:26" ht="12" customHeight="1">
      <c r="A239" s="137"/>
      <c r="B239" s="137"/>
      <c r="C239" s="137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</row>
    <row r="240" spans="1:26" ht="12" customHeight="1">
      <c r="A240" s="137"/>
      <c r="B240" s="137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</row>
    <row r="241" spans="1:26" ht="12" customHeight="1">
      <c r="A241" s="137"/>
      <c r="B241" s="137"/>
      <c r="C241" s="137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</row>
    <row r="242" spans="1:26" ht="12" customHeight="1">
      <c r="A242" s="137"/>
      <c r="B242" s="137"/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</row>
    <row r="243" spans="1:26" ht="12" customHeight="1">
      <c r="A243" s="137"/>
      <c r="B243" s="137"/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</row>
    <row r="244" spans="1:26" ht="12" customHeight="1">
      <c r="A244" s="137"/>
      <c r="B244" s="137"/>
      <c r="C244" s="137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</row>
    <row r="245" spans="1:26" ht="12" customHeight="1">
      <c r="A245" s="137"/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</row>
    <row r="246" spans="1:26" ht="12" customHeight="1">
      <c r="A246" s="137"/>
      <c r="B246" s="137"/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</row>
    <row r="247" spans="1:26" ht="12" customHeight="1">
      <c r="A247" s="137"/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</row>
    <row r="248" spans="1:26" ht="12" customHeight="1">
      <c r="A248" s="137"/>
      <c r="B248" s="137"/>
      <c r="C248" s="137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</row>
    <row r="249" spans="1:26" ht="12" customHeight="1">
      <c r="A249" s="137"/>
      <c r="B249" s="137"/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</row>
    <row r="250" spans="1:26" ht="12" customHeight="1">
      <c r="A250" s="137"/>
      <c r="B250" s="137"/>
      <c r="C250" s="137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</row>
    <row r="251" spans="1:26" ht="12" customHeight="1">
      <c r="A251" s="137"/>
      <c r="B251" s="137"/>
      <c r="C251" s="137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</row>
    <row r="252" spans="1:26" ht="12" customHeight="1">
      <c r="A252" s="137"/>
      <c r="B252" s="137"/>
      <c r="C252" s="137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</row>
    <row r="253" spans="1:26" ht="12" customHeight="1">
      <c r="A253" s="137"/>
      <c r="B253" s="137"/>
      <c r="C253" s="137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</row>
    <row r="254" spans="1:26" ht="12" customHeight="1">
      <c r="A254" s="137"/>
      <c r="B254" s="137"/>
      <c r="C254" s="137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</row>
    <row r="255" spans="1:26" ht="12" customHeight="1">
      <c r="A255" s="137"/>
      <c r="B255" s="137"/>
      <c r="C255" s="137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</row>
    <row r="256" spans="1:26" ht="12" customHeight="1">
      <c r="A256" s="137"/>
      <c r="B256" s="137"/>
      <c r="C256" s="137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</row>
    <row r="257" spans="1:26" ht="12" customHeight="1">
      <c r="A257" s="137"/>
      <c r="B257" s="137"/>
      <c r="C257" s="137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</row>
    <row r="258" spans="1:26" ht="12" customHeight="1">
      <c r="A258" s="137"/>
      <c r="B258" s="137"/>
      <c r="C258" s="137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</row>
    <row r="259" spans="1:26" ht="12" customHeight="1">
      <c r="A259" s="137"/>
      <c r="B259" s="137"/>
      <c r="C259" s="137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</row>
    <row r="260" spans="1:26" ht="12" customHeight="1">
      <c r="A260" s="137"/>
      <c r="B260" s="137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</row>
    <row r="261" spans="1:26" ht="12" customHeight="1">
      <c r="A261" s="137"/>
      <c r="B261" s="137"/>
      <c r="C261" s="137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</row>
    <row r="262" spans="1:26" ht="12" customHeight="1">
      <c r="A262" s="137"/>
      <c r="B262" s="137"/>
      <c r="C262" s="137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</row>
    <row r="263" spans="1:26" ht="12" customHeight="1">
      <c r="A263" s="137"/>
      <c r="B263" s="137"/>
      <c r="C263" s="137"/>
      <c r="D263" s="137"/>
      <c r="E263" s="137"/>
      <c r="F263" s="137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</row>
    <row r="264" spans="1:26" ht="12" customHeight="1">
      <c r="A264" s="137"/>
      <c r="B264" s="137"/>
      <c r="C264" s="137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</row>
    <row r="265" spans="1:26" ht="12" customHeight="1">
      <c r="A265" s="137"/>
      <c r="B265" s="137"/>
      <c r="C265" s="137"/>
      <c r="D265" s="137"/>
      <c r="E265" s="137"/>
      <c r="F265" s="137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</row>
    <row r="266" spans="1:26" ht="12" customHeight="1">
      <c r="A266" s="137"/>
      <c r="B266" s="137"/>
      <c r="C266" s="137"/>
      <c r="D266" s="137"/>
      <c r="E266" s="137"/>
      <c r="F266" s="137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</row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S5:AT5"/>
    <mergeCell ref="AU5:AV5"/>
    <mergeCell ref="AW5:AX5"/>
    <mergeCell ref="AY5:AZ5"/>
    <mergeCell ref="A2:S2"/>
    <mergeCell ref="AA3:BE3"/>
    <mergeCell ref="A4:H4"/>
    <mergeCell ref="L4:S4"/>
    <mergeCell ref="AA4:AE4"/>
    <mergeCell ref="AG4:AZ4"/>
    <mergeCell ref="BB4:BE5"/>
    <mergeCell ref="A5:B5"/>
    <mergeCell ref="C5:D5"/>
    <mergeCell ref="E5:F5"/>
    <mergeCell ref="G5:H5"/>
    <mergeCell ref="L5:M5"/>
    <mergeCell ref="N5:O5"/>
    <mergeCell ref="P5:Q5"/>
    <mergeCell ref="R5:S5"/>
    <mergeCell ref="AA5:AA6"/>
    <mergeCell ref="AB5:AB6"/>
    <mergeCell ref="AK5:AL5"/>
    <mergeCell ref="AM5:AN5"/>
    <mergeCell ref="AO5:AP5"/>
    <mergeCell ref="AQ5:AR5"/>
    <mergeCell ref="AC5:AC6"/>
    <mergeCell ref="AD5:AD6"/>
    <mergeCell ref="AE5:AE6"/>
    <mergeCell ref="AG5:AH5"/>
    <mergeCell ref="AI5:AJ5"/>
  </mergeCells>
  <dataValidations count="1">
    <dataValidation type="list" allowBlank="1" showErrorMessage="1" sqref="BB7:BB66" xr:uid="{00000000-0002-0000-0C00-000000000000}">
      <formula1>"A,O"</formula1>
    </dataValidation>
  </dataValidations>
  <printOptions horizontalCentered="1"/>
  <pageMargins left="0.12" right="0.02" top="0.6" bottom="0.4" header="0" footer="0"/>
  <pageSetup paperSize="9" scale="90" orientation="landscape"/>
  <headerFooter>
    <oddFooter>&amp;L&amp;F; &amp;A&amp;CPage &amp;P of &amp;RPrint on &amp;D, &amp;T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1000"/>
  <sheetViews>
    <sheetView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J35" sqref="J35"/>
    </sheetView>
  </sheetViews>
  <sheetFormatPr defaultColWidth="14.42578125" defaultRowHeight="15" customHeight="1"/>
  <cols>
    <col min="1" max="1" width="11.7109375" customWidth="1"/>
    <col min="2" max="2" width="6" customWidth="1"/>
    <col min="3" max="3" width="11.7109375" customWidth="1"/>
    <col min="4" max="4" width="6" customWidth="1"/>
    <col min="5" max="5" width="11.7109375" customWidth="1"/>
    <col min="6" max="6" width="6" customWidth="1"/>
    <col min="7" max="7" width="11.7109375" customWidth="1"/>
    <col min="8" max="8" width="6" customWidth="1"/>
    <col min="9" max="9" width="2" customWidth="1"/>
    <col min="10" max="10" width="35.5703125" customWidth="1"/>
    <col min="11" max="11" width="2" customWidth="1"/>
    <col min="12" max="12" width="11.7109375" customWidth="1"/>
    <col min="13" max="13" width="6" customWidth="1"/>
    <col min="14" max="14" width="11.7109375" customWidth="1"/>
    <col min="15" max="15" width="6" customWidth="1"/>
    <col min="16" max="16" width="11.7109375" customWidth="1"/>
    <col min="17" max="17" width="6" customWidth="1"/>
    <col min="18" max="18" width="11.7109375" customWidth="1"/>
    <col min="19" max="19" width="6" customWidth="1"/>
    <col min="20" max="20" width="10.42578125" customWidth="1"/>
    <col min="21" max="21" width="5.5703125" customWidth="1"/>
    <col min="22" max="25" width="10.42578125" hidden="1" customWidth="1"/>
    <col min="26" max="26" width="4.5703125" customWidth="1"/>
    <col min="27" max="34" width="10.42578125" customWidth="1"/>
  </cols>
  <sheetData>
    <row r="1" spans="1:57" ht="15" customHeight="1">
      <c r="A1" s="308"/>
      <c r="B1" s="433"/>
      <c r="C1" s="434"/>
      <c r="D1" s="435"/>
      <c r="E1" s="434"/>
      <c r="F1" s="435"/>
      <c r="G1" s="434"/>
      <c r="H1" s="436" t="s">
        <v>2</v>
      </c>
      <c r="I1" s="436"/>
      <c r="J1" s="382"/>
      <c r="K1" s="436"/>
      <c r="L1" s="434"/>
      <c r="M1" s="435"/>
      <c r="N1" s="434"/>
      <c r="O1" s="435"/>
      <c r="P1" s="434"/>
      <c r="Q1" s="435"/>
      <c r="R1" s="701" t="s">
        <v>2</v>
      </c>
      <c r="S1" s="665"/>
      <c r="T1" s="382"/>
      <c r="U1" s="382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</row>
    <row r="2" spans="1:57" ht="15" customHeight="1">
      <c r="A2" s="664" t="s">
        <v>26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665"/>
      <c r="O2" s="665"/>
      <c r="P2" s="665"/>
      <c r="Q2" s="665"/>
      <c r="R2" s="665"/>
      <c r="S2" s="665"/>
      <c r="T2" s="64" t="s">
        <v>506</v>
      </c>
      <c r="U2" s="64">
        <f>PRD</f>
        <v>1</v>
      </c>
      <c r="V2" s="382"/>
      <c r="W2" s="382"/>
      <c r="X2" s="382"/>
      <c r="Y2" s="382"/>
      <c r="Z2" s="382"/>
      <c r="AA2" s="382"/>
      <c r="AB2" s="382"/>
      <c r="AC2" s="382"/>
      <c r="AD2" s="382"/>
      <c r="AE2" s="382"/>
      <c r="AF2" s="382"/>
      <c r="AG2" s="382"/>
      <c r="AH2" s="382"/>
    </row>
    <row r="3" spans="1:57" ht="15" customHeight="1">
      <c r="A3" s="437"/>
      <c r="B3" s="438"/>
      <c r="C3" s="384"/>
      <c r="D3" s="385" t="s">
        <v>507</v>
      </c>
      <c r="E3" s="384"/>
      <c r="F3" s="386"/>
      <c r="G3" s="384"/>
      <c r="H3" s="386"/>
      <c r="I3" s="386"/>
      <c r="J3" s="439" t="s">
        <v>1007</v>
      </c>
      <c r="K3" s="386"/>
      <c r="L3" s="384"/>
      <c r="M3" s="386"/>
      <c r="N3" s="384"/>
      <c r="O3" s="67"/>
      <c r="P3" s="67"/>
      <c r="Q3" s="440" t="s">
        <v>1008</v>
      </c>
      <c r="R3" s="67"/>
      <c r="S3" s="67"/>
      <c r="T3" s="441"/>
      <c r="U3" s="382"/>
      <c r="V3" s="382"/>
      <c r="W3" s="382"/>
      <c r="X3" s="382"/>
      <c r="Y3" s="382"/>
      <c r="Z3" s="382"/>
      <c r="AA3" s="656" t="s">
        <v>29</v>
      </c>
      <c r="AB3" s="660"/>
      <c r="AC3" s="660"/>
      <c r="AD3" s="660"/>
      <c r="AE3" s="660"/>
      <c r="AF3" s="660"/>
      <c r="AG3" s="660"/>
      <c r="AH3" s="660"/>
      <c r="AI3" s="660"/>
      <c r="AJ3" s="660"/>
      <c r="AK3" s="660"/>
      <c r="AL3" s="660"/>
      <c r="AM3" s="660"/>
      <c r="AN3" s="660"/>
      <c r="AO3" s="660"/>
      <c r="AP3" s="660"/>
      <c r="AQ3" s="660"/>
      <c r="AR3" s="660"/>
      <c r="AS3" s="660"/>
      <c r="AT3" s="660"/>
      <c r="AU3" s="660"/>
      <c r="AV3" s="660"/>
      <c r="AW3" s="660"/>
      <c r="AX3" s="660"/>
      <c r="AY3" s="660"/>
      <c r="AZ3" s="660"/>
      <c r="BA3" s="660"/>
      <c r="BB3" s="660"/>
      <c r="BC3" s="660"/>
      <c r="BD3" s="660"/>
      <c r="BE3" s="657"/>
    </row>
    <row r="4" spans="1:57" ht="13.5" customHeight="1">
      <c r="A4" s="666" t="s">
        <v>509</v>
      </c>
      <c r="B4" s="667"/>
      <c r="C4" s="667"/>
      <c r="D4" s="667"/>
      <c r="E4" s="667"/>
      <c r="F4" s="667"/>
      <c r="G4" s="667"/>
      <c r="H4" s="668"/>
      <c r="I4" s="223"/>
      <c r="J4" s="225"/>
      <c r="K4" s="223"/>
      <c r="L4" s="669" t="s">
        <v>510</v>
      </c>
      <c r="M4" s="667"/>
      <c r="N4" s="667"/>
      <c r="O4" s="667"/>
      <c r="P4" s="667"/>
      <c r="Q4" s="667"/>
      <c r="R4" s="667"/>
      <c r="S4" s="670"/>
      <c r="T4" s="60"/>
      <c r="U4" s="226"/>
      <c r="V4" s="226"/>
      <c r="W4" s="226"/>
      <c r="X4" s="226"/>
      <c r="Y4" s="226"/>
      <c r="Z4" s="226"/>
      <c r="AA4" s="671" t="s">
        <v>30</v>
      </c>
      <c r="AB4" s="665"/>
      <c r="AC4" s="665"/>
      <c r="AD4" s="665"/>
      <c r="AE4" s="665"/>
      <c r="AF4" s="73"/>
      <c r="AG4" s="671" t="s">
        <v>31</v>
      </c>
      <c r="AH4" s="665"/>
      <c r="AI4" s="665"/>
      <c r="AJ4" s="665"/>
      <c r="AK4" s="665"/>
      <c r="AL4" s="665"/>
      <c r="AM4" s="665"/>
      <c r="AN4" s="665"/>
      <c r="AO4" s="665"/>
      <c r="AP4" s="665"/>
      <c r="AQ4" s="665"/>
      <c r="AR4" s="665"/>
      <c r="AS4" s="665"/>
      <c r="AT4" s="665"/>
      <c r="AU4" s="665"/>
      <c r="AV4" s="665"/>
      <c r="AW4" s="665"/>
      <c r="AX4" s="665"/>
      <c r="AY4" s="665"/>
      <c r="AZ4" s="672"/>
      <c r="BA4" s="74"/>
      <c r="BB4" s="673" t="s">
        <v>32</v>
      </c>
      <c r="BC4" s="674"/>
      <c r="BD4" s="674"/>
      <c r="BE4" s="675"/>
    </row>
    <row r="5" spans="1:57" ht="13.5" customHeight="1">
      <c r="A5" s="679" t="s">
        <v>511</v>
      </c>
      <c r="B5" s="662"/>
      <c r="C5" s="661" t="s">
        <v>512</v>
      </c>
      <c r="D5" s="662"/>
      <c r="E5" s="661" t="s">
        <v>513</v>
      </c>
      <c r="F5" s="662"/>
      <c r="G5" s="661" t="s">
        <v>514</v>
      </c>
      <c r="H5" s="662"/>
      <c r="I5" s="227"/>
      <c r="J5" s="229" t="s">
        <v>515</v>
      </c>
      <c r="K5" s="227"/>
      <c r="L5" s="661" t="s">
        <v>514</v>
      </c>
      <c r="M5" s="662"/>
      <c r="N5" s="661" t="s">
        <v>513</v>
      </c>
      <c r="O5" s="662"/>
      <c r="P5" s="661" t="s">
        <v>512</v>
      </c>
      <c r="Q5" s="662"/>
      <c r="R5" s="661" t="s">
        <v>511</v>
      </c>
      <c r="S5" s="663"/>
      <c r="T5" s="226"/>
      <c r="U5" s="226"/>
      <c r="V5" s="226"/>
      <c r="W5" s="226"/>
      <c r="X5" s="226"/>
      <c r="Y5" s="226"/>
      <c r="Z5" s="226"/>
      <c r="AA5" s="658" t="s">
        <v>38</v>
      </c>
      <c r="AB5" s="658" t="s">
        <v>39</v>
      </c>
      <c r="AC5" s="658" t="s">
        <v>40</v>
      </c>
      <c r="AD5" s="658" t="s">
        <v>41</v>
      </c>
      <c r="AE5" s="658" t="s">
        <v>42</v>
      </c>
      <c r="AF5" s="80"/>
      <c r="AG5" s="656" t="s">
        <v>43</v>
      </c>
      <c r="AH5" s="660"/>
      <c r="AI5" s="656" t="s">
        <v>44</v>
      </c>
      <c r="AJ5" s="660"/>
      <c r="AK5" s="656" t="s">
        <v>45</v>
      </c>
      <c r="AL5" s="660"/>
      <c r="AM5" s="656" t="s">
        <v>46</v>
      </c>
      <c r="AN5" s="657"/>
      <c r="AO5" s="680" t="s">
        <v>47</v>
      </c>
      <c r="AP5" s="660"/>
      <c r="AQ5" s="656" t="s">
        <v>48</v>
      </c>
      <c r="AR5" s="657"/>
      <c r="AS5" s="680" t="s">
        <v>49</v>
      </c>
      <c r="AT5" s="660"/>
      <c r="AU5" s="656" t="s">
        <v>50</v>
      </c>
      <c r="AV5" s="657"/>
      <c r="AW5" s="680" t="s">
        <v>51</v>
      </c>
      <c r="AX5" s="657"/>
      <c r="AY5" s="656" t="s">
        <v>52</v>
      </c>
      <c r="AZ5" s="657"/>
      <c r="BA5" s="81"/>
      <c r="BB5" s="676"/>
      <c r="BC5" s="677"/>
      <c r="BD5" s="677"/>
      <c r="BE5" s="678"/>
    </row>
    <row r="6" spans="1:57" ht="13.5" customHeight="1">
      <c r="A6" s="230" t="s">
        <v>526</v>
      </c>
      <c r="B6" s="231" t="s">
        <v>37</v>
      </c>
      <c r="C6" s="232" t="s">
        <v>526</v>
      </c>
      <c r="D6" s="231" t="s">
        <v>37</v>
      </c>
      <c r="E6" s="232" t="s">
        <v>526</v>
      </c>
      <c r="F6" s="231" t="s">
        <v>37</v>
      </c>
      <c r="G6" s="232" t="s">
        <v>526</v>
      </c>
      <c r="H6" s="231" t="s">
        <v>37</v>
      </c>
      <c r="I6" s="233"/>
      <c r="J6" s="235"/>
      <c r="K6" s="233"/>
      <c r="L6" s="232" t="s">
        <v>526</v>
      </c>
      <c r="M6" s="231" t="s">
        <v>37</v>
      </c>
      <c r="N6" s="232" t="s">
        <v>526</v>
      </c>
      <c r="O6" s="231" t="s">
        <v>37</v>
      </c>
      <c r="P6" s="232" t="s">
        <v>526</v>
      </c>
      <c r="Q6" s="231" t="s">
        <v>37</v>
      </c>
      <c r="R6" s="232" t="s">
        <v>526</v>
      </c>
      <c r="S6" s="236" t="s">
        <v>37</v>
      </c>
      <c r="T6" s="226"/>
      <c r="U6" s="226"/>
      <c r="V6" s="226"/>
      <c r="W6" s="226"/>
      <c r="X6" s="226"/>
      <c r="Y6" s="226"/>
      <c r="Z6" s="226"/>
      <c r="AA6" s="659"/>
      <c r="AB6" s="659"/>
      <c r="AC6" s="659"/>
      <c r="AD6" s="659"/>
      <c r="AE6" s="659"/>
      <c r="AF6" s="84"/>
      <c r="AG6" s="85" t="s">
        <v>56</v>
      </c>
      <c r="AH6" s="86" t="s">
        <v>57</v>
      </c>
      <c r="AI6" s="85" t="s">
        <v>56</v>
      </c>
      <c r="AJ6" s="86" t="s">
        <v>57</v>
      </c>
      <c r="AK6" s="85" t="s">
        <v>56</v>
      </c>
      <c r="AL6" s="86" t="s">
        <v>57</v>
      </c>
      <c r="AM6" s="64" t="s">
        <v>56</v>
      </c>
      <c r="AN6" s="87" t="s">
        <v>57</v>
      </c>
      <c r="AO6" s="88" t="s">
        <v>56</v>
      </c>
      <c r="AP6" s="86" t="s">
        <v>57</v>
      </c>
      <c r="AQ6" s="85" t="s">
        <v>56</v>
      </c>
      <c r="AR6" s="89" t="s">
        <v>57</v>
      </c>
      <c r="AS6" s="88" t="s">
        <v>56</v>
      </c>
      <c r="AT6" s="86" t="s">
        <v>57</v>
      </c>
      <c r="AU6" s="85" t="s">
        <v>56</v>
      </c>
      <c r="AV6" s="89" t="s">
        <v>57</v>
      </c>
      <c r="AW6" s="88" t="s">
        <v>56</v>
      </c>
      <c r="AX6" s="89" t="s">
        <v>57</v>
      </c>
      <c r="AY6" s="85" t="s">
        <v>56</v>
      </c>
      <c r="AZ6" s="89" t="s">
        <v>57</v>
      </c>
      <c r="BA6" s="90"/>
      <c r="BB6" s="64" t="s">
        <v>58</v>
      </c>
      <c r="BC6" s="64" t="s">
        <v>59</v>
      </c>
      <c r="BD6" s="64" t="s">
        <v>60</v>
      </c>
      <c r="BE6" s="91" t="s">
        <v>61</v>
      </c>
    </row>
    <row r="7" spans="1:57" ht="12" customHeight="1">
      <c r="A7" s="422"/>
      <c r="B7" s="422"/>
      <c r="C7" s="422"/>
      <c r="D7" s="422"/>
      <c r="E7" s="422"/>
      <c r="F7" s="422"/>
      <c r="G7" s="422"/>
      <c r="H7" s="422"/>
      <c r="I7" s="422"/>
      <c r="J7" s="423" t="s">
        <v>632</v>
      </c>
      <c r="K7" s="422"/>
      <c r="L7" s="422"/>
      <c r="M7" s="442"/>
      <c r="N7" s="422"/>
      <c r="O7" s="422"/>
      <c r="P7" s="422"/>
      <c r="Q7" s="422"/>
      <c r="R7" s="422"/>
      <c r="S7" s="422"/>
      <c r="T7" s="391"/>
      <c r="U7" s="391"/>
      <c r="V7" s="391"/>
      <c r="W7" s="391"/>
      <c r="X7" s="391"/>
      <c r="Y7" s="391"/>
      <c r="Z7" s="391"/>
      <c r="AA7" s="95"/>
      <c r="AB7" s="96"/>
      <c r="AC7" s="96"/>
      <c r="AD7" s="96"/>
      <c r="AE7" s="96"/>
      <c r="AF7" s="97"/>
      <c r="AG7" s="95"/>
      <c r="AH7" s="96"/>
      <c r="AI7" s="95"/>
      <c r="AJ7" s="96"/>
      <c r="AK7" s="95"/>
      <c r="AL7" s="96"/>
      <c r="AM7" s="95"/>
      <c r="AN7" s="98"/>
      <c r="AO7" s="96"/>
      <c r="AP7" s="96"/>
      <c r="AQ7" s="95"/>
      <c r="AR7" s="98"/>
      <c r="AS7" s="96"/>
      <c r="AT7" s="96"/>
      <c r="AU7" s="95"/>
      <c r="AV7" s="98"/>
      <c r="AW7" s="96"/>
      <c r="AX7" s="96"/>
      <c r="AY7" s="95"/>
      <c r="AZ7" s="98"/>
      <c r="BA7" s="99"/>
      <c r="BB7" s="95"/>
      <c r="BC7" s="100"/>
      <c r="BD7" s="100"/>
      <c r="BE7" s="98"/>
    </row>
    <row r="8" spans="1:57" ht="12" customHeight="1">
      <c r="A8" s="254">
        <f t="array" ref="A8">_xll.AC(DB,_xll.ArrayDPT($AA8:$AE8),_xll.ArrayCOA($AG8:$AZ8),YR-1,PRD,_xll.ArrayDIM($BB8:$BE8))</f>
        <v>0</v>
      </c>
      <c r="B8" s="237">
        <f>IF(A8=0,0,(A8*100)/A$45)</f>
        <v>0</v>
      </c>
      <c r="C8" s="237">
        <f t="shared" ref="C8:C14" si="0">+E8-G8</f>
        <v>0</v>
      </c>
      <c r="D8" s="237">
        <f t="shared" ref="D8:D14" si="1">IF(C8=0,0,(C8*100)/C$45)</f>
        <v>0</v>
      </c>
      <c r="E8" s="254">
        <f t="array" ref="E8">_xll.BC(DB,_xll.ArrayDPT($AA8:$AE8),_xll.ArrayCOA($AG8:$AZ8),YR,PRD,RV,_xll.ArrayDIM($BB8:$BE8))</f>
        <v>0</v>
      </c>
      <c r="F8" s="237">
        <f>IF(E8=0,0,(E8*100)/E$45)</f>
        <v>0</v>
      </c>
      <c r="G8" s="254">
        <f t="array" ref="G8">_xll.AC(DB,_xll.ArrayDPT($AA8:$AE8),_xll.ArrayCOA($AG8:$AZ8),YR,PRD,_xll.ArrayDIM($BB8:$BE8))</f>
        <v>0</v>
      </c>
      <c r="H8" s="237">
        <f t="shared" ref="H8:H14" si="2">IF(G8=0,0,(G8*100)/G$45)</f>
        <v>0</v>
      </c>
      <c r="I8" s="237"/>
      <c r="J8" s="328" t="s">
        <v>1009</v>
      </c>
      <c r="K8" s="237"/>
      <c r="L8" s="254">
        <f t="array" ref="L8">_xll.ACC(DB,_xll.ArrayDPT($AA8:$AE8),_xll.ArrayCOA($AG8:$AZ8),YR,PRD,_xll.ArrayDIM($BB8:$BE8))</f>
        <v>0</v>
      </c>
      <c r="M8" s="237">
        <f>IF(L8=0,0,(L8*100)/L$45)</f>
        <v>0</v>
      </c>
      <c r="N8" s="254">
        <f t="array" ref="N8">_xll.BCC(DB,_xll.ArrayDPT($AA8:$AE8),_xll.ArrayCOA($AG8:$AZ8),YR,PRD,RV,_xll.ArrayDIM($BB8:$BE8))</f>
        <v>0</v>
      </c>
      <c r="O8" s="237">
        <f>IF(N8=0,0,(N8*100)/N$45)</f>
        <v>0</v>
      </c>
      <c r="P8" s="237">
        <f t="shared" ref="P8:P14" si="3">+N8-L8</f>
        <v>0</v>
      </c>
      <c r="Q8" s="237">
        <f>IF(P8=0,0,(P8*100)/P$45)</f>
        <v>0</v>
      </c>
      <c r="R8" s="254">
        <f t="array" ref="R8">_xll.ACC(DB,_xll.ArrayDPT($AA8:$AE8),_xll.ArrayCOA($AG8:$AZ8),YR-1,PRD,_xll.ArrayDIM($BB8:$BE8))</f>
        <v>0</v>
      </c>
      <c r="S8" s="237">
        <f>IF(R8=0,0,(R8*100)/R$45)</f>
        <v>0</v>
      </c>
      <c r="T8" s="295"/>
      <c r="U8" s="295"/>
      <c r="V8" s="295"/>
      <c r="W8" s="295"/>
      <c r="X8" s="295"/>
      <c r="Y8" s="295"/>
      <c r="Z8" s="295"/>
      <c r="AA8" s="95" t="s">
        <v>1010</v>
      </c>
      <c r="AB8" s="96" t="s">
        <v>1011</v>
      </c>
      <c r="AC8" s="96"/>
      <c r="AD8" s="96"/>
      <c r="AE8" s="96"/>
      <c r="AF8" s="97"/>
      <c r="AG8" s="95" t="s">
        <v>1012</v>
      </c>
      <c r="AH8" s="96" t="s">
        <v>1012</v>
      </c>
      <c r="AI8" s="95"/>
      <c r="AJ8" s="96"/>
      <c r="AK8" s="95"/>
      <c r="AL8" s="96"/>
      <c r="AM8" s="95"/>
      <c r="AN8" s="98"/>
      <c r="AO8" s="96"/>
      <c r="AP8" s="96"/>
      <c r="AQ8" s="95"/>
      <c r="AR8" s="98"/>
      <c r="AS8" s="96"/>
      <c r="AT8" s="96"/>
      <c r="AU8" s="95"/>
      <c r="AV8" s="98"/>
      <c r="AW8" s="96"/>
      <c r="AX8" s="96"/>
      <c r="AY8" s="95"/>
      <c r="AZ8" s="98"/>
      <c r="BA8" s="99"/>
      <c r="BB8" s="95"/>
      <c r="BC8" s="96"/>
      <c r="BD8" s="96"/>
      <c r="BE8" s="98"/>
    </row>
    <row r="9" spans="1:57" ht="12" customHeight="1">
      <c r="A9" s="254">
        <f t="array" ref="A9">_xll.AC(DB,_xll.ArrayDPT($AA9:$AE9),_xll.ArrayCOA($AG9:$AZ9),YR-1,PRD,_xll.ArrayDIM($BB9:$BE9))</f>
        <v>0</v>
      </c>
      <c r="B9" s="237">
        <f>IF(A9=0,0,(A9*100)/A$67)</f>
        <v>0</v>
      </c>
      <c r="C9" s="237">
        <f t="shared" si="0"/>
        <v>-18000</v>
      </c>
      <c r="D9" s="237">
        <f t="shared" si="1"/>
        <v>18.045112781954888</v>
      </c>
      <c r="E9" s="254">
        <f t="array" ref="E9">_xll.BC(DB,_xll.ArrayDPT($AA9:$AE9),_xll.ArrayCOA($AG9:$AZ9),YR,PRD,RV,_xll.ArrayDIM($BB9:$BE9))</f>
        <v>0</v>
      </c>
      <c r="F9" s="237">
        <f>IF(E9=0,0,(E9*100)/E$67)</f>
        <v>0</v>
      </c>
      <c r="G9" s="254">
        <f t="array" ref="G9">_xll.AC(DB,_xll.ArrayDPT($AA9:$AE9),_xll.ArrayCOA($AG9:$AZ9),YR,PRD,_xll.ArrayDIM($BB9:$BE9))</f>
        <v>18000</v>
      </c>
      <c r="H9" s="237">
        <f t="shared" si="2"/>
        <v>18.045112781954888</v>
      </c>
      <c r="I9" s="237"/>
      <c r="J9" s="328" t="s">
        <v>937</v>
      </c>
      <c r="K9" s="237"/>
      <c r="L9" s="254">
        <f t="array" ref="L9">_xll.ACC(DB,_xll.ArrayDPT($AA9:$AE9),_xll.ArrayCOA($AG9:$AZ9),YR,PRD,_xll.ArrayDIM($BB9:$BE9))</f>
        <v>18000</v>
      </c>
      <c r="M9" s="237" t="e">
        <f>IF(L9=0,0,(L9*100)/L$67)</f>
        <v>#DIV/0!</v>
      </c>
      <c r="N9" s="254">
        <f t="array" ref="N9">_xll.BCC(DB,_xll.ArrayDPT($AA9:$AE9),_xll.ArrayCOA($AG9:$AZ9),YR,PRD,RV,_xll.ArrayDIM($BB9:$BE9))</f>
        <v>0</v>
      </c>
      <c r="O9" s="237">
        <f>IF(N9=0,0,(N9*100)/N$67)</f>
        <v>0</v>
      </c>
      <c r="P9" s="237">
        <f t="shared" si="3"/>
        <v>-18000</v>
      </c>
      <c r="Q9" s="237" t="e">
        <f>IF(P9=0,0,(P9*100)/P$67)</f>
        <v>#DIV/0!</v>
      </c>
      <c r="R9" s="254">
        <f t="array" ref="R9">_xll.ACC(DB,_xll.ArrayDPT($AA9:$AE9),_xll.ArrayCOA($AG9:$AZ9),YR-1,PRD,_xll.ArrayDIM($BB9:$BE9))</f>
        <v>0</v>
      </c>
      <c r="S9" s="237">
        <f>IF(R9=0,0,(R9*100)/R$67)</f>
        <v>0</v>
      </c>
      <c r="T9" s="295"/>
      <c r="U9" s="295"/>
      <c r="V9" s="295"/>
      <c r="W9" s="295"/>
      <c r="X9" s="295"/>
      <c r="Y9" s="295"/>
      <c r="Z9" s="295"/>
      <c r="AA9" s="95" t="s">
        <v>1010</v>
      </c>
      <c r="AB9" s="96" t="s">
        <v>1011</v>
      </c>
      <c r="AC9" s="96"/>
      <c r="AD9" s="96"/>
      <c r="AE9" s="96"/>
      <c r="AF9" s="97"/>
      <c r="AG9" s="95" t="s">
        <v>641</v>
      </c>
      <c r="AH9" s="96" t="s">
        <v>641</v>
      </c>
      <c r="AI9" s="95"/>
      <c r="AJ9" s="96"/>
      <c r="AK9" s="95"/>
      <c r="AL9" s="96"/>
      <c r="AM9" s="95"/>
      <c r="AN9" s="98"/>
      <c r="AO9" s="96"/>
      <c r="AP9" s="96"/>
      <c r="AQ9" s="95"/>
      <c r="AR9" s="98"/>
      <c r="AS9" s="96"/>
      <c r="AT9" s="96"/>
      <c r="AU9" s="95"/>
      <c r="AV9" s="98"/>
      <c r="AW9" s="96"/>
      <c r="AX9" s="96"/>
      <c r="AY9" s="95"/>
      <c r="AZ9" s="98"/>
      <c r="BA9" s="99"/>
      <c r="BB9" s="95"/>
      <c r="BC9" s="96"/>
      <c r="BD9" s="96"/>
      <c r="BE9" s="98"/>
    </row>
    <row r="10" spans="1:57" ht="12" customHeight="1">
      <c r="A10" s="254">
        <f t="array" ref="A10">_xll.AC(DB,_xll.ArrayDPT($AA10:$AE10),_xll.ArrayCOA($AG10:$AZ10),YR-1,PRD,_xll.ArrayDIM($BB10:$BE10))</f>
        <v>112000</v>
      </c>
      <c r="B10" s="237">
        <f>IF(A10=0,0,(A10*100)/A$45)</f>
        <v>62.702091780970626</v>
      </c>
      <c r="C10" s="237">
        <f t="shared" si="0"/>
        <v>-80000</v>
      </c>
      <c r="D10" s="237">
        <f t="shared" si="1"/>
        <v>80.200501253132828</v>
      </c>
      <c r="E10" s="254">
        <f t="array" ref="E10">_xll.BC(DB,_xll.ArrayDPT($AA10:$AE10),_xll.ArrayCOA($AG10:$AZ10),YR,PRD,RV,_xll.ArrayDIM($BB10:$BE10))</f>
        <v>0</v>
      </c>
      <c r="F10" s="237">
        <f>IF(E10=0,0,(E10*100)/E$45)</f>
        <v>0</v>
      </c>
      <c r="G10" s="254">
        <f t="array" ref="G10">_xll.AC(DB,_xll.ArrayDPT($AA10:$AE10),_xll.ArrayCOA($AG10:$AZ10),YR,PRD,_xll.ArrayDIM($BB10:$BE10))</f>
        <v>80000</v>
      </c>
      <c r="H10" s="237">
        <f t="shared" si="2"/>
        <v>80.200501253132828</v>
      </c>
      <c r="I10" s="237"/>
      <c r="J10" s="328" t="s">
        <v>1013</v>
      </c>
      <c r="K10" s="237"/>
      <c r="L10" s="254">
        <f t="array" ref="L10">_xll.ACC(DB,_xll.ArrayDPT($AA10:$AE10),_xll.ArrayCOA($AG10:$AZ10),YR,PRD,_xll.ArrayDIM($BB10:$BE10))</f>
        <v>80000</v>
      </c>
      <c r="M10" s="237">
        <f>IF(L10=0,0,(L10*100)/L$45)</f>
        <v>80.200501253132828</v>
      </c>
      <c r="N10" s="254">
        <f t="array" ref="N10">_xll.BCC(DB,_xll.ArrayDPT($AA10:$AE10),_xll.ArrayCOA($AG10:$AZ10),YR,PRD,RV,_xll.ArrayDIM($BB10:$BE10))</f>
        <v>0</v>
      </c>
      <c r="O10" s="237">
        <f>IF(N10=0,0,(N10*100)/N$45)</f>
        <v>0</v>
      </c>
      <c r="P10" s="237">
        <f t="shared" si="3"/>
        <v>-80000</v>
      </c>
      <c r="Q10" s="237">
        <f>IF(P10=0,0,(P10*100)/P$45)</f>
        <v>80.200501253132828</v>
      </c>
      <c r="R10" s="254">
        <f t="array" ref="R10">_xll.ACC(DB,_xll.ArrayDPT($AA10:$AE10),_xll.ArrayCOA($AG10:$AZ10),YR-1,PRD,_xll.ArrayDIM($BB10:$BE10))</f>
        <v>112000</v>
      </c>
      <c r="S10" s="237">
        <f>IF(R10=0,0,(R10*100)/R$45)</f>
        <v>62.702091780970626</v>
      </c>
      <c r="T10" s="295"/>
      <c r="U10" s="295"/>
      <c r="V10" s="295"/>
      <c r="W10" s="295"/>
      <c r="X10" s="295"/>
      <c r="Y10" s="295"/>
      <c r="Z10" s="295"/>
      <c r="AA10" s="95" t="s">
        <v>1010</v>
      </c>
      <c r="AB10" s="96" t="s">
        <v>1011</v>
      </c>
      <c r="AC10" s="96"/>
      <c r="AD10" s="96"/>
      <c r="AE10" s="96"/>
      <c r="AF10" s="97"/>
      <c r="AG10" s="95" t="s">
        <v>638</v>
      </c>
      <c r="AH10" s="96" t="s">
        <v>638</v>
      </c>
      <c r="AI10" s="95"/>
      <c r="AJ10" s="96"/>
      <c r="AK10" s="95"/>
      <c r="AL10" s="96"/>
      <c r="AM10" s="95"/>
      <c r="AN10" s="98"/>
      <c r="AO10" s="96"/>
      <c r="AP10" s="96"/>
      <c r="AQ10" s="95"/>
      <c r="AR10" s="98"/>
      <c r="AS10" s="96"/>
      <c r="AT10" s="96"/>
      <c r="AU10" s="95"/>
      <c r="AV10" s="98"/>
      <c r="AW10" s="96"/>
      <c r="AX10" s="96"/>
      <c r="AY10" s="95"/>
      <c r="AZ10" s="98"/>
      <c r="BA10" s="99"/>
      <c r="BB10" s="95"/>
      <c r="BC10" s="96"/>
      <c r="BD10" s="96"/>
      <c r="BE10" s="98"/>
    </row>
    <row r="11" spans="1:57" ht="12" customHeight="1">
      <c r="A11" s="254">
        <f t="array" ref="A11">_xll.AC(DB,_xll.ArrayDPT($AA11:$AE11),_xll.ArrayCOA($AG11:$AZ11),YR-1,PRD,_xll.ArrayDIM($BB11:$BE11))</f>
        <v>0</v>
      </c>
      <c r="B11" s="237">
        <f>IF(A11=0,0,(A11*100)/A$66)</f>
        <v>0</v>
      </c>
      <c r="C11" s="237">
        <f t="shared" si="0"/>
        <v>-1750</v>
      </c>
      <c r="D11" s="237">
        <f t="shared" si="1"/>
        <v>1.7543859649122806</v>
      </c>
      <c r="E11" s="254">
        <f t="array" ref="E11">_xll.BC(DB,_xll.ArrayDPT($AA11:$AE11),_xll.ArrayCOA($AG11:$AZ11),YR,PRD,RV,_xll.ArrayDIM($BB11:$BE11))</f>
        <v>0</v>
      </c>
      <c r="F11" s="237">
        <f>IF(E11=0,0,(E11*100)/E$66)</f>
        <v>0</v>
      </c>
      <c r="G11" s="254">
        <f t="array" ref="G11">_xll.AC(DB,_xll.ArrayDPT($AA11:$AE11),_xll.ArrayCOA($AG11:$AZ11),YR,PRD,_xll.ArrayDIM($BB11:$BE11))</f>
        <v>1750</v>
      </c>
      <c r="H11" s="237">
        <f t="shared" si="2"/>
        <v>1.7543859649122806</v>
      </c>
      <c r="I11" s="237"/>
      <c r="J11" s="328" t="s">
        <v>646</v>
      </c>
      <c r="K11" s="237"/>
      <c r="L11" s="254">
        <f t="array" ref="L11">_xll.ACC(DB,_xll.ArrayDPT($AA11:$AE11),_xll.ArrayCOA($AG11:$AZ11),YR,PRD,_xll.ArrayDIM($BB11:$BE11))</f>
        <v>1750</v>
      </c>
      <c r="M11" s="237" t="e">
        <f>IF(L11=0,0,(L11*100)/L$66)</f>
        <v>#DIV/0!</v>
      </c>
      <c r="N11" s="254">
        <f t="array" ref="N11">_xll.BCC(DB,_xll.ArrayDPT($AA11:$AE11),_xll.ArrayCOA($AG11:$AZ11),YR,PRD,RV,_xll.ArrayDIM($BB11:$BE11))</f>
        <v>0</v>
      </c>
      <c r="O11" s="237">
        <f>IF(N11=0,0,(N11*100)/N$66)</f>
        <v>0</v>
      </c>
      <c r="P11" s="237">
        <f t="shared" si="3"/>
        <v>-1750</v>
      </c>
      <c r="Q11" s="237" t="e">
        <f>IF(P11=0,0,(P11*100)/P$66)</f>
        <v>#DIV/0!</v>
      </c>
      <c r="R11" s="254">
        <f t="array" ref="R11">_xll.ACC(DB,_xll.ArrayDPT($AA11:$AE11),_xll.ArrayCOA($AG11:$AZ11),YR-1,PRD,_xll.ArrayDIM($BB11:$BE11))</f>
        <v>0</v>
      </c>
      <c r="S11" s="237">
        <f>IF(R11=0,0,(R11*100)/R$66)</f>
        <v>0</v>
      </c>
      <c r="T11" s="295"/>
      <c r="U11" s="295"/>
      <c r="V11" s="295"/>
      <c r="W11" s="295"/>
      <c r="X11" s="295"/>
      <c r="Y11" s="295"/>
      <c r="Z11" s="295"/>
      <c r="AA11" s="95" t="s">
        <v>1010</v>
      </c>
      <c r="AB11" s="96" t="s">
        <v>1011</v>
      </c>
      <c r="AC11" s="96"/>
      <c r="AD11" s="96"/>
      <c r="AE11" s="96"/>
      <c r="AF11" s="97"/>
      <c r="AG11" s="95" t="s">
        <v>647</v>
      </c>
      <c r="AH11" s="96" t="s">
        <v>647</v>
      </c>
      <c r="AI11" s="95"/>
      <c r="AJ11" s="96"/>
      <c r="AK11" s="95"/>
      <c r="AL11" s="96"/>
      <c r="AM11" s="95"/>
      <c r="AN11" s="98"/>
      <c r="AO11" s="96"/>
      <c r="AP11" s="96"/>
      <c r="AQ11" s="95"/>
      <c r="AR11" s="98"/>
      <c r="AS11" s="96"/>
      <c r="AT11" s="96"/>
      <c r="AU11" s="95"/>
      <c r="AV11" s="98"/>
      <c r="AW11" s="96"/>
      <c r="AX11" s="96"/>
      <c r="AY11" s="95"/>
      <c r="AZ11" s="98"/>
      <c r="BA11" s="99"/>
      <c r="BB11" s="95"/>
      <c r="BC11" s="96"/>
      <c r="BD11" s="96"/>
      <c r="BE11" s="98"/>
    </row>
    <row r="12" spans="1:57" ht="12" customHeight="1">
      <c r="A12" s="254">
        <f t="array" ref="A12">_xll.AC(DB,_xll.ArrayDPT($AA12:$AE12),_xll.ArrayCOA($AG12:$AZ12),YR-1,PRD,_xll.ArrayDIM($BB12:$BE12))</f>
        <v>0</v>
      </c>
      <c r="B12" s="237">
        <f t="shared" ref="B12:B14" si="4">IF(A12=0,0,(A12*100)/A$45)</f>
        <v>0</v>
      </c>
      <c r="C12" s="237">
        <f t="shared" si="0"/>
        <v>0</v>
      </c>
      <c r="D12" s="237">
        <f t="shared" si="1"/>
        <v>0</v>
      </c>
      <c r="E12" s="254">
        <f t="array" ref="E12">_xll.BC(DB,_xll.ArrayDPT($AA12:$AE12),_xll.ArrayCOA($AG12:$AZ12),YR,PRD,RV,_xll.ArrayDIM($BB12:$BE12))</f>
        <v>0</v>
      </c>
      <c r="F12" s="237">
        <f t="shared" ref="F12:F14" si="5">IF(E12=0,0,(E12*100)/E$45)</f>
        <v>0</v>
      </c>
      <c r="G12" s="254">
        <f t="array" ref="G12">_xll.AC(DB,_xll.ArrayDPT($AA12:$AE12),_xll.ArrayCOA($AG12:$AZ12),YR,PRD,_xll.ArrayDIM($BB12:$BE12))</f>
        <v>0</v>
      </c>
      <c r="H12" s="237">
        <f t="shared" si="2"/>
        <v>0</v>
      </c>
      <c r="I12" s="237"/>
      <c r="J12" s="328" t="s">
        <v>942</v>
      </c>
      <c r="K12" s="237"/>
      <c r="L12" s="254">
        <f t="array" ref="L12">_xll.ACC(DB,_xll.ArrayDPT($AA12:$AE12),_xll.ArrayCOA($AG12:$AZ12),YR,PRD,_xll.ArrayDIM($BB12:$BE12))</f>
        <v>0</v>
      </c>
      <c r="M12" s="237">
        <f t="shared" ref="M12:M14" si="6">IF(L12=0,0,(L12*100)/L$45)</f>
        <v>0</v>
      </c>
      <c r="N12" s="254">
        <f t="array" ref="N12">_xll.BCC(DB,_xll.ArrayDPT($AA12:$AE12),_xll.ArrayCOA($AG12:$AZ12),YR,PRD,RV,_xll.ArrayDIM($BB12:$BE12))</f>
        <v>0</v>
      </c>
      <c r="O12" s="237">
        <f t="shared" ref="O12:O14" si="7">IF(N12=0,0,(N12*100)/N$45)</f>
        <v>0</v>
      </c>
      <c r="P12" s="237">
        <f t="shared" si="3"/>
        <v>0</v>
      </c>
      <c r="Q12" s="237">
        <f t="shared" ref="Q12:Q14" si="8">IF(P12=0,0,(P12*100)/P$45)</f>
        <v>0</v>
      </c>
      <c r="R12" s="254">
        <f t="array" ref="R12">_xll.ACC(DB,_xll.ArrayDPT($AA12:$AE12),_xll.ArrayCOA($AG12:$AZ12),YR-1,PRD,_xll.ArrayDIM($BB12:$BE12))</f>
        <v>0</v>
      </c>
      <c r="S12" s="237">
        <f t="shared" ref="S12:S14" si="9">IF(R12=0,0,(R12*100)/R$45)</f>
        <v>0</v>
      </c>
      <c r="T12" s="295"/>
      <c r="U12" s="295"/>
      <c r="V12" s="295"/>
      <c r="W12" s="295"/>
      <c r="X12" s="295"/>
      <c r="Y12" s="295"/>
      <c r="Z12" s="295"/>
      <c r="AA12" s="95"/>
      <c r="AB12" s="96"/>
      <c r="AC12" s="96"/>
      <c r="AD12" s="96"/>
      <c r="AE12" s="96"/>
      <c r="AF12" s="97"/>
      <c r="AG12" s="95"/>
      <c r="AH12" s="96"/>
      <c r="AI12" s="95"/>
      <c r="AJ12" s="96"/>
      <c r="AK12" s="95"/>
      <c r="AL12" s="96"/>
      <c r="AM12" s="95"/>
      <c r="AN12" s="98"/>
      <c r="AO12" s="96"/>
      <c r="AP12" s="96"/>
      <c r="AQ12" s="95"/>
      <c r="AR12" s="98"/>
      <c r="AS12" s="96"/>
      <c r="AT12" s="96"/>
      <c r="AU12" s="95"/>
      <c r="AV12" s="98"/>
      <c r="AW12" s="96"/>
      <c r="AX12" s="96"/>
      <c r="AY12" s="95"/>
      <c r="AZ12" s="98"/>
      <c r="BA12" s="99"/>
      <c r="BB12" s="95"/>
      <c r="BC12" s="96"/>
      <c r="BD12" s="96"/>
      <c r="BE12" s="98"/>
    </row>
    <row r="13" spans="1:57" ht="12" customHeight="1">
      <c r="A13" s="254">
        <f t="array" ref="A13">_xll.AC(DB,_xll.ArrayDPT($AA13:$AE13),_xll.ArrayCOA($AG13:$AZ13),YR-1,PRD,_xll.ArrayDIM($BB13:$BE13))</f>
        <v>0</v>
      </c>
      <c r="B13" s="237">
        <f t="shared" si="4"/>
        <v>0</v>
      </c>
      <c r="C13" s="237">
        <f t="shared" si="0"/>
        <v>0</v>
      </c>
      <c r="D13" s="237">
        <f t="shared" si="1"/>
        <v>0</v>
      </c>
      <c r="E13" s="254">
        <f t="array" ref="E13">_xll.BC(DB,_xll.ArrayDPT($AA13:$AE13),_xll.ArrayCOA($AG13:$AZ13),YR,PRD,RV,_xll.ArrayDIM($BB13:$BE13))</f>
        <v>0</v>
      </c>
      <c r="F13" s="237">
        <f t="shared" si="5"/>
        <v>0</v>
      </c>
      <c r="G13" s="254">
        <f t="array" ref="G13">_xll.AC(DB,_xll.ArrayDPT($AA13:$AE13),_xll.ArrayCOA($AG13:$AZ13),YR,PRD,_xll.ArrayDIM($BB13:$BE13))</f>
        <v>0</v>
      </c>
      <c r="H13" s="237">
        <f t="shared" si="2"/>
        <v>0</v>
      </c>
      <c r="I13" s="237"/>
      <c r="J13" s="328" t="s">
        <v>650</v>
      </c>
      <c r="K13" s="237"/>
      <c r="L13" s="254">
        <f t="array" ref="L13">_xll.ACC(DB,_xll.ArrayDPT($AA13:$AE13),_xll.ArrayCOA($AG13:$AZ13),YR,PRD,_xll.ArrayDIM($BB13:$BE13))</f>
        <v>0</v>
      </c>
      <c r="M13" s="237">
        <f t="shared" si="6"/>
        <v>0</v>
      </c>
      <c r="N13" s="254">
        <f t="array" ref="N13">_xll.BCC(DB,_xll.ArrayDPT($AA13:$AE13),_xll.ArrayCOA($AG13:$AZ13),YR,PRD,RV,_xll.ArrayDIM($BB13:$BE13))</f>
        <v>0</v>
      </c>
      <c r="O13" s="237">
        <f t="shared" si="7"/>
        <v>0</v>
      </c>
      <c r="P13" s="237">
        <f t="shared" si="3"/>
        <v>0</v>
      </c>
      <c r="Q13" s="237">
        <f t="shared" si="8"/>
        <v>0</v>
      </c>
      <c r="R13" s="254">
        <f t="array" ref="R13">_xll.ACC(DB,_xll.ArrayDPT($AA13:$AE13),_xll.ArrayCOA($AG13:$AZ13),YR-1,PRD,_xll.ArrayDIM($BB13:$BE13))</f>
        <v>0</v>
      </c>
      <c r="S13" s="237">
        <f t="shared" si="9"/>
        <v>0</v>
      </c>
      <c r="T13" s="295"/>
      <c r="U13" s="295"/>
      <c r="V13" s="295"/>
      <c r="W13" s="295"/>
      <c r="X13" s="295"/>
      <c r="Y13" s="295"/>
      <c r="Z13" s="295"/>
      <c r="AA13" s="95" t="s">
        <v>1011</v>
      </c>
      <c r="AB13" s="96"/>
      <c r="AC13" s="96"/>
      <c r="AD13" s="96"/>
      <c r="AE13" s="96"/>
      <c r="AF13" s="97"/>
      <c r="AG13" s="95" t="s">
        <v>651</v>
      </c>
      <c r="AH13" s="96" t="s">
        <v>651</v>
      </c>
      <c r="AI13" s="95"/>
      <c r="AJ13" s="96"/>
      <c r="AK13" s="95"/>
      <c r="AL13" s="96"/>
      <c r="AM13" s="95"/>
      <c r="AN13" s="98"/>
      <c r="AO13" s="96"/>
      <c r="AP13" s="96"/>
      <c r="AQ13" s="95"/>
      <c r="AR13" s="98"/>
      <c r="AS13" s="96"/>
      <c r="AT13" s="96"/>
      <c r="AU13" s="95"/>
      <c r="AV13" s="98"/>
      <c r="AW13" s="96"/>
      <c r="AX13" s="96"/>
      <c r="AY13" s="95"/>
      <c r="AZ13" s="98"/>
      <c r="BA13" s="99"/>
      <c r="BB13" s="95"/>
      <c r="BC13" s="96"/>
      <c r="BD13" s="96"/>
      <c r="BE13" s="98"/>
    </row>
    <row r="14" spans="1:57" ht="12" customHeight="1">
      <c r="A14" s="254">
        <f t="array" ref="A14">_xll.AC(DB,_xll.ArrayDPT($AA14:$AE14),_xll.ArrayCOA($AG14:$AZ14),YR-1,PRD,_xll.ArrayDIM($BB14:$BE14))</f>
        <v>3000</v>
      </c>
      <c r="B14" s="237">
        <f t="shared" si="4"/>
        <v>1.6795203155617131</v>
      </c>
      <c r="C14" s="237">
        <f t="shared" si="0"/>
        <v>0</v>
      </c>
      <c r="D14" s="237">
        <f t="shared" si="1"/>
        <v>0</v>
      </c>
      <c r="E14" s="254">
        <f t="array" ref="E14">_xll.BC(DB,_xll.ArrayDPT($AA14:$AE14),_xll.ArrayCOA($AG14:$AZ14),YR,PRD,RV,_xll.ArrayDIM($BB14:$BE14))</f>
        <v>0</v>
      </c>
      <c r="F14" s="237">
        <f t="shared" si="5"/>
        <v>0</v>
      </c>
      <c r="G14" s="254">
        <f t="array" ref="G14">_xll.AC(DB,_xll.ArrayDPT($AA14:$AE14),_xll.ArrayCOA($AG14:$AZ14),YR,PRD,_xll.ArrayDIM($BB14:$BE14))</f>
        <v>0</v>
      </c>
      <c r="H14" s="237">
        <f t="shared" si="2"/>
        <v>0</v>
      </c>
      <c r="I14" s="237"/>
      <c r="J14" s="328" t="s">
        <v>947</v>
      </c>
      <c r="K14" s="237"/>
      <c r="L14" s="254">
        <f t="array" ref="L14">_xll.ACC(DB,_xll.ArrayDPT($AA14:$AE14),_xll.ArrayCOA($AG14:$AZ14),YR,PRD,_xll.ArrayDIM($BB14:$BE14))</f>
        <v>0</v>
      </c>
      <c r="M14" s="237">
        <f t="shared" si="6"/>
        <v>0</v>
      </c>
      <c r="N14" s="254">
        <f t="array" ref="N14">_xll.BCC(DB,_xll.ArrayDPT($AA14:$AE14),_xll.ArrayCOA($AG14:$AZ14),YR,PRD,RV,_xll.ArrayDIM($BB14:$BE14))</f>
        <v>0</v>
      </c>
      <c r="O14" s="237">
        <f t="shared" si="7"/>
        <v>0</v>
      </c>
      <c r="P14" s="237">
        <f t="shared" si="3"/>
        <v>0</v>
      </c>
      <c r="Q14" s="237">
        <f t="shared" si="8"/>
        <v>0</v>
      </c>
      <c r="R14" s="254">
        <f t="array" ref="R14">_xll.ACC(DB,_xll.ArrayDPT($AA14:$AE14),_xll.ArrayCOA($AG14:$AZ14),YR-1,PRD,_xll.ArrayDIM($BB14:$BE14))</f>
        <v>3000</v>
      </c>
      <c r="S14" s="237">
        <f t="shared" si="9"/>
        <v>1.6795203155617131</v>
      </c>
      <c r="T14" s="295"/>
      <c r="U14" s="295"/>
      <c r="V14" s="295"/>
      <c r="W14" s="295"/>
      <c r="X14" s="295"/>
      <c r="Y14" s="295"/>
      <c r="Z14" s="295"/>
      <c r="AA14" s="95" t="s">
        <v>1010</v>
      </c>
      <c r="AB14" s="96" t="s">
        <v>1011</v>
      </c>
      <c r="AC14" s="96"/>
      <c r="AD14" s="96"/>
      <c r="AE14" s="96"/>
      <c r="AF14" s="97"/>
      <c r="AG14" s="95" t="s">
        <v>579</v>
      </c>
      <c r="AH14" s="96" t="s">
        <v>579</v>
      </c>
      <c r="AI14" s="95"/>
      <c r="AJ14" s="96"/>
      <c r="AK14" s="95"/>
      <c r="AL14" s="96"/>
      <c r="AM14" s="95"/>
      <c r="AN14" s="98"/>
      <c r="AO14" s="96"/>
      <c r="AP14" s="96"/>
      <c r="AQ14" s="95"/>
      <c r="AR14" s="98"/>
      <c r="AS14" s="96"/>
      <c r="AT14" s="96"/>
      <c r="AU14" s="95"/>
      <c r="AV14" s="98"/>
      <c r="AW14" s="96"/>
      <c r="AX14" s="96"/>
      <c r="AY14" s="95"/>
      <c r="AZ14" s="98"/>
      <c r="BA14" s="99"/>
      <c r="BB14" s="95"/>
      <c r="BC14" s="96"/>
      <c r="BD14" s="96"/>
      <c r="BE14" s="98"/>
    </row>
    <row r="15" spans="1:57" ht="6" customHeight="1">
      <c r="A15" s="330"/>
      <c r="B15" s="329"/>
      <c r="C15" s="392"/>
      <c r="D15" s="329"/>
      <c r="E15" s="392"/>
      <c r="F15" s="329"/>
      <c r="G15" s="392"/>
      <c r="H15" s="329"/>
      <c r="I15" s="398"/>
      <c r="J15" s="392"/>
      <c r="K15" s="399"/>
      <c r="L15" s="393"/>
      <c r="M15" s="333"/>
      <c r="N15" s="393"/>
      <c r="O15" s="333"/>
      <c r="P15" s="393"/>
      <c r="Q15" s="333"/>
      <c r="R15" s="393"/>
      <c r="S15" s="341"/>
      <c r="T15" s="328"/>
      <c r="U15" s="328"/>
      <c r="V15" s="328"/>
      <c r="W15" s="328"/>
      <c r="X15" s="328"/>
      <c r="Y15" s="328"/>
      <c r="Z15" s="328"/>
      <c r="AA15" s="95"/>
      <c r="AB15" s="96"/>
      <c r="AC15" s="96"/>
      <c r="AD15" s="96"/>
      <c r="AE15" s="96"/>
      <c r="AF15" s="97"/>
      <c r="AG15" s="95"/>
      <c r="AH15" s="96"/>
      <c r="AI15" s="95"/>
      <c r="AJ15" s="96"/>
      <c r="AK15" s="95"/>
      <c r="AL15" s="96"/>
      <c r="AM15" s="95"/>
      <c r="AN15" s="98"/>
      <c r="AO15" s="96"/>
      <c r="AP15" s="96"/>
      <c r="AQ15" s="95"/>
      <c r="AR15" s="98"/>
      <c r="AS15" s="96"/>
      <c r="AT15" s="96"/>
      <c r="AU15" s="95"/>
      <c r="AV15" s="98"/>
      <c r="AW15" s="96"/>
      <c r="AX15" s="96"/>
      <c r="AY15" s="95"/>
      <c r="AZ15" s="98"/>
      <c r="BA15" s="99"/>
      <c r="BB15" s="95"/>
      <c r="BC15" s="96"/>
      <c r="BD15" s="96"/>
      <c r="BE15" s="98"/>
    </row>
    <row r="16" spans="1:57" ht="12" customHeight="1">
      <c r="A16" s="394">
        <f>SUM(A8:A14)</f>
        <v>115000</v>
      </c>
      <c r="B16" s="338">
        <f>IF(A16=0,0,(A16*100)/A$45)</f>
        <v>64.381612096532336</v>
      </c>
      <c r="C16" s="395">
        <f>SUM(C8:C14)</f>
        <v>-99750</v>
      </c>
      <c r="D16" s="338">
        <f>IF(C16=0,0,(C16*100)/C$45)</f>
        <v>100</v>
      </c>
      <c r="E16" s="395">
        <f>SUM(E8:E14)</f>
        <v>0</v>
      </c>
      <c r="F16" s="338">
        <f>IF(E16=0,0,(E16*100)/E$45)</f>
        <v>0</v>
      </c>
      <c r="G16" s="395">
        <f>SUM(G8:G14)</f>
        <v>99750</v>
      </c>
      <c r="H16" s="338">
        <f>IF(G16=0,0,(G16*100)/G$45)</f>
        <v>100</v>
      </c>
      <c r="I16" s="394"/>
      <c r="J16" s="396" t="s">
        <v>1014</v>
      </c>
      <c r="K16" s="400"/>
      <c r="L16" s="395">
        <f>SUM(L8:L14)</f>
        <v>99750</v>
      </c>
      <c r="M16" s="338">
        <f>IF(L16=0,0,(L16*100)/L$45)</f>
        <v>100</v>
      </c>
      <c r="N16" s="395">
        <f>SUM(N8:N14)</f>
        <v>0</v>
      </c>
      <c r="O16" s="338">
        <f>IF(N16=0,0,(N16*100)/N$45)</f>
        <v>0</v>
      </c>
      <c r="P16" s="395">
        <f>SUM(P8:P14)</f>
        <v>-99750</v>
      </c>
      <c r="Q16" s="338">
        <f>IF(P16=0,0,(P16*100)/P$45)</f>
        <v>100</v>
      </c>
      <c r="R16" s="395">
        <f>SUM(R8:R14)</f>
        <v>115000</v>
      </c>
      <c r="S16" s="338">
        <f>IF(R16=0,0,(R16*100)/R$45)</f>
        <v>64.381612096532336</v>
      </c>
      <c r="T16" s="397"/>
      <c r="U16" s="397"/>
      <c r="V16" s="397"/>
      <c r="W16" s="397"/>
      <c r="X16" s="397"/>
      <c r="Y16" s="397"/>
      <c r="Z16" s="397"/>
      <c r="AA16" s="95"/>
      <c r="AB16" s="96"/>
      <c r="AC16" s="96"/>
      <c r="AD16" s="96"/>
      <c r="AE16" s="96"/>
      <c r="AF16" s="97"/>
      <c r="AG16" s="95"/>
      <c r="AH16" s="96"/>
      <c r="AI16" s="95"/>
      <c r="AJ16" s="96"/>
      <c r="AK16" s="95"/>
      <c r="AL16" s="96"/>
      <c r="AM16" s="95"/>
      <c r="AN16" s="98"/>
      <c r="AO16" s="96"/>
      <c r="AP16" s="96"/>
      <c r="AQ16" s="95"/>
      <c r="AR16" s="98"/>
      <c r="AS16" s="96"/>
      <c r="AT16" s="96"/>
      <c r="AU16" s="95"/>
      <c r="AV16" s="98"/>
      <c r="AW16" s="96"/>
      <c r="AX16" s="96"/>
      <c r="AY16" s="95"/>
      <c r="AZ16" s="98"/>
      <c r="BA16" s="99"/>
      <c r="BB16" s="95"/>
      <c r="BC16" s="96"/>
      <c r="BD16" s="96"/>
      <c r="BE16" s="98"/>
    </row>
    <row r="17" spans="1:57" ht="12" customHeight="1">
      <c r="A17" s="262"/>
      <c r="B17" s="262"/>
      <c r="C17" s="262"/>
      <c r="D17" s="262"/>
      <c r="E17" s="262"/>
      <c r="F17" s="262"/>
      <c r="G17" s="262"/>
      <c r="H17" s="262"/>
      <c r="I17" s="262"/>
      <c r="J17" s="340" t="s">
        <v>653</v>
      </c>
      <c r="K17" s="262"/>
      <c r="L17" s="262"/>
      <c r="M17" s="262"/>
      <c r="N17" s="262"/>
      <c r="O17" s="262"/>
      <c r="P17" s="262"/>
      <c r="Q17" s="262"/>
      <c r="R17" s="262"/>
      <c r="S17" s="262"/>
      <c r="T17" s="295"/>
      <c r="U17" s="295"/>
      <c r="V17" s="295"/>
      <c r="W17" s="295"/>
      <c r="X17" s="295"/>
      <c r="Y17" s="295"/>
      <c r="Z17" s="295"/>
      <c r="AA17" s="95"/>
      <c r="AB17" s="96"/>
      <c r="AC17" s="96"/>
      <c r="AD17" s="96"/>
      <c r="AE17" s="96"/>
      <c r="AF17" s="97"/>
      <c r="AG17" s="95"/>
      <c r="AH17" s="96"/>
      <c r="AI17" s="95"/>
      <c r="AJ17" s="96"/>
      <c r="AK17" s="95"/>
      <c r="AL17" s="96"/>
      <c r="AM17" s="95"/>
      <c r="AN17" s="98"/>
      <c r="AO17" s="96"/>
      <c r="AP17" s="96"/>
      <c r="AQ17" s="95"/>
      <c r="AR17" s="98"/>
      <c r="AS17" s="96"/>
      <c r="AT17" s="96"/>
      <c r="AU17" s="95"/>
      <c r="AV17" s="98"/>
      <c r="AW17" s="96"/>
      <c r="AX17" s="96"/>
      <c r="AY17" s="95"/>
      <c r="AZ17" s="98"/>
      <c r="BA17" s="99"/>
      <c r="BB17" s="95"/>
      <c r="BC17" s="96"/>
      <c r="BD17" s="96"/>
      <c r="BE17" s="98"/>
    </row>
    <row r="18" spans="1:57" ht="12" customHeight="1">
      <c r="A18" s="254">
        <f t="array" ref="A18">_xll.AC(DB,_xll.ArrayDPT($AA18:$AE18),_xll.ArrayCOA($AG18:$AZ18),YR-1,PRD,_xll.ArrayDIM($BB18:$BE18))</f>
        <v>0</v>
      </c>
      <c r="B18" s="237">
        <f t="shared" ref="B18:B41" si="10">IF(A18=0,0,(A18*100)/A$45)</f>
        <v>0</v>
      </c>
      <c r="C18" s="237">
        <f t="shared" ref="C18:C41" si="11">+E18-G18</f>
        <v>0</v>
      </c>
      <c r="D18" s="237">
        <f t="shared" ref="D18:D41" si="12">IF(C18=0,0,(C18*100)/C$45)</f>
        <v>0</v>
      </c>
      <c r="E18" s="254">
        <f t="array" ref="E18">_xll.BC(DB,_xll.ArrayDPT($AA18:$AE18),_xll.ArrayCOA($AG18:$AZ18),YR,PRD,RV,_xll.ArrayDIM($BB18:$BE18))</f>
        <v>0</v>
      </c>
      <c r="F18" s="237">
        <f t="shared" ref="F18:F41" si="13">IF(E18=0,0,(E18*100)/E$45)</f>
        <v>0</v>
      </c>
      <c r="G18" s="254">
        <f t="array" ref="G18">_xll.AC(DB,_xll.ArrayDPT($AA18:$AE18),_xll.ArrayCOA($AG18:$AZ18),YR,PRD,_xll.ArrayDIM($BB18:$BE18))</f>
        <v>0</v>
      </c>
      <c r="H18" s="237">
        <f t="shared" ref="H18:H41" si="14">IF(G18=0,0,(G18*100)/G$45)</f>
        <v>0</v>
      </c>
      <c r="I18" s="237"/>
      <c r="J18" s="328" t="s">
        <v>1015</v>
      </c>
      <c r="K18" s="237"/>
      <c r="L18" s="254">
        <f t="array" ref="L18">_xll.ACC(DB,_xll.ArrayDPT($AA18:$AE18),_xll.ArrayCOA($AG18:$AZ18),YR,PRD,_xll.ArrayDIM($BB18:$BE18))</f>
        <v>0</v>
      </c>
      <c r="M18" s="237">
        <f t="shared" ref="M18:M41" si="15">IF(L18=0,0,(L18*100)/L$45)</f>
        <v>0</v>
      </c>
      <c r="N18" s="254">
        <f t="array" ref="N18">_xll.BCC(DB,_xll.ArrayDPT($AA18:$AE18),_xll.ArrayCOA($AG18:$AZ18),YR,PRD,RV,_xll.ArrayDIM($BB18:$BE18))</f>
        <v>0</v>
      </c>
      <c r="O18" s="237">
        <f t="shared" ref="O18:O41" si="16">IF(N18=0,0,(N18*100)/N$45)</f>
        <v>0</v>
      </c>
      <c r="P18" s="237">
        <f t="shared" ref="P18:P41" si="17">+N18-L18</f>
        <v>0</v>
      </c>
      <c r="Q18" s="237">
        <f t="shared" ref="Q18:Q41" si="18">IF(P18=0,0,(P18*100)/P$45)</f>
        <v>0</v>
      </c>
      <c r="R18" s="254">
        <f t="array" ref="R18">_xll.ACC(DB,_xll.ArrayDPT($AA18:$AE18),_xll.ArrayCOA($AG18:$AZ18),YR-1,PRD,_xll.ArrayDIM($BB18:$BE18))</f>
        <v>0</v>
      </c>
      <c r="S18" s="237">
        <f t="shared" ref="S18:S41" si="19">IF(R18=0,0,(R18*100)/R$45)</f>
        <v>0</v>
      </c>
      <c r="T18" s="295"/>
      <c r="U18" s="295"/>
      <c r="V18" s="295"/>
      <c r="W18" s="295"/>
      <c r="X18" s="295"/>
      <c r="Y18" s="295"/>
      <c r="Z18" s="295"/>
      <c r="AA18" s="95"/>
      <c r="AB18" s="96"/>
      <c r="AC18" s="96"/>
      <c r="AD18" s="96"/>
      <c r="AE18" s="96"/>
      <c r="AF18" s="97"/>
      <c r="AG18" s="95"/>
      <c r="AH18" s="96"/>
      <c r="AI18" s="95"/>
      <c r="AJ18" s="96"/>
      <c r="AK18" s="95"/>
      <c r="AL18" s="96"/>
      <c r="AM18" s="95"/>
      <c r="AN18" s="98"/>
      <c r="AO18" s="96"/>
      <c r="AP18" s="96"/>
      <c r="AQ18" s="95"/>
      <c r="AR18" s="98"/>
      <c r="AS18" s="96"/>
      <c r="AT18" s="96"/>
      <c r="AU18" s="95"/>
      <c r="AV18" s="98"/>
      <c r="AW18" s="96"/>
      <c r="AX18" s="96"/>
      <c r="AY18" s="95"/>
      <c r="AZ18" s="98"/>
      <c r="BA18" s="99"/>
      <c r="BB18" s="95"/>
      <c r="BC18" s="96"/>
      <c r="BD18" s="96"/>
      <c r="BE18" s="98"/>
    </row>
    <row r="19" spans="1:57" ht="12" customHeight="1">
      <c r="A19" s="254">
        <f t="array" ref="A19">_xll.AC(DB,_xll.ArrayDPT($AA19:$AE19),_xll.ArrayCOA($AG19:$AZ19),YR-1,PRD,_xll.ArrayDIM($BB19:$BE19))</f>
        <v>36082.47</v>
      </c>
      <c r="B19" s="237">
        <f t="shared" si="10"/>
        <v>20.200413800215347</v>
      </c>
      <c r="C19" s="237">
        <f t="shared" si="11"/>
        <v>0</v>
      </c>
      <c r="D19" s="237">
        <f t="shared" si="12"/>
        <v>0</v>
      </c>
      <c r="E19" s="254">
        <f t="array" ref="E19">_xll.BC(DB,_xll.ArrayDPT($AA19:$AE19),_xll.ArrayCOA($AG19:$AZ19),YR,PRD,RV,_xll.ArrayDIM($BB19:$BE19))</f>
        <v>0</v>
      </c>
      <c r="F19" s="237">
        <f t="shared" si="13"/>
        <v>0</v>
      </c>
      <c r="G19" s="254">
        <f t="array" ref="G19">_xll.AC(DB,_xll.ArrayDPT($AA19:$AE19),_xll.ArrayCOA($AG19:$AZ19),YR,PRD,_xll.ArrayDIM($BB19:$BE19))</f>
        <v>0</v>
      </c>
      <c r="H19" s="237">
        <f t="shared" si="14"/>
        <v>0</v>
      </c>
      <c r="I19" s="237"/>
      <c r="J19" s="328" t="s">
        <v>1016</v>
      </c>
      <c r="K19" s="237"/>
      <c r="L19" s="254">
        <f t="array" ref="L19">_xll.ACC(DB,_xll.ArrayDPT($AA19:$AE19),_xll.ArrayCOA($AG19:$AZ19),YR,PRD,_xll.ArrayDIM($BB19:$BE19))</f>
        <v>0</v>
      </c>
      <c r="M19" s="237">
        <f t="shared" si="15"/>
        <v>0</v>
      </c>
      <c r="N19" s="254">
        <f t="array" ref="N19">_xll.BCC(DB,_xll.ArrayDPT($AA19:$AE19),_xll.ArrayCOA($AG19:$AZ19),YR,PRD,RV,_xll.ArrayDIM($BB19:$BE19))</f>
        <v>0</v>
      </c>
      <c r="O19" s="237">
        <f t="shared" si="16"/>
        <v>0</v>
      </c>
      <c r="P19" s="237">
        <f t="shared" si="17"/>
        <v>0</v>
      </c>
      <c r="Q19" s="237">
        <f t="shared" si="18"/>
        <v>0</v>
      </c>
      <c r="R19" s="254">
        <f t="array" ref="R19">_xll.ACC(DB,_xll.ArrayDPT($AA19:$AE19),_xll.ArrayCOA($AG19:$AZ19),YR-1,PRD,_xll.ArrayDIM($BB19:$BE19))</f>
        <v>36082.47</v>
      </c>
      <c r="S19" s="237">
        <f t="shared" si="19"/>
        <v>20.200413800215347</v>
      </c>
      <c r="T19" s="295"/>
      <c r="U19" s="295"/>
      <c r="V19" s="295"/>
      <c r="W19" s="295"/>
      <c r="X19" s="295"/>
      <c r="Y19" s="295"/>
      <c r="Z19" s="295"/>
      <c r="AA19" s="95" t="s">
        <v>1010</v>
      </c>
      <c r="AB19" s="96" t="s">
        <v>1011</v>
      </c>
      <c r="AC19" s="96"/>
      <c r="AD19" s="96"/>
      <c r="AE19" s="96"/>
      <c r="AF19" s="97"/>
      <c r="AG19" s="95" t="s">
        <v>1017</v>
      </c>
      <c r="AH19" s="96" t="s">
        <v>1017</v>
      </c>
      <c r="AI19" s="95"/>
      <c r="AJ19" s="96"/>
      <c r="AK19" s="95"/>
      <c r="AL19" s="96"/>
      <c r="AM19" s="95"/>
      <c r="AN19" s="98"/>
      <c r="AO19" s="96"/>
      <c r="AP19" s="96"/>
      <c r="AQ19" s="95"/>
      <c r="AR19" s="98"/>
      <c r="AS19" s="96"/>
      <c r="AT19" s="96"/>
      <c r="AU19" s="95"/>
      <c r="AV19" s="98"/>
      <c r="AW19" s="96"/>
      <c r="AX19" s="96"/>
      <c r="AY19" s="95"/>
      <c r="AZ19" s="98"/>
      <c r="BA19" s="99"/>
      <c r="BB19" s="95"/>
      <c r="BC19" s="96"/>
      <c r="BD19" s="96"/>
      <c r="BE19" s="98"/>
    </row>
    <row r="20" spans="1:57" ht="12" customHeight="1">
      <c r="A20" s="254">
        <f t="array" ref="A20">_xll.AC(DB,_xll.ArrayDPT($AA20:$AE20),_xll.ArrayCOA($AG20:$AZ20),YR-1,PRD,_xll.ArrayDIM($BB20:$BE20))</f>
        <v>0</v>
      </c>
      <c r="B20" s="237">
        <f t="shared" si="10"/>
        <v>0</v>
      </c>
      <c r="C20" s="237">
        <f t="shared" si="11"/>
        <v>0</v>
      </c>
      <c r="D20" s="237">
        <f t="shared" si="12"/>
        <v>0</v>
      </c>
      <c r="E20" s="254">
        <f t="array" ref="E20">_xll.BC(DB,_xll.ArrayDPT($AA20:$AE20),_xll.ArrayCOA($AG20:$AZ20),YR,PRD,RV,_xll.ArrayDIM($BB20:$BE20))</f>
        <v>0</v>
      </c>
      <c r="F20" s="237">
        <f t="shared" si="13"/>
        <v>0</v>
      </c>
      <c r="G20" s="254">
        <f t="array" ref="G20">_xll.AC(DB,_xll.ArrayDPT($AA20:$AE20),_xll.ArrayCOA($AG20:$AZ20),YR,PRD,_xll.ArrayDIM($BB20:$BE20))</f>
        <v>0</v>
      </c>
      <c r="H20" s="237">
        <f t="shared" si="14"/>
        <v>0</v>
      </c>
      <c r="I20" s="237"/>
      <c r="J20" s="328" t="s">
        <v>1018</v>
      </c>
      <c r="K20" s="237"/>
      <c r="L20" s="254">
        <f t="array" ref="L20">_xll.ACC(DB,_xll.ArrayDPT($AA20:$AE20),_xll.ArrayCOA($AG20:$AZ20),YR,PRD,_xll.ArrayDIM($BB20:$BE20))</f>
        <v>0</v>
      </c>
      <c r="M20" s="237">
        <f t="shared" si="15"/>
        <v>0</v>
      </c>
      <c r="N20" s="254">
        <f t="array" ref="N20">_xll.BCC(DB,_xll.ArrayDPT($AA20:$AE20),_xll.ArrayCOA($AG20:$AZ20),YR,PRD,RV,_xll.ArrayDIM($BB20:$BE20))</f>
        <v>0</v>
      </c>
      <c r="O20" s="237">
        <f t="shared" si="16"/>
        <v>0</v>
      </c>
      <c r="P20" s="237">
        <f t="shared" si="17"/>
        <v>0</v>
      </c>
      <c r="Q20" s="237">
        <f t="shared" si="18"/>
        <v>0</v>
      </c>
      <c r="R20" s="254">
        <f t="array" ref="R20">_xll.ACC(DB,_xll.ArrayDPT($AA20:$AE20),_xll.ArrayCOA($AG20:$AZ20),YR-1,PRD,_xll.ArrayDIM($BB20:$BE20))</f>
        <v>0</v>
      </c>
      <c r="S20" s="237">
        <f t="shared" si="19"/>
        <v>0</v>
      </c>
      <c r="T20" s="295"/>
      <c r="U20" s="295"/>
      <c r="V20" s="295"/>
      <c r="W20" s="295"/>
      <c r="X20" s="295"/>
      <c r="Y20" s="295"/>
      <c r="Z20" s="295"/>
      <c r="AA20" s="95"/>
      <c r="AB20" s="96"/>
      <c r="AC20" s="96"/>
      <c r="AD20" s="96"/>
      <c r="AE20" s="96"/>
      <c r="AF20" s="97"/>
      <c r="AG20" s="95"/>
      <c r="AH20" s="96"/>
      <c r="AI20" s="95"/>
      <c r="AJ20" s="96"/>
      <c r="AK20" s="95"/>
      <c r="AL20" s="96"/>
      <c r="AM20" s="95"/>
      <c r="AN20" s="98"/>
      <c r="AO20" s="96"/>
      <c r="AP20" s="96"/>
      <c r="AQ20" s="95"/>
      <c r="AR20" s="98"/>
      <c r="AS20" s="96"/>
      <c r="AT20" s="96"/>
      <c r="AU20" s="95"/>
      <c r="AV20" s="98"/>
      <c r="AW20" s="96"/>
      <c r="AX20" s="96"/>
      <c r="AY20" s="95"/>
      <c r="AZ20" s="98"/>
      <c r="BA20" s="99"/>
      <c r="BB20" s="95"/>
      <c r="BC20" s="96"/>
      <c r="BD20" s="96"/>
      <c r="BE20" s="98"/>
    </row>
    <row r="21" spans="1:57" ht="12" customHeight="1">
      <c r="A21" s="254">
        <f t="array" ref="A21">_xll.AC(DB,_xll.ArrayDPT($AA21:$AE21),_xll.ArrayCOA($AG21:$AZ21),YR-1,PRD,_xll.ArrayDIM($BB21:$BE21))</f>
        <v>0</v>
      </c>
      <c r="B21" s="237">
        <f t="shared" si="10"/>
        <v>0</v>
      </c>
      <c r="C21" s="237">
        <f t="shared" si="11"/>
        <v>0</v>
      </c>
      <c r="D21" s="237">
        <f t="shared" si="12"/>
        <v>0</v>
      </c>
      <c r="E21" s="254">
        <f t="array" ref="E21">_xll.BC(DB,_xll.ArrayDPT($AA21:$AE21),_xll.ArrayCOA($AG21:$AZ21),YR,PRD,RV,_xll.ArrayDIM($BB21:$BE21))</f>
        <v>0</v>
      </c>
      <c r="F21" s="237">
        <f t="shared" si="13"/>
        <v>0</v>
      </c>
      <c r="G21" s="254">
        <f t="array" ref="G21">_xll.AC(DB,_xll.ArrayDPT($AA21:$AE21),_xll.ArrayCOA($AG21:$AZ21),YR,PRD,_xll.ArrayDIM($BB21:$BE21))</f>
        <v>0</v>
      </c>
      <c r="H21" s="237">
        <f t="shared" si="14"/>
        <v>0</v>
      </c>
      <c r="I21" s="237"/>
      <c r="J21" s="328" t="s">
        <v>826</v>
      </c>
      <c r="K21" s="237"/>
      <c r="L21" s="254">
        <f t="array" ref="L21">_xll.ACC(DB,_xll.ArrayDPT($AA21:$AE21),_xll.ArrayCOA($AG21:$AZ21),YR,PRD,_xll.ArrayDIM($BB21:$BE21))</f>
        <v>0</v>
      </c>
      <c r="M21" s="237">
        <f t="shared" si="15"/>
        <v>0</v>
      </c>
      <c r="N21" s="254">
        <f t="array" ref="N21">_xll.BCC(DB,_xll.ArrayDPT($AA21:$AE21),_xll.ArrayCOA($AG21:$AZ21),YR,PRD,RV,_xll.ArrayDIM($BB21:$BE21))</f>
        <v>0</v>
      </c>
      <c r="O21" s="237">
        <f t="shared" si="16"/>
        <v>0</v>
      </c>
      <c r="P21" s="237">
        <f t="shared" si="17"/>
        <v>0</v>
      </c>
      <c r="Q21" s="237">
        <f t="shared" si="18"/>
        <v>0</v>
      </c>
      <c r="R21" s="254">
        <f t="array" ref="R21">_xll.ACC(DB,_xll.ArrayDPT($AA21:$AE21),_xll.ArrayCOA($AG21:$AZ21),YR-1,PRD,_xll.ArrayDIM($BB21:$BE21))</f>
        <v>0</v>
      </c>
      <c r="S21" s="237">
        <f t="shared" si="19"/>
        <v>0</v>
      </c>
      <c r="T21" s="295"/>
      <c r="U21" s="295"/>
      <c r="V21" s="295"/>
      <c r="W21" s="295"/>
      <c r="X21" s="295"/>
      <c r="Y21" s="295"/>
      <c r="Z21" s="295"/>
      <c r="AA21" s="95" t="s">
        <v>1010</v>
      </c>
      <c r="AB21" s="96" t="s">
        <v>1011</v>
      </c>
      <c r="AC21" s="96"/>
      <c r="AD21" s="96"/>
      <c r="AE21" s="96"/>
      <c r="AF21" s="97"/>
      <c r="AG21" s="95" t="s">
        <v>578</v>
      </c>
      <c r="AH21" s="96" t="s">
        <v>578</v>
      </c>
      <c r="AI21" s="95"/>
      <c r="AJ21" s="96"/>
      <c r="AK21" s="95"/>
      <c r="AL21" s="96"/>
      <c r="AM21" s="95"/>
      <c r="AN21" s="98"/>
      <c r="AO21" s="96"/>
      <c r="AP21" s="96"/>
      <c r="AQ21" s="95"/>
      <c r="AR21" s="98"/>
      <c r="AS21" s="96"/>
      <c r="AT21" s="96"/>
      <c r="AU21" s="95"/>
      <c r="AV21" s="98"/>
      <c r="AW21" s="96"/>
      <c r="AX21" s="96"/>
      <c r="AY21" s="95"/>
      <c r="AZ21" s="98"/>
      <c r="BA21" s="99"/>
      <c r="BB21" s="95"/>
      <c r="BC21" s="96"/>
      <c r="BD21" s="96"/>
      <c r="BE21" s="98"/>
    </row>
    <row r="22" spans="1:57" ht="12" customHeight="1">
      <c r="A22" s="254">
        <f t="array" ref="A22">_xll.AC(DB,_xll.ArrayDPT($AA22:$AE22),_xll.ArrayCOA($AG22:$AZ22),YR-1,PRD,_xll.ArrayDIM($BB22:$BE22))</f>
        <v>0</v>
      </c>
      <c r="B22" s="237">
        <f t="shared" si="10"/>
        <v>0</v>
      </c>
      <c r="C22" s="237">
        <f t="shared" si="11"/>
        <v>0</v>
      </c>
      <c r="D22" s="237">
        <f t="shared" si="12"/>
        <v>0</v>
      </c>
      <c r="E22" s="254">
        <f t="array" ref="E22">_xll.BC(DB,_xll.ArrayDPT($AA22:$AE22),_xll.ArrayCOA($AG22:$AZ22),YR,PRD,RV,_xll.ArrayDIM($BB22:$BE22))</f>
        <v>0</v>
      </c>
      <c r="F22" s="237">
        <f t="shared" si="13"/>
        <v>0</v>
      </c>
      <c r="G22" s="254">
        <f t="array" ref="G22">_xll.AC(DB,_xll.ArrayDPT($AA22:$AE22),_xll.ArrayCOA($AG22:$AZ22),YR,PRD,_xll.ArrayDIM($BB22:$BE22))</f>
        <v>0</v>
      </c>
      <c r="H22" s="237">
        <f t="shared" si="14"/>
        <v>0</v>
      </c>
      <c r="I22" s="237"/>
      <c r="J22" s="328" t="s">
        <v>663</v>
      </c>
      <c r="K22" s="237"/>
      <c r="L22" s="254">
        <f t="array" ref="L22">_xll.ACC(DB,_xll.ArrayDPT($AA22:$AE22),_xll.ArrayCOA($AG22:$AZ22),YR,PRD,_xll.ArrayDIM($BB22:$BE22))</f>
        <v>0</v>
      </c>
      <c r="M22" s="237">
        <f t="shared" si="15"/>
        <v>0</v>
      </c>
      <c r="N22" s="254">
        <f t="array" ref="N22">_xll.BCC(DB,_xll.ArrayDPT($AA22:$AE22),_xll.ArrayCOA($AG22:$AZ22),YR,PRD,RV,_xll.ArrayDIM($BB22:$BE22))</f>
        <v>0</v>
      </c>
      <c r="O22" s="237">
        <f t="shared" si="16"/>
        <v>0</v>
      </c>
      <c r="P22" s="237">
        <f t="shared" si="17"/>
        <v>0</v>
      </c>
      <c r="Q22" s="237">
        <f t="shared" si="18"/>
        <v>0</v>
      </c>
      <c r="R22" s="254">
        <f t="array" ref="R22">_xll.ACC(DB,_xll.ArrayDPT($AA22:$AE22),_xll.ArrayCOA($AG22:$AZ22),YR-1,PRD,_xll.ArrayDIM($BB22:$BE22))</f>
        <v>0</v>
      </c>
      <c r="S22" s="237">
        <f t="shared" si="19"/>
        <v>0</v>
      </c>
      <c r="T22" s="295"/>
      <c r="U22" s="295"/>
      <c r="V22" s="295"/>
      <c r="W22" s="295"/>
      <c r="X22" s="295"/>
      <c r="Y22" s="295"/>
      <c r="Z22" s="295"/>
      <c r="AA22" s="95" t="s">
        <v>1010</v>
      </c>
      <c r="AB22" s="96" t="s">
        <v>1011</v>
      </c>
      <c r="AC22" s="96"/>
      <c r="AD22" s="96"/>
      <c r="AE22" s="96"/>
      <c r="AF22" s="97"/>
      <c r="AG22" s="95" t="s">
        <v>664</v>
      </c>
      <c r="AH22" s="96" t="s">
        <v>664</v>
      </c>
      <c r="AI22" s="95"/>
      <c r="AJ22" s="96"/>
      <c r="AK22" s="95"/>
      <c r="AL22" s="96"/>
      <c r="AM22" s="95"/>
      <c r="AN22" s="98"/>
      <c r="AO22" s="96"/>
      <c r="AP22" s="96"/>
      <c r="AQ22" s="95"/>
      <c r="AR22" s="98"/>
      <c r="AS22" s="96"/>
      <c r="AT22" s="96"/>
      <c r="AU22" s="95"/>
      <c r="AV22" s="98"/>
      <c r="AW22" s="96"/>
      <c r="AX22" s="96"/>
      <c r="AY22" s="95"/>
      <c r="AZ22" s="98"/>
      <c r="BA22" s="99"/>
      <c r="BB22" s="95"/>
      <c r="BC22" s="96"/>
      <c r="BD22" s="96"/>
      <c r="BE22" s="98"/>
    </row>
    <row r="23" spans="1:57" ht="12" customHeight="1">
      <c r="A23" s="254">
        <f t="array" ref="A23">_xll.AC(DB,_xll.ArrayDPT($AA23:$AE23),_xll.ArrayCOA($AG23:$AZ23),YR-1,PRD,_xll.ArrayDIM($BB23:$BE23))</f>
        <v>0</v>
      </c>
      <c r="B23" s="237">
        <f t="shared" si="10"/>
        <v>0</v>
      </c>
      <c r="C23" s="237">
        <f t="shared" si="11"/>
        <v>0</v>
      </c>
      <c r="D23" s="237">
        <f t="shared" si="12"/>
        <v>0</v>
      </c>
      <c r="E23" s="254">
        <f t="array" ref="E23">_xll.BC(DB,_xll.ArrayDPT($AA23:$AE23),_xll.ArrayCOA($AG23:$AZ23),YR,PRD,RV,_xll.ArrayDIM($BB23:$BE23))</f>
        <v>0</v>
      </c>
      <c r="F23" s="237">
        <f t="shared" si="13"/>
        <v>0</v>
      </c>
      <c r="G23" s="254">
        <f t="array" ref="G23">_xll.AC(DB,_xll.ArrayDPT($AA23:$AE23),_xll.ArrayCOA($AG23:$AZ23),YR,PRD,_xll.ArrayDIM($BB23:$BE23))</f>
        <v>0</v>
      </c>
      <c r="H23" s="237">
        <f t="shared" si="14"/>
        <v>0</v>
      </c>
      <c r="I23" s="237"/>
      <c r="J23" s="328" t="s">
        <v>1019</v>
      </c>
      <c r="K23" s="237"/>
      <c r="L23" s="254">
        <f t="array" ref="L23">_xll.ACC(DB,_xll.ArrayDPT($AA23:$AE23),_xll.ArrayCOA($AG23:$AZ23),YR,PRD,_xll.ArrayDIM($BB23:$BE23))</f>
        <v>0</v>
      </c>
      <c r="M23" s="237">
        <f t="shared" si="15"/>
        <v>0</v>
      </c>
      <c r="N23" s="254">
        <f t="array" ref="N23">_xll.BCC(DB,_xll.ArrayDPT($AA23:$AE23),_xll.ArrayCOA($AG23:$AZ23),YR,PRD,RV,_xll.ArrayDIM($BB23:$BE23))</f>
        <v>0</v>
      </c>
      <c r="O23" s="237">
        <f t="shared" si="16"/>
        <v>0</v>
      </c>
      <c r="P23" s="237">
        <f t="shared" si="17"/>
        <v>0</v>
      </c>
      <c r="Q23" s="237">
        <f t="shared" si="18"/>
        <v>0</v>
      </c>
      <c r="R23" s="254">
        <f t="array" ref="R23">_xll.ACC(DB,_xll.ArrayDPT($AA23:$AE23),_xll.ArrayCOA($AG23:$AZ23),YR-1,PRD,_xll.ArrayDIM($BB23:$BE23))</f>
        <v>0</v>
      </c>
      <c r="S23" s="237">
        <f t="shared" si="19"/>
        <v>0</v>
      </c>
      <c r="T23" s="295"/>
      <c r="U23" s="295"/>
      <c r="V23" s="295"/>
      <c r="W23" s="295"/>
      <c r="X23" s="295"/>
      <c r="Y23" s="295"/>
      <c r="Z23" s="295"/>
      <c r="AA23" s="95"/>
      <c r="AB23" s="96"/>
      <c r="AC23" s="96"/>
      <c r="AD23" s="96"/>
      <c r="AE23" s="96"/>
      <c r="AF23" s="97"/>
      <c r="AG23" s="95"/>
      <c r="AH23" s="96"/>
      <c r="AI23" s="95"/>
      <c r="AJ23" s="96"/>
      <c r="AK23" s="95"/>
      <c r="AL23" s="96"/>
      <c r="AM23" s="95"/>
      <c r="AN23" s="98"/>
      <c r="AO23" s="96"/>
      <c r="AP23" s="96"/>
      <c r="AQ23" s="95"/>
      <c r="AR23" s="98"/>
      <c r="AS23" s="96"/>
      <c r="AT23" s="96"/>
      <c r="AU23" s="95"/>
      <c r="AV23" s="98"/>
      <c r="AW23" s="96"/>
      <c r="AX23" s="96"/>
      <c r="AY23" s="95"/>
      <c r="AZ23" s="98"/>
      <c r="BA23" s="99"/>
      <c r="BB23" s="95"/>
      <c r="BC23" s="96"/>
      <c r="BD23" s="96"/>
      <c r="BE23" s="98"/>
    </row>
    <row r="24" spans="1:57" ht="12" customHeight="1">
      <c r="A24" s="254">
        <f t="array" ref="A24">_xll.AC(DB,_xll.ArrayDPT($AA24:$AE24),_xll.ArrayCOA($AG24:$AZ24),YR-1,PRD,_xll.ArrayDIM($BB24:$BE24))</f>
        <v>0</v>
      </c>
      <c r="B24" s="237">
        <f t="shared" si="10"/>
        <v>0</v>
      </c>
      <c r="C24" s="237">
        <f t="shared" si="11"/>
        <v>0</v>
      </c>
      <c r="D24" s="237">
        <f t="shared" si="12"/>
        <v>0</v>
      </c>
      <c r="E24" s="254">
        <f t="array" ref="E24">_xll.BC(DB,_xll.ArrayDPT($AA24:$AE24),_xll.ArrayCOA($AG24:$AZ24),YR,PRD,RV,_xll.ArrayDIM($BB24:$BE24))</f>
        <v>0</v>
      </c>
      <c r="F24" s="237">
        <f t="shared" si="13"/>
        <v>0</v>
      </c>
      <c r="G24" s="254">
        <f t="array" ref="G24">_xll.AC(DB,_xll.ArrayDPT($AA24:$AE24),_xll.ArrayCOA($AG24:$AZ24),YR,PRD,_xll.ArrayDIM($BB24:$BE24))</f>
        <v>0</v>
      </c>
      <c r="H24" s="237">
        <f t="shared" si="14"/>
        <v>0</v>
      </c>
      <c r="I24" s="237"/>
      <c r="J24" s="328" t="s">
        <v>1020</v>
      </c>
      <c r="K24" s="237"/>
      <c r="L24" s="254">
        <f t="array" ref="L24">_xll.ACC(DB,_xll.ArrayDPT($AA24:$AE24),_xll.ArrayCOA($AG24:$AZ24),YR,PRD,_xll.ArrayDIM($BB24:$BE24))</f>
        <v>0</v>
      </c>
      <c r="M24" s="237">
        <f t="shared" si="15"/>
        <v>0</v>
      </c>
      <c r="N24" s="254">
        <f t="array" ref="N24">_xll.BCC(DB,_xll.ArrayDPT($AA24:$AE24),_xll.ArrayCOA($AG24:$AZ24),YR,PRD,RV,_xll.ArrayDIM($BB24:$BE24))</f>
        <v>0</v>
      </c>
      <c r="O24" s="237">
        <f t="shared" si="16"/>
        <v>0</v>
      </c>
      <c r="P24" s="237">
        <f t="shared" si="17"/>
        <v>0</v>
      </c>
      <c r="Q24" s="237">
        <f t="shared" si="18"/>
        <v>0</v>
      </c>
      <c r="R24" s="254">
        <f t="array" ref="R24">_xll.ACC(DB,_xll.ArrayDPT($AA24:$AE24),_xll.ArrayCOA($AG24:$AZ24),YR-1,PRD,_xll.ArrayDIM($BB24:$BE24))</f>
        <v>0</v>
      </c>
      <c r="S24" s="237">
        <f t="shared" si="19"/>
        <v>0</v>
      </c>
      <c r="T24" s="295"/>
      <c r="U24" s="295"/>
      <c r="V24" s="295"/>
      <c r="W24" s="295"/>
      <c r="X24" s="295"/>
      <c r="Y24" s="295"/>
      <c r="Z24" s="295"/>
      <c r="AA24" s="95" t="s">
        <v>1010</v>
      </c>
      <c r="AB24" s="96" t="s">
        <v>1011</v>
      </c>
      <c r="AC24" s="96"/>
      <c r="AD24" s="96"/>
      <c r="AE24" s="96"/>
      <c r="AF24" s="97"/>
      <c r="AG24" s="95" t="s">
        <v>1021</v>
      </c>
      <c r="AH24" s="96" t="s">
        <v>1021</v>
      </c>
      <c r="AI24" s="95"/>
      <c r="AJ24" s="96"/>
      <c r="AK24" s="95"/>
      <c r="AL24" s="96"/>
      <c r="AM24" s="95"/>
      <c r="AN24" s="98"/>
      <c r="AO24" s="96"/>
      <c r="AP24" s="96"/>
      <c r="AQ24" s="95"/>
      <c r="AR24" s="98"/>
      <c r="AS24" s="96"/>
      <c r="AT24" s="96"/>
      <c r="AU24" s="95"/>
      <c r="AV24" s="98"/>
      <c r="AW24" s="96"/>
      <c r="AX24" s="96"/>
      <c r="AY24" s="95"/>
      <c r="AZ24" s="98"/>
      <c r="BA24" s="99"/>
      <c r="BB24" s="95"/>
      <c r="BC24" s="96"/>
      <c r="BD24" s="96"/>
      <c r="BE24" s="98"/>
    </row>
    <row r="25" spans="1:57" ht="12" customHeight="1">
      <c r="A25" s="254">
        <f t="array" ref="A25">_xll.AC(DB,_xll.ArrayDPT($AA25:$AE25),_xll.ArrayCOA($AG25:$AZ25),YR-1,PRD,_xll.ArrayDIM($BB25:$BE25))</f>
        <v>0</v>
      </c>
      <c r="B25" s="237">
        <f t="shared" si="10"/>
        <v>0</v>
      </c>
      <c r="C25" s="237">
        <f t="shared" si="11"/>
        <v>0</v>
      </c>
      <c r="D25" s="237">
        <f t="shared" si="12"/>
        <v>0</v>
      </c>
      <c r="E25" s="254">
        <f t="array" ref="E25">_xll.BC(DB,_xll.ArrayDPT($AA25:$AE25),_xll.ArrayCOA($AG25:$AZ25),YR,PRD,RV,_xll.ArrayDIM($BB25:$BE25))</f>
        <v>0</v>
      </c>
      <c r="F25" s="237">
        <f t="shared" si="13"/>
        <v>0</v>
      </c>
      <c r="G25" s="254">
        <f t="array" ref="G25">_xll.AC(DB,_xll.ArrayDPT($AA25:$AE25),_xll.ArrayCOA($AG25:$AZ25),YR,PRD,_xll.ArrayDIM($BB25:$BE25))</f>
        <v>0</v>
      </c>
      <c r="H25" s="237">
        <f t="shared" si="14"/>
        <v>0</v>
      </c>
      <c r="I25" s="237"/>
      <c r="J25" s="328" t="s">
        <v>1022</v>
      </c>
      <c r="K25" s="237"/>
      <c r="L25" s="254">
        <f t="array" ref="L25">_xll.ACC(DB,_xll.ArrayDPT($AA25:$AE25),_xll.ArrayCOA($AG25:$AZ25),YR,PRD,_xll.ArrayDIM($BB25:$BE25))</f>
        <v>0</v>
      </c>
      <c r="M25" s="237">
        <f t="shared" si="15"/>
        <v>0</v>
      </c>
      <c r="N25" s="254">
        <f t="array" ref="N25">_xll.BCC(DB,_xll.ArrayDPT($AA25:$AE25),_xll.ArrayCOA($AG25:$AZ25),YR,PRD,RV,_xll.ArrayDIM($BB25:$BE25))</f>
        <v>0</v>
      </c>
      <c r="O25" s="237">
        <f t="shared" si="16"/>
        <v>0</v>
      </c>
      <c r="P25" s="237">
        <f t="shared" si="17"/>
        <v>0</v>
      </c>
      <c r="Q25" s="237">
        <f t="shared" si="18"/>
        <v>0</v>
      </c>
      <c r="R25" s="254">
        <f t="array" ref="R25">_xll.ACC(DB,_xll.ArrayDPT($AA25:$AE25),_xll.ArrayCOA($AG25:$AZ25),YR-1,PRD,_xll.ArrayDIM($BB25:$BE25))</f>
        <v>0</v>
      </c>
      <c r="S25" s="237">
        <f t="shared" si="19"/>
        <v>0</v>
      </c>
      <c r="T25" s="295"/>
      <c r="U25" s="295"/>
      <c r="V25" s="295"/>
      <c r="W25" s="295"/>
      <c r="X25" s="295"/>
      <c r="Y25" s="295"/>
      <c r="Z25" s="295"/>
      <c r="AA25" s="95" t="s">
        <v>1010</v>
      </c>
      <c r="AB25" s="96" t="s">
        <v>1011</v>
      </c>
      <c r="AC25" s="96"/>
      <c r="AD25" s="96"/>
      <c r="AE25" s="96"/>
      <c r="AF25" s="97"/>
      <c r="AG25" s="95" t="s">
        <v>1023</v>
      </c>
      <c r="AH25" s="96" t="s">
        <v>1023</v>
      </c>
      <c r="AI25" s="95"/>
      <c r="AJ25" s="96"/>
      <c r="AK25" s="95"/>
      <c r="AL25" s="96"/>
      <c r="AM25" s="95"/>
      <c r="AN25" s="98"/>
      <c r="AO25" s="96"/>
      <c r="AP25" s="96"/>
      <c r="AQ25" s="95"/>
      <c r="AR25" s="98"/>
      <c r="AS25" s="96"/>
      <c r="AT25" s="96"/>
      <c r="AU25" s="95"/>
      <c r="AV25" s="98"/>
      <c r="AW25" s="96"/>
      <c r="AX25" s="96"/>
      <c r="AY25" s="95"/>
      <c r="AZ25" s="98"/>
      <c r="BA25" s="99"/>
      <c r="BB25" s="95"/>
      <c r="BC25" s="96"/>
      <c r="BD25" s="96"/>
      <c r="BE25" s="98"/>
    </row>
    <row r="26" spans="1:57" ht="12" customHeight="1">
      <c r="A26" s="254">
        <f t="array" ref="A26">_xll.AC(DB,_xll.ArrayDPT($AA26:$AE26),_xll.ArrayCOA($AG26:$AZ26),YR-1,PRD,_xll.ArrayDIM($BB26:$BE26))</f>
        <v>0</v>
      </c>
      <c r="B26" s="237">
        <f t="shared" si="10"/>
        <v>0</v>
      </c>
      <c r="C26" s="237">
        <f t="shared" si="11"/>
        <v>0</v>
      </c>
      <c r="D26" s="237">
        <f t="shared" si="12"/>
        <v>0</v>
      </c>
      <c r="E26" s="254">
        <f t="array" ref="E26">_xll.BC(DB,_xll.ArrayDPT($AA26:$AE26),_xll.ArrayCOA($AG26:$AZ26),YR,PRD,RV,_xll.ArrayDIM($BB26:$BE26))</f>
        <v>0</v>
      </c>
      <c r="F26" s="237">
        <f t="shared" si="13"/>
        <v>0</v>
      </c>
      <c r="G26" s="254">
        <f t="array" ref="G26">_xll.AC(DB,_xll.ArrayDPT($AA26:$AE26),_xll.ArrayCOA($AG26:$AZ26),YR,PRD,_xll.ArrayDIM($BB26:$BE26))</f>
        <v>0</v>
      </c>
      <c r="H26" s="237">
        <f t="shared" si="14"/>
        <v>0</v>
      </c>
      <c r="I26" s="237"/>
      <c r="J26" s="328" t="s">
        <v>1024</v>
      </c>
      <c r="K26" s="237"/>
      <c r="L26" s="254">
        <f t="array" ref="L26">_xll.ACC(DB,_xll.ArrayDPT($AA26:$AE26),_xll.ArrayCOA($AG26:$AZ26),YR,PRD,_xll.ArrayDIM($BB26:$BE26))</f>
        <v>0</v>
      </c>
      <c r="M26" s="237">
        <f t="shared" si="15"/>
        <v>0</v>
      </c>
      <c r="N26" s="254">
        <f t="array" ref="N26">_xll.BCC(DB,_xll.ArrayDPT($AA26:$AE26),_xll.ArrayCOA($AG26:$AZ26),YR,PRD,RV,_xll.ArrayDIM($BB26:$BE26))</f>
        <v>0</v>
      </c>
      <c r="O26" s="237">
        <f t="shared" si="16"/>
        <v>0</v>
      </c>
      <c r="P26" s="237">
        <f t="shared" si="17"/>
        <v>0</v>
      </c>
      <c r="Q26" s="237">
        <f t="shared" si="18"/>
        <v>0</v>
      </c>
      <c r="R26" s="254">
        <f t="array" ref="R26">_xll.ACC(DB,_xll.ArrayDPT($AA26:$AE26),_xll.ArrayCOA($AG26:$AZ26),YR-1,PRD,_xll.ArrayDIM($BB26:$BE26))</f>
        <v>0</v>
      </c>
      <c r="S26" s="237">
        <f t="shared" si="19"/>
        <v>0</v>
      </c>
      <c r="T26" s="295"/>
      <c r="U26" s="295"/>
      <c r="V26" s="295"/>
      <c r="W26" s="295"/>
      <c r="X26" s="295"/>
      <c r="Y26" s="295"/>
      <c r="Z26" s="295"/>
      <c r="AA26" s="95" t="s">
        <v>1010</v>
      </c>
      <c r="AB26" s="96" t="s">
        <v>1011</v>
      </c>
      <c r="AC26" s="96"/>
      <c r="AD26" s="96"/>
      <c r="AE26" s="96"/>
      <c r="AF26" s="97"/>
      <c r="AG26" s="95" t="s">
        <v>1025</v>
      </c>
      <c r="AH26" s="96" t="s">
        <v>1025</v>
      </c>
      <c r="AI26" s="95"/>
      <c r="AJ26" s="96"/>
      <c r="AK26" s="95"/>
      <c r="AL26" s="96"/>
      <c r="AM26" s="95"/>
      <c r="AN26" s="98"/>
      <c r="AO26" s="96"/>
      <c r="AP26" s="96"/>
      <c r="AQ26" s="95"/>
      <c r="AR26" s="98"/>
      <c r="AS26" s="96"/>
      <c r="AT26" s="96"/>
      <c r="AU26" s="95"/>
      <c r="AV26" s="98"/>
      <c r="AW26" s="96"/>
      <c r="AX26" s="96"/>
      <c r="AY26" s="95"/>
      <c r="AZ26" s="98"/>
      <c r="BA26" s="99"/>
      <c r="BB26" s="95"/>
      <c r="BC26" s="96"/>
      <c r="BD26" s="96"/>
      <c r="BE26" s="98"/>
    </row>
    <row r="27" spans="1:57" ht="12" customHeight="1">
      <c r="A27" s="254">
        <f t="array" ref="A27">_xll.AC(DB,_xll.ArrayDPT($AA27:$AE27),_xll.ArrayCOA($AG27:$AZ27),YR-1,PRD,_xll.ArrayDIM($BB27:$BE27))</f>
        <v>0</v>
      </c>
      <c r="B27" s="237">
        <f t="shared" si="10"/>
        <v>0</v>
      </c>
      <c r="C27" s="237">
        <f t="shared" si="11"/>
        <v>0</v>
      </c>
      <c r="D27" s="237">
        <f t="shared" si="12"/>
        <v>0</v>
      </c>
      <c r="E27" s="254">
        <f t="array" ref="E27">_xll.BC(DB,_xll.ArrayDPT($AA27:$AE27),_xll.ArrayCOA($AG27:$AZ27),YR,PRD,RV,_xll.ArrayDIM($BB27:$BE27))</f>
        <v>0</v>
      </c>
      <c r="F27" s="237">
        <f t="shared" si="13"/>
        <v>0</v>
      </c>
      <c r="G27" s="254">
        <f t="array" ref="G27">_xll.AC(DB,_xll.ArrayDPT($AA27:$AE27),_xll.ArrayCOA($AG27:$AZ27),YR,PRD,_xll.ArrayDIM($BB27:$BE27))</f>
        <v>0</v>
      </c>
      <c r="H27" s="237">
        <f t="shared" si="14"/>
        <v>0</v>
      </c>
      <c r="I27" s="237"/>
      <c r="J27" s="295" t="s">
        <v>1026</v>
      </c>
      <c r="K27" s="237"/>
      <c r="L27" s="254">
        <f>_xll.ACC(DB,_xll.ArrayDPT($AA27:$AE27),_xll.ArrayCOA($AG27:$AZ27),YR,PRD,_xll.ArrayDIM($BB27:$BE27))</f>
        <v>0</v>
      </c>
      <c r="M27" s="237">
        <f t="shared" si="15"/>
        <v>0</v>
      </c>
      <c r="N27" s="254">
        <f t="array" ref="N27">_xll.BCC(DB,_xll.ArrayDPT($AA27:$AE27),_xll.ArrayCOA($AG27:$AZ27),YR,PRD,RV,_xll.ArrayDIM($BB27:$BE27))</f>
        <v>0</v>
      </c>
      <c r="O27" s="237">
        <f t="shared" si="16"/>
        <v>0</v>
      </c>
      <c r="P27" s="237">
        <f t="shared" si="17"/>
        <v>0</v>
      </c>
      <c r="Q27" s="237">
        <f t="shared" si="18"/>
        <v>0</v>
      </c>
      <c r="R27" s="254">
        <f t="array" ref="R27">_xll.ACC(DB,_xll.ArrayDPT($AA27:$AE27),_xll.ArrayCOA($AG27:$AZ27),YR-1,PRD,_xll.ArrayDIM($BB27:$BE27))</f>
        <v>0</v>
      </c>
      <c r="S27" s="237">
        <f t="shared" si="19"/>
        <v>0</v>
      </c>
      <c r="T27" s="295"/>
      <c r="U27" s="295"/>
      <c r="V27" s="295"/>
      <c r="W27" s="295"/>
      <c r="X27" s="295"/>
      <c r="Y27" s="295"/>
      <c r="Z27" s="295"/>
      <c r="AA27" s="95" t="s">
        <v>1010</v>
      </c>
      <c r="AB27" s="96" t="s">
        <v>1011</v>
      </c>
      <c r="AC27" s="96"/>
      <c r="AD27" s="96"/>
      <c r="AE27" s="96"/>
      <c r="AF27" s="97"/>
      <c r="AG27" s="95" t="s">
        <v>1027</v>
      </c>
      <c r="AH27" s="96" t="s">
        <v>1027</v>
      </c>
      <c r="AI27" s="95"/>
      <c r="AJ27" s="96"/>
      <c r="AK27" s="95"/>
      <c r="AL27" s="96"/>
      <c r="AM27" s="95"/>
      <c r="AN27" s="98"/>
      <c r="AO27" s="96"/>
      <c r="AP27" s="96"/>
      <c r="AQ27" s="95"/>
      <c r="AR27" s="98"/>
      <c r="AS27" s="96"/>
      <c r="AT27" s="96"/>
      <c r="AU27" s="95"/>
      <c r="AV27" s="98"/>
      <c r="AW27" s="96"/>
      <c r="AX27" s="96"/>
      <c r="AY27" s="95"/>
      <c r="AZ27" s="98"/>
      <c r="BA27" s="99"/>
      <c r="BB27" s="95"/>
      <c r="BC27" s="96"/>
      <c r="BD27" s="96"/>
      <c r="BE27" s="98"/>
    </row>
    <row r="28" spans="1:57" ht="12" customHeight="1">
      <c r="A28" s="254">
        <f t="array" ref="A28">_xll.AC(DB,_xll.ArrayDPT($AA28:$AE28),_xll.ArrayCOA($AG28:$AZ28),YR-1,PRD,_xll.ArrayDIM($BB28:$BE28))</f>
        <v>5993.46</v>
      </c>
      <c r="B28" s="237">
        <f t="shared" si="10"/>
        <v>3.3553792768355017</v>
      </c>
      <c r="C28" s="237">
        <f t="shared" si="11"/>
        <v>0</v>
      </c>
      <c r="D28" s="237">
        <f t="shared" si="12"/>
        <v>0</v>
      </c>
      <c r="E28" s="254">
        <f t="array" ref="E28">_xll.BC(DB,_xll.ArrayDPT($AA28:$AE28),_xll.ArrayCOA($AG28:$AZ28),YR,PRD,RV,_xll.ArrayDIM($BB28:$BE28))</f>
        <v>0</v>
      </c>
      <c r="F28" s="237">
        <f t="shared" si="13"/>
        <v>0</v>
      </c>
      <c r="G28" s="254">
        <f t="array" ref="G28">_xll.AC(DB,_xll.ArrayDPT($AA28:$AE28),_xll.ArrayCOA($AG28:$AZ28),YR,PRD,_xll.ArrayDIM($BB28:$BE28))</f>
        <v>0</v>
      </c>
      <c r="H28" s="237">
        <f t="shared" si="14"/>
        <v>0</v>
      </c>
      <c r="I28" s="237"/>
      <c r="J28" s="328" t="s">
        <v>867</v>
      </c>
      <c r="K28" s="237"/>
      <c r="L28" s="254">
        <f t="array" ref="L28">_xll.ACC(DB,_xll.ArrayDPT($AA28:$AE28),_xll.ArrayCOA($AG28:$AZ28),YR,PRD,_xll.ArrayDIM($BB28:$BE28))</f>
        <v>0</v>
      </c>
      <c r="M28" s="237">
        <f t="shared" si="15"/>
        <v>0</v>
      </c>
      <c r="N28" s="254">
        <f t="array" ref="N28">_xll.BCC(DB,_xll.ArrayDPT($AA28:$AE28),_xll.ArrayCOA($AG28:$AZ28),YR,PRD,RV,_xll.ArrayDIM($BB28:$BE28))</f>
        <v>0</v>
      </c>
      <c r="O28" s="237">
        <f t="shared" si="16"/>
        <v>0</v>
      </c>
      <c r="P28" s="237">
        <f t="shared" si="17"/>
        <v>0</v>
      </c>
      <c r="Q28" s="237">
        <f t="shared" si="18"/>
        <v>0</v>
      </c>
      <c r="R28" s="254">
        <f t="array" ref="R28">_xll.ACC(DB,_xll.ArrayDPT($AA28:$AE28),_xll.ArrayCOA($AG28:$AZ28),YR-1,PRD,_xll.ArrayDIM($BB28:$BE28))</f>
        <v>5993.46</v>
      </c>
      <c r="S28" s="237">
        <f t="shared" si="19"/>
        <v>3.3553792768355017</v>
      </c>
      <c r="T28" s="295"/>
      <c r="U28" s="295"/>
      <c r="V28" s="295"/>
      <c r="W28" s="295"/>
      <c r="X28" s="295"/>
      <c r="Y28" s="295"/>
      <c r="Z28" s="295"/>
      <c r="AA28" s="95" t="s">
        <v>1010</v>
      </c>
      <c r="AB28" s="96" t="s">
        <v>1011</v>
      </c>
      <c r="AC28" s="96"/>
      <c r="AD28" s="96"/>
      <c r="AE28" s="96"/>
      <c r="AF28" s="97"/>
      <c r="AG28" s="95" t="s">
        <v>685</v>
      </c>
      <c r="AH28" s="96" t="s">
        <v>685</v>
      </c>
      <c r="AI28" s="95"/>
      <c r="AJ28" s="96"/>
      <c r="AK28" s="95"/>
      <c r="AL28" s="96"/>
      <c r="AM28" s="95"/>
      <c r="AN28" s="98"/>
      <c r="AO28" s="96"/>
      <c r="AP28" s="96"/>
      <c r="AQ28" s="95"/>
      <c r="AR28" s="98"/>
      <c r="AS28" s="96"/>
      <c r="AT28" s="96"/>
      <c r="AU28" s="95"/>
      <c r="AV28" s="98"/>
      <c r="AW28" s="96"/>
      <c r="AX28" s="96"/>
      <c r="AY28" s="95"/>
      <c r="AZ28" s="98"/>
      <c r="BA28" s="99"/>
      <c r="BB28" s="95"/>
      <c r="BC28" s="96"/>
      <c r="BD28" s="96"/>
      <c r="BE28" s="98"/>
    </row>
    <row r="29" spans="1:57" ht="12" customHeight="1">
      <c r="A29" s="254">
        <f t="array" ref="A29">_xll.AC(DB,_xll.ArrayDPT($AA29:$AE29),_xll.ArrayCOA($AG29:$AZ29),YR-1,PRD,_xll.ArrayDIM($BB29:$BE29))</f>
        <v>0</v>
      </c>
      <c r="B29" s="237">
        <f t="shared" si="10"/>
        <v>0</v>
      </c>
      <c r="C29" s="237">
        <f t="shared" si="11"/>
        <v>0</v>
      </c>
      <c r="D29" s="237">
        <f t="shared" si="12"/>
        <v>0</v>
      </c>
      <c r="E29" s="254">
        <f t="array" ref="E29">_xll.BC(DB,_xll.ArrayDPT($AA29:$AE29),_xll.ArrayCOA($AG29:$AZ29),YR,PRD,RV,_xll.ArrayDIM($BB29:$BE29))</f>
        <v>0</v>
      </c>
      <c r="F29" s="237">
        <f t="shared" si="13"/>
        <v>0</v>
      </c>
      <c r="G29" s="254">
        <f t="array" ref="G29">_xll.AC(DB,_xll.ArrayDPT($AA29:$AE29),_xll.ArrayCOA($AG29:$AZ29),YR,PRD,_xll.ArrayDIM($BB29:$BE29))</f>
        <v>0</v>
      </c>
      <c r="H29" s="237">
        <f t="shared" si="14"/>
        <v>0</v>
      </c>
      <c r="I29" s="237"/>
      <c r="J29" s="328" t="s">
        <v>1028</v>
      </c>
      <c r="K29" s="237"/>
      <c r="L29" s="254">
        <f t="array" ref="L29">_xll.ACC(DB,_xll.ArrayDPT($AA29:$AE29),_xll.ArrayCOA($AG29:$AZ29),YR,PRD,_xll.ArrayDIM($BB29:$BE29))</f>
        <v>0</v>
      </c>
      <c r="M29" s="237">
        <f t="shared" si="15"/>
        <v>0</v>
      </c>
      <c r="N29" s="254">
        <f t="array" ref="N29">_xll.BCC(DB,_xll.ArrayDPT($AA29:$AE29),_xll.ArrayCOA($AG29:$AZ29),YR,PRD,RV,_xll.ArrayDIM($BB29:$BE29))</f>
        <v>0</v>
      </c>
      <c r="O29" s="237">
        <f t="shared" si="16"/>
        <v>0</v>
      </c>
      <c r="P29" s="237">
        <f t="shared" si="17"/>
        <v>0</v>
      </c>
      <c r="Q29" s="237">
        <f t="shared" si="18"/>
        <v>0</v>
      </c>
      <c r="R29" s="254">
        <f t="array" ref="R29">_xll.ACC(DB,_xll.ArrayDPT($AA29:$AE29),_xll.ArrayCOA($AG29:$AZ29),YR-1,PRD,_xll.ArrayDIM($BB29:$BE29))</f>
        <v>0</v>
      </c>
      <c r="S29" s="237">
        <f t="shared" si="19"/>
        <v>0</v>
      </c>
      <c r="T29" s="295"/>
      <c r="U29" s="295"/>
      <c r="V29" s="295"/>
      <c r="W29" s="295"/>
      <c r="X29" s="295"/>
      <c r="Y29" s="295"/>
      <c r="Z29" s="295"/>
      <c r="AA29" s="95" t="s">
        <v>1010</v>
      </c>
      <c r="AB29" s="96" t="s">
        <v>1011</v>
      </c>
      <c r="AC29" s="96"/>
      <c r="AD29" s="96"/>
      <c r="AE29" s="96"/>
      <c r="AF29" s="97"/>
      <c r="AG29" s="95" t="s">
        <v>706</v>
      </c>
      <c r="AH29" s="96" t="s">
        <v>706</v>
      </c>
      <c r="AI29" s="95"/>
      <c r="AJ29" s="96"/>
      <c r="AK29" s="95"/>
      <c r="AL29" s="96"/>
      <c r="AM29" s="95"/>
      <c r="AN29" s="98"/>
      <c r="AO29" s="96"/>
      <c r="AP29" s="96"/>
      <c r="AQ29" s="95"/>
      <c r="AR29" s="98"/>
      <c r="AS29" s="96"/>
      <c r="AT29" s="96"/>
      <c r="AU29" s="95"/>
      <c r="AV29" s="98"/>
      <c r="AW29" s="96"/>
      <c r="AX29" s="96"/>
      <c r="AY29" s="95"/>
      <c r="AZ29" s="98"/>
      <c r="BA29" s="99"/>
      <c r="BB29" s="95"/>
      <c r="BC29" s="96"/>
      <c r="BD29" s="96"/>
      <c r="BE29" s="98"/>
    </row>
    <row r="30" spans="1:57" ht="12" customHeight="1">
      <c r="A30" s="254">
        <f t="array" ref="A30">_xll.AC(DB,_xll.ArrayDPT($AA30:$AE30),_xll.ArrayCOA($AG30:$AZ30),YR-1,PRD,_xll.ArrayDIM($BB30:$BE30))</f>
        <v>15320</v>
      </c>
      <c r="B30" s="237">
        <f t="shared" si="10"/>
        <v>8.5767504114684812</v>
      </c>
      <c r="C30" s="237">
        <f t="shared" si="11"/>
        <v>0</v>
      </c>
      <c r="D30" s="237">
        <f t="shared" si="12"/>
        <v>0</v>
      </c>
      <c r="E30" s="254">
        <f t="array" ref="E30">_xll.BC(DB,_xll.ArrayDPT($AA30:$AE30),_xll.ArrayCOA($AG30:$AZ30),YR,PRD,RV,_xll.ArrayDIM($BB30:$BE30))</f>
        <v>0</v>
      </c>
      <c r="F30" s="237">
        <f t="shared" si="13"/>
        <v>0</v>
      </c>
      <c r="G30" s="254">
        <f t="array" ref="G30">_xll.AC(DB,_xll.ArrayDPT($AA30:$AE30),_xll.ArrayCOA($AG30:$AZ30),YR,PRD,_xll.ArrayDIM($BB30:$BE30))</f>
        <v>0</v>
      </c>
      <c r="H30" s="237">
        <f t="shared" si="14"/>
        <v>0</v>
      </c>
      <c r="I30" s="237"/>
      <c r="J30" s="328" t="s">
        <v>1029</v>
      </c>
      <c r="K30" s="237"/>
      <c r="L30" s="254">
        <f t="array" ref="L30">_xll.ACC(DB,_xll.ArrayDPT($AA30:$AE30),_xll.ArrayCOA($AG30:$AZ30),YR,PRD,_xll.ArrayDIM($BB30:$BE30))</f>
        <v>0</v>
      </c>
      <c r="M30" s="237">
        <f t="shared" si="15"/>
        <v>0</v>
      </c>
      <c r="N30" s="254">
        <f t="array" ref="N30">_xll.BCC(DB,_xll.ArrayDPT($AA30:$AE30),_xll.ArrayCOA($AG30:$AZ30),YR,PRD,RV,_xll.ArrayDIM($BB30:$BE30))</f>
        <v>0</v>
      </c>
      <c r="O30" s="237">
        <f t="shared" si="16"/>
        <v>0</v>
      </c>
      <c r="P30" s="237">
        <f t="shared" si="17"/>
        <v>0</v>
      </c>
      <c r="Q30" s="237">
        <f t="shared" si="18"/>
        <v>0</v>
      </c>
      <c r="R30" s="254">
        <f t="array" ref="R30">_xll.ACC(DB,_xll.ArrayDPT($AA30:$AE30),_xll.ArrayCOA($AG30:$AZ30),YR-1,PRD,_xll.ArrayDIM($BB30:$BE30))</f>
        <v>15320</v>
      </c>
      <c r="S30" s="237">
        <f t="shared" si="19"/>
        <v>8.5767504114684812</v>
      </c>
      <c r="T30" s="295"/>
      <c r="U30" s="295"/>
      <c r="V30" s="295"/>
      <c r="W30" s="295"/>
      <c r="X30" s="295"/>
      <c r="Y30" s="295"/>
      <c r="Z30" s="295"/>
      <c r="AA30" s="95" t="s">
        <v>1010</v>
      </c>
      <c r="AB30" s="96" t="s">
        <v>1011</v>
      </c>
      <c r="AC30" s="96" t="s">
        <v>1030</v>
      </c>
      <c r="AD30" s="96"/>
      <c r="AE30" s="96"/>
      <c r="AF30" s="97"/>
      <c r="AG30" s="95" t="s">
        <v>1031</v>
      </c>
      <c r="AH30" s="96" t="s">
        <v>1031</v>
      </c>
      <c r="AI30" s="95"/>
      <c r="AJ30" s="96"/>
      <c r="AK30" s="95"/>
      <c r="AL30" s="96"/>
      <c r="AM30" s="95"/>
      <c r="AN30" s="98"/>
      <c r="AO30" s="96"/>
      <c r="AP30" s="96"/>
      <c r="AQ30" s="95"/>
      <c r="AR30" s="98"/>
      <c r="AS30" s="96"/>
      <c r="AT30" s="96"/>
      <c r="AU30" s="95"/>
      <c r="AV30" s="98"/>
      <c r="AW30" s="96"/>
      <c r="AX30" s="96"/>
      <c r="AY30" s="95"/>
      <c r="AZ30" s="98"/>
      <c r="BA30" s="99"/>
      <c r="BB30" s="95"/>
      <c r="BC30" s="96"/>
      <c r="BD30" s="96"/>
      <c r="BE30" s="98"/>
    </row>
    <row r="31" spans="1:57" ht="12" customHeight="1">
      <c r="A31" s="254">
        <f t="array" ref="A31">_xll.AC(DB,_xll.ArrayDPT($AA31:$AE31),_xll.ArrayCOA($AG31:$AZ31),YR-1,PRD,_xll.ArrayDIM($BB31:$BE31))</f>
        <v>0</v>
      </c>
      <c r="B31" s="237">
        <f t="shared" si="10"/>
        <v>0</v>
      </c>
      <c r="C31" s="237">
        <f t="shared" si="11"/>
        <v>0</v>
      </c>
      <c r="D31" s="237">
        <f t="shared" si="12"/>
        <v>0</v>
      </c>
      <c r="E31" s="254">
        <f t="array" ref="E31">_xll.BC(DB,_xll.ArrayDPT($AA31:$AE31),_xll.ArrayCOA($AG31:$AZ31),YR,PRD,RV,_xll.ArrayDIM($BB31:$BE31))</f>
        <v>0</v>
      </c>
      <c r="F31" s="237">
        <f t="shared" si="13"/>
        <v>0</v>
      </c>
      <c r="G31" s="254">
        <f t="array" ref="G31">_xll.AC(DB,_xll.ArrayDPT($AA31:$AE31),_xll.ArrayCOA($AG31:$AZ31),YR,PRD,_xll.ArrayDIM($BB31:$BE31))</f>
        <v>0</v>
      </c>
      <c r="H31" s="237">
        <f t="shared" si="14"/>
        <v>0</v>
      </c>
      <c r="I31" s="237"/>
      <c r="J31" s="328" t="s">
        <v>1032</v>
      </c>
      <c r="K31" s="237"/>
      <c r="L31" s="254">
        <f t="array" ref="L31">_xll.ACC(DB,_xll.ArrayDPT($AA31:$AE31),_xll.ArrayCOA($AG31:$AZ31),YR,PRD,_xll.ArrayDIM($BB31:$BE31))</f>
        <v>0</v>
      </c>
      <c r="M31" s="237">
        <f t="shared" si="15"/>
        <v>0</v>
      </c>
      <c r="N31" s="254">
        <f t="array" ref="N31">_xll.BCC(DB,_xll.ArrayDPT($AA31:$AE31),_xll.ArrayCOA($AG31:$AZ31),YR,PRD,RV,_xll.ArrayDIM($BB31:$BE31))</f>
        <v>0</v>
      </c>
      <c r="O31" s="237">
        <f t="shared" si="16"/>
        <v>0</v>
      </c>
      <c r="P31" s="237">
        <f t="shared" si="17"/>
        <v>0</v>
      </c>
      <c r="Q31" s="237">
        <f t="shared" si="18"/>
        <v>0</v>
      </c>
      <c r="R31" s="254">
        <f t="array" ref="R31">_xll.ACC(DB,_xll.ArrayDPT($AA31:$AE31),_xll.ArrayCOA($AG31:$AZ31),YR-1,PRD,_xll.ArrayDIM($BB31:$BE31))</f>
        <v>0</v>
      </c>
      <c r="S31" s="237">
        <f t="shared" si="19"/>
        <v>0</v>
      </c>
      <c r="T31" s="295"/>
      <c r="U31" s="295"/>
      <c r="V31" s="295"/>
      <c r="W31" s="295"/>
      <c r="X31" s="295"/>
      <c r="Y31" s="295"/>
      <c r="Z31" s="295"/>
      <c r="AA31" s="95" t="s">
        <v>1011</v>
      </c>
      <c r="AB31" s="96"/>
      <c r="AC31" s="96"/>
      <c r="AD31" s="96"/>
      <c r="AE31" s="96"/>
      <c r="AF31" s="97"/>
      <c r="AG31" s="95" t="s">
        <v>657</v>
      </c>
      <c r="AH31" s="96" t="s">
        <v>657</v>
      </c>
      <c r="AI31" s="95"/>
      <c r="AJ31" s="96"/>
      <c r="AK31" s="95"/>
      <c r="AL31" s="96"/>
      <c r="AM31" s="95"/>
      <c r="AN31" s="98"/>
      <c r="AO31" s="96"/>
      <c r="AP31" s="96"/>
      <c r="AQ31" s="95"/>
      <c r="AR31" s="98"/>
      <c r="AS31" s="96"/>
      <c r="AT31" s="96"/>
      <c r="AU31" s="95"/>
      <c r="AV31" s="98"/>
      <c r="AW31" s="96"/>
      <c r="AX31" s="96"/>
      <c r="AY31" s="95"/>
      <c r="AZ31" s="98"/>
      <c r="BA31" s="99"/>
      <c r="BB31" s="95"/>
      <c r="BC31" s="96"/>
      <c r="BD31" s="96"/>
      <c r="BE31" s="98"/>
    </row>
    <row r="32" spans="1:57" ht="12" customHeight="1">
      <c r="A32" s="254">
        <f t="array" ref="A32">_xll.AC(DB,_xll.ArrayDPT($AA32:$AE32),_xll.ArrayCOA($AG32:$AZ32),YR-1,PRD,_xll.ArrayDIM($BB32:$BE32))</f>
        <v>0</v>
      </c>
      <c r="B32" s="237">
        <f t="shared" si="10"/>
        <v>0</v>
      </c>
      <c r="C32" s="237">
        <f t="shared" si="11"/>
        <v>0</v>
      </c>
      <c r="D32" s="237">
        <f t="shared" si="12"/>
        <v>0</v>
      </c>
      <c r="E32" s="254">
        <f t="array" ref="E32">_xll.BC(DB,_xll.ArrayDPT($AA32:$AE32),_xll.ArrayCOA($AG32:$AZ32),YR,PRD,RV,_xll.ArrayDIM($BB32:$BE32))</f>
        <v>0</v>
      </c>
      <c r="F32" s="237">
        <f t="shared" si="13"/>
        <v>0</v>
      </c>
      <c r="G32" s="254">
        <f t="array" ref="G32">_xll.AC(DB,_xll.ArrayDPT($AA32:$AE32),_xll.ArrayCOA($AG32:$AZ32),YR,PRD,_xll.ArrayDIM($BB32:$BE32))</f>
        <v>0</v>
      </c>
      <c r="H32" s="237">
        <f t="shared" si="14"/>
        <v>0</v>
      </c>
      <c r="I32" s="237"/>
      <c r="J32" s="328" t="s">
        <v>1033</v>
      </c>
      <c r="K32" s="237"/>
      <c r="L32" s="254">
        <f t="array" ref="L32">_xll.ACC(DB,_xll.ArrayDPT($AA32:$AE32),_xll.ArrayCOA($AG32:$AZ32),YR,PRD,_xll.ArrayDIM($BB32:$BE32))</f>
        <v>0</v>
      </c>
      <c r="M32" s="237">
        <f t="shared" si="15"/>
        <v>0</v>
      </c>
      <c r="N32" s="254">
        <f t="array" ref="N32">_xll.BCC(DB,_xll.ArrayDPT($AA32:$AE32),_xll.ArrayCOA($AG32:$AZ32),YR,PRD,RV,_xll.ArrayDIM($BB32:$BE32))</f>
        <v>0</v>
      </c>
      <c r="O32" s="237">
        <f t="shared" si="16"/>
        <v>0</v>
      </c>
      <c r="P32" s="237">
        <f t="shared" si="17"/>
        <v>0</v>
      </c>
      <c r="Q32" s="237">
        <f t="shared" si="18"/>
        <v>0</v>
      </c>
      <c r="R32" s="254">
        <f t="array" ref="R32">_xll.ACC(DB,_xll.ArrayDPT($AA32:$AE32),_xll.ArrayCOA($AG32:$AZ32),YR-1,PRD,_xll.ArrayDIM($BB32:$BE32))</f>
        <v>0</v>
      </c>
      <c r="S32" s="237">
        <f t="shared" si="19"/>
        <v>0</v>
      </c>
      <c r="T32" s="295"/>
      <c r="U32" s="295"/>
      <c r="V32" s="295"/>
      <c r="W32" s="295"/>
      <c r="X32" s="295"/>
      <c r="Y32" s="295"/>
      <c r="Z32" s="295"/>
      <c r="AA32" s="95" t="s">
        <v>1011</v>
      </c>
      <c r="AB32" s="96"/>
      <c r="AC32" s="96"/>
      <c r="AD32" s="96"/>
      <c r="AE32" s="96"/>
      <c r="AF32" s="97"/>
      <c r="AG32" s="95" t="s">
        <v>1034</v>
      </c>
      <c r="AH32" s="96" t="s">
        <v>1034</v>
      </c>
      <c r="AI32" s="95"/>
      <c r="AJ32" s="96"/>
      <c r="AK32" s="95"/>
      <c r="AL32" s="96"/>
      <c r="AM32" s="95"/>
      <c r="AN32" s="98"/>
      <c r="AO32" s="96"/>
      <c r="AP32" s="96"/>
      <c r="AQ32" s="95"/>
      <c r="AR32" s="98"/>
      <c r="AS32" s="96"/>
      <c r="AT32" s="96"/>
      <c r="AU32" s="95"/>
      <c r="AV32" s="98"/>
      <c r="AW32" s="96"/>
      <c r="AX32" s="96"/>
      <c r="AY32" s="95"/>
      <c r="AZ32" s="98"/>
      <c r="BA32" s="99"/>
      <c r="BB32" s="95"/>
      <c r="BC32" s="96"/>
      <c r="BD32" s="96"/>
      <c r="BE32" s="98"/>
    </row>
    <row r="33" spans="1:57" ht="12" customHeight="1">
      <c r="A33" s="254">
        <f t="array" ref="A33">_xll.AC(DB,_xll.ArrayDPT($AA33:$AE33),_xll.ArrayCOA($AG33:$AZ33),YR-1,PRD,_xll.ArrayDIM($BB33:$BE33))</f>
        <v>0</v>
      </c>
      <c r="B33" s="237">
        <f t="shared" si="10"/>
        <v>0</v>
      </c>
      <c r="C33" s="237">
        <f t="shared" si="11"/>
        <v>0</v>
      </c>
      <c r="D33" s="237">
        <f t="shared" si="12"/>
        <v>0</v>
      </c>
      <c r="E33" s="254">
        <f t="array" ref="E33">_xll.BC(DB,_xll.ArrayDPT($AA33:$AE33),_xll.ArrayCOA($AG33:$AZ33),YR,PRD,RV,_xll.ArrayDIM($BB33:$BE33))</f>
        <v>0</v>
      </c>
      <c r="F33" s="237">
        <f t="shared" si="13"/>
        <v>0</v>
      </c>
      <c r="G33" s="254">
        <f t="array" ref="G33">_xll.AC(DB,_xll.ArrayDPT($AA33:$AE33),_xll.ArrayCOA($AG33:$AZ33),YR,PRD,_xll.ArrayDIM($BB33:$BE33))</f>
        <v>0</v>
      </c>
      <c r="H33" s="237">
        <f t="shared" si="14"/>
        <v>0</v>
      </c>
      <c r="I33" s="237"/>
      <c r="J33" s="328" t="s">
        <v>1035</v>
      </c>
      <c r="K33" s="237"/>
      <c r="L33" s="254">
        <f t="array" ref="L33">_xll.ACC(DB,_xll.ArrayDPT($AA33:$AE33),_xll.ArrayCOA($AG33:$AZ33),YR,PRD,_xll.ArrayDIM($BB33:$BE33))</f>
        <v>0</v>
      </c>
      <c r="M33" s="237">
        <f t="shared" si="15"/>
        <v>0</v>
      </c>
      <c r="N33" s="254">
        <f t="array" ref="N33">_xll.BCC(DB,_xll.ArrayDPT($AA33:$AE33),_xll.ArrayCOA($AG33:$AZ33),YR,PRD,RV,_xll.ArrayDIM($BB33:$BE33))</f>
        <v>0</v>
      </c>
      <c r="O33" s="237">
        <f t="shared" si="16"/>
        <v>0</v>
      </c>
      <c r="P33" s="237">
        <f t="shared" si="17"/>
        <v>0</v>
      </c>
      <c r="Q33" s="237">
        <f t="shared" si="18"/>
        <v>0</v>
      </c>
      <c r="R33" s="254">
        <f t="array" ref="R33">_xll.ACC(DB,_xll.ArrayDPT($AA33:$AE33),_xll.ArrayCOA($AG33:$AZ33),YR-1,PRD,_xll.ArrayDIM($BB33:$BE33))</f>
        <v>0</v>
      </c>
      <c r="S33" s="237">
        <f t="shared" si="19"/>
        <v>0</v>
      </c>
      <c r="T33" s="295"/>
      <c r="U33" s="295"/>
      <c r="V33" s="295"/>
      <c r="W33" s="295"/>
      <c r="X33" s="295"/>
      <c r="Y33" s="295"/>
      <c r="Z33" s="295"/>
      <c r="AA33" s="95" t="s">
        <v>1010</v>
      </c>
      <c r="AB33" s="96" t="s">
        <v>1011</v>
      </c>
      <c r="AC33" s="96"/>
      <c r="AD33" s="96"/>
      <c r="AE33" s="96"/>
      <c r="AF33" s="97"/>
      <c r="AG33" s="95" t="s">
        <v>1036</v>
      </c>
      <c r="AH33" s="96" t="s">
        <v>1036</v>
      </c>
      <c r="AI33" s="95" t="s">
        <v>1037</v>
      </c>
      <c r="AJ33" s="96" t="s">
        <v>1037</v>
      </c>
      <c r="AK33" s="95"/>
      <c r="AL33" s="96"/>
      <c r="AM33" s="95"/>
      <c r="AN33" s="98"/>
      <c r="AO33" s="96"/>
      <c r="AP33" s="96"/>
      <c r="AQ33" s="95"/>
      <c r="AR33" s="98"/>
      <c r="AS33" s="96"/>
      <c r="AT33" s="96"/>
      <c r="AU33" s="95"/>
      <c r="AV33" s="98"/>
      <c r="AW33" s="96"/>
      <c r="AX33" s="96"/>
      <c r="AY33" s="95"/>
      <c r="AZ33" s="98"/>
      <c r="BA33" s="99"/>
      <c r="BB33" s="95"/>
      <c r="BC33" s="96"/>
      <c r="BD33" s="96"/>
      <c r="BE33" s="98"/>
    </row>
    <row r="34" spans="1:57" ht="12" customHeight="1">
      <c r="A34" s="254">
        <f t="array" ref="A34">_xll.AC(DB,_xll.ArrayDPT($AA34:$AE34),_xll.ArrayCOA($AG34:$AZ34),YR-1,PRD,_xll.ArrayDIM($BB34:$BE34))</f>
        <v>0</v>
      </c>
      <c r="B34" s="237">
        <f t="shared" si="10"/>
        <v>0</v>
      </c>
      <c r="C34" s="237">
        <f t="shared" si="11"/>
        <v>0</v>
      </c>
      <c r="D34" s="237">
        <f t="shared" si="12"/>
        <v>0</v>
      </c>
      <c r="E34" s="254">
        <f t="array" ref="E34">_xll.BC(DB,_xll.ArrayDPT($AA34:$AE34),_xll.ArrayCOA($AG34:$AZ34),YR,PRD,RV,_xll.ArrayDIM($BB34:$BE34))</f>
        <v>0</v>
      </c>
      <c r="F34" s="237">
        <f t="shared" si="13"/>
        <v>0</v>
      </c>
      <c r="G34" s="254">
        <f t="array" ref="G34">_xll.AC(DB,_xll.ArrayDPT($AA34:$AE34),_xll.ArrayCOA($AG34:$AZ34),YR,PRD,_xll.ArrayDIM($BB34:$BE34))</f>
        <v>0</v>
      </c>
      <c r="H34" s="237">
        <f t="shared" si="14"/>
        <v>0</v>
      </c>
      <c r="I34" s="237"/>
      <c r="J34" s="328" t="s">
        <v>1038</v>
      </c>
      <c r="K34" s="237"/>
      <c r="L34" s="254">
        <f t="array" ref="L34">_xll.ACC(DB,_xll.ArrayDPT($AA34:$AE34),_xll.ArrayCOA($AG34:$AZ34),YR,PRD,_xll.ArrayDIM($BB34:$BE34))</f>
        <v>0</v>
      </c>
      <c r="M34" s="237">
        <f t="shared" si="15"/>
        <v>0</v>
      </c>
      <c r="N34" s="254">
        <f t="array" ref="N34">_xll.BCC(DB,_xll.ArrayDPT($AA34:$AE34),_xll.ArrayCOA($AG34:$AZ34),YR,PRD,RV,_xll.ArrayDIM($BB34:$BE34))</f>
        <v>0</v>
      </c>
      <c r="O34" s="237">
        <f t="shared" si="16"/>
        <v>0</v>
      </c>
      <c r="P34" s="237">
        <f t="shared" si="17"/>
        <v>0</v>
      </c>
      <c r="Q34" s="237">
        <f t="shared" si="18"/>
        <v>0</v>
      </c>
      <c r="R34" s="254">
        <f t="array" ref="R34">_xll.ACC(DB,_xll.ArrayDPT($AA34:$AE34),_xll.ArrayCOA($AG34:$AZ34),YR-1,PRD,_xll.ArrayDIM($BB34:$BE34))</f>
        <v>0</v>
      </c>
      <c r="S34" s="237">
        <f t="shared" si="19"/>
        <v>0</v>
      </c>
      <c r="T34" s="295"/>
      <c r="U34" s="295"/>
      <c r="V34" s="295"/>
      <c r="W34" s="295"/>
      <c r="X34" s="295"/>
      <c r="Y34" s="295"/>
      <c r="Z34" s="295"/>
      <c r="AA34" s="95" t="s">
        <v>1010</v>
      </c>
      <c r="AB34" s="96" t="s">
        <v>1011</v>
      </c>
      <c r="AC34" s="96"/>
      <c r="AD34" s="96"/>
      <c r="AE34" s="96"/>
      <c r="AF34" s="97"/>
      <c r="AG34" s="95" t="s">
        <v>1039</v>
      </c>
      <c r="AH34" s="96" t="s">
        <v>1039</v>
      </c>
      <c r="AI34" s="95"/>
      <c r="AJ34" s="96"/>
      <c r="AK34" s="95"/>
      <c r="AL34" s="96"/>
      <c r="AM34" s="95"/>
      <c r="AN34" s="98"/>
      <c r="AO34" s="96"/>
      <c r="AP34" s="96"/>
      <c r="AQ34" s="95"/>
      <c r="AR34" s="98"/>
      <c r="AS34" s="96"/>
      <c r="AT34" s="96"/>
      <c r="AU34" s="95"/>
      <c r="AV34" s="98"/>
      <c r="AW34" s="96"/>
      <c r="AX34" s="96"/>
      <c r="AY34" s="95"/>
      <c r="AZ34" s="98"/>
      <c r="BA34" s="99"/>
      <c r="BB34" s="95"/>
      <c r="BC34" s="96"/>
      <c r="BD34" s="96"/>
      <c r="BE34" s="98"/>
    </row>
    <row r="35" spans="1:57" ht="12" customHeight="1">
      <c r="A35" s="254">
        <f t="array" ref="A35">_xll.AC(DB,_xll.ArrayDPT($AA35:$AE35),_xll.ArrayCOA($AG35:$AZ35),YR-1,PRD,_xll.ArrayDIM($BB35:$BE35))</f>
        <v>4226.5</v>
      </c>
      <c r="B35" s="237">
        <f t="shared" si="10"/>
        <v>2.36616420457386</v>
      </c>
      <c r="C35" s="237">
        <f t="shared" si="11"/>
        <v>0</v>
      </c>
      <c r="D35" s="237">
        <f t="shared" si="12"/>
        <v>0</v>
      </c>
      <c r="E35" s="254">
        <f t="array" ref="E35">_xll.BC(DB,_xll.ArrayDPT($AA35:$AE35),_xll.ArrayCOA($AG35:$AZ35),YR,PRD,RV,_xll.ArrayDIM($BB35:$BE35))</f>
        <v>0</v>
      </c>
      <c r="F35" s="237">
        <f t="shared" si="13"/>
        <v>0</v>
      </c>
      <c r="G35" s="254">
        <f t="array" ref="G35">_xll.AC(DB,_xll.ArrayDPT($AA35:$AE35),_xll.ArrayCOA($AG35:$AZ35),YR,PRD,_xll.ArrayDIM($BB35:$BE35))</f>
        <v>0</v>
      </c>
      <c r="H35" s="237">
        <f t="shared" si="14"/>
        <v>0</v>
      </c>
      <c r="I35" s="237"/>
      <c r="J35" s="328" t="s">
        <v>711</v>
      </c>
      <c r="K35" s="237"/>
      <c r="L35" s="254">
        <f t="array" ref="L35">_xll.ACC(DB,_xll.ArrayDPT($AA35:$AE35),_xll.ArrayCOA($AG35:$AZ35),YR,PRD,_xll.ArrayDIM($BB35:$BE35))</f>
        <v>0</v>
      </c>
      <c r="M35" s="237">
        <f t="shared" si="15"/>
        <v>0</v>
      </c>
      <c r="N35" s="254">
        <f t="array" ref="N35">_xll.BCC(DB,_xll.ArrayDPT($AA35:$AE35),_xll.ArrayCOA($AG35:$AZ35),YR,PRD,RV,_xll.ArrayDIM($BB35:$BE35))</f>
        <v>0</v>
      </c>
      <c r="O35" s="237">
        <f t="shared" si="16"/>
        <v>0</v>
      </c>
      <c r="P35" s="237">
        <f t="shared" si="17"/>
        <v>0</v>
      </c>
      <c r="Q35" s="237">
        <f t="shared" si="18"/>
        <v>0</v>
      </c>
      <c r="R35" s="254">
        <f t="array" ref="R35">_xll.ACC(DB,_xll.ArrayDPT($AA35:$AE35),_xll.ArrayCOA($AG35:$AZ35),YR-1,PRD,_xll.ArrayDIM($BB35:$BE35))</f>
        <v>4226.5</v>
      </c>
      <c r="S35" s="237">
        <f t="shared" si="19"/>
        <v>2.36616420457386</v>
      </c>
      <c r="T35" s="295"/>
      <c r="U35" s="295"/>
      <c r="V35" s="295"/>
      <c r="W35" s="295"/>
      <c r="X35" s="295"/>
      <c r="Y35" s="295"/>
      <c r="Z35" s="295"/>
      <c r="AA35" s="95" t="s">
        <v>1010</v>
      </c>
      <c r="AB35" s="96" t="s">
        <v>1011</v>
      </c>
      <c r="AC35" s="96"/>
      <c r="AD35" s="96"/>
      <c r="AE35" s="96"/>
      <c r="AF35" s="97"/>
      <c r="AG35" s="95" t="s">
        <v>712</v>
      </c>
      <c r="AH35" s="96" t="s">
        <v>712</v>
      </c>
      <c r="AI35" s="95"/>
      <c r="AJ35" s="96"/>
      <c r="AK35" s="95"/>
      <c r="AL35" s="96"/>
      <c r="AM35" s="95"/>
      <c r="AN35" s="98"/>
      <c r="AO35" s="96"/>
      <c r="AP35" s="96"/>
      <c r="AQ35" s="95"/>
      <c r="AR35" s="98"/>
      <c r="AS35" s="96"/>
      <c r="AT35" s="96"/>
      <c r="AU35" s="95"/>
      <c r="AV35" s="98"/>
      <c r="AW35" s="96"/>
      <c r="AX35" s="96"/>
      <c r="AY35" s="95"/>
      <c r="AZ35" s="98"/>
      <c r="BA35" s="99"/>
      <c r="BB35" s="95"/>
      <c r="BC35" s="96"/>
      <c r="BD35" s="96"/>
      <c r="BE35" s="98"/>
    </row>
    <row r="36" spans="1:57" ht="12" customHeight="1">
      <c r="A36" s="254">
        <f t="array" ref="A36">_xll.AC(DB,_xll.ArrayDPT($AA36:$AE36),_xll.ArrayCOA($AG36:$AZ36),YR-1,PRD,_xll.ArrayDIM($BB36:$BE36))</f>
        <v>0</v>
      </c>
      <c r="B36" s="237">
        <f t="shared" si="10"/>
        <v>0</v>
      </c>
      <c r="C36" s="237">
        <f t="shared" si="11"/>
        <v>0</v>
      </c>
      <c r="D36" s="237">
        <f t="shared" si="12"/>
        <v>0</v>
      </c>
      <c r="E36" s="254">
        <f t="array" ref="E36">_xll.BC(DB,_xll.ArrayDPT($AA36:$AE36),_xll.ArrayCOA($AG36:$AZ36),YR,PRD,RV,_xll.ArrayDIM($BB36:$BE36))</f>
        <v>0</v>
      </c>
      <c r="F36" s="237">
        <f t="shared" si="13"/>
        <v>0</v>
      </c>
      <c r="G36" s="254">
        <f t="array" ref="G36">_xll.AC(DB,_xll.ArrayDPT($AA36:$AE36),_xll.ArrayCOA($AG36:$AZ36),YR,PRD,_xll.ArrayDIM($BB36:$BE36))</f>
        <v>0</v>
      </c>
      <c r="H36" s="237">
        <f t="shared" si="14"/>
        <v>0</v>
      </c>
      <c r="I36" s="237"/>
      <c r="J36" s="328" t="s">
        <v>1040</v>
      </c>
      <c r="K36" s="237"/>
      <c r="L36" s="254">
        <f t="array" ref="L36">_xll.ACC(DB,_xll.ArrayDPT($AA36:$AE36),_xll.ArrayCOA($AG36:$AZ36),YR,PRD,_xll.ArrayDIM($BB36:$BE36))</f>
        <v>0</v>
      </c>
      <c r="M36" s="237">
        <f t="shared" si="15"/>
        <v>0</v>
      </c>
      <c r="N36" s="254">
        <f t="array" ref="N36">_xll.BCC(DB,_xll.ArrayDPT($AA36:$AE36),_xll.ArrayCOA($AG36:$AZ36),YR,PRD,RV,_xll.ArrayDIM($BB36:$BE36))</f>
        <v>0</v>
      </c>
      <c r="O36" s="237">
        <f t="shared" si="16"/>
        <v>0</v>
      </c>
      <c r="P36" s="237">
        <f t="shared" si="17"/>
        <v>0</v>
      </c>
      <c r="Q36" s="237">
        <f t="shared" si="18"/>
        <v>0</v>
      </c>
      <c r="R36" s="254">
        <f t="array" ref="R36">_xll.ACC(DB,_xll.ArrayDPT($AA36:$AE36),_xll.ArrayCOA($AG36:$AZ36),YR-1,PRD,_xll.ArrayDIM($BB36:$BE36))</f>
        <v>0</v>
      </c>
      <c r="S36" s="237">
        <f t="shared" si="19"/>
        <v>0</v>
      </c>
      <c r="T36" s="295"/>
      <c r="U36" s="295"/>
      <c r="V36" s="295"/>
      <c r="W36" s="295"/>
      <c r="X36" s="295"/>
      <c r="Y36" s="295"/>
      <c r="Z36" s="295"/>
      <c r="AA36" s="95" t="s">
        <v>1010</v>
      </c>
      <c r="AB36" s="96" t="s">
        <v>1011</v>
      </c>
      <c r="AC36" s="96"/>
      <c r="AD36" s="96"/>
      <c r="AE36" s="96"/>
      <c r="AF36" s="97"/>
      <c r="AG36" s="96" t="s">
        <v>1041</v>
      </c>
      <c r="AH36" s="96" t="s">
        <v>1041</v>
      </c>
      <c r="AI36" s="95"/>
      <c r="AJ36" s="96"/>
      <c r="AK36" s="95"/>
      <c r="AL36" s="96"/>
      <c r="AM36" s="95"/>
      <c r="AN36" s="98"/>
      <c r="AO36" s="96"/>
      <c r="AP36" s="96"/>
      <c r="AQ36" s="95"/>
      <c r="AR36" s="98"/>
      <c r="AS36" s="96"/>
      <c r="AT36" s="96"/>
      <c r="AU36" s="95"/>
      <c r="AV36" s="98"/>
      <c r="AW36" s="96"/>
      <c r="AX36" s="96"/>
      <c r="AY36" s="95"/>
      <c r="AZ36" s="98"/>
      <c r="BA36" s="99"/>
      <c r="BB36" s="95"/>
      <c r="BC36" s="96"/>
      <c r="BD36" s="96"/>
      <c r="BE36" s="98"/>
    </row>
    <row r="37" spans="1:57" ht="12" customHeight="1">
      <c r="A37" s="254">
        <f t="array" ref="A37">_xll.AC(DB,_xll.ArrayDPT($AA37:$AE37),_xll.ArrayCOA($AG37:$AZ37),YR-1,PRD,_xll.ArrayDIM($BB37:$BE37))</f>
        <v>2000</v>
      </c>
      <c r="B37" s="237">
        <f t="shared" si="10"/>
        <v>1.1196802103744754</v>
      </c>
      <c r="C37" s="237">
        <f t="shared" si="11"/>
        <v>0</v>
      </c>
      <c r="D37" s="237">
        <f t="shared" si="12"/>
        <v>0</v>
      </c>
      <c r="E37" s="254">
        <f t="array" ref="E37">_xll.BC(DB,_xll.ArrayDPT($AA37:$AE37),_xll.ArrayCOA($AG37:$AZ37),YR,PRD,RV,_xll.ArrayDIM($BB37:$BE37))</f>
        <v>0</v>
      </c>
      <c r="F37" s="237">
        <f t="shared" si="13"/>
        <v>0</v>
      </c>
      <c r="G37" s="254">
        <f t="array" ref="G37">_xll.AC(DB,_xll.ArrayDPT($AA37:$AE37),_xll.ArrayCOA($AG37:$AZ37),YR,PRD,_xll.ArrayDIM($BB37:$BE37))</f>
        <v>0</v>
      </c>
      <c r="H37" s="237">
        <f t="shared" si="14"/>
        <v>0</v>
      </c>
      <c r="I37" s="237"/>
      <c r="J37" s="328" t="s">
        <v>717</v>
      </c>
      <c r="K37" s="237"/>
      <c r="L37" s="254">
        <f t="array" ref="L37">_xll.ACC(DB,_xll.ArrayDPT($AA37:$AE37),_xll.ArrayCOA($AG37:$AZ37),YR,PRD,_xll.ArrayDIM($BB37:$BE37))</f>
        <v>0</v>
      </c>
      <c r="M37" s="237">
        <f t="shared" si="15"/>
        <v>0</v>
      </c>
      <c r="N37" s="254">
        <f t="array" ref="N37">_xll.BCC(DB,_xll.ArrayDPT($AA37:$AE37),_xll.ArrayCOA($AG37:$AZ37),YR,PRD,RV,_xll.ArrayDIM($BB37:$BE37))</f>
        <v>0</v>
      </c>
      <c r="O37" s="237">
        <f t="shared" si="16"/>
        <v>0</v>
      </c>
      <c r="P37" s="237">
        <f t="shared" si="17"/>
        <v>0</v>
      </c>
      <c r="Q37" s="237">
        <f t="shared" si="18"/>
        <v>0</v>
      </c>
      <c r="R37" s="254">
        <f t="array" ref="R37">_xll.ACC(DB,_xll.ArrayDPT($AA37:$AE37),_xll.ArrayCOA($AG37:$AZ37),YR-1,PRD,_xll.ArrayDIM($BB37:$BE37))</f>
        <v>2000</v>
      </c>
      <c r="S37" s="237">
        <f t="shared" si="19"/>
        <v>1.1196802103744754</v>
      </c>
      <c r="T37" s="295"/>
      <c r="U37" s="295"/>
      <c r="V37" s="295"/>
      <c r="W37" s="295"/>
      <c r="X37" s="295"/>
      <c r="Y37" s="295"/>
      <c r="Z37" s="295"/>
      <c r="AA37" s="95" t="s">
        <v>1010</v>
      </c>
      <c r="AB37" s="96" t="s">
        <v>1011</v>
      </c>
      <c r="AC37" s="96"/>
      <c r="AD37" s="96"/>
      <c r="AE37" s="96"/>
      <c r="AF37" s="97"/>
      <c r="AG37" s="96" t="s">
        <v>718</v>
      </c>
      <c r="AH37" s="96" t="s">
        <v>718</v>
      </c>
      <c r="AI37" s="95"/>
      <c r="AJ37" s="96"/>
      <c r="AK37" s="95"/>
      <c r="AL37" s="96"/>
      <c r="AM37" s="95"/>
      <c r="AN37" s="98"/>
      <c r="AO37" s="96"/>
      <c r="AP37" s="96"/>
      <c r="AQ37" s="95"/>
      <c r="AR37" s="98"/>
      <c r="AS37" s="96"/>
      <c r="AT37" s="96"/>
      <c r="AU37" s="95"/>
      <c r="AV37" s="98"/>
      <c r="AW37" s="96"/>
      <c r="AX37" s="96"/>
      <c r="AY37" s="95"/>
      <c r="AZ37" s="98"/>
      <c r="BA37" s="99"/>
      <c r="BB37" s="95"/>
      <c r="BC37" s="96"/>
      <c r="BD37" s="96"/>
      <c r="BE37" s="98"/>
    </row>
    <row r="38" spans="1:57" ht="12" customHeight="1">
      <c r="A38" s="254">
        <f t="array" ref="A38">_xll.AC(DB,_xll.ArrayDPT($AA38:$AE38),_xll.ArrayCOA($AG38:$AZ38),YR-1,PRD,_xll.ArrayDIM($BB38:$BE38))</f>
        <v>0</v>
      </c>
      <c r="B38" s="237">
        <f t="shared" si="10"/>
        <v>0</v>
      </c>
      <c r="C38" s="237">
        <f t="shared" si="11"/>
        <v>0</v>
      </c>
      <c r="D38" s="237">
        <f t="shared" si="12"/>
        <v>0</v>
      </c>
      <c r="E38" s="254">
        <f t="array" ref="E38">_xll.BC(DB,_xll.ArrayDPT($AA38:$AE38),_xll.ArrayCOA($AG38:$AZ38),YR,PRD,RV,_xll.ArrayDIM($BB38:$BE38))</f>
        <v>0</v>
      </c>
      <c r="F38" s="237">
        <f t="shared" si="13"/>
        <v>0</v>
      </c>
      <c r="G38" s="254">
        <f t="array" ref="G38">_xll.AC(DB,_xll.ArrayDPT($AA38:$AE38),_xll.ArrayCOA($AG38:$AZ38),YR,PRD,_xll.ArrayDIM($BB38:$BE38))</f>
        <v>0</v>
      </c>
      <c r="H38" s="237">
        <f t="shared" si="14"/>
        <v>0</v>
      </c>
      <c r="I38" s="237"/>
      <c r="J38" s="328" t="s">
        <v>1042</v>
      </c>
      <c r="K38" s="237"/>
      <c r="L38" s="254">
        <f t="array" ref="L38">_xll.ACC(DB,_xll.ArrayDPT($AA38:$AE38),_xll.ArrayCOA($AG38:$AZ38),YR,PRD,_xll.ArrayDIM($BB38:$BE38))</f>
        <v>0</v>
      </c>
      <c r="M38" s="237">
        <f t="shared" si="15"/>
        <v>0</v>
      </c>
      <c r="N38" s="254">
        <f t="array" ref="N38">_xll.BCC(DB,_xll.ArrayDPT($AA38:$AE38),_xll.ArrayCOA($AG38:$AZ38),YR,PRD,RV,_xll.ArrayDIM($BB38:$BE38))</f>
        <v>0</v>
      </c>
      <c r="O38" s="237">
        <f t="shared" si="16"/>
        <v>0</v>
      </c>
      <c r="P38" s="237">
        <f t="shared" si="17"/>
        <v>0</v>
      </c>
      <c r="Q38" s="237">
        <f t="shared" si="18"/>
        <v>0</v>
      </c>
      <c r="R38" s="254">
        <f t="array" ref="R38">_xll.ACC(DB,_xll.ArrayDPT($AA38:$AE38),_xll.ArrayCOA($AG38:$AZ38),YR-1,PRD,_xll.ArrayDIM($BB38:$BE38))</f>
        <v>0</v>
      </c>
      <c r="S38" s="237">
        <f t="shared" si="19"/>
        <v>0</v>
      </c>
      <c r="T38" s="295"/>
      <c r="U38" s="295"/>
      <c r="V38" s="295"/>
      <c r="W38" s="295"/>
      <c r="X38" s="295"/>
      <c r="Y38" s="295"/>
      <c r="Z38" s="295"/>
      <c r="AA38" s="95" t="s">
        <v>1010</v>
      </c>
      <c r="AB38" s="96" t="s">
        <v>1011</v>
      </c>
      <c r="AC38" s="96"/>
      <c r="AD38" s="96"/>
      <c r="AE38" s="96"/>
      <c r="AF38" s="97"/>
      <c r="AG38" s="96" t="s">
        <v>710</v>
      </c>
      <c r="AH38" s="96" t="s">
        <v>710</v>
      </c>
      <c r="AI38" s="95"/>
      <c r="AJ38" s="96"/>
      <c r="AK38" s="95"/>
      <c r="AL38" s="96"/>
      <c r="AM38" s="95"/>
      <c r="AN38" s="98"/>
      <c r="AO38" s="96"/>
      <c r="AP38" s="96"/>
      <c r="AQ38" s="95"/>
      <c r="AR38" s="98"/>
      <c r="AS38" s="96"/>
      <c r="AT38" s="96"/>
      <c r="AU38" s="95"/>
      <c r="AV38" s="98"/>
      <c r="AW38" s="96"/>
      <c r="AX38" s="96"/>
      <c r="AY38" s="95"/>
      <c r="AZ38" s="98"/>
      <c r="BA38" s="99"/>
      <c r="BB38" s="95"/>
      <c r="BC38" s="96"/>
      <c r="BD38" s="96"/>
      <c r="BE38" s="98"/>
    </row>
    <row r="39" spans="1:57" ht="12" customHeight="1">
      <c r="A39" s="254">
        <f t="array" ref="A39">_xll.AC(DB,_xll.ArrayDPT($AA39:$AE39),_xll.ArrayCOA($AG39:$AZ39),YR-1,PRD,_xll.ArrayDIM($BB39:$BE39))</f>
        <v>0</v>
      </c>
      <c r="B39" s="237">
        <f t="shared" si="10"/>
        <v>0</v>
      </c>
      <c r="C39" s="237">
        <f t="shared" si="11"/>
        <v>0</v>
      </c>
      <c r="D39" s="237">
        <f t="shared" si="12"/>
        <v>0</v>
      </c>
      <c r="E39" s="254">
        <f t="array" ref="E39">_xll.BC(DB,_xll.ArrayDPT($AA39:$AE39),_xll.ArrayCOA($AG39:$AZ39),YR,PRD,RV,_xll.ArrayDIM($BB39:$BE39))</f>
        <v>0</v>
      </c>
      <c r="F39" s="237">
        <f t="shared" si="13"/>
        <v>0</v>
      </c>
      <c r="G39" s="254">
        <f t="array" ref="G39">_xll.AC(DB,_xll.ArrayDPT($AA39:$AE39),_xll.ArrayCOA($AG39:$AZ39),YR,PRD,_xll.ArrayDIM($BB39:$BE39))</f>
        <v>0</v>
      </c>
      <c r="H39" s="237">
        <f t="shared" si="14"/>
        <v>0</v>
      </c>
      <c r="I39" s="237"/>
      <c r="J39" s="328" t="s">
        <v>829</v>
      </c>
      <c r="K39" s="237"/>
      <c r="L39" s="254">
        <f t="array" ref="L39">_xll.ACC(DB,_xll.ArrayDPT($AA39:$AE39),_xll.ArrayCOA($AG39:$AZ39),YR,PRD,_xll.ArrayDIM($BB39:$BE39))</f>
        <v>0</v>
      </c>
      <c r="M39" s="237">
        <f t="shared" si="15"/>
        <v>0</v>
      </c>
      <c r="N39" s="254">
        <f t="array" ref="N39">_xll.BCC(DB,_xll.ArrayDPT($AA39:$AE39),_xll.ArrayCOA($AG39:$AZ39),YR,PRD,RV,_xll.ArrayDIM($BB39:$BE39))</f>
        <v>0</v>
      </c>
      <c r="O39" s="237">
        <f t="shared" si="16"/>
        <v>0</v>
      </c>
      <c r="P39" s="237">
        <f t="shared" si="17"/>
        <v>0</v>
      </c>
      <c r="Q39" s="237">
        <f t="shared" si="18"/>
        <v>0</v>
      </c>
      <c r="R39" s="254">
        <f t="array" ref="R39">_xll.ACC(DB,_xll.ArrayDPT($AA39:$AE39),_xll.ArrayCOA($AG39:$AZ39),YR-1,PRD,_xll.ArrayDIM($BB39:$BE39))</f>
        <v>0</v>
      </c>
      <c r="S39" s="237">
        <f t="shared" si="19"/>
        <v>0</v>
      </c>
      <c r="T39" s="295"/>
      <c r="U39" s="295"/>
      <c r="V39" s="295"/>
      <c r="W39" s="295"/>
      <c r="X39" s="295"/>
      <c r="Y39" s="295"/>
      <c r="Z39" s="295"/>
      <c r="AA39" s="95" t="s">
        <v>1010</v>
      </c>
      <c r="AB39" s="96" t="s">
        <v>1011</v>
      </c>
      <c r="AC39" s="96"/>
      <c r="AD39" s="96"/>
      <c r="AE39" s="96"/>
      <c r="AF39" s="97"/>
      <c r="AG39" s="95" t="s">
        <v>720</v>
      </c>
      <c r="AH39" s="96" t="s">
        <v>720</v>
      </c>
      <c r="AI39" s="95"/>
      <c r="AJ39" s="96"/>
      <c r="AK39" s="95"/>
      <c r="AL39" s="96"/>
      <c r="AM39" s="95"/>
      <c r="AN39" s="98"/>
      <c r="AO39" s="96"/>
      <c r="AP39" s="96"/>
      <c r="AQ39" s="95"/>
      <c r="AR39" s="98"/>
      <c r="AS39" s="96"/>
      <c r="AT39" s="96"/>
      <c r="AU39" s="95"/>
      <c r="AV39" s="98"/>
      <c r="AW39" s="96"/>
      <c r="AX39" s="96"/>
      <c r="AY39" s="95"/>
      <c r="AZ39" s="98"/>
      <c r="BA39" s="99"/>
      <c r="BB39" s="95"/>
      <c r="BC39" s="96"/>
      <c r="BD39" s="96"/>
      <c r="BE39" s="98"/>
    </row>
    <row r="40" spans="1:57" ht="12" customHeight="1">
      <c r="A40" s="254">
        <f t="array" ref="A40">_xll.AC(DB,_xll.ArrayDPT($AA40:$AE40),_xll.ArrayCOA($AG40:$AZ40),YR-1,PRD,_xll.ArrayDIM($BB40:$BE40))</f>
        <v>0</v>
      </c>
      <c r="B40" s="237">
        <f t="shared" si="10"/>
        <v>0</v>
      </c>
      <c r="C40" s="237">
        <f t="shared" si="11"/>
        <v>0</v>
      </c>
      <c r="D40" s="237">
        <f t="shared" si="12"/>
        <v>0</v>
      </c>
      <c r="E40" s="254">
        <f t="array" ref="E40">_xll.BC(DB,_xll.ArrayDPT($AA40:$AE40),_xll.ArrayCOA($AG40:$AZ40),YR,PRD,RV,_xll.ArrayDIM($BB40:$BE40))</f>
        <v>0</v>
      </c>
      <c r="F40" s="237">
        <f t="shared" si="13"/>
        <v>0</v>
      </c>
      <c r="G40" s="254">
        <f t="array" ref="G40">_xll.AC(DB,_xll.ArrayDPT($AA40:$AE40),_xll.ArrayCOA($AG40:$AZ40),YR,PRD,_xll.ArrayDIM($BB40:$BE40))</f>
        <v>0</v>
      </c>
      <c r="H40" s="237">
        <f t="shared" si="14"/>
        <v>0</v>
      </c>
      <c r="I40" s="237"/>
      <c r="J40" s="328" t="s">
        <v>1043</v>
      </c>
      <c r="K40" s="237"/>
      <c r="L40" s="254">
        <f t="array" ref="L40">_xll.ACC(DB,_xll.ArrayDPT($AA40:$AE40),_xll.ArrayCOA($AG40:$AZ40),YR,PRD,_xll.ArrayDIM($BB40:$BE40))</f>
        <v>0</v>
      </c>
      <c r="M40" s="237">
        <f t="shared" si="15"/>
        <v>0</v>
      </c>
      <c r="N40" s="254">
        <f t="array" ref="N40">_xll.BCC(DB,_xll.ArrayDPT($AA40:$AE40),_xll.ArrayCOA($AG40:$AZ40),YR,PRD,RV,_xll.ArrayDIM($BB40:$BE40))</f>
        <v>0</v>
      </c>
      <c r="O40" s="237">
        <f t="shared" si="16"/>
        <v>0</v>
      </c>
      <c r="P40" s="237">
        <f t="shared" si="17"/>
        <v>0</v>
      </c>
      <c r="Q40" s="237">
        <f t="shared" si="18"/>
        <v>0</v>
      </c>
      <c r="R40" s="254">
        <f t="array" ref="R40">_xll.ACC(DB,_xll.ArrayDPT($AA40:$AE40),_xll.ArrayCOA($AG40:$AZ40),YR-1,PRD,_xll.ArrayDIM($BB40:$BE40))</f>
        <v>0</v>
      </c>
      <c r="S40" s="237">
        <f t="shared" si="19"/>
        <v>0</v>
      </c>
      <c r="T40" s="295"/>
      <c r="U40" s="295"/>
      <c r="V40" s="295"/>
      <c r="W40" s="295"/>
      <c r="X40" s="295"/>
      <c r="Y40" s="295"/>
      <c r="Z40" s="295"/>
      <c r="AA40" s="95" t="s">
        <v>1010</v>
      </c>
      <c r="AB40" s="96" t="s">
        <v>1011</v>
      </c>
      <c r="AC40" s="96"/>
      <c r="AD40" s="96"/>
      <c r="AE40" s="96"/>
      <c r="AF40" s="97"/>
      <c r="AG40" s="95" t="s">
        <v>814</v>
      </c>
      <c r="AH40" s="96" t="s">
        <v>814</v>
      </c>
      <c r="AI40" s="95"/>
      <c r="AJ40" s="96"/>
      <c r="AK40" s="95"/>
      <c r="AL40" s="96"/>
      <c r="AM40" s="95"/>
      <c r="AN40" s="98"/>
      <c r="AO40" s="96"/>
      <c r="AP40" s="96"/>
      <c r="AQ40" s="95"/>
      <c r="AR40" s="98"/>
      <c r="AS40" s="96"/>
      <c r="AT40" s="96"/>
      <c r="AU40" s="95"/>
      <c r="AV40" s="98"/>
      <c r="AW40" s="96"/>
      <c r="AX40" s="96"/>
      <c r="AY40" s="95"/>
      <c r="AZ40" s="98"/>
      <c r="BA40" s="99"/>
      <c r="BB40" s="95"/>
      <c r="BC40" s="96"/>
      <c r="BD40" s="96"/>
      <c r="BE40" s="98"/>
    </row>
    <row r="41" spans="1:57" ht="12" customHeight="1">
      <c r="A41" s="254">
        <f t="array" ref="A41">_xll.AC(DB,_xll.ArrayDPT($AA41:$AE41),_xll.ArrayCOA($AG41:$AZ41),YR-1,PRD,_xll.ArrayDIM($BB41:$BE41))</f>
        <v>0</v>
      </c>
      <c r="B41" s="237">
        <f t="shared" si="10"/>
        <v>0</v>
      </c>
      <c r="C41" s="237">
        <f t="shared" si="11"/>
        <v>0</v>
      </c>
      <c r="D41" s="237">
        <f t="shared" si="12"/>
        <v>0</v>
      </c>
      <c r="E41" s="254">
        <f t="array" ref="E41">_xll.BC(DB,_xll.ArrayDPT($AA41:$AE41),_xll.ArrayCOA($AG41:$AZ41),YR,PRD,RV,_xll.ArrayDIM($BB41:$BE41))</f>
        <v>0</v>
      </c>
      <c r="F41" s="237">
        <f t="shared" si="13"/>
        <v>0</v>
      </c>
      <c r="G41" s="254">
        <f t="array" ref="G41">_xll.AC(DB,_xll.ArrayDPT($AA41:$AE41),_xll.ArrayCOA($AG41:$AZ41),YR,PRD,_xll.ArrayDIM($BB41:$BE41))</f>
        <v>0</v>
      </c>
      <c r="H41" s="237">
        <f t="shared" si="14"/>
        <v>0</v>
      </c>
      <c r="I41" s="237"/>
      <c r="J41" s="328" t="s">
        <v>721</v>
      </c>
      <c r="K41" s="237"/>
      <c r="L41" s="254">
        <f t="array" ref="L41">_xll.ACC(DB,_xll.ArrayDPT($AA41:$AE41),_xll.ArrayCOA($AG41:$AZ41),YR,PRD,_xll.ArrayDIM($BB41:$BE41))</f>
        <v>0</v>
      </c>
      <c r="M41" s="237">
        <f t="shared" si="15"/>
        <v>0</v>
      </c>
      <c r="N41" s="254">
        <f t="array" ref="N41">_xll.BCC(DB,_xll.ArrayDPT($AA41:$AE41),_xll.ArrayCOA($AG41:$AZ41),YR,PRD,RV,_xll.ArrayDIM($BB41:$BE41))</f>
        <v>0</v>
      </c>
      <c r="O41" s="237">
        <f t="shared" si="16"/>
        <v>0</v>
      </c>
      <c r="P41" s="237">
        <f t="shared" si="17"/>
        <v>0</v>
      </c>
      <c r="Q41" s="237">
        <f t="shared" si="18"/>
        <v>0</v>
      </c>
      <c r="R41" s="254">
        <f t="array" ref="R41">_xll.ACC(DB,_xll.ArrayDPT($AA41:$AE41),_xll.ArrayCOA($AG41:$AZ41),YR-1,PRD,_xll.ArrayDIM($BB41:$BE41))</f>
        <v>0</v>
      </c>
      <c r="S41" s="237">
        <f t="shared" si="19"/>
        <v>0</v>
      </c>
      <c r="T41" s="295"/>
      <c r="U41" s="295"/>
      <c r="V41" s="295"/>
      <c r="W41" s="295"/>
      <c r="X41" s="295"/>
      <c r="Y41" s="295"/>
      <c r="Z41" s="295"/>
      <c r="AA41" s="95" t="s">
        <v>1010</v>
      </c>
      <c r="AB41" s="96" t="s">
        <v>1011</v>
      </c>
      <c r="AC41" s="96"/>
      <c r="AD41" s="96"/>
      <c r="AE41" s="96"/>
      <c r="AF41" s="97"/>
      <c r="AG41" s="95" t="s">
        <v>722</v>
      </c>
      <c r="AH41" s="96" t="s">
        <v>722</v>
      </c>
      <c r="AI41" s="95"/>
      <c r="AJ41" s="96"/>
      <c r="AK41" s="95"/>
      <c r="AL41" s="96"/>
      <c r="AM41" s="95"/>
      <c r="AN41" s="98"/>
      <c r="AO41" s="96"/>
      <c r="AP41" s="96"/>
      <c r="AQ41" s="95"/>
      <c r="AR41" s="98"/>
      <c r="AS41" s="96"/>
      <c r="AT41" s="96"/>
      <c r="AU41" s="95"/>
      <c r="AV41" s="98"/>
      <c r="AW41" s="96"/>
      <c r="AX41" s="96"/>
      <c r="AY41" s="95"/>
      <c r="AZ41" s="98"/>
      <c r="BA41" s="99"/>
      <c r="BB41" s="95"/>
      <c r="BC41" s="96"/>
      <c r="BD41" s="96"/>
      <c r="BE41" s="98"/>
    </row>
    <row r="42" spans="1:57" ht="6" customHeight="1">
      <c r="A42" s="330"/>
      <c r="B42" s="329"/>
      <c r="C42" s="392"/>
      <c r="D42" s="329"/>
      <c r="E42" s="392"/>
      <c r="F42" s="329"/>
      <c r="G42" s="392"/>
      <c r="H42" s="329"/>
      <c r="I42" s="398"/>
      <c r="J42" s="392"/>
      <c r="K42" s="399"/>
      <c r="L42" s="393"/>
      <c r="M42" s="333"/>
      <c r="N42" s="333"/>
      <c r="O42" s="393"/>
      <c r="P42" s="333"/>
      <c r="Q42" s="393"/>
      <c r="R42" s="333"/>
      <c r="S42" s="403"/>
      <c r="T42" s="328"/>
      <c r="U42" s="328"/>
      <c r="V42" s="328"/>
      <c r="W42" s="328"/>
      <c r="X42" s="328"/>
      <c r="Y42" s="328"/>
      <c r="Z42" s="328"/>
      <c r="AA42" s="95"/>
      <c r="AB42" s="96"/>
      <c r="AC42" s="96"/>
      <c r="AD42" s="96"/>
      <c r="AE42" s="96"/>
      <c r="AF42" s="97"/>
      <c r="AG42" s="95"/>
      <c r="AH42" s="96"/>
      <c r="AI42" s="95"/>
      <c r="AJ42" s="96"/>
      <c r="AK42" s="95"/>
      <c r="AL42" s="96"/>
      <c r="AM42" s="95"/>
      <c r="AN42" s="98"/>
      <c r="AO42" s="96"/>
      <c r="AP42" s="96"/>
      <c r="AQ42" s="95"/>
      <c r="AR42" s="98"/>
      <c r="AS42" s="96"/>
      <c r="AT42" s="96"/>
      <c r="AU42" s="95"/>
      <c r="AV42" s="98"/>
      <c r="AW42" s="96"/>
      <c r="AX42" s="96"/>
      <c r="AY42" s="95"/>
      <c r="AZ42" s="98"/>
      <c r="BA42" s="99"/>
      <c r="BB42" s="95"/>
      <c r="BC42" s="96"/>
      <c r="BD42" s="96"/>
      <c r="BE42" s="98"/>
    </row>
    <row r="43" spans="1:57" ht="12" customHeight="1">
      <c r="A43" s="394">
        <f>SUM(A18:A41)</f>
        <v>63622.43</v>
      </c>
      <c r="B43" s="338">
        <f>IF(A43=0,0,(A43*100)/A$45)</f>
        <v>35.618387903467671</v>
      </c>
      <c r="C43" s="395">
        <f>SUM(C18:C41)</f>
        <v>0</v>
      </c>
      <c r="D43" s="338">
        <f>IF(C43=0,0,(C43*100)/C$45)</f>
        <v>0</v>
      </c>
      <c r="E43" s="395">
        <f>SUM(E18:E41)</f>
        <v>0</v>
      </c>
      <c r="F43" s="338">
        <f>IF(E43=0,0,(E43*100)/E$45)</f>
        <v>0</v>
      </c>
      <c r="G43" s="395">
        <f>SUM(G18:G41)</f>
        <v>0</v>
      </c>
      <c r="H43" s="338">
        <f>IF(G43=0,0,(G43*100)/G$45)</f>
        <v>0</v>
      </c>
      <c r="I43" s="394"/>
      <c r="J43" s="336" t="s">
        <v>727</v>
      </c>
      <c r="K43" s="400"/>
      <c r="L43" s="395">
        <f>SUM(L18:L41)</f>
        <v>0</v>
      </c>
      <c r="M43" s="338">
        <f>IF(L43=0,0,(L43*100)/L$45)</f>
        <v>0</v>
      </c>
      <c r="N43" s="338">
        <f>SUM(N18:N41)</f>
        <v>0</v>
      </c>
      <c r="O43" s="395">
        <f>IF(N43=0,0,(N43*100)/N$45)</f>
        <v>0</v>
      </c>
      <c r="P43" s="338">
        <f>SUM(P18:P41)</f>
        <v>0</v>
      </c>
      <c r="Q43" s="395">
        <f>IF(P43=0,0,(P43*100)/P$45)</f>
        <v>0</v>
      </c>
      <c r="R43" s="338">
        <f>SUM(R18:R41)</f>
        <v>63622.43</v>
      </c>
      <c r="S43" s="400">
        <f>IF(R43=0,0,(R43*100)/R$45)</f>
        <v>35.618387903467671</v>
      </c>
      <c r="T43" s="397"/>
      <c r="U43" s="397"/>
      <c r="V43" s="397"/>
      <c r="W43" s="397"/>
      <c r="X43" s="397"/>
      <c r="Y43" s="397"/>
      <c r="Z43" s="397"/>
      <c r="AA43" s="95"/>
      <c r="AB43" s="96"/>
      <c r="AC43" s="96"/>
      <c r="AD43" s="96"/>
      <c r="AE43" s="96"/>
      <c r="AF43" s="97"/>
      <c r="AG43" s="95"/>
      <c r="AH43" s="96"/>
      <c r="AI43" s="95"/>
      <c r="AJ43" s="96"/>
      <c r="AK43" s="95"/>
      <c r="AL43" s="96"/>
      <c r="AM43" s="95"/>
      <c r="AN43" s="98"/>
      <c r="AO43" s="96"/>
      <c r="AP43" s="96"/>
      <c r="AQ43" s="95"/>
      <c r="AR43" s="98"/>
      <c r="AS43" s="96"/>
      <c r="AT43" s="96"/>
      <c r="AU43" s="95"/>
      <c r="AV43" s="98"/>
      <c r="AW43" s="96"/>
      <c r="AX43" s="96"/>
      <c r="AY43" s="95"/>
      <c r="AZ43" s="98"/>
      <c r="BA43" s="99"/>
      <c r="BB43" s="95"/>
      <c r="BC43" s="96"/>
      <c r="BD43" s="96"/>
      <c r="BE43" s="98"/>
    </row>
    <row r="44" spans="1:57" ht="6" customHeight="1">
      <c r="A44" s="409"/>
      <c r="B44" s="410"/>
      <c r="C44" s="254"/>
      <c r="D44" s="410"/>
      <c r="E44" s="254"/>
      <c r="F44" s="410"/>
      <c r="G44" s="254"/>
      <c r="H44" s="410"/>
      <c r="I44" s="425"/>
      <c r="J44" s="254"/>
      <c r="K44" s="426"/>
      <c r="L44" s="237"/>
      <c r="M44" s="411"/>
      <c r="N44" s="411"/>
      <c r="O44" s="237"/>
      <c r="P44" s="411"/>
      <c r="Q44" s="237"/>
      <c r="R44" s="411"/>
      <c r="S44" s="412"/>
      <c r="T44" s="328"/>
      <c r="U44" s="328"/>
      <c r="V44" s="328"/>
      <c r="W44" s="328"/>
      <c r="X44" s="328"/>
      <c r="Y44" s="328"/>
      <c r="Z44" s="328"/>
      <c r="AA44" s="95"/>
      <c r="AB44" s="96"/>
      <c r="AC44" s="96"/>
      <c r="AD44" s="96"/>
      <c r="AE44" s="96"/>
      <c r="AF44" s="97"/>
      <c r="AG44" s="95"/>
      <c r="AH44" s="96"/>
      <c r="AI44" s="95"/>
      <c r="AJ44" s="96"/>
      <c r="AK44" s="95"/>
      <c r="AL44" s="96"/>
      <c r="AM44" s="95"/>
      <c r="AN44" s="98"/>
      <c r="AO44" s="96"/>
      <c r="AP44" s="96"/>
      <c r="AQ44" s="95"/>
      <c r="AR44" s="98"/>
      <c r="AS44" s="96"/>
      <c r="AT44" s="96"/>
      <c r="AU44" s="95"/>
      <c r="AV44" s="98"/>
      <c r="AW44" s="96"/>
      <c r="AX44" s="96"/>
      <c r="AY44" s="95"/>
      <c r="AZ44" s="98"/>
      <c r="BA44" s="99"/>
      <c r="BB44" s="95"/>
      <c r="BC44" s="96"/>
      <c r="BD44" s="96"/>
      <c r="BE44" s="98"/>
    </row>
    <row r="45" spans="1:57" ht="12" customHeight="1">
      <c r="A45" s="394">
        <f>+A16+A43</f>
        <v>178622.43</v>
      </c>
      <c r="B45" s="338">
        <f>IF(A45=0,0,(A45*100)/A$45)</f>
        <v>100</v>
      </c>
      <c r="C45" s="395">
        <f>+C16+C43</f>
        <v>-99750</v>
      </c>
      <c r="D45" s="338">
        <f>IF(C45=0,0,(C45*100)/C$45)</f>
        <v>100</v>
      </c>
      <c r="E45" s="395">
        <f>+E16+E43</f>
        <v>0</v>
      </c>
      <c r="F45" s="338">
        <f>IF(E45=0,0,(E45*100)/E$45)</f>
        <v>0</v>
      </c>
      <c r="G45" s="395">
        <f>+G16+G43</f>
        <v>99750</v>
      </c>
      <c r="H45" s="338">
        <f>IF(G45=0,0,(G45*100)/G$45)</f>
        <v>100</v>
      </c>
      <c r="I45" s="394"/>
      <c r="J45" s="336" t="s">
        <v>1044</v>
      </c>
      <c r="K45" s="400"/>
      <c r="L45" s="395">
        <f>+L16+L43</f>
        <v>99750</v>
      </c>
      <c r="M45" s="338">
        <f>IF(L45=0,0,(L45*100)/L$45)</f>
        <v>100</v>
      </c>
      <c r="N45" s="338">
        <f>+N16+N43</f>
        <v>0</v>
      </c>
      <c r="O45" s="395">
        <f>IF(N45=0,0,(N45*100)/N$45)</f>
        <v>0</v>
      </c>
      <c r="P45" s="338">
        <f>+P16+P43</f>
        <v>-99750</v>
      </c>
      <c r="Q45" s="395">
        <f>IF(P45=0,0,(P45*100)/P$45)</f>
        <v>100</v>
      </c>
      <c r="R45" s="338">
        <f>+R16+R43</f>
        <v>178622.43</v>
      </c>
      <c r="S45" s="400">
        <f>IF(R45=0,0,(R45*100)/R$45)</f>
        <v>100</v>
      </c>
      <c r="T45" s="397"/>
      <c r="U45" s="397"/>
      <c r="V45" s="397"/>
      <c r="W45" s="397"/>
      <c r="X45" s="397"/>
      <c r="Y45" s="397"/>
      <c r="Z45" s="397"/>
      <c r="AA45" s="95"/>
      <c r="AB45" s="96"/>
      <c r="AC45" s="96"/>
      <c r="AD45" s="96"/>
      <c r="AE45" s="96"/>
      <c r="AF45" s="97"/>
      <c r="AG45" s="95"/>
      <c r="AH45" s="96"/>
      <c r="AI45" s="95"/>
      <c r="AJ45" s="96"/>
      <c r="AK45" s="95"/>
      <c r="AL45" s="96"/>
      <c r="AM45" s="95"/>
      <c r="AN45" s="98"/>
      <c r="AO45" s="96"/>
      <c r="AP45" s="96"/>
      <c r="AQ45" s="95"/>
      <c r="AR45" s="98"/>
      <c r="AS45" s="96"/>
      <c r="AT45" s="96"/>
      <c r="AU45" s="95"/>
      <c r="AV45" s="98"/>
      <c r="AW45" s="96"/>
      <c r="AX45" s="96"/>
      <c r="AY45" s="95"/>
      <c r="AZ45" s="98"/>
      <c r="BA45" s="99"/>
      <c r="BB45" s="95"/>
      <c r="BC45" s="96"/>
      <c r="BD45" s="96"/>
      <c r="BE45" s="98"/>
    </row>
    <row r="46" spans="1:57" ht="10.5" customHeight="1">
      <c r="A46" s="413"/>
      <c r="B46" s="414"/>
      <c r="C46" s="413"/>
      <c r="D46" s="414"/>
      <c r="E46" s="413"/>
      <c r="F46" s="414"/>
      <c r="G46" s="413"/>
      <c r="H46" s="414"/>
      <c r="I46" s="414"/>
      <c r="J46" s="339"/>
      <c r="K46" s="414"/>
      <c r="L46" s="413"/>
      <c r="M46" s="414"/>
      <c r="N46" s="413"/>
      <c r="O46" s="414"/>
      <c r="P46" s="413"/>
      <c r="Q46" s="414"/>
      <c r="R46" s="413"/>
      <c r="S46" s="414"/>
      <c r="T46" s="391"/>
      <c r="U46" s="391"/>
      <c r="V46" s="391"/>
      <c r="W46" s="391"/>
      <c r="X46" s="391"/>
      <c r="Y46" s="391"/>
      <c r="Z46" s="391"/>
      <c r="AA46" s="391"/>
      <c r="AB46" s="391"/>
      <c r="AC46" s="391"/>
      <c r="AD46" s="391"/>
      <c r="AE46" s="391"/>
      <c r="AF46" s="391"/>
      <c r="AG46" s="391"/>
      <c r="AH46" s="391"/>
    </row>
    <row r="47" spans="1:57" ht="12" customHeight="1">
      <c r="A47" s="413"/>
      <c r="B47" s="414"/>
      <c r="C47" s="413"/>
      <c r="D47" s="414"/>
      <c r="E47" s="413"/>
      <c r="F47" s="414"/>
      <c r="G47" s="413"/>
      <c r="H47" s="414"/>
      <c r="I47" s="414"/>
      <c r="J47" s="415" t="s">
        <v>730</v>
      </c>
      <c r="K47" s="414"/>
      <c r="L47" s="413"/>
      <c r="M47" s="414"/>
      <c r="N47" s="413"/>
      <c r="O47" s="414"/>
      <c r="P47" s="413"/>
      <c r="Q47" s="414"/>
      <c r="R47" s="413"/>
      <c r="S47" s="414"/>
      <c r="T47" s="226"/>
      <c r="U47" s="226"/>
      <c r="V47" s="226"/>
      <c r="W47" s="226"/>
      <c r="X47" s="226"/>
      <c r="Y47" s="226"/>
      <c r="Z47" s="226"/>
      <c r="AA47" s="226"/>
      <c r="AB47" s="226"/>
      <c r="AC47" s="226"/>
      <c r="AD47" s="226"/>
      <c r="AE47" s="226"/>
      <c r="AF47" s="226"/>
      <c r="AG47" s="226"/>
      <c r="AH47" s="226"/>
    </row>
    <row r="48" spans="1:57" ht="12" customHeight="1">
      <c r="A48" s="254">
        <f t="array" ref="A48">_xll.AC(DB,_xll.ArrayDPT($AA48:$AE48),_xll.ArrayCOA($AG48:$AZ48),YR-1,PRD,_xll.ArrayDIM($BB48:$BE48))</f>
        <v>0</v>
      </c>
      <c r="B48" s="237"/>
      <c r="C48" s="237">
        <f t="shared" ref="C48:C49" si="20">+E48-G48</f>
        <v>0</v>
      </c>
      <c r="D48" s="237"/>
      <c r="E48" s="254">
        <f t="array" ref="E48">_xll.BC(DB,_xll.ArrayDPT($AA48:$AE48),_xll.ArrayCOA($AG48:$AZ48),YR,PRD,RV,_xll.ArrayDIM($BB48:$BE48))</f>
        <v>0</v>
      </c>
      <c r="F48" s="237"/>
      <c r="G48" s="254">
        <f t="array" ref="G48">_xll.AC(DB,_xll.ArrayDPT($AA48:$AE48),_xll.ArrayCOA($AG48:$AZ48),YR,PRD,_xll.ArrayDIM($BB48:$BE48))</f>
        <v>0</v>
      </c>
      <c r="H48" s="237"/>
      <c r="I48" s="239"/>
      <c r="J48" s="364" t="s">
        <v>1045</v>
      </c>
      <c r="K48" s="239"/>
      <c r="L48" s="254">
        <f t="array" ref="L48">_xll.ACC(DB,_xll.ArrayDPT($AA48:$AE48),_xll.ArrayCOA($AG48:$AZ48),YR,PRD,_xll.ArrayDIM($BB48:$BE48))</f>
        <v>0</v>
      </c>
      <c r="M48" s="237"/>
      <c r="N48" s="254">
        <f t="array" ref="N48">_xll.BCC(DB,_xll.ArrayDPT($AA48:$AE48),_xll.ArrayCOA($AG48:$AZ48),YR,PRD,RV,_xll.ArrayDIM($BB48:$BE48))</f>
        <v>0</v>
      </c>
      <c r="O48" s="237"/>
      <c r="P48" s="237">
        <f t="shared" ref="P48:P49" si="21">+N48-L48</f>
        <v>0</v>
      </c>
      <c r="Q48" s="237"/>
      <c r="R48" s="254">
        <f t="array" ref="R48">_xll.ACC(DB,_xll.ArrayDPT($AA48:$AE48),_xll.ArrayCOA($AG48:$AZ48),YR-1,PRD,_xll.ArrayDIM($BB48:$BE48))</f>
        <v>0</v>
      </c>
      <c r="S48" s="237"/>
      <c r="T48" s="226"/>
      <c r="U48" s="226"/>
      <c r="V48" s="226"/>
      <c r="W48" s="226"/>
      <c r="X48" s="226"/>
      <c r="Y48" s="226"/>
      <c r="Z48" s="226"/>
      <c r="AA48" s="226"/>
      <c r="AB48" s="226"/>
      <c r="AC48" s="226"/>
      <c r="AD48" s="226"/>
      <c r="AE48" s="226"/>
      <c r="AF48" s="226"/>
      <c r="AG48" s="226"/>
      <c r="AH48" s="226"/>
    </row>
    <row r="49" spans="1:34" ht="12" customHeight="1">
      <c r="A49" s="254">
        <f t="array" ref="A49">_xll.AC(DB,_xll.ArrayDPT($AA49:$AE49),_xll.ArrayCOA($AG49:$AZ49),YR-1,PRD,_xll.ArrayDIM($BB49:$BE49))</f>
        <v>0</v>
      </c>
      <c r="B49" s="237"/>
      <c r="C49" s="237">
        <f t="shared" si="20"/>
        <v>0</v>
      </c>
      <c r="D49" s="237"/>
      <c r="E49" s="254">
        <f t="array" ref="E49">_xll.BC(DB,_xll.ArrayDPT($AA49:$AE49),_xll.ArrayCOA($AG49:$AZ49),YR,PRD,RV,_xll.ArrayDIM($BB49:$BE49))</f>
        <v>0</v>
      </c>
      <c r="F49" s="237"/>
      <c r="G49" s="254">
        <f t="array" ref="G49">_xll.AC(DB,_xll.ArrayDPT($AA49:$AE49),_xll.ArrayCOA($AG49:$AZ49),YR,PRD,_xll.ArrayDIM($BB49:$BE49))</f>
        <v>0</v>
      </c>
      <c r="H49" s="237"/>
      <c r="I49" s="244"/>
      <c r="J49" s="365" t="s">
        <v>1046</v>
      </c>
      <c r="K49" s="244"/>
      <c r="L49" s="254">
        <f t="array" ref="L49">_xll.ACC(DB,_xll.ArrayDPT($AA49:$AE49),_xll.ArrayCOA($AG49:$AZ49),YR,PRD,_xll.ArrayDIM($BB49:$BE49))</f>
        <v>0</v>
      </c>
      <c r="M49" s="237"/>
      <c r="N49" s="254">
        <f t="array" ref="N49">_xll.BCC(DB,_xll.ArrayDPT($AA49:$AE49),_xll.ArrayCOA($AG49:$AZ49),YR,PRD,RV,_xll.ArrayDIM($BB49:$BE49))</f>
        <v>0</v>
      </c>
      <c r="O49" s="237"/>
      <c r="P49" s="237">
        <f t="shared" si="21"/>
        <v>0</v>
      </c>
      <c r="Q49" s="237"/>
      <c r="R49" s="254">
        <f t="array" ref="R49">_xll.ACC(DB,_xll.ArrayDPT($AA49:$AE49),_xll.ArrayCOA($AG49:$AZ49),YR-1,PRD,_xll.ArrayDIM($BB49:$BE49))</f>
        <v>0</v>
      </c>
      <c r="S49" s="237"/>
      <c r="T49" s="226"/>
      <c r="U49" s="226"/>
      <c r="V49" s="226"/>
      <c r="W49" s="226"/>
      <c r="X49" s="226"/>
      <c r="Y49" s="226"/>
      <c r="Z49" s="226"/>
      <c r="AA49" s="226"/>
      <c r="AB49" s="226"/>
      <c r="AC49" s="226"/>
      <c r="AD49" s="226"/>
      <c r="AE49" s="226"/>
      <c r="AF49" s="226"/>
      <c r="AG49" s="226"/>
      <c r="AH49" s="226"/>
    </row>
    <row r="50" spans="1:34" ht="12" customHeight="1">
      <c r="A50" s="239"/>
      <c r="B50" s="239"/>
      <c r="C50" s="239"/>
      <c r="D50" s="239"/>
      <c r="E50" s="239"/>
      <c r="F50" s="239"/>
      <c r="G50" s="237"/>
      <c r="H50" s="239"/>
      <c r="I50" s="239"/>
      <c r="J50" s="364"/>
      <c r="K50" s="239"/>
      <c r="L50" s="239"/>
      <c r="M50" s="239"/>
      <c r="N50" s="239"/>
      <c r="O50" s="239"/>
      <c r="P50" s="239"/>
      <c r="Q50" s="239"/>
      <c r="R50" s="237"/>
      <c r="S50" s="239"/>
      <c r="T50" s="226"/>
      <c r="U50" s="226"/>
      <c r="V50" s="226"/>
      <c r="W50" s="226"/>
      <c r="X50" s="226"/>
      <c r="Y50" s="226"/>
      <c r="Z50" s="226"/>
      <c r="AA50" s="226"/>
      <c r="AB50" s="226"/>
      <c r="AC50" s="226"/>
      <c r="AD50" s="226"/>
      <c r="AE50" s="226"/>
      <c r="AF50" s="226"/>
      <c r="AG50" s="226"/>
      <c r="AH50" s="226"/>
    </row>
    <row r="51" spans="1:34" ht="12" customHeight="1">
      <c r="A51" s="239"/>
      <c r="B51" s="239"/>
      <c r="C51" s="239"/>
      <c r="D51" s="239"/>
      <c r="E51" s="239"/>
      <c r="F51" s="239"/>
      <c r="G51" s="237"/>
      <c r="H51" s="239"/>
      <c r="I51" s="239"/>
      <c r="J51" s="364"/>
      <c r="K51" s="239"/>
      <c r="L51" s="239"/>
      <c r="M51" s="239"/>
      <c r="N51" s="239"/>
      <c r="O51" s="239"/>
      <c r="P51" s="239"/>
      <c r="Q51" s="239"/>
      <c r="R51" s="237"/>
      <c r="S51" s="239"/>
      <c r="T51" s="226"/>
      <c r="U51" s="226"/>
      <c r="V51" s="226"/>
      <c r="W51" s="226"/>
      <c r="X51" s="226"/>
      <c r="Y51" s="226"/>
      <c r="Z51" s="226"/>
      <c r="AA51" s="226"/>
      <c r="AB51" s="226"/>
      <c r="AC51" s="226"/>
      <c r="AD51" s="226"/>
      <c r="AE51" s="226"/>
      <c r="AF51" s="226"/>
      <c r="AG51" s="226"/>
      <c r="AH51" s="226"/>
    </row>
    <row r="52" spans="1:34" ht="12" customHeight="1">
      <c r="A52" s="244"/>
      <c r="B52" s="244"/>
      <c r="C52" s="244"/>
      <c r="D52" s="244"/>
      <c r="E52" s="244"/>
      <c r="F52" s="244"/>
      <c r="G52" s="237"/>
      <c r="H52" s="244"/>
      <c r="I52" s="244"/>
      <c r="J52" s="365"/>
      <c r="K52" s="244"/>
      <c r="L52" s="244"/>
      <c r="M52" s="244"/>
      <c r="N52" s="244"/>
      <c r="O52" s="244"/>
      <c r="P52" s="244"/>
      <c r="Q52" s="244"/>
      <c r="R52" s="237"/>
      <c r="S52" s="244"/>
      <c r="T52" s="301"/>
      <c r="U52" s="226"/>
      <c r="V52" s="226"/>
      <c r="W52" s="226"/>
      <c r="X52" s="226"/>
      <c r="Y52" s="226"/>
      <c r="Z52" s="226"/>
      <c r="AA52" s="226"/>
      <c r="AB52" s="226"/>
      <c r="AC52" s="226"/>
      <c r="AD52" s="226"/>
      <c r="AE52" s="226"/>
      <c r="AF52" s="226"/>
      <c r="AG52" s="226"/>
      <c r="AH52" s="226"/>
    </row>
    <row r="53" spans="1:34" ht="12" customHeight="1">
      <c r="A53" s="244"/>
      <c r="B53" s="244"/>
      <c r="C53" s="244"/>
      <c r="D53" s="244"/>
      <c r="E53" s="244"/>
      <c r="F53" s="244"/>
      <c r="G53" s="237"/>
      <c r="H53" s="244"/>
      <c r="I53" s="244"/>
      <c r="J53" s="365"/>
      <c r="K53" s="244"/>
      <c r="L53" s="244"/>
      <c r="M53" s="244"/>
      <c r="N53" s="244"/>
      <c r="O53" s="244"/>
      <c r="P53" s="244"/>
      <c r="Q53" s="244"/>
      <c r="R53" s="237"/>
      <c r="S53" s="244"/>
      <c r="T53" s="301"/>
      <c r="U53" s="226"/>
      <c r="V53" s="226"/>
      <c r="W53" s="226"/>
      <c r="X53" s="226"/>
      <c r="Y53" s="226"/>
      <c r="Z53" s="226"/>
      <c r="AA53" s="226"/>
      <c r="AB53" s="226"/>
      <c r="AC53" s="226"/>
      <c r="AD53" s="226"/>
      <c r="AE53" s="226"/>
      <c r="AF53" s="226"/>
      <c r="AG53" s="226"/>
      <c r="AH53" s="226"/>
    </row>
    <row r="54" spans="1:34" ht="12" customHeight="1">
      <c r="A54" s="239"/>
      <c r="B54" s="239"/>
      <c r="C54" s="239"/>
      <c r="D54" s="239"/>
      <c r="E54" s="239"/>
      <c r="F54" s="239"/>
      <c r="G54" s="237"/>
      <c r="H54" s="239"/>
      <c r="I54" s="239"/>
      <c r="J54" s="364"/>
      <c r="K54" s="239"/>
      <c r="L54" s="239"/>
      <c r="M54" s="239"/>
      <c r="N54" s="239"/>
      <c r="O54" s="239"/>
      <c r="P54" s="239"/>
      <c r="Q54" s="239"/>
      <c r="R54" s="237"/>
      <c r="S54" s="239"/>
      <c r="T54" s="226"/>
      <c r="U54" s="226"/>
      <c r="V54" s="226"/>
      <c r="W54" s="226"/>
      <c r="X54" s="226"/>
      <c r="Y54" s="226"/>
      <c r="Z54" s="226"/>
      <c r="AA54" s="226"/>
      <c r="AB54" s="226"/>
      <c r="AC54" s="226"/>
      <c r="AD54" s="226"/>
      <c r="AE54" s="226"/>
      <c r="AF54" s="226"/>
      <c r="AG54" s="226"/>
      <c r="AH54" s="226"/>
    </row>
    <row r="55" spans="1:34" ht="12" customHeight="1">
      <c r="A55" s="239"/>
      <c r="B55" s="239"/>
      <c r="C55" s="239"/>
      <c r="D55" s="239"/>
      <c r="E55" s="239"/>
      <c r="F55" s="239"/>
      <c r="G55" s="237"/>
      <c r="H55" s="239"/>
      <c r="I55" s="239"/>
      <c r="J55" s="364"/>
      <c r="K55" s="239"/>
      <c r="L55" s="239"/>
      <c r="M55" s="239"/>
      <c r="N55" s="239"/>
      <c r="O55" s="239"/>
      <c r="P55" s="239"/>
      <c r="Q55" s="239"/>
      <c r="R55" s="237"/>
      <c r="S55" s="239"/>
      <c r="T55" s="226"/>
      <c r="U55" s="226"/>
      <c r="V55" s="226"/>
      <c r="W55" s="226"/>
      <c r="X55" s="226"/>
      <c r="Y55" s="226"/>
      <c r="Z55" s="226"/>
      <c r="AA55" s="226"/>
      <c r="AB55" s="226"/>
      <c r="AC55" s="226"/>
      <c r="AD55" s="226"/>
      <c r="AE55" s="226"/>
      <c r="AF55" s="226"/>
      <c r="AG55" s="226"/>
      <c r="AH55" s="226"/>
    </row>
    <row r="56" spans="1:34" ht="12" customHeight="1">
      <c r="A56" s="239"/>
      <c r="B56" s="239"/>
      <c r="C56" s="239"/>
      <c r="D56" s="239"/>
      <c r="E56" s="239"/>
      <c r="F56" s="239"/>
      <c r="G56" s="237"/>
      <c r="H56" s="239"/>
      <c r="I56" s="239"/>
      <c r="J56" s="364"/>
      <c r="K56" s="239"/>
      <c r="L56" s="239"/>
      <c r="M56" s="239"/>
      <c r="N56" s="239"/>
      <c r="O56" s="239"/>
      <c r="P56" s="239"/>
      <c r="Q56" s="239"/>
      <c r="R56" s="237"/>
      <c r="S56" s="239"/>
      <c r="T56" s="226"/>
      <c r="U56" s="226"/>
      <c r="V56" s="226"/>
      <c r="W56" s="226"/>
      <c r="X56" s="226"/>
      <c r="Y56" s="226"/>
      <c r="Z56" s="226"/>
      <c r="AA56" s="226"/>
      <c r="AB56" s="226"/>
      <c r="AC56" s="226"/>
      <c r="AD56" s="226"/>
      <c r="AE56" s="226"/>
      <c r="AF56" s="226"/>
      <c r="AG56" s="226"/>
      <c r="AH56" s="226"/>
    </row>
    <row r="57" spans="1:34" ht="12" customHeight="1">
      <c r="A57" s="239"/>
      <c r="B57" s="239"/>
      <c r="C57" s="239"/>
      <c r="D57" s="239"/>
      <c r="E57" s="239"/>
      <c r="F57" s="239"/>
      <c r="G57" s="237"/>
      <c r="H57" s="239"/>
      <c r="I57" s="239"/>
      <c r="J57" s="364"/>
      <c r="K57" s="239"/>
      <c r="L57" s="239"/>
      <c r="M57" s="239"/>
      <c r="N57" s="239"/>
      <c r="O57" s="239"/>
      <c r="P57" s="239"/>
      <c r="Q57" s="239"/>
      <c r="R57" s="237"/>
      <c r="S57" s="239"/>
      <c r="T57" s="226"/>
      <c r="U57" s="226"/>
      <c r="V57" s="226"/>
      <c r="W57" s="226"/>
      <c r="X57" s="226"/>
      <c r="Y57" s="226"/>
      <c r="Z57" s="226"/>
      <c r="AA57" s="226"/>
      <c r="AB57" s="226"/>
      <c r="AC57" s="226"/>
      <c r="AD57" s="226"/>
      <c r="AE57" s="226"/>
      <c r="AF57" s="226"/>
      <c r="AG57" s="226"/>
      <c r="AH57" s="226"/>
    </row>
    <row r="58" spans="1:34" ht="12" customHeight="1">
      <c r="A58" s="244"/>
      <c r="B58" s="244"/>
      <c r="C58" s="244"/>
      <c r="D58" s="244"/>
      <c r="E58" s="244"/>
      <c r="F58" s="244"/>
      <c r="G58" s="237"/>
      <c r="H58" s="244"/>
      <c r="I58" s="244"/>
      <c r="J58" s="365"/>
      <c r="K58" s="244"/>
      <c r="L58" s="244"/>
      <c r="M58" s="244"/>
      <c r="N58" s="244"/>
      <c r="O58" s="244"/>
      <c r="P58" s="244"/>
      <c r="Q58" s="244"/>
      <c r="R58" s="237"/>
      <c r="S58" s="244"/>
      <c r="T58" s="226"/>
      <c r="U58" s="226"/>
      <c r="V58" s="226"/>
      <c r="W58" s="226"/>
      <c r="X58" s="226"/>
      <c r="Y58" s="226"/>
      <c r="Z58" s="226"/>
      <c r="AA58" s="226"/>
      <c r="AB58" s="226"/>
      <c r="AC58" s="226"/>
      <c r="AD58" s="226"/>
      <c r="AE58" s="226"/>
      <c r="AF58" s="226"/>
      <c r="AG58" s="226"/>
      <c r="AH58" s="226"/>
    </row>
    <row r="59" spans="1:34" ht="12" customHeight="1">
      <c r="A59" s="239"/>
      <c r="B59" s="239"/>
      <c r="C59" s="239"/>
      <c r="D59" s="239"/>
      <c r="E59" s="239"/>
      <c r="F59" s="239"/>
      <c r="G59" s="237"/>
      <c r="H59" s="239"/>
      <c r="I59" s="239"/>
      <c r="J59" s="364"/>
      <c r="K59" s="239"/>
      <c r="L59" s="239"/>
      <c r="M59" s="239"/>
      <c r="N59" s="239"/>
      <c r="O59" s="239"/>
      <c r="P59" s="239"/>
      <c r="Q59" s="239"/>
      <c r="R59" s="237"/>
      <c r="S59" s="239"/>
      <c r="T59" s="226"/>
      <c r="U59" s="226"/>
      <c r="V59" s="226"/>
      <c r="W59" s="226"/>
      <c r="X59" s="226"/>
      <c r="Y59" s="226"/>
      <c r="Z59" s="226"/>
      <c r="AA59" s="226"/>
      <c r="AB59" s="226"/>
      <c r="AC59" s="226"/>
      <c r="AD59" s="226"/>
      <c r="AE59" s="226"/>
      <c r="AF59" s="226"/>
      <c r="AG59" s="226"/>
      <c r="AH59" s="226"/>
    </row>
    <row r="60" spans="1:34" ht="11.25" customHeight="1">
      <c r="A60" s="244"/>
      <c r="B60" s="244"/>
      <c r="C60" s="244"/>
      <c r="D60" s="244"/>
      <c r="E60" s="244"/>
      <c r="F60" s="244"/>
      <c r="G60" s="237"/>
      <c r="H60" s="244"/>
      <c r="I60" s="244"/>
      <c r="J60" s="365"/>
      <c r="K60" s="244"/>
      <c r="L60" s="244"/>
      <c r="M60" s="244"/>
      <c r="N60" s="244"/>
      <c r="O60" s="244"/>
      <c r="P60" s="244"/>
      <c r="Q60" s="244"/>
      <c r="R60" s="237"/>
      <c r="S60" s="300"/>
      <c r="T60" s="226"/>
      <c r="U60" s="226"/>
      <c r="V60" s="226"/>
      <c r="W60" s="226"/>
      <c r="X60" s="226"/>
      <c r="Y60" s="226"/>
      <c r="Z60" s="226"/>
      <c r="AA60" s="226"/>
      <c r="AB60" s="226"/>
      <c r="AC60" s="226"/>
      <c r="AD60" s="226"/>
      <c r="AE60" s="226"/>
      <c r="AF60" s="226"/>
      <c r="AG60" s="226"/>
      <c r="AH60" s="226"/>
    </row>
    <row r="61" spans="1:34" ht="12" customHeight="1">
      <c r="A61" s="239"/>
      <c r="B61" s="239"/>
      <c r="C61" s="239"/>
      <c r="D61" s="239"/>
      <c r="E61" s="239"/>
      <c r="F61" s="239"/>
      <c r="G61" s="237"/>
      <c r="H61" s="239"/>
      <c r="I61" s="239"/>
      <c r="J61" s="364"/>
      <c r="K61" s="239"/>
      <c r="L61" s="239"/>
      <c r="M61" s="239"/>
      <c r="N61" s="239"/>
      <c r="O61" s="239"/>
      <c r="P61" s="239"/>
      <c r="Q61" s="239"/>
      <c r="R61" s="237"/>
      <c r="S61" s="239"/>
      <c r="T61" s="226"/>
      <c r="U61" s="226"/>
      <c r="V61" s="226"/>
      <c r="W61" s="226"/>
      <c r="X61" s="226"/>
      <c r="Y61" s="226"/>
      <c r="Z61" s="226"/>
      <c r="AA61" s="226"/>
      <c r="AB61" s="226"/>
      <c r="AC61" s="226"/>
      <c r="AD61" s="226"/>
      <c r="AE61" s="226"/>
      <c r="AF61" s="226"/>
      <c r="AG61" s="226"/>
      <c r="AH61" s="226"/>
    </row>
    <row r="62" spans="1:34" ht="12" customHeight="1">
      <c r="A62" s="125"/>
      <c r="B62" s="125"/>
      <c r="C62" s="125"/>
      <c r="D62" s="125"/>
      <c r="E62" s="125"/>
      <c r="F62" s="443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443"/>
      <c r="T62" s="60"/>
      <c r="U62" s="60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</row>
    <row r="63" spans="1:34" ht="12" customHeight="1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60"/>
      <c r="U63" s="60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</row>
    <row r="64" spans="1:34" ht="12" customHeight="1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60"/>
      <c r="U64" s="60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</row>
    <row r="65" spans="1:34" ht="12" customHeight="1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60"/>
      <c r="U65" s="60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</row>
    <row r="66" spans="1:34" ht="12" customHeight="1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60"/>
      <c r="U66" s="60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</row>
    <row r="67" spans="1:34" ht="12" customHeight="1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60"/>
      <c r="U67" s="60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</row>
    <row r="68" spans="1:34" ht="12" customHeight="1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60"/>
      <c r="U68" s="60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</row>
    <row r="69" spans="1:34" ht="12" customHeight="1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60"/>
      <c r="U69" s="60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</row>
    <row r="70" spans="1:34" ht="12" customHeight="1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60"/>
      <c r="U70" s="60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</row>
    <row r="71" spans="1:34" ht="12" customHeight="1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60"/>
      <c r="U71" s="60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</row>
    <row r="72" spans="1:34" ht="12" customHeight="1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60"/>
      <c r="U72" s="60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</row>
    <row r="73" spans="1:34" ht="12" customHeight="1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60"/>
      <c r="U73" s="60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</row>
    <row r="74" spans="1:34" ht="12" customHeight="1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60"/>
      <c r="U74" s="60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</row>
    <row r="75" spans="1:34" ht="12" customHeight="1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60"/>
      <c r="U75" s="60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</row>
    <row r="76" spans="1:34" ht="12" customHeight="1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60"/>
      <c r="U76" s="60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</row>
    <row r="77" spans="1:34" ht="12" customHeight="1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60"/>
      <c r="U77" s="60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</row>
    <row r="78" spans="1:34" ht="12" customHeight="1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60"/>
      <c r="U78" s="60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</row>
    <row r="79" spans="1:34" ht="12" customHeight="1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60"/>
      <c r="U79" s="60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</row>
    <row r="80" spans="1:34" ht="12" customHeight="1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60"/>
      <c r="U80" s="60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</row>
    <row r="81" spans="1:34" ht="12" customHeight="1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60"/>
      <c r="U81" s="60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</row>
    <row r="82" spans="1:34" ht="12" customHeight="1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60"/>
      <c r="U82" s="60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</row>
    <row r="83" spans="1:34" ht="12" customHeight="1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60"/>
      <c r="U83" s="60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</row>
    <row r="84" spans="1:34" ht="12" customHeight="1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60"/>
      <c r="U84" s="60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</row>
    <row r="85" spans="1:34" ht="12" customHeight="1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60"/>
      <c r="U85" s="60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</row>
    <row r="86" spans="1:34" ht="12" customHeight="1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60"/>
      <c r="U86" s="60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</row>
    <row r="87" spans="1:34" ht="12" customHeight="1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60"/>
      <c r="U87" s="60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</row>
    <row r="88" spans="1:34" ht="12" customHeight="1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60"/>
      <c r="U88" s="60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</row>
    <row r="89" spans="1:34" ht="12" customHeight="1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60"/>
      <c r="U89" s="60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</row>
    <row r="90" spans="1:34" ht="12" customHeight="1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60"/>
      <c r="U90" s="60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</row>
    <row r="91" spans="1:34" ht="12" customHeight="1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60"/>
      <c r="U91" s="60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  <c r="AH91" s="137"/>
    </row>
    <row r="92" spans="1:34" ht="12" customHeight="1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60"/>
      <c r="U92" s="60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37"/>
    </row>
    <row r="93" spans="1:34" ht="12" customHeight="1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60"/>
      <c r="U93" s="60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</row>
    <row r="94" spans="1:34" ht="12" customHeight="1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60"/>
      <c r="U94" s="60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</row>
    <row r="95" spans="1:34" ht="12" customHeight="1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60"/>
      <c r="U95" s="60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</row>
    <row r="96" spans="1:34" ht="12" customHeight="1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60"/>
      <c r="U96" s="60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</row>
    <row r="97" spans="1:34" ht="12" customHeight="1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60"/>
      <c r="U97" s="60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</row>
    <row r="98" spans="1:34" ht="12" customHeight="1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60"/>
      <c r="U98" s="60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</row>
    <row r="99" spans="1:34" ht="12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</row>
    <row r="100" spans="1:34" ht="12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</row>
    <row r="101" spans="1:34" ht="12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</row>
    <row r="102" spans="1:34" ht="12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</row>
    <row r="103" spans="1:34" ht="12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  <c r="AH103" s="137"/>
    </row>
    <row r="104" spans="1:34" ht="12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</row>
    <row r="105" spans="1:34" ht="12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</row>
    <row r="106" spans="1:34" ht="12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</row>
    <row r="107" spans="1:34" ht="12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</row>
    <row r="108" spans="1:34" ht="12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</row>
    <row r="109" spans="1:34" ht="12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7"/>
      <c r="AH109" s="137"/>
    </row>
    <row r="110" spans="1:34" ht="12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</row>
    <row r="111" spans="1:34" ht="12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</row>
    <row r="112" spans="1:34" ht="12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  <c r="AG112" s="137"/>
      <c r="AH112" s="137"/>
    </row>
    <row r="113" spans="1:34" ht="12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  <c r="AG113" s="137"/>
      <c r="AH113" s="137"/>
    </row>
    <row r="114" spans="1:34" ht="12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  <c r="AH114" s="137"/>
    </row>
    <row r="115" spans="1:34" ht="12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</row>
    <row r="116" spans="1:34" ht="12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</row>
    <row r="117" spans="1:34" ht="12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</row>
    <row r="118" spans="1:34" ht="12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</row>
    <row r="119" spans="1:34" ht="12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</row>
    <row r="120" spans="1:34" ht="12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</row>
    <row r="121" spans="1:34" ht="12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7"/>
      <c r="AF121" s="137"/>
      <c r="AG121" s="137"/>
      <c r="AH121" s="137"/>
    </row>
    <row r="122" spans="1:34" ht="12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</row>
    <row r="123" spans="1:34" ht="12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</row>
    <row r="124" spans="1:34" ht="12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</row>
    <row r="125" spans="1:34" ht="12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</row>
    <row r="126" spans="1:34" ht="12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</row>
    <row r="127" spans="1:34" ht="12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</row>
    <row r="128" spans="1:34" ht="12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</row>
    <row r="129" spans="1:34" ht="12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</row>
    <row r="130" spans="1:34" ht="12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</row>
    <row r="131" spans="1:34" ht="12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</row>
    <row r="132" spans="1:34" ht="12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</row>
    <row r="133" spans="1:34" ht="12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37"/>
    </row>
    <row r="134" spans="1:34" ht="12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</row>
    <row r="135" spans="1:34" ht="12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</row>
    <row r="136" spans="1:34" ht="12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  <c r="AH136" s="137"/>
    </row>
    <row r="137" spans="1:34" ht="12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  <c r="AH137" s="137"/>
    </row>
    <row r="138" spans="1:34" ht="12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</row>
    <row r="139" spans="1:34" ht="12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</row>
    <row r="140" spans="1:34" ht="12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</row>
    <row r="141" spans="1:34" ht="12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  <c r="AH141" s="137"/>
    </row>
    <row r="142" spans="1:34" ht="12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7"/>
      <c r="AH142" s="137"/>
    </row>
    <row r="143" spans="1:34" ht="12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  <c r="AH143" s="137"/>
    </row>
    <row r="144" spans="1:34" ht="12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</row>
    <row r="145" spans="1:34" ht="12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</row>
    <row r="146" spans="1:34" ht="12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</row>
    <row r="147" spans="1:34" ht="12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</row>
    <row r="148" spans="1:34" ht="12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</row>
    <row r="149" spans="1:34" ht="12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</row>
    <row r="150" spans="1:34" ht="12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</row>
    <row r="151" spans="1:34" ht="12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</row>
    <row r="152" spans="1:34" ht="12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</row>
    <row r="153" spans="1:34" ht="12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</row>
    <row r="154" spans="1:34" ht="12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</row>
    <row r="155" spans="1:34" ht="12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7"/>
      <c r="AF155" s="137"/>
      <c r="AG155" s="137"/>
      <c r="AH155" s="137"/>
    </row>
    <row r="156" spans="1:34" ht="12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</row>
    <row r="157" spans="1:34" ht="12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37"/>
      <c r="AG157" s="137"/>
      <c r="AH157" s="137"/>
    </row>
    <row r="158" spans="1:34" ht="12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</row>
    <row r="159" spans="1:34" ht="12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  <c r="AH159" s="137"/>
    </row>
    <row r="160" spans="1:34" ht="12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</row>
    <row r="161" spans="1:34" ht="12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37"/>
      <c r="AF161" s="137"/>
      <c r="AG161" s="137"/>
      <c r="AH161" s="137"/>
    </row>
    <row r="162" spans="1:34" ht="12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</row>
    <row r="163" spans="1:34" ht="12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7"/>
      <c r="AF163" s="137"/>
      <c r="AG163" s="137"/>
      <c r="AH163" s="137"/>
    </row>
    <row r="164" spans="1:34" ht="12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  <c r="AF164" s="137"/>
      <c r="AG164" s="137"/>
      <c r="AH164" s="137"/>
    </row>
    <row r="165" spans="1:34" ht="12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</row>
    <row r="166" spans="1:34" ht="12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</row>
    <row r="167" spans="1:34" ht="12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7"/>
      <c r="AH167" s="137"/>
    </row>
    <row r="168" spans="1:34" ht="12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</row>
    <row r="169" spans="1:34" ht="12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37"/>
      <c r="AF169" s="137"/>
      <c r="AG169" s="137"/>
      <c r="AH169" s="137"/>
    </row>
    <row r="170" spans="1:34" ht="12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  <c r="AH170" s="137"/>
    </row>
    <row r="171" spans="1:34" ht="12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  <c r="AH171" s="137"/>
    </row>
    <row r="172" spans="1:34" ht="12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  <c r="AH172" s="137"/>
    </row>
    <row r="173" spans="1:34" ht="12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</row>
    <row r="174" spans="1:34" ht="12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</row>
    <row r="175" spans="1:34" ht="12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7"/>
      <c r="AH175" s="137"/>
    </row>
    <row r="176" spans="1:34" ht="12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  <c r="AH176" s="137"/>
    </row>
    <row r="177" spans="1:34" ht="12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  <c r="AH177" s="137"/>
    </row>
    <row r="178" spans="1:34" ht="12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</row>
    <row r="179" spans="1:34" ht="12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</row>
    <row r="180" spans="1:34" ht="12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</row>
    <row r="181" spans="1:34" ht="12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  <c r="AH181" s="137"/>
    </row>
    <row r="182" spans="1:34" ht="12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  <c r="AH182" s="137"/>
    </row>
    <row r="183" spans="1:34" ht="12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</row>
    <row r="184" spans="1:34" ht="12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  <c r="AH184" s="137"/>
    </row>
    <row r="185" spans="1:34" ht="12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  <c r="AH185" s="137"/>
    </row>
    <row r="186" spans="1:34" ht="12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</row>
    <row r="187" spans="1:34" ht="12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</row>
    <row r="188" spans="1:34" ht="12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  <c r="AH188" s="137"/>
    </row>
    <row r="189" spans="1:34" ht="12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</row>
    <row r="190" spans="1:34" ht="12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  <c r="AH190" s="137"/>
    </row>
    <row r="191" spans="1:34" ht="12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  <c r="AH191" s="137"/>
    </row>
    <row r="192" spans="1:34" ht="12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</row>
    <row r="193" spans="1:34" ht="12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7"/>
      <c r="AF193" s="137"/>
      <c r="AG193" s="137"/>
      <c r="AH193" s="137"/>
    </row>
    <row r="194" spans="1:34" ht="12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  <c r="AH194" s="137"/>
    </row>
    <row r="195" spans="1:34" ht="12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</row>
    <row r="196" spans="1:34" ht="12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</row>
    <row r="197" spans="1:34" ht="12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</row>
    <row r="198" spans="1:34" ht="12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  <c r="AH198" s="137"/>
    </row>
    <row r="199" spans="1:34" ht="12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7"/>
      <c r="AF199" s="137"/>
      <c r="AG199" s="137"/>
      <c r="AH199" s="137"/>
    </row>
    <row r="200" spans="1:34" ht="12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7"/>
      <c r="AF200" s="137"/>
      <c r="AG200" s="137"/>
      <c r="AH200" s="137"/>
    </row>
    <row r="201" spans="1:34" ht="12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/>
      <c r="AE201" s="137"/>
      <c r="AF201" s="137"/>
      <c r="AG201" s="137"/>
      <c r="AH201" s="137"/>
    </row>
    <row r="202" spans="1:34" ht="12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  <c r="AB202" s="137"/>
      <c r="AC202" s="137"/>
      <c r="AD202" s="137"/>
      <c r="AE202" s="137"/>
      <c r="AF202" s="137"/>
      <c r="AG202" s="137"/>
      <c r="AH202" s="137"/>
    </row>
    <row r="203" spans="1:34" ht="12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/>
      <c r="AE203" s="137"/>
      <c r="AF203" s="137"/>
      <c r="AG203" s="137"/>
      <c r="AH203" s="137"/>
    </row>
    <row r="204" spans="1:34" ht="12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  <c r="AB204" s="137"/>
      <c r="AC204" s="137"/>
      <c r="AD204" s="137"/>
      <c r="AE204" s="137"/>
      <c r="AF204" s="137"/>
      <c r="AG204" s="137"/>
      <c r="AH204" s="137"/>
    </row>
    <row r="205" spans="1:34" ht="12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137"/>
      <c r="AH205" s="137"/>
    </row>
    <row r="206" spans="1:34" ht="12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  <c r="AB206" s="137"/>
      <c r="AC206" s="137"/>
      <c r="AD206" s="137"/>
      <c r="AE206" s="137"/>
      <c r="AF206" s="137"/>
      <c r="AG206" s="137"/>
      <c r="AH206" s="137"/>
    </row>
    <row r="207" spans="1:34" ht="12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  <c r="AH207" s="137"/>
    </row>
    <row r="208" spans="1:34" ht="12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/>
      <c r="AE208" s="137"/>
      <c r="AF208" s="137"/>
      <c r="AG208" s="137"/>
      <c r="AH208" s="137"/>
    </row>
    <row r="209" spans="1:34" ht="12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  <c r="AC209" s="137"/>
      <c r="AD209" s="137"/>
      <c r="AE209" s="137"/>
      <c r="AF209" s="137"/>
      <c r="AG209" s="137"/>
      <c r="AH209" s="137"/>
    </row>
    <row r="210" spans="1:34" ht="12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  <c r="AB210" s="137"/>
      <c r="AC210" s="137"/>
      <c r="AD210" s="137"/>
      <c r="AE210" s="137"/>
      <c r="AF210" s="137"/>
      <c r="AG210" s="137"/>
      <c r="AH210" s="137"/>
    </row>
    <row r="211" spans="1:34" ht="12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  <c r="AC211" s="137"/>
      <c r="AD211" s="137"/>
      <c r="AE211" s="137"/>
      <c r="AF211" s="137"/>
      <c r="AG211" s="137"/>
      <c r="AH211" s="137"/>
    </row>
    <row r="212" spans="1:34" ht="12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  <c r="AB212" s="137"/>
      <c r="AC212" s="137"/>
      <c r="AD212" s="137"/>
      <c r="AE212" s="137"/>
      <c r="AF212" s="137"/>
      <c r="AG212" s="137"/>
      <c r="AH212" s="137"/>
    </row>
    <row r="213" spans="1:34" ht="12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37"/>
      <c r="AF213" s="137"/>
      <c r="AG213" s="137"/>
      <c r="AH213" s="137"/>
    </row>
    <row r="214" spans="1:34" ht="12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  <c r="AB214" s="137"/>
      <c r="AC214" s="137"/>
      <c r="AD214" s="137"/>
      <c r="AE214" s="137"/>
      <c r="AF214" s="137"/>
      <c r="AG214" s="137"/>
      <c r="AH214" s="137"/>
    </row>
    <row r="215" spans="1:34" ht="12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/>
      <c r="AE215" s="137"/>
      <c r="AF215" s="137"/>
      <c r="AG215" s="137"/>
      <c r="AH215" s="137"/>
    </row>
    <row r="216" spans="1:34" ht="12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  <c r="AB216" s="137"/>
      <c r="AC216" s="137"/>
      <c r="AD216" s="137"/>
      <c r="AE216" s="137"/>
      <c r="AF216" s="137"/>
      <c r="AG216" s="137"/>
      <c r="AH216" s="137"/>
    </row>
    <row r="217" spans="1:34" ht="12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  <c r="AB217" s="137"/>
      <c r="AC217" s="137"/>
      <c r="AD217" s="137"/>
      <c r="AE217" s="137"/>
      <c r="AF217" s="137"/>
      <c r="AG217" s="137"/>
      <c r="AH217" s="137"/>
    </row>
    <row r="218" spans="1:34" ht="12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  <c r="AB218" s="137"/>
      <c r="AC218" s="137"/>
      <c r="AD218" s="137"/>
      <c r="AE218" s="137"/>
      <c r="AF218" s="137"/>
      <c r="AG218" s="137"/>
      <c r="AH218" s="137"/>
    </row>
    <row r="219" spans="1:34" ht="12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  <c r="AB219" s="137"/>
      <c r="AC219" s="137"/>
      <c r="AD219" s="137"/>
      <c r="AE219" s="137"/>
      <c r="AF219" s="137"/>
      <c r="AG219" s="137"/>
      <c r="AH219" s="137"/>
    </row>
    <row r="220" spans="1:34" ht="12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  <c r="AD220" s="137"/>
      <c r="AE220" s="137"/>
      <c r="AF220" s="137"/>
      <c r="AG220" s="137"/>
      <c r="AH220" s="137"/>
    </row>
    <row r="221" spans="1:34" ht="12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  <c r="AB221" s="137"/>
      <c r="AC221" s="137"/>
      <c r="AD221" s="137"/>
      <c r="AE221" s="137"/>
      <c r="AF221" s="137"/>
      <c r="AG221" s="137"/>
      <c r="AH221" s="137"/>
    </row>
    <row r="222" spans="1:34" ht="12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  <c r="AC222" s="137"/>
      <c r="AD222" s="137"/>
      <c r="AE222" s="137"/>
      <c r="AF222" s="137"/>
      <c r="AG222" s="137"/>
      <c r="AH222" s="137"/>
    </row>
    <row r="223" spans="1:34" ht="12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  <c r="AB223" s="137"/>
      <c r="AC223" s="137"/>
      <c r="AD223" s="137"/>
      <c r="AE223" s="137"/>
      <c r="AF223" s="137"/>
      <c r="AG223" s="137"/>
      <c r="AH223" s="137"/>
    </row>
    <row r="224" spans="1:34" ht="12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  <c r="AB224" s="137"/>
      <c r="AC224" s="137"/>
      <c r="AD224" s="137"/>
      <c r="AE224" s="137"/>
      <c r="AF224" s="137"/>
      <c r="AG224" s="137"/>
      <c r="AH224" s="137"/>
    </row>
    <row r="225" spans="1:34" ht="12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  <c r="AB225" s="137"/>
      <c r="AC225" s="137"/>
      <c r="AD225" s="137"/>
      <c r="AE225" s="137"/>
      <c r="AF225" s="137"/>
      <c r="AG225" s="137"/>
      <c r="AH225" s="137"/>
    </row>
    <row r="226" spans="1:34" ht="12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  <c r="AB226" s="137"/>
      <c r="AC226" s="137"/>
      <c r="AD226" s="137"/>
      <c r="AE226" s="137"/>
      <c r="AF226" s="137"/>
      <c r="AG226" s="137"/>
      <c r="AH226" s="137"/>
    </row>
    <row r="227" spans="1:34" ht="12" customHeight="1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  <c r="AB227" s="137"/>
      <c r="AC227" s="137"/>
      <c r="AD227" s="137"/>
      <c r="AE227" s="137"/>
      <c r="AF227" s="137"/>
      <c r="AG227" s="137"/>
      <c r="AH227" s="137"/>
    </row>
    <row r="228" spans="1:34" ht="12" customHeight="1">
      <c r="A228" s="137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  <c r="AB228" s="137"/>
      <c r="AC228" s="137"/>
      <c r="AD228" s="137"/>
      <c r="AE228" s="137"/>
      <c r="AF228" s="137"/>
      <c r="AG228" s="137"/>
      <c r="AH228" s="137"/>
    </row>
    <row r="229" spans="1:34" ht="12" customHeight="1">
      <c r="A229" s="137"/>
      <c r="B229" s="137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  <c r="AA229" s="137"/>
      <c r="AB229" s="137"/>
      <c r="AC229" s="137"/>
      <c r="AD229" s="137"/>
      <c r="AE229" s="137"/>
      <c r="AF229" s="137"/>
      <c r="AG229" s="137"/>
      <c r="AH229" s="137"/>
    </row>
    <row r="230" spans="1:34" ht="12" customHeight="1">
      <c r="A230" s="137"/>
      <c r="B230" s="137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  <c r="AB230" s="137"/>
      <c r="AC230" s="137"/>
      <c r="AD230" s="137"/>
      <c r="AE230" s="137"/>
      <c r="AF230" s="137"/>
      <c r="AG230" s="137"/>
      <c r="AH230" s="137"/>
    </row>
    <row r="231" spans="1:34" ht="12" customHeight="1">
      <c r="A231" s="137"/>
      <c r="B231" s="137"/>
      <c r="C231" s="137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  <c r="AB231" s="137"/>
      <c r="AC231" s="137"/>
      <c r="AD231" s="137"/>
      <c r="AE231" s="137"/>
      <c r="AF231" s="137"/>
      <c r="AG231" s="137"/>
      <c r="AH231" s="137"/>
    </row>
    <row r="232" spans="1:34" ht="12" customHeight="1">
      <c r="A232" s="137"/>
      <c r="B232" s="137"/>
      <c r="C232" s="137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  <c r="AB232" s="137"/>
      <c r="AC232" s="137"/>
      <c r="AD232" s="137"/>
      <c r="AE232" s="137"/>
      <c r="AF232" s="137"/>
      <c r="AG232" s="137"/>
      <c r="AH232" s="137"/>
    </row>
    <row r="233" spans="1:34" ht="12" customHeight="1">
      <c r="A233" s="137"/>
      <c r="B233" s="137"/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  <c r="AB233" s="137"/>
      <c r="AC233" s="137"/>
      <c r="AD233" s="137"/>
      <c r="AE233" s="137"/>
      <c r="AF233" s="137"/>
      <c r="AG233" s="137"/>
      <c r="AH233" s="137"/>
    </row>
    <row r="234" spans="1:34" ht="12" customHeight="1">
      <c r="A234" s="137"/>
      <c r="B234" s="137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  <c r="AB234" s="137"/>
      <c r="AC234" s="137"/>
      <c r="AD234" s="137"/>
      <c r="AE234" s="137"/>
      <c r="AF234" s="137"/>
      <c r="AG234" s="137"/>
      <c r="AH234" s="137"/>
    </row>
    <row r="235" spans="1:34" ht="12" customHeight="1">
      <c r="A235" s="137"/>
      <c r="B235" s="137"/>
      <c r="C235" s="137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  <c r="AB235" s="137"/>
      <c r="AC235" s="137"/>
      <c r="AD235" s="137"/>
      <c r="AE235" s="137"/>
      <c r="AF235" s="137"/>
      <c r="AG235" s="137"/>
      <c r="AH235" s="137"/>
    </row>
    <row r="236" spans="1:34" ht="12" customHeight="1">
      <c r="A236" s="137"/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37"/>
      <c r="AG236" s="137"/>
      <c r="AH236" s="137"/>
    </row>
    <row r="237" spans="1:34" ht="12" customHeight="1">
      <c r="A237" s="137"/>
      <c r="B237" s="137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  <c r="AB237" s="137"/>
      <c r="AC237" s="137"/>
      <c r="AD237" s="137"/>
      <c r="AE237" s="137"/>
      <c r="AF237" s="137"/>
      <c r="AG237" s="137"/>
      <c r="AH237" s="137"/>
    </row>
    <row r="238" spans="1:34" ht="12" customHeight="1">
      <c r="A238" s="137"/>
      <c r="B238" s="137"/>
      <c r="C238" s="137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  <c r="AA238" s="137"/>
      <c r="AB238" s="137"/>
      <c r="AC238" s="137"/>
      <c r="AD238" s="137"/>
      <c r="AE238" s="137"/>
      <c r="AF238" s="137"/>
      <c r="AG238" s="137"/>
      <c r="AH238" s="137"/>
    </row>
    <row r="239" spans="1:34" ht="12" customHeight="1">
      <c r="A239" s="137"/>
      <c r="B239" s="137"/>
      <c r="C239" s="137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  <c r="AB239" s="137"/>
      <c r="AC239" s="137"/>
      <c r="AD239" s="137"/>
      <c r="AE239" s="137"/>
      <c r="AF239" s="137"/>
      <c r="AG239" s="137"/>
      <c r="AH239" s="137"/>
    </row>
    <row r="240" spans="1:34" ht="12" customHeight="1">
      <c r="A240" s="137"/>
      <c r="B240" s="137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  <c r="AB240" s="137"/>
      <c r="AC240" s="137"/>
      <c r="AD240" s="137"/>
      <c r="AE240" s="137"/>
      <c r="AF240" s="137"/>
      <c r="AG240" s="137"/>
      <c r="AH240" s="137"/>
    </row>
    <row r="241" spans="1:34" ht="12" customHeight="1">
      <c r="A241" s="137"/>
      <c r="B241" s="137"/>
      <c r="C241" s="137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37"/>
      <c r="AB241" s="137"/>
      <c r="AC241" s="137"/>
      <c r="AD241" s="137"/>
      <c r="AE241" s="137"/>
      <c r="AF241" s="137"/>
      <c r="AG241" s="137"/>
      <c r="AH241" s="137"/>
    </row>
    <row r="242" spans="1:34" ht="12" customHeight="1">
      <c r="A242" s="137"/>
      <c r="B242" s="137"/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  <c r="AA242" s="137"/>
      <c r="AB242" s="137"/>
      <c r="AC242" s="137"/>
      <c r="AD242" s="137"/>
      <c r="AE242" s="137"/>
      <c r="AF242" s="137"/>
      <c r="AG242" s="137"/>
      <c r="AH242" s="137"/>
    </row>
    <row r="243" spans="1:34" ht="12" customHeight="1">
      <c r="A243" s="137"/>
      <c r="B243" s="137"/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  <c r="AA243" s="137"/>
      <c r="AB243" s="137"/>
      <c r="AC243" s="137"/>
      <c r="AD243" s="137"/>
      <c r="AE243" s="137"/>
      <c r="AF243" s="137"/>
      <c r="AG243" s="137"/>
      <c r="AH243" s="137"/>
    </row>
    <row r="244" spans="1:34" ht="12" customHeight="1">
      <c r="A244" s="137"/>
      <c r="B244" s="137"/>
      <c r="C244" s="137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  <c r="AA244" s="137"/>
      <c r="AB244" s="137"/>
      <c r="AC244" s="137"/>
      <c r="AD244" s="137"/>
      <c r="AE244" s="137"/>
      <c r="AF244" s="137"/>
      <c r="AG244" s="137"/>
      <c r="AH244" s="137"/>
    </row>
    <row r="245" spans="1:34" ht="12" customHeight="1">
      <c r="A245" s="137"/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37"/>
      <c r="AH245" s="137"/>
    </row>
    <row r="246" spans="1:34" ht="12" customHeight="1">
      <c r="A246" s="137"/>
      <c r="B246" s="137"/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  <c r="AB246" s="137"/>
      <c r="AC246" s="137"/>
      <c r="AD246" s="137"/>
      <c r="AE246" s="137"/>
      <c r="AF246" s="137"/>
      <c r="AG246" s="137"/>
      <c r="AH246" s="137"/>
    </row>
    <row r="247" spans="1:34" ht="12" customHeight="1">
      <c r="A247" s="137"/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  <c r="AB247" s="137"/>
      <c r="AC247" s="137"/>
      <c r="AD247" s="137"/>
      <c r="AE247" s="137"/>
      <c r="AF247" s="137"/>
      <c r="AG247" s="137"/>
      <c r="AH247" s="137"/>
    </row>
    <row r="248" spans="1:34" ht="12" customHeight="1">
      <c r="A248" s="137"/>
      <c r="B248" s="137"/>
      <c r="C248" s="137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  <c r="AA248" s="137"/>
      <c r="AB248" s="137"/>
      <c r="AC248" s="137"/>
      <c r="AD248" s="137"/>
      <c r="AE248" s="137"/>
      <c r="AF248" s="137"/>
      <c r="AG248" s="137"/>
      <c r="AH248" s="137"/>
    </row>
    <row r="249" spans="1:34" ht="12" customHeight="1">
      <c r="A249" s="137"/>
      <c r="B249" s="137"/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  <c r="AA249" s="137"/>
      <c r="AB249" s="137"/>
      <c r="AC249" s="137"/>
      <c r="AD249" s="137"/>
      <c r="AE249" s="137"/>
      <c r="AF249" s="137"/>
      <c r="AG249" s="137"/>
      <c r="AH249" s="137"/>
    </row>
    <row r="250" spans="1:34" ht="15.75" customHeight="1"/>
    <row r="251" spans="1:34" ht="15.75" customHeight="1"/>
    <row r="252" spans="1:34" ht="15.75" customHeight="1"/>
    <row r="253" spans="1:34" ht="15.75" customHeight="1"/>
    <row r="254" spans="1:34" ht="15.75" customHeight="1"/>
    <row r="255" spans="1:34" ht="15.75" customHeight="1"/>
    <row r="256" spans="1:3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4:H4"/>
    <mergeCell ref="A5:B5"/>
    <mergeCell ref="C5:D5"/>
    <mergeCell ref="E5:F5"/>
    <mergeCell ref="G5:H5"/>
    <mergeCell ref="R1:S1"/>
    <mergeCell ref="A2:S2"/>
    <mergeCell ref="AA3:BE3"/>
    <mergeCell ref="L4:S4"/>
    <mergeCell ref="AA4:AE4"/>
    <mergeCell ref="AG4:AZ4"/>
    <mergeCell ref="BB4:BE5"/>
    <mergeCell ref="L5:M5"/>
    <mergeCell ref="N5:O5"/>
    <mergeCell ref="P5:Q5"/>
    <mergeCell ref="R5:S5"/>
    <mergeCell ref="AA5:AA6"/>
    <mergeCell ref="AB5:AB6"/>
    <mergeCell ref="AC5:AC6"/>
    <mergeCell ref="AD5:AD6"/>
    <mergeCell ref="AE5:AE6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</mergeCells>
  <dataValidations count="1">
    <dataValidation type="list" allowBlank="1" showErrorMessage="1" sqref="BB7:BB45" xr:uid="{00000000-0002-0000-0D00-000000000000}">
      <formula1>"A,O"</formula1>
    </dataValidation>
  </dataValidations>
  <printOptions horizontalCentered="1"/>
  <pageMargins left="0.14000000000000001" right="0.46" top="0.66" bottom="0.34" header="0" footer="0"/>
  <pageSetup paperSize="9" scale="90" orientation="landscape"/>
  <headerFooter>
    <oddFooter>&amp;L&amp;F; &amp;A&amp;CPage &amp;P of &amp;RPrint on &amp;D, &amp;T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G1000"/>
  <sheetViews>
    <sheetView workbookViewId="0">
      <pane xSplit="11" ySplit="6" topLeftCell="S7" activePane="bottomRight" state="frozen"/>
      <selection pane="topRight" activeCell="L1" sqref="L1"/>
      <selection pane="bottomLeft" activeCell="A7" sqref="A7"/>
      <selection pane="bottomRight" activeCell="AA23" sqref="AA23"/>
    </sheetView>
  </sheetViews>
  <sheetFormatPr defaultColWidth="14.42578125" defaultRowHeight="15" customHeight="1"/>
  <cols>
    <col min="1" max="8" width="9.5703125" customWidth="1"/>
    <col min="9" max="9" width="1.28515625" customWidth="1"/>
    <col min="10" max="10" width="37" customWidth="1"/>
    <col min="11" max="11" width="1.140625" customWidth="1"/>
    <col min="12" max="21" width="9.5703125" customWidth="1"/>
    <col min="22" max="25" width="9.5703125" hidden="1" customWidth="1"/>
    <col min="26" max="26" width="6" customWidth="1"/>
  </cols>
  <sheetData>
    <row r="1" spans="1:59" ht="15" customHeight="1">
      <c r="A1" s="382"/>
      <c r="B1" s="433"/>
      <c r="C1" s="434"/>
      <c r="D1" s="435"/>
      <c r="E1" s="434"/>
      <c r="F1" s="435"/>
      <c r="G1" s="434"/>
      <c r="H1" s="435"/>
      <c r="I1" s="435"/>
      <c r="J1" s="382"/>
      <c r="K1" s="435"/>
      <c r="L1" s="434"/>
      <c r="M1" s="435"/>
      <c r="N1" s="434"/>
      <c r="O1" s="435"/>
      <c r="P1" s="434"/>
      <c r="Q1" s="435"/>
      <c r="R1" s="434"/>
      <c r="S1" s="435"/>
      <c r="T1" s="382"/>
      <c r="U1" s="382"/>
      <c r="V1" s="382"/>
      <c r="W1" s="382"/>
      <c r="X1" s="382"/>
      <c r="Y1" s="382"/>
      <c r="Z1" s="382"/>
    </row>
    <row r="2" spans="1:59" ht="15" customHeight="1">
      <c r="A2" s="664" t="s">
        <v>26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665"/>
      <c r="O2" s="665"/>
      <c r="P2" s="665"/>
      <c r="Q2" s="665"/>
      <c r="R2" s="665"/>
      <c r="S2" s="665"/>
      <c r="T2" s="64" t="s">
        <v>506</v>
      </c>
      <c r="U2" s="64">
        <f>PRD</f>
        <v>1</v>
      </c>
      <c r="V2" s="382"/>
      <c r="W2" s="382"/>
      <c r="X2" s="382"/>
      <c r="Y2" s="382"/>
      <c r="Z2" s="382"/>
    </row>
    <row r="3" spans="1:59" ht="15" customHeight="1">
      <c r="A3" s="444"/>
      <c r="B3" s="418"/>
      <c r="C3" s="419"/>
      <c r="D3" s="420" t="s">
        <v>507</v>
      </c>
      <c r="E3" s="419"/>
      <c r="F3" s="421"/>
      <c r="G3" s="419"/>
      <c r="H3" s="421"/>
      <c r="I3" s="386"/>
      <c r="J3" s="439" t="s">
        <v>1047</v>
      </c>
      <c r="K3" s="386"/>
      <c r="L3" s="419"/>
      <c r="M3" s="421"/>
      <c r="N3" s="419"/>
      <c r="O3" s="421"/>
      <c r="P3" s="67"/>
      <c r="Q3" s="222" t="s">
        <v>1048</v>
      </c>
      <c r="R3" s="67"/>
      <c r="S3" s="67"/>
      <c r="T3" s="441"/>
      <c r="U3" s="382"/>
      <c r="V3" s="382"/>
      <c r="W3" s="382"/>
      <c r="X3" s="382"/>
      <c r="Y3" s="382"/>
      <c r="Z3" s="382"/>
      <c r="AA3" s="656" t="s">
        <v>29</v>
      </c>
      <c r="AB3" s="660"/>
      <c r="AC3" s="660"/>
      <c r="AD3" s="660"/>
      <c r="AE3" s="660"/>
      <c r="AF3" s="660"/>
      <c r="AG3" s="660"/>
      <c r="AH3" s="660"/>
      <c r="AI3" s="660"/>
      <c r="AJ3" s="660"/>
      <c r="AK3" s="660"/>
      <c r="AL3" s="660"/>
      <c r="AM3" s="660"/>
      <c r="AN3" s="660"/>
      <c r="AO3" s="660"/>
      <c r="AP3" s="660"/>
      <c r="AQ3" s="660"/>
      <c r="AR3" s="660"/>
      <c r="AS3" s="660"/>
      <c r="AT3" s="660"/>
      <c r="AU3" s="660"/>
      <c r="AV3" s="660"/>
      <c r="AW3" s="660"/>
      <c r="AX3" s="660"/>
      <c r="AY3" s="660"/>
      <c r="AZ3" s="660"/>
      <c r="BA3" s="660"/>
      <c r="BB3" s="660"/>
      <c r="BC3" s="660"/>
      <c r="BD3" s="660"/>
      <c r="BE3" s="660"/>
      <c r="BF3" s="660"/>
      <c r="BG3" s="657"/>
    </row>
    <row r="4" spans="1:59" ht="13.5" customHeight="1">
      <c r="A4" s="666" t="s">
        <v>509</v>
      </c>
      <c r="B4" s="667"/>
      <c r="C4" s="667"/>
      <c r="D4" s="667"/>
      <c r="E4" s="667"/>
      <c r="F4" s="667"/>
      <c r="G4" s="667"/>
      <c r="H4" s="668"/>
      <c r="I4" s="223"/>
      <c r="J4" s="225"/>
      <c r="K4" s="223"/>
      <c r="L4" s="669" t="s">
        <v>510</v>
      </c>
      <c r="M4" s="667"/>
      <c r="N4" s="667"/>
      <c r="O4" s="667"/>
      <c r="P4" s="667"/>
      <c r="Q4" s="667"/>
      <c r="R4" s="667"/>
      <c r="S4" s="670"/>
      <c r="T4" s="226"/>
      <c r="U4" s="226"/>
      <c r="V4" s="226"/>
      <c r="W4" s="226"/>
      <c r="X4" s="226"/>
      <c r="Y4" s="226"/>
      <c r="Z4" s="226"/>
      <c r="AA4" s="671" t="s">
        <v>30</v>
      </c>
      <c r="AB4" s="665"/>
      <c r="AC4" s="665"/>
      <c r="AD4" s="665"/>
      <c r="AE4" s="665"/>
      <c r="AF4" s="665"/>
      <c r="AG4" s="665"/>
      <c r="AH4" s="73"/>
      <c r="AI4" s="671" t="s">
        <v>31</v>
      </c>
      <c r="AJ4" s="665"/>
      <c r="AK4" s="665"/>
      <c r="AL4" s="665"/>
      <c r="AM4" s="665"/>
      <c r="AN4" s="665"/>
      <c r="AO4" s="665"/>
      <c r="AP4" s="665"/>
      <c r="AQ4" s="665"/>
      <c r="AR4" s="665"/>
      <c r="AS4" s="665"/>
      <c r="AT4" s="665"/>
      <c r="AU4" s="665"/>
      <c r="AV4" s="665"/>
      <c r="AW4" s="665"/>
      <c r="AX4" s="665"/>
      <c r="AY4" s="665"/>
      <c r="AZ4" s="665"/>
      <c r="BA4" s="665"/>
      <c r="BB4" s="672"/>
      <c r="BC4" s="74"/>
      <c r="BD4" s="673" t="s">
        <v>32</v>
      </c>
      <c r="BE4" s="674"/>
      <c r="BF4" s="674"/>
      <c r="BG4" s="675"/>
    </row>
    <row r="5" spans="1:59" ht="15" customHeight="1">
      <c r="A5" s="679" t="s">
        <v>511</v>
      </c>
      <c r="B5" s="662"/>
      <c r="C5" s="661" t="s">
        <v>512</v>
      </c>
      <c r="D5" s="662"/>
      <c r="E5" s="661" t="s">
        <v>513</v>
      </c>
      <c r="F5" s="662"/>
      <c r="G5" s="661" t="s">
        <v>514</v>
      </c>
      <c r="H5" s="662"/>
      <c r="I5" s="227"/>
      <c r="J5" s="229" t="s">
        <v>515</v>
      </c>
      <c r="K5" s="227"/>
      <c r="L5" s="661" t="s">
        <v>514</v>
      </c>
      <c r="M5" s="662"/>
      <c r="N5" s="661" t="s">
        <v>1049</v>
      </c>
      <c r="O5" s="662"/>
      <c r="P5" s="661" t="s">
        <v>512</v>
      </c>
      <c r="Q5" s="662"/>
      <c r="R5" s="661" t="s">
        <v>511</v>
      </c>
      <c r="S5" s="663"/>
      <c r="T5" s="226"/>
      <c r="U5" s="226"/>
      <c r="V5" s="226"/>
      <c r="W5" s="226"/>
      <c r="X5" s="226"/>
      <c r="Y5" s="226"/>
      <c r="Z5" s="226"/>
      <c r="AA5" s="658" t="s">
        <v>38</v>
      </c>
      <c r="AB5" s="658" t="s">
        <v>39</v>
      </c>
      <c r="AC5" s="658" t="s">
        <v>40</v>
      </c>
      <c r="AD5" s="658" t="s">
        <v>41</v>
      </c>
      <c r="AE5" s="658" t="s">
        <v>42</v>
      </c>
      <c r="AF5" s="658" t="s">
        <v>42</v>
      </c>
      <c r="AG5" s="658" t="s">
        <v>741</v>
      </c>
      <c r="AH5" s="80"/>
      <c r="AI5" s="656" t="s">
        <v>43</v>
      </c>
      <c r="AJ5" s="660"/>
      <c r="AK5" s="656" t="s">
        <v>44</v>
      </c>
      <c r="AL5" s="660"/>
      <c r="AM5" s="656" t="s">
        <v>45</v>
      </c>
      <c r="AN5" s="660"/>
      <c r="AO5" s="656" t="s">
        <v>46</v>
      </c>
      <c r="AP5" s="657"/>
      <c r="AQ5" s="680" t="s">
        <v>47</v>
      </c>
      <c r="AR5" s="660"/>
      <c r="AS5" s="656" t="s">
        <v>48</v>
      </c>
      <c r="AT5" s="657"/>
      <c r="AU5" s="680" t="s">
        <v>49</v>
      </c>
      <c r="AV5" s="660"/>
      <c r="AW5" s="656" t="s">
        <v>50</v>
      </c>
      <c r="AX5" s="657"/>
      <c r="AY5" s="680" t="s">
        <v>51</v>
      </c>
      <c r="AZ5" s="657"/>
      <c r="BA5" s="656" t="s">
        <v>52</v>
      </c>
      <c r="BB5" s="657"/>
      <c r="BC5" s="81"/>
      <c r="BD5" s="676"/>
      <c r="BE5" s="677"/>
      <c r="BF5" s="677"/>
      <c r="BG5" s="678"/>
    </row>
    <row r="6" spans="1:59" ht="15" customHeight="1">
      <c r="A6" s="230" t="s">
        <v>526</v>
      </c>
      <c r="B6" s="231" t="s">
        <v>37</v>
      </c>
      <c r="C6" s="232" t="s">
        <v>526</v>
      </c>
      <c r="D6" s="231" t="s">
        <v>37</v>
      </c>
      <c r="E6" s="232" t="s">
        <v>526</v>
      </c>
      <c r="F6" s="231" t="s">
        <v>37</v>
      </c>
      <c r="G6" s="232" t="s">
        <v>526</v>
      </c>
      <c r="H6" s="231" t="s">
        <v>37</v>
      </c>
      <c r="I6" s="233"/>
      <c r="J6" s="235"/>
      <c r="K6" s="233"/>
      <c r="L6" s="232" t="s">
        <v>526</v>
      </c>
      <c r="M6" s="231" t="s">
        <v>37</v>
      </c>
      <c r="N6" s="232" t="s">
        <v>526</v>
      </c>
      <c r="O6" s="231" t="s">
        <v>37</v>
      </c>
      <c r="P6" s="232" t="s">
        <v>526</v>
      </c>
      <c r="Q6" s="231" t="s">
        <v>37</v>
      </c>
      <c r="R6" s="232" t="s">
        <v>526</v>
      </c>
      <c r="S6" s="236" t="s">
        <v>37</v>
      </c>
      <c r="T6" s="226"/>
      <c r="U6" s="226"/>
      <c r="V6" s="226"/>
      <c r="W6" s="226"/>
      <c r="X6" s="226"/>
      <c r="Y6" s="226"/>
      <c r="Z6" s="226"/>
      <c r="AA6" s="659"/>
      <c r="AB6" s="659"/>
      <c r="AC6" s="659"/>
      <c r="AD6" s="659"/>
      <c r="AE6" s="659"/>
      <c r="AF6" s="659"/>
      <c r="AG6" s="659"/>
      <c r="AH6" s="84"/>
      <c r="AI6" s="85" t="s">
        <v>56</v>
      </c>
      <c r="AJ6" s="86" t="s">
        <v>57</v>
      </c>
      <c r="AK6" s="85" t="s">
        <v>56</v>
      </c>
      <c r="AL6" s="86" t="s">
        <v>57</v>
      </c>
      <c r="AM6" s="85" t="s">
        <v>56</v>
      </c>
      <c r="AN6" s="86" t="s">
        <v>57</v>
      </c>
      <c r="AO6" s="64" t="s">
        <v>56</v>
      </c>
      <c r="AP6" s="87" t="s">
        <v>57</v>
      </c>
      <c r="AQ6" s="88" t="s">
        <v>56</v>
      </c>
      <c r="AR6" s="86" t="s">
        <v>57</v>
      </c>
      <c r="AS6" s="85" t="s">
        <v>56</v>
      </c>
      <c r="AT6" s="89" t="s">
        <v>57</v>
      </c>
      <c r="AU6" s="88" t="s">
        <v>56</v>
      </c>
      <c r="AV6" s="86" t="s">
        <v>57</v>
      </c>
      <c r="AW6" s="85" t="s">
        <v>56</v>
      </c>
      <c r="AX6" s="89" t="s">
        <v>57</v>
      </c>
      <c r="AY6" s="88" t="s">
        <v>56</v>
      </c>
      <c r="AZ6" s="89" t="s">
        <v>57</v>
      </c>
      <c r="BA6" s="85" t="s">
        <v>56</v>
      </c>
      <c r="BB6" s="89" t="s">
        <v>57</v>
      </c>
      <c r="BC6" s="90"/>
      <c r="BD6" s="64" t="s">
        <v>58</v>
      </c>
      <c r="BE6" s="64" t="s">
        <v>59</v>
      </c>
      <c r="BF6" s="64" t="s">
        <v>60</v>
      </c>
      <c r="BG6" s="91" t="s">
        <v>61</v>
      </c>
    </row>
    <row r="7" spans="1:59" ht="12" customHeight="1">
      <c r="A7" s="422"/>
      <c r="B7" s="422"/>
      <c r="C7" s="422"/>
      <c r="D7" s="422"/>
      <c r="E7" s="422"/>
      <c r="F7" s="422"/>
      <c r="G7" s="422"/>
      <c r="H7" s="422"/>
      <c r="I7" s="422"/>
      <c r="J7" s="423" t="s">
        <v>1009</v>
      </c>
      <c r="K7" s="422"/>
      <c r="L7" s="422"/>
      <c r="M7" s="422"/>
      <c r="N7" s="422"/>
      <c r="O7" s="422"/>
      <c r="P7" s="422"/>
      <c r="Q7" s="422"/>
      <c r="R7" s="422"/>
      <c r="S7" s="422"/>
      <c r="T7" s="391"/>
      <c r="U7" s="391"/>
      <c r="V7" s="391"/>
      <c r="W7" s="391"/>
      <c r="X7" s="391"/>
      <c r="Y7" s="391"/>
      <c r="Z7" s="391"/>
      <c r="AA7" s="95"/>
      <c r="AB7" s="96"/>
      <c r="AC7" s="96"/>
      <c r="AD7" s="96"/>
      <c r="AE7" s="96"/>
      <c r="AF7" s="96"/>
      <c r="AG7" s="96"/>
      <c r="AH7" s="97"/>
      <c r="AI7" s="95"/>
      <c r="AJ7" s="96"/>
      <c r="AK7" s="95"/>
      <c r="AL7" s="96"/>
      <c r="AM7" s="95"/>
      <c r="AN7" s="96"/>
      <c r="AO7" s="95"/>
      <c r="AP7" s="98"/>
      <c r="AQ7" s="96"/>
      <c r="AR7" s="96"/>
      <c r="AS7" s="95"/>
      <c r="AT7" s="98"/>
      <c r="AU7" s="96"/>
      <c r="AV7" s="96"/>
      <c r="AW7" s="95"/>
      <c r="AX7" s="98"/>
      <c r="AY7" s="96"/>
      <c r="AZ7" s="96"/>
      <c r="BA7" s="95"/>
      <c r="BB7" s="98"/>
      <c r="BC7" s="99"/>
      <c r="BD7" s="95"/>
      <c r="BE7" s="96"/>
      <c r="BF7" s="96"/>
      <c r="BG7" s="98"/>
    </row>
    <row r="8" spans="1:59" ht="12" customHeight="1">
      <c r="A8" s="254">
        <f t="array" ref="A8">_xll.AC(DB,_xll.ArrayDPT($AA8:$AG8),_xll.ArrayCOA($AI8:$BB8),YR-1,PRD,_xll.ArrayDIM($BD8:$BG8))</f>
        <v>273833.34000000003</v>
      </c>
      <c r="B8" s="237">
        <f t="shared" ref="B8:B15" si="0">IF(A8=0,0,(A8*100)/A$44)</f>
        <v>20.50445111812105</v>
      </c>
      <c r="C8" s="237">
        <f t="shared" ref="C8:C15" si="1">+E8-G8</f>
        <v>-289005.28000000003</v>
      </c>
      <c r="D8" s="237">
        <f t="shared" ref="D8:D15" si="2">IF(C8=0,0,(C8*100)/C$44)</f>
        <v>32.17033321433496</v>
      </c>
      <c r="E8" s="254">
        <f t="array" ref="E8">_xll.BC(DB,_xll.ArrayDPT($AA8:$AG8),_xll.ArrayCOA($AI8:$BB8),YR,PRD,RV,_xll.ArrayDIM($BD8:$BG8))</f>
        <v>0</v>
      </c>
      <c r="F8" s="237">
        <f t="shared" ref="F8:F15" si="3">IF(E8=0,0,(E8*100)/E$44)</f>
        <v>0</v>
      </c>
      <c r="G8" s="254">
        <f t="array" ref="G8">_xll.AC(DB,_xll.ArrayDPT($AA8:$AG8),_xll.ArrayCOA($AI8:$BB8),YR,PRD,_xll.ArrayDIM($BD8:$BG8))</f>
        <v>289005.28000000003</v>
      </c>
      <c r="H8" s="237">
        <f t="shared" ref="H8:H15" si="4">IF(G8=0,0,(G8*100)/G$44)</f>
        <v>32.17033321433496</v>
      </c>
      <c r="I8" s="237"/>
      <c r="J8" s="328" t="s">
        <v>1050</v>
      </c>
      <c r="K8" s="237"/>
      <c r="L8" s="254">
        <f t="array" ref="L8">_xll.ACC(DB,_xll.ArrayDPT($AA8:$AG8),_xll.ArrayCOA($AI8:$BB8),YR,PRD,_xll.ArrayDIM($BD8:$BG8))</f>
        <v>289005.28000000003</v>
      </c>
      <c r="M8" s="237">
        <f t="shared" ref="M8:M15" si="5">IF(L8=0,0,(L8*100)/L$44)</f>
        <v>32.17033321433496</v>
      </c>
      <c r="N8" s="254">
        <f t="array" ref="N8">_xll.BCC(DB,_xll.ArrayDPT($AA8:$AG8),_xll.ArrayCOA($AI8:$BB8),YR,PRD,RV,_xll.ArrayDIM($BD8:$BG8))</f>
        <v>0</v>
      </c>
      <c r="O8" s="237">
        <f t="shared" ref="O8:O15" si="6">IF(N8=0,0,(N8*100)/N$44)</f>
        <v>0</v>
      </c>
      <c r="P8" s="237">
        <f t="shared" ref="P8:P15" si="7">+N8-L8</f>
        <v>-289005.28000000003</v>
      </c>
      <c r="Q8" s="237">
        <f t="shared" ref="Q8:Q15" si="8">IF(P8=0,0,(P8*100)/P$44)</f>
        <v>32.17033321433496</v>
      </c>
      <c r="R8" s="254">
        <f t="array" ref="R8">_xll.ACC(DB,_xll.ArrayDPT($AA8:$AG8),_xll.ArrayCOA($AI8:$BB8),YR-1,PRD,_xll.ArrayDIM($BD8:$BG8))</f>
        <v>273833.34000000003</v>
      </c>
      <c r="S8" s="237">
        <f t="shared" ref="S8:S15" si="9">IF(R8=0,0,(R8*100)/R$44)</f>
        <v>20.50445111812105</v>
      </c>
      <c r="T8" s="295"/>
      <c r="U8" s="295"/>
      <c r="V8" s="295"/>
      <c r="W8" s="295"/>
      <c r="X8" s="295"/>
      <c r="Y8" s="295"/>
      <c r="Z8" s="295"/>
      <c r="AA8" s="95" t="s">
        <v>623</v>
      </c>
      <c r="AB8" s="96" t="s">
        <v>634</v>
      </c>
      <c r="AC8" s="96" t="s">
        <v>637</v>
      </c>
      <c r="AD8" s="96" t="s">
        <v>640</v>
      </c>
      <c r="AE8" s="96"/>
      <c r="AF8" s="96"/>
      <c r="AG8" s="96"/>
      <c r="AH8" s="97"/>
      <c r="AI8" s="95" t="s">
        <v>635</v>
      </c>
      <c r="AJ8" s="96" t="s">
        <v>643</v>
      </c>
      <c r="AK8" s="95" t="s">
        <v>641</v>
      </c>
      <c r="AL8" s="96" t="s">
        <v>641</v>
      </c>
      <c r="AM8" s="95" t="s">
        <v>645</v>
      </c>
      <c r="AN8" s="96" t="s">
        <v>645</v>
      </c>
      <c r="AO8" s="95" t="s">
        <v>649</v>
      </c>
      <c r="AP8" s="98" t="s">
        <v>649</v>
      </c>
      <c r="AQ8" s="96" t="s">
        <v>651</v>
      </c>
      <c r="AR8" s="96" t="s">
        <v>651</v>
      </c>
      <c r="AS8" s="95" t="s">
        <v>638</v>
      </c>
      <c r="AT8" s="98" t="s">
        <v>638</v>
      </c>
      <c r="AU8" s="96" t="s">
        <v>647</v>
      </c>
      <c r="AV8" s="96" t="s">
        <v>647</v>
      </c>
      <c r="AW8" s="95"/>
      <c r="AX8" s="98"/>
      <c r="AY8" s="96"/>
      <c r="AZ8" s="96"/>
      <c r="BA8" s="95"/>
      <c r="BB8" s="98"/>
      <c r="BC8" s="99"/>
      <c r="BD8" s="95"/>
      <c r="BE8" s="96"/>
      <c r="BF8" s="96"/>
      <c r="BG8" s="98"/>
    </row>
    <row r="9" spans="1:59" ht="12" customHeight="1">
      <c r="A9" s="254">
        <f t="array" ref="A9">_xll.AC(DB,_xll.ArrayDPT($AA9:$AG9),_xll.ArrayCOA($AI9:$BB9),YR-1,PRD,_xll.ArrayDIM($BD9:$BG9))</f>
        <v>104000</v>
      </c>
      <c r="B9" s="237">
        <f t="shared" si="0"/>
        <v>7.7874480743819907</v>
      </c>
      <c r="C9" s="237">
        <f t="shared" si="1"/>
        <v>-109134.33</v>
      </c>
      <c r="D9" s="237">
        <f t="shared" si="2"/>
        <v>12.148178611903532</v>
      </c>
      <c r="E9" s="254">
        <f t="array" ref="E9">_xll.BC(DB,_xll.ArrayDPT($AA9:$AG9),_xll.ArrayCOA($AI9:$BB9),YR,PRD,RV,_xll.ArrayDIM($BD9:$BG9))</f>
        <v>0</v>
      </c>
      <c r="F9" s="237">
        <f t="shared" si="3"/>
        <v>0</v>
      </c>
      <c r="G9" s="254">
        <f t="array" ref="G9">_xll.AC(DB,_xll.ArrayDPT($AA9:$AG9),_xll.ArrayCOA($AI9:$BB9),YR,PRD,_xll.ArrayDIM($BD9:$BG9))</f>
        <v>109134.33</v>
      </c>
      <c r="H9" s="237">
        <f t="shared" si="4"/>
        <v>12.148178611903532</v>
      </c>
      <c r="I9" s="237"/>
      <c r="J9" s="328" t="s">
        <v>1051</v>
      </c>
      <c r="K9" s="237"/>
      <c r="L9" s="254">
        <f t="array" ref="L9">_xll.ACC(DB,_xll.ArrayDPT($AA9:$AG9),_xll.ArrayCOA($AI9:$BB9),YR,PRD,_xll.ArrayDIM($BD9:$BG9))</f>
        <v>109134.33</v>
      </c>
      <c r="M9" s="237">
        <f t="shared" si="5"/>
        <v>12.148178611903532</v>
      </c>
      <c r="N9" s="254">
        <f t="array" ref="N9">_xll.BCC(DB,_xll.ArrayDPT($AA9:$AG9),_xll.ArrayCOA($AI9:$BB9),YR,PRD,RV,_xll.ArrayDIM($BD9:$BG9))</f>
        <v>0</v>
      </c>
      <c r="O9" s="237">
        <f t="shared" si="6"/>
        <v>0</v>
      </c>
      <c r="P9" s="237">
        <f t="shared" si="7"/>
        <v>-109134.33</v>
      </c>
      <c r="Q9" s="237">
        <f t="shared" si="8"/>
        <v>12.148178611903532</v>
      </c>
      <c r="R9" s="254">
        <f t="array" ref="R9">_xll.ACC(DB,_xll.ArrayDPT($AA9:$AG9),_xll.ArrayCOA($AI9:$BB9),YR-1,PRD,_xll.ArrayDIM($BD9:$BG9))</f>
        <v>104000</v>
      </c>
      <c r="S9" s="237">
        <f t="shared" si="9"/>
        <v>7.7874480743819907</v>
      </c>
      <c r="T9" s="295"/>
      <c r="U9" s="295"/>
      <c r="V9" s="295"/>
      <c r="W9" s="295"/>
      <c r="X9" s="295"/>
      <c r="Y9" s="295"/>
      <c r="Z9" s="295"/>
      <c r="AA9" s="95" t="s">
        <v>756</v>
      </c>
      <c r="AB9" s="96" t="s">
        <v>743</v>
      </c>
      <c r="AC9" s="96" t="s">
        <v>744</v>
      </c>
      <c r="AD9" s="96" t="s">
        <v>745</v>
      </c>
      <c r="AE9" s="96" t="s">
        <v>746</v>
      </c>
      <c r="AF9" s="96" t="s">
        <v>773</v>
      </c>
      <c r="AG9" s="96" t="s">
        <v>762</v>
      </c>
      <c r="AH9" s="97"/>
      <c r="AI9" s="95" t="s">
        <v>641</v>
      </c>
      <c r="AJ9" s="96" t="s">
        <v>641</v>
      </c>
      <c r="AK9" s="95" t="s">
        <v>776</v>
      </c>
      <c r="AL9" s="96" t="s">
        <v>776</v>
      </c>
      <c r="AM9" s="95" t="s">
        <v>651</v>
      </c>
      <c r="AN9" s="96" t="s">
        <v>651</v>
      </c>
      <c r="AO9" s="95" t="s">
        <v>638</v>
      </c>
      <c r="AP9" s="98" t="s">
        <v>638</v>
      </c>
      <c r="AQ9" s="96" t="s">
        <v>647</v>
      </c>
      <c r="AR9" s="96" t="s">
        <v>647</v>
      </c>
      <c r="AS9" s="95"/>
      <c r="AT9" s="98"/>
      <c r="AU9" s="96"/>
      <c r="AV9" s="96"/>
      <c r="AW9" s="95"/>
      <c r="AX9" s="98"/>
      <c r="AY9" s="96"/>
      <c r="AZ9" s="96"/>
      <c r="BA9" s="95"/>
      <c r="BB9" s="98"/>
      <c r="BC9" s="99"/>
      <c r="BD9" s="95"/>
      <c r="BE9" s="96"/>
      <c r="BF9" s="96"/>
      <c r="BG9" s="98"/>
    </row>
    <row r="10" spans="1:59" ht="12" customHeight="1">
      <c r="A10" s="254">
        <f t="array" ref="A10">_xll.AC(DB,_xll.ArrayDPT($AA10:$AG10),_xll.ArrayCOA($AI10:$BB10),YR-1,PRD,_xll.ArrayDIM($BD10:$BG10))</f>
        <v>0</v>
      </c>
      <c r="B10" s="237">
        <f t="shared" si="0"/>
        <v>0</v>
      </c>
      <c r="C10" s="237">
        <f t="shared" si="1"/>
        <v>0</v>
      </c>
      <c r="D10" s="237">
        <f t="shared" si="2"/>
        <v>0</v>
      </c>
      <c r="E10" s="254">
        <f t="array" ref="E10">_xll.BC(DB,_xll.ArrayDPT($AA10:$AG10),_xll.ArrayCOA($AI10:$BB10),YR,PRD,RV,_xll.ArrayDIM($BD10:$BG10))</f>
        <v>0</v>
      </c>
      <c r="F10" s="237">
        <f t="shared" si="3"/>
        <v>0</v>
      </c>
      <c r="G10" s="254">
        <f t="array" ref="G10">_xll.AC(DB,_xll.ArrayDPT($AA10:$AG10),_xll.ArrayCOA($AI10:$BB10),YR,PRD,_xll.ArrayDIM($BD10:$BG10))</f>
        <v>0</v>
      </c>
      <c r="H10" s="237">
        <f t="shared" si="4"/>
        <v>0</v>
      </c>
      <c r="I10" s="237"/>
      <c r="J10" s="328" t="s">
        <v>1052</v>
      </c>
      <c r="K10" s="237"/>
      <c r="L10" s="254">
        <f t="array" ref="L10">_xll.ACC(DB,_xll.ArrayDPT($AA10:$AG10),_xll.ArrayCOA($AI10:$BB10),YR,PRD,_xll.ArrayDIM($BD10:$BG10))</f>
        <v>0</v>
      </c>
      <c r="M10" s="237">
        <f t="shared" si="5"/>
        <v>0</v>
      </c>
      <c r="N10" s="254">
        <f t="array" ref="N10">_xll.BCC(DB,_xll.ArrayDPT($AA10:$AG10),_xll.ArrayCOA($AI10:$BB10),YR,PRD,RV,_xll.ArrayDIM($BD10:$BG10))</f>
        <v>0</v>
      </c>
      <c r="O10" s="237">
        <f t="shared" si="6"/>
        <v>0</v>
      </c>
      <c r="P10" s="237">
        <f t="shared" si="7"/>
        <v>0</v>
      </c>
      <c r="Q10" s="237">
        <f t="shared" si="8"/>
        <v>0</v>
      </c>
      <c r="R10" s="254">
        <f t="array" ref="R10">_xll.ACC(DB,_xll.ArrayDPT($AA10:$AG10),_xll.ArrayCOA($AI10:$BB10),YR-1,PRD,_xll.ArrayDIM($BD10:$BG10))</f>
        <v>0</v>
      </c>
      <c r="S10" s="237">
        <f t="shared" si="9"/>
        <v>0</v>
      </c>
      <c r="T10" s="295"/>
      <c r="U10" s="295"/>
      <c r="V10" s="295"/>
      <c r="W10" s="295"/>
      <c r="X10" s="295"/>
      <c r="Y10" s="295"/>
      <c r="Z10" s="295"/>
      <c r="AA10" s="95"/>
      <c r="AB10" s="96"/>
      <c r="AC10" s="96"/>
      <c r="AD10" s="96"/>
      <c r="AE10" s="96"/>
      <c r="AF10" s="96"/>
      <c r="AG10" s="96"/>
      <c r="AH10" s="97"/>
      <c r="AI10" s="95"/>
      <c r="AJ10" s="96"/>
      <c r="AK10" s="95"/>
      <c r="AL10" s="96"/>
      <c r="AM10" s="95"/>
      <c r="AN10" s="96"/>
      <c r="AO10" s="95"/>
      <c r="AP10" s="98"/>
      <c r="AQ10" s="96"/>
      <c r="AR10" s="96"/>
      <c r="AS10" s="95"/>
      <c r="AT10" s="98"/>
      <c r="AU10" s="96"/>
      <c r="AV10" s="96"/>
      <c r="AW10" s="95"/>
      <c r="AX10" s="98"/>
      <c r="AY10" s="96"/>
      <c r="AZ10" s="96"/>
      <c r="BA10" s="95"/>
      <c r="BB10" s="98"/>
      <c r="BC10" s="99"/>
      <c r="BD10" s="95"/>
      <c r="BE10" s="96"/>
      <c r="BF10" s="96"/>
      <c r="BG10" s="98"/>
    </row>
    <row r="11" spans="1:59" ht="12" customHeight="1">
      <c r="A11" s="254">
        <f t="array" ref="A11">_xll.AC(DB,_xll.ArrayDPT($AA11:$AG11),_xll.ArrayCOA($AI11:$BB11),YR-1,PRD,_xll.ArrayDIM($BD11:$BG11))</f>
        <v>0</v>
      </c>
      <c r="B11" s="237">
        <f t="shared" si="0"/>
        <v>0</v>
      </c>
      <c r="C11" s="237">
        <f t="shared" si="1"/>
        <v>0</v>
      </c>
      <c r="D11" s="237">
        <f t="shared" si="2"/>
        <v>0</v>
      </c>
      <c r="E11" s="254">
        <f t="array" ref="E11">_xll.BC(DB,_xll.ArrayDPT($AA11:$AG11),_xll.ArrayCOA($AI11:$BB11),YR,PRD,RV,_xll.ArrayDIM($BD11:$BG11))</f>
        <v>0</v>
      </c>
      <c r="F11" s="237">
        <f t="shared" si="3"/>
        <v>0</v>
      </c>
      <c r="G11" s="254">
        <f t="array" ref="G11">_xll.AC(DB,_xll.ArrayDPT($AA11:$AG11),_xll.ArrayCOA($AI11:$BB11),YR,PRD,_xll.ArrayDIM($BD11:$BG11))</f>
        <v>0</v>
      </c>
      <c r="H11" s="237">
        <f t="shared" si="4"/>
        <v>0</v>
      </c>
      <c r="I11" s="237"/>
      <c r="J11" s="328" t="s">
        <v>1053</v>
      </c>
      <c r="K11" s="237"/>
      <c r="L11" s="254">
        <f t="array" ref="L11">_xll.ACC(DB,_xll.ArrayDPT($AA11:$AG11),_xll.ArrayCOA($AI11:$BB11),YR,PRD,_xll.ArrayDIM($BD11:$BG11))</f>
        <v>0</v>
      </c>
      <c r="M11" s="237">
        <f t="shared" si="5"/>
        <v>0</v>
      </c>
      <c r="N11" s="254">
        <f t="array" ref="N11">_xll.BCC(DB,_xll.ArrayDPT($AA11:$AG11),_xll.ArrayCOA($AI11:$BB11),YR,PRD,RV,_xll.ArrayDIM($BD11:$BG11))</f>
        <v>0</v>
      </c>
      <c r="O11" s="237">
        <f t="shared" si="6"/>
        <v>0</v>
      </c>
      <c r="P11" s="237">
        <f t="shared" si="7"/>
        <v>0</v>
      </c>
      <c r="Q11" s="237">
        <f t="shared" si="8"/>
        <v>0</v>
      </c>
      <c r="R11" s="254">
        <f t="array" ref="R11">_xll.ACC(DB,_xll.ArrayDPT($AA11:$AG11),_xll.ArrayCOA($AI11:$BB11),YR-1,PRD,_xll.ArrayDIM($BD11:$BG11))</f>
        <v>0</v>
      </c>
      <c r="S11" s="237">
        <f t="shared" si="9"/>
        <v>0</v>
      </c>
      <c r="T11" s="295"/>
      <c r="U11" s="295"/>
      <c r="V11" s="295"/>
      <c r="W11" s="295"/>
      <c r="X11" s="295"/>
      <c r="Y11" s="295"/>
      <c r="Z11" s="295"/>
      <c r="AA11" s="95"/>
      <c r="AB11" s="96"/>
      <c r="AC11" s="96"/>
      <c r="AD11" s="96"/>
      <c r="AE11" s="96"/>
      <c r="AF11" s="96"/>
      <c r="AG11" s="96"/>
      <c r="AH11" s="97"/>
      <c r="AI11" s="95"/>
      <c r="AJ11" s="96"/>
      <c r="AK11" s="95"/>
      <c r="AL11" s="96"/>
      <c r="AM11" s="95"/>
      <c r="AN11" s="96"/>
      <c r="AO11" s="95"/>
      <c r="AP11" s="98"/>
      <c r="AQ11" s="96"/>
      <c r="AR11" s="96"/>
      <c r="AS11" s="95"/>
      <c r="AT11" s="98"/>
      <c r="AU11" s="96"/>
      <c r="AV11" s="96"/>
      <c r="AW11" s="95"/>
      <c r="AX11" s="98"/>
      <c r="AY11" s="96"/>
      <c r="AZ11" s="96"/>
      <c r="BA11" s="95"/>
      <c r="BB11" s="98"/>
      <c r="BC11" s="99"/>
      <c r="BD11" s="95"/>
      <c r="BE11" s="96"/>
      <c r="BF11" s="96"/>
      <c r="BG11" s="98"/>
    </row>
    <row r="12" spans="1:59" ht="12" customHeight="1">
      <c r="A12" s="254">
        <f t="array" ref="A12">_xll.AC(DB,_xll.ArrayDPT($AA12:$AG12),_xll.ArrayCOA($AI12:$BB12),YR-1,PRD,_xll.ArrayDIM($BD12:$BG12))</f>
        <v>759983.32</v>
      </c>
      <c r="B12" s="237">
        <f t="shared" si="0"/>
        <v>56.907025402850309</v>
      </c>
      <c r="C12" s="237">
        <f t="shared" si="1"/>
        <v>-353245</v>
      </c>
      <c r="D12" s="237">
        <f t="shared" si="2"/>
        <v>39.321113290033146</v>
      </c>
      <c r="E12" s="254">
        <f t="array" ref="E12">_xll.BC(DB,_xll.ArrayDPT($AA12:$AG12),_xll.ArrayCOA($AI12:$BB12),YR,PRD,RV,_xll.ArrayDIM($BD12:$BG12))</f>
        <v>0</v>
      </c>
      <c r="F12" s="237">
        <f t="shared" si="3"/>
        <v>0</v>
      </c>
      <c r="G12" s="254">
        <f t="array" ref="G12">_xll.AC(DB,_xll.ArrayDPT($AA12:$AG12),_xll.ArrayCOA($AI12:$BB12),YR,PRD,_xll.ArrayDIM($BD12:$BG12))</f>
        <v>353245</v>
      </c>
      <c r="H12" s="237">
        <f t="shared" si="4"/>
        <v>39.321113290033146</v>
      </c>
      <c r="I12" s="237"/>
      <c r="J12" s="328" t="s">
        <v>1054</v>
      </c>
      <c r="K12" s="237"/>
      <c r="L12" s="254">
        <f t="array" ref="L12">_xll.ACC(DB,_xll.ArrayDPT($AA12:$AG12),_xll.ArrayCOA($AI12:$BB12),YR,PRD,_xll.ArrayDIM($BD12:$BG12))</f>
        <v>353245</v>
      </c>
      <c r="M12" s="237">
        <f t="shared" si="5"/>
        <v>39.321113290033146</v>
      </c>
      <c r="N12" s="254">
        <f t="array" ref="N12">_xll.BCC(DB,_xll.ArrayDPT($AA12:$AG12),_xll.ArrayCOA($AI12:$BB12),YR,PRD,RV,_xll.ArrayDIM($BD12:$BG12))</f>
        <v>0</v>
      </c>
      <c r="O12" s="237">
        <f t="shared" si="6"/>
        <v>0</v>
      </c>
      <c r="P12" s="237">
        <f t="shared" si="7"/>
        <v>-353245</v>
      </c>
      <c r="Q12" s="237">
        <f t="shared" si="8"/>
        <v>39.321113290033146</v>
      </c>
      <c r="R12" s="254">
        <f t="array" ref="R12">_xll.ACC(DB,_xll.ArrayDPT($AA12:$AG12),_xll.ArrayCOA($AI12:$BB12),YR-1,PRD,_xll.ArrayDIM($BD12:$BG12))</f>
        <v>759983.32</v>
      </c>
      <c r="S12" s="237">
        <f t="shared" si="9"/>
        <v>56.907025402850309</v>
      </c>
      <c r="T12" s="295"/>
      <c r="U12" s="295"/>
      <c r="V12" s="295"/>
      <c r="W12" s="295"/>
      <c r="X12" s="295"/>
      <c r="Y12" s="295"/>
      <c r="Z12" s="295"/>
      <c r="AA12" s="95" t="s">
        <v>932</v>
      </c>
      <c r="AB12" s="96" t="s">
        <v>933</v>
      </c>
      <c r="AC12" s="96" t="s">
        <v>938</v>
      </c>
      <c r="AD12" s="96" t="s">
        <v>936</v>
      </c>
      <c r="AE12" s="96"/>
      <c r="AF12" s="96"/>
      <c r="AG12" s="96"/>
      <c r="AH12" s="97"/>
      <c r="AI12" s="95" t="s">
        <v>934</v>
      </c>
      <c r="AJ12" s="96" t="s">
        <v>934</v>
      </c>
      <c r="AK12" s="95" t="s">
        <v>647</v>
      </c>
      <c r="AL12" s="96" t="s">
        <v>647</v>
      </c>
      <c r="AM12" s="95" t="s">
        <v>940</v>
      </c>
      <c r="AN12" s="96" t="s">
        <v>940</v>
      </c>
      <c r="AO12" s="95" t="s">
        <v>641</v>
      </c>
      <c r="AP12" s="98" t="s">
        <v>641</v>
      </c>
      <c r="AQ12" s="96" t="s">
        <v>651</v>
      </c>
      <c r="AR12" s="96" t="s">
        <v>651</v>
      </c>
      <c r="AS12" s="95" t="s">
        <v>638</v>
      </c>
      <c r="AT12" s="98" t="s">
        <v>638</v>
      </c>
      <c r="AU12" s="96"/>
      <c r="AV12" s="96"/>
      <c r="AW12" s="95"/>
      <c r="AX12" s="98"/>
      <c r="AY12" s="96"/>
      <c r="AZ12" s="96"/>
      <c r="BA12" s="95"/>
      <c r="BB12" s="98"/>
      <c r="BC12" s="99"/>
      <c r="BD12" s="95"/>
      <c r="BE12" s="96"/>
      <c r="BF12" s="96"/>
      <c r="BG12" s="98"/>
    </row>
    <row r="13" spans="1:59" ht="12" customHeight="1">
      <c r="A13" s="254">
        <f t="array" ref="A13">_xll.AC(DB,_xll.ArrayDPT($AA13:$AG13),_xll.ArrayCOA($AI13:$BB13),YR-1,PRD,_xll.ArrayDIM($BD13:$BG13))</f>
        <v>112000</v>
      </c>
      <c r="B13" s="237">
        <f t="shared" si="0"/>
        <v>8.3864825416421436</v>
      </c>
      <c r="C13" s="237">
        <f t="shared" si="1"/>
        <v>-99750</v>
      </c>
      <c r="D13" s="237">
        <f t="shared" si="2"/>
        <v>11.103571319284933</v>
      </c>
      <c r="E13" s="254">
        <f t="array" ref="E13">_xll.BC(DB,_xll.ArrayDPT($AA13:$AG13),_xll.ArrayCOA($AI13:$BB13),YR,PRD,RV,_xll.ArrayDIM($BD13:$BG13))</f>
        <v>0</v>
      </c>
      <c r="F13" s="237">
        <f t="shared" si="3"/>
        <v>0</v>
      </c>
      <c r="G13" s="254">
        <f t="array" ref="G13">_xll.AC(DB,_xll.ArrayDPT($AA13:$AG13),_xll.ArrayCOA($AI13:$BB13),YR,PRD,_xll.ArrayDIM($BD13:$BG13))</f>
        <v>99750</v>
      </c>
      <c r="H13" s="237">
        <f t="shared" si="4"/>
        <v>11.103571319284933</v>
      </c>
      <c r="I13" s="237"/>
      <c r="J13" s="328" t="s">
        <v>1055</v>
      </c>
      <c r="K13" s="237"/>
      <c r="L13" s="254">
        <f t="array" ref="L13">_xll.ACC(DB,_xll.ArrayDPT($AA13:$AG13),_xll.ArrayCOA($AI13:$BB13),YR,PRD,_xll.ArrayDIM($BD13:$BG13))</f>
        <v>99750</v>
      </c>
      <c r="M13" s="237">
        <f t="shared" si="5"/>
        <v>11.103571319284933</v>
      </c>
      <c r="N13" s="254">
        <f t="array" ref="N13">_xll.BCC(DB,_xll.ArrayDPT($AA13:$AG13),_xll.ArrayCOA($AI13:$BB13),YR,PRD,RV,_xll.ArrayDIM($BD13:$BG13))</f>
        <v>0</v>
      </c>
      <c r="O13" s="237">
        <f t="shared" si="6"/>
        <v>0</v>
      </c>
      <c r="P13" s="237">
        <f t="shared" si="7"/>
        <v>-99750</v>
      </c>
      <c r="Q13" s="237">
        <f t="shared" si="8"/>
        <v>11.103571319284933</v>
      </c>
      <c r="R13" s="254">
        <f t="array" ref="R13">_xll.ACC(DB,_xll.ArrayDPT($AA13:$AG13),_xll.ArrayCOA($AI13:$BB13),YR-1,PRD,_xll.ArrayDIM($BD13:$BG13))</f>
        <v>112000</v>
      </c>
      <c r="S13" s="237">
        <f t="shared" si="9"/>
        <v>8.3864825416421436</v>
      </c>
      <c r="T13" s="295"/>
      <c r="U13" s="295"/>
      <c r="V13" s="295"/>
      <c r="W13" s="295"/>
      <c r="X13" s="295"/>
      <c r="Y13" s="295"/>
      <c r="Z13" s="295"/>
      <c r="AA13" s="95" t="s">
        <v>1010</v>
      </c>
      <c r="AB13" s="96" t="s">
        <v>1011</v>
      </c>
      <c r="AC13" s="96"/>
      <c r="AD13" s="96"/>
      <c r="AE13" s="96"/>
      <c r="AF13" s="96"/>
      <c r="AG13" s="96"/>
      <c r="AH13" s="97"/>
      <c r="AI13" s="95" t="s">
        <v>1012</v>
      </c>
      <c r="AJ13" s="96" t="s">
        <v>1012</v>
      </c>
      <c r="AK13" s="95" t="s">
        <v>651</v>
      </c>
      <c r="AL13" s="96" t="s">
        <v>651</v>
      </c>
      <c r="AM13" s="95" t="s">
        <v>638</v>
      </c>
      <c r="AN13" s="96" t="s">
        <v>638</v>
      </c>
      <c r="AO13" s="95" t="s">
        <v>647</v>
      </c>
      <c r="AP13" s="98" t="s">
        <v>647</v>
      </c>
      <c r="AQ13" s="96" t="s">
        <v>641</v>
      </c>
      <c r="AR13" s="96" t="s">
        <v>641</v>
      </c>
      <c r="AS13" s="95"/>
      <c r="AT13" s="98"/>
      <c r="AU13" s="96"/>
      <c r="AV13" s="96"/>
      <c r="AW13" s="95"/>
      <c r="AX13" s="98"/>
      <c r="AY13" s="96"/>
      <c r="AZ13" s="96"/>
      <c r="BA13" s="95"/>
      <c r="BB13" s="98"/>
      <c r="BC13" s="99"/>
      <c r="BD13" s="95"/>
      <c r="BE13" s="96"/>
      <c r="BF13" s="96"/>
      <c r="BG13" s="98"/>
    </row>
    <row r="14" spans="1:59" ht="12" customHeight="1">
      <c r="A14" s="254">
        <f t="array" ref="A14">_xll.AC(DB,_xll.ArrayDPT($AA14:$AG14),_xll.ArrayCOA($AI14:$BB14),YR-1,PRD,_xll.ArrayDIM($BD14:$BG14))</f>
        <v>67000</v>
      </c>
      <c r="B14" s="237">
        <f t="shared" si="0"/>
        <v>5.0169136633037823</v>
      </c>
      <c r="C14" s="237">
        <f t="shared" si="1"/>
        <v>-47225</v>
      </c>
      <c r="D14" s="237">
        <f t="shared" si="2"/>
        <v>5.2568035644434188</v>
      </c>
      <c r="E14" s="254">
        <f t="array" ref="E14">_xll.BC(DB,_xll.ArrayDPT($AA14:$AG14),_xll.ArrayCOA($AI14:$BB14),YR,PRD,RV,_xll.ArrayDIM($BD14:$BG14))</f>
        <v>0</v>
      </c>
      <c r="F14" s="237">
        <f t="shared" si="3"/>
        <v>0</v>
      </c>
      <c r="G14" s="254">
        <f t="array" ref="G14">_xll.AC(DB,_xll.ArrayDPT($AA14:$AG14),_xll.ArrayCOA($AI14:$BB14),YR,PRD,_xll.ArrayDIM($BD14:$BG14))</f>
        <v>47225</v>
      </c>
      <c r="H14" s="237">
        <f t="shared" si="4"/>
        <v>5.2568035644434188</v>
      </c>
      <c r="I14" s="237"/>
      <c r="J14" s="328" t="s">
        <v>1056</v>
      </c>
      <c r="K14" s="237"/>
      <c r="L14" s="254">
        <f t="array" ref="L14">_xll.ACC(DB,_xll.ArrayDPT($AA14:$AG14),_xll.ArrayCOA($AI14:$BB14),YR,PRD,_xll.ArrayDIM($BD14:$BG14))</f>
        <v>47225</v>
      </c>
      <c r="M14" s="237">
        <f t="shared" si="5"/>
        <v>5.2568035644434188</v>
      </c>
      <c r="N14" s="254">
        <f t="array" ref="N14">_xll.BCC(DB,_xll.ArrayDPT($AA14:$AG14),_xll.ArrayCOA($AI14:$BB14),YR,PRD,RV,_xll.ArrayDIM($BD14:$BG14))</f>
        <v>0</v>
      </c>
      <c r="O14" s="237">
        <f t="shared" si="6"/>
        <v>0</v>
      </c>
      <c r="P14" s="237">
        <f t="shared" si="7"/>
        <v>-47225</v>
      </c>
      <c r="Q14" s="237">
        <f t="shared" si="8"/>
        <v>5.2568035644434188</v>
      </c>
      <c r="R14" s="254">
        <f t="array" ref="R14">_xll.ACC(DB,_xll.ArrayDPT($AA14:$AG14),_xll.ArrayCOA($AI14:$BB14),YR-1,PRD,_xll.ArrayDIM($BD14:$BG14))</f>
        <v>67000</v>
      </c>
      <c r="S14" s="237">
        <f t="shared" si="9"/>
        <v>5.0169136633037823</v>
      </c>
      <c r="T14" s="295"/>
      <c r="U14" s="295"/>
      <c r="V14" s="295"/>
      <c r="W14" s="295"/>
      <c r="X14" s="295"/>
      <c r="Y14" s="295"/>
      <c r="Z14" s="295"/>
      <c r="AA14" s="95" t="s">
        <v>1057</v>
      </c>
      <c r="AB14" s="96" t="s">
        <v>1058</v>
      </c>
      <c r="AC14" s="96"/>
      <c r="AD14" s="96"/>
      <c r="AE14" s="96"/>
      <c r="AF14" s="96"/>
      <c r="AG14" s="96"/>
      <c r="AH14" s="97"/>
      <c r="AI14" s="95" t="s">
        <v>641</v>
      </c>
      <c r="AJ14" s="96" t="s">
        <v>641</v>
      </c>
      <c r="AK14" s="95" t="s">
        <v>1059</v>
      </c>
      <c r="AL14" s="96" t="s">
        <v>1059</v>
      </c>
      <c r="AM14" s="95" t="s">
        <v>651</v>
      </c>
      <c r="AN14" s="96" t="s">
        <v>651</v>
      </c>
      <c r="AO14" s="95" t="s">
        <v>647</v>
      </c>
      <c r="AP14" s="98" t="s">
        <v>647</v>
      </c>
      <c r="AQ14" s="96" t="s">
        <v>638</v>
      </c>
      <c r="AR14" s="96" t="s">
        <v>638</v>
      </c>
      <c r="AS14" s="95"/>
      <c r="AT14" s="98"/>
      <c r="AU14" s="96"/>
      <c r="AV14" s="96"/>
      <c r="AW14" s="95"/>
      <c r="AX14" s="98"/>
      <c r="AY14" s="96"/>
      <c r="AZ14" s="96"/>
      <c r="BA14" s="95"/>
      <c r="BB14" s="98"/>
      <c r="BC14" s="99"/>
      <c r="BD14" s="95"/>
      <c r="BE14" s="96"/>
      <c r="BF14" s="96"/>
      <c r="BG14" s="98"/>
    </row>
    <row r="15" spans="1:59" ht="12" customHeight="1">
      <c r="A15" s="254">
        <f t="array" ref="A15">_xll.AC(DB,_xll.ArrayDPT($AA15:$AG15),_xll.ArrayCOA($AI15:$BB15),YR-1,PRD,_xll.ArrayDIM($BD15:$BG15))</f>
        <v>0</v>
      </c>
      <c r="B15" s="237">
        <f t="shared" si="0"/>
        <v>0</v>
      </c>
      <c r="C15" s="237">
        <f t="shared" si="1"/>
        <v>0</v>
      </c>
      <c r="D15" s="237">
        <f t="shared" si="2"/>
        <v>0</v>
      </c>
      <c r="E15" s="254">
        <f t="array" ref="E15">_xll.BC(DB,_xll.ArrayDPT($AA15:$AG15),_xll.ArrayCOA($AI15:$BB15),YR,PRD,RV,_xll.ArrayDIM($BD15:$BG15))</f>
        <v>0</v>
      </c>
      <c r="F15" s="237">
        <f t="shared" si="3"/>
        <v>0</v>
      </c>
      <c r="G15" s="254">
        <f t="array" ref="G15">_xll.AC(DB,_xll.ArrayDPT($AA15:$AG15),_xll.ArrayCOA($AI15:$BB15),YR,PRD,_xll.ArrayDIM($BD15:$BG15))</f>
        <v>0</v>
      </c>
      <c r="H15" s="237">
        <f t="shared" si="4"/>
        <v>0</v>
      </c>
      <c r="I15" s="237"/>
      <c r="J15" s="328" t="s">
        <v>1060</v>
      </c>
      <c r="K15" s="237"/>
      <c r="L15" s="254">
        <f t="array" ref="L15">_xll.ACC(DB,_xll.ArrayDPT($AA15:$AG15),_xll.ArrayCOA($AI15:$BB15),YR,PRD,_xll.ArrayDIM($BD15:$BG15))</f>
        <v>0</v>
      </c>
      <c r="M15" s="237">
        <f t="shared" si="5"/>
        <v>0</v>
      </c>
      <c r="N15" s="254">
        <f t="array" ref="N15">_xll.BCC(DB,_xll.ArrayDPT($AA15:$AG15),_xll.ArrayCOA($AI15:$BB15),YR,PRD,RV,_xll.ArrayDIM($BD15:$BG15))</f>
        <v>0</v>
      </c>
      <c r="O15" s="237">
        <f t="shared" si="6"/>
        <v>0</v>
      </c>
      <c r="P15" s="237">
        <f t="shared" si="7"/>
        <v>0</v>
      </c>
      <c r="Q15" s="237">
        <f t="shared" si="8"/>
        <v>0</v>
      </c>
      <c r="R15" s="254">
        <f t="array" ref="R15">_xll.ACC(DB,_xll.ArrayDPT($AA15:$AG15),_xll.ArrayCOA($AI15:$BB15),YR-1,PRD,_xll.ArrayDIM($BD15:$BG15))</f>
        <v>0</v>
      </c>
      <c r="S15" s="237">
        <f t="shared" si="9"/>
        <v>0</v>
      </c>
      <c r="T15" s="295"/>
      <c r="U15" s="295"/>
      <c r="V15" s="295"/>
      <c r="W15" s="295"/>
      <c r="X15" s="295"/>
      <c r="Y15" s="295"/>
      <c r="Z15" s="295"/>
      <c r="AA15" s="95" t="s">
        <v>936</v>
      </c>
      <c r="AB15" s="96"/>
      <c r="AC15" s="96"/>
      <c r="AD15" s="96"/>
      <c r="AE15" s="96"/>
      <c r="AF15" s="96"/>
      <c r="AG15" s="96"/>
      <c r="AH15" s="97"/>
      <c r="AI15" s="95" t="s">
        <v>934</v>
      </c>
      <c r="AJ15" s="96" t="s">
        <v>934</v>
      </c>
      <c r="AK15" s="95"/>
      <c r="AL15" s="96"/>
      <c r="AM15" s="95"/>
      <c r="AN15" s="96"/>
      <c r="AO15" s="95"/>
      <c r="AP15" s="98"/>
      <c r="AQ15" s="96"/>
      <c r="AR15" s="96"/>
      <c r="AS15" s="95"/>
      <c r="AT15" s="98"/>
      <c r="AU15" s="96"/>
      <c r="AV15" s="96"/>
      <c r="AW15" s="95"/>
      <c r="AX15" s="98"/>
      <c r="AY15" s="96"/>
      <c r="AZ15" s="96"/>
      <c r="BA15" s="95"/>
      <c r="BB15" s="98"/>
      <c r="BC15" s="99"/>
      <c r="BD15" s="95"/>
      <c r="BE15" s="96"/>
      <c r="BF15" s="96"/>
      <c r="BG15" s="98"/>
    </row>
    <row r="16" spans="1:59" ht="6" customHeight="1">
      <c r="A16" s="330"/>
      <c r="B16" s="329"/>
      <c r="C16" s="392"/>
      <c r="D16" s="329"/>
      <c r="E16" s="392"/>
      <c r="F16" s="329"/>
      <c r="G16" s="392"/>
      <c r="H16" s="329"/>
      <c r="I16" s="398"/>
      <c r="J16" s="392"/>
      <c r="K16" s="399"/>
      <c r="L16" s="393"/>
      <c r="M16" s="333"/>
      <c r="N16" s="393"/>
      <c r="O16" s="333"/>
      <c r="P16" s="393"/>
      <c r="Q16" s="333"/>
      <c r="R16" s="393"/>
      <c r="S16" s="341"/>
      <c r="T16" s="328"/>
      <c r="U16" s="328"/>
      <c r="V16" s="328"/>
      <c r="W16" s="328"/>
      <c r="X16" s="328"/>
      <c r="Y16" s="328"/>
      <c r="Z16" s="328"/>
      <c r="AA16" s="95"/>
      <c r="AB16" s="96"/>
      <c r="AC16" s="96"/>
      <c r="AD16" s="96"/>
      <c r="AE16" s="96"/>
      <c r="AF16" s="96"/>
      <c r="AG16" s="96"/>
      <c r="AH16" s="97"/>
      <c r="AI16" s="95"/>
      <c r="AJ16" s="96"/>
      <c r="AK16" s="95"/>
      <c r="AL16" s="96"/>
      <c r="AM16" s="95"/>
      <c r="AN16" s="96"/>
      <c r="AO16" s="95"/>
      <c r="AP16" s="98"/>
      <c r="AQ16" s="96"/>
      <c r="AR16" s="96"/>
      <c r="AS16" s="95"/>
      <c r="AT16" s="98"/>
      <c r="AU16" s="96"/>
      <c r="AV16" s="96"/>
      <c r="AW16" s="95"/>
      <c r="AX16" s="98"/>
      <c r="AY16" s="96"/>
      <c r="AZ16" s="96"/>
      <c r="BA16" s="95"/>
      <c r="BB16" s="98"/>
      <c r="BC16" s="99"/>
      <c r="BD16" s="95"/>
      <c r="BE16" s="96"/>
      <c r="BF16" s="96"/>
      <c r="BG16" s="98"/>
    </row>
    <row r="17" spans="1:59" ht="12" customHeight="1">
      <c r="A17" s="394">
        <f>SUM(A8:A15)</f>
        <v>1316816.6599999999</v>
      </c>
      <c r="B17" s="338">
        <f t="shared" ref="B17:B19" si="10">IF(A17=0,0,(A17*100)/A$44)</f>
        <v>98.602320800299253</v>
      </c>
      <c r="C17" s="395">
        <f>SUM(C8:C15)</f>
        <v>-898359.6100000001</v>
      </c>
      <c r="D17" s="338">
        <f t="shared" ref="D17:D19" si="11">IF(C17=0,0,(C17*100)/C$44)</f>
        <v>100</v>
      </c>
      <c r="E17" s="395">
        <f>SUM(E8:E15)</f>
        <v>0</v>
      </c>
      <c r="F17" s="338">
        <f t="shared" ref="F17:F19" si="12">IF(E17=0,0,(E17*100)/E$44)</f>
        <v>0</v>
      </c>
      <c r="G17" s="395">
        <f>SUM(G8:G15)</f>
        <v>898359.6100000001</v>
      </c>
      <c r="H17" s="338">
        <f t="shared" ref="H17:H19" si="13">IF(G17=0,0,(G17*100)/G$44)</f>
        <v>100</v>
      </c>
      <c r="I17" s="394"/>
      <c r="J17" s="396" t="s">
        <v>1061</v>
      </c>
      <c r="K17" s="400"/>
      <c r="L17" s="395">
        <f>SUM(L8:L15)</f>
        <v>898359.6100000001</v>
      </c>
      <c r="M17" s="338">
        <f t="shared" ref="M17:M19" si="14">IF(L17=0,0,(L17*100)/L$44)</f>
        <v>100</v>
      </c>
      <c r="N17" s="395">
        <f>SUM(N8:N15)</f>
        <v>0</v>
      </c>
      <c r="O17" s="338">
        <f t="shared" ref="O17:O19" si="15">IF(N17=0,0,(N17*100)/N$44)</f>
        <v>0</v>
      </c>
      <c r="P17" s="395">
        <f>SUM(P8:P15)</f>
        <v>-898359.6100000001</v>
      </c>
      <c r="Q17" s="338">
        <f t="shared" ref="Q17:Q19" si="16">IF(P17=0,0,(P17*100)/P$44)</f>
        <v>100</v>
      </c>
      <c r="R17" s="395">
        <f>SUM(R8:R15)</f>
        <v>1316816.6599999999</v>
      </c>
      <c r="S17" s="338">
        <f t="shared" ref="S17:S19" si="17">IF(R17=0,0,(R17*100)/R$44)</f>
        <v>98.602320800299253</v>
      </c>
      <c r="T17" s="397"/>
      <c r="U17" s="397"/>
      <c r="V17" s="397"/>
      <c r="W17" s="397"/>
      <c r="X17" s="397"/>
      <c r="Y17" s="397"/>
      <c r="Z17" s="397"/>
      <c r="AA17" s="95"/>
      <c r="AB17" s="96"/>
      <c r="AC17" s="96"/>
      <c r="AD17" s="96"/>
      <c r="AE17" s="96"/>
      <c r="AF17" s="96"/>
      <c r="AG17" s="96"/>
      <c r="AH17" s="97"/>
      <c r="AI17" s="95"/>
      <c r="AJ17" s="96"/>
      <c r="AK17" s="95"/>
      <c r="AL17" s="96"/>
      <c r="AM17" s="95"/>
      <c r="AN17" s="96"/>
      <c r="AO17" s="95"/>
      <c r="AP17" s="98"/>
      <c r="AQ17" s="96"/>
      <c r="AR17" s="96"/>
      <c r="AS17" s="95"/>
      <c r="AT17" s="98"/>
      <c r="AU17" s="96"/>
      <c r="AV17" s="96"/>
      <c r="AW17" s="95"/>
      <c r="AX17" s="98"/>
      <c r="AY17" s="96"/>
      <c r="AZ17" s="96"/>
      <c r="BA17" s="95"/>
      <c r="BB17" s="98"/>
      <c r="BC17" s="99"/>
      <c r="BD17" s="95"/>
      <c r="BE17" s="96"/>
      <c r="BF17" s="96"/>
      <c r="BG17" s="98"/>
    </row>
    <row r="18" spans="1:59" ht="12" customHeight="1">
      <c r="A18" s="254">
        <f t="array" ref="A18">_xll.AC(DB,_xll.ArrayDPT($AA18:$AG18),_xll.ArrayCOA($AI18:$BB18),YR-1,PRD,_xll.ArrayDIM($BD18:$BG18))</f>
        <v>0</v>
      </c>
      <c r="B18" s="237">
        <f t="shared" si="10"/>
        <v>0</v>
      </c>
      <c r="C18" s="237">
        <f t="shared" ref="C18:C19" si="18">+E18-G18</f>
        <v>0</v>
      </c>
      <c r="D18" s="237">
        <f t="shared" si="11"/>
        <v>0</v>
      </c>
      <c r="E18" s="254">
        <f t="array" ref="E18">_xll.BC(DB,_xll.ArrayDPT($AA18:$AG18),_xll.ArrayCOA($AI18:$BB18),YR,PRD,RV,_xll.ArrayDIM($BD18:$BG18))</f>
        <v>0</v>
      </c>
      <c r="F18" s="237">
        <f t="shared" si="12"/>
        <v>0</v>
      </c>
      <c r="G18" s="254">
        <f t="array" ref="G18">_xll.AC(DB,_xll.ArrayDPT($AA18:$AG18),_xll.ArrayCOA($AI18:$BB18),YR,PRD,_xll.ArrayDIM($BD18:$BG18))</f>
        <v>0</v>
      </c>
      <c r="H18" s="237">
        <f t="shared" si="13"/>
        <v>0</v>
      </c>
      <c r="I18" s="237"/>
      <c r="J18" s="328" t="s">
        <v>648</v>
      </c>
      <c r="K18" s="237"/>
      <c r="L18" s="254">
        <f t="array" ref="L18">_xll.ACC(DB,_xll.ArrayDPT($AA18:$AG18),_xll.ArrayCOA($AI18:$BB18),YR,PRD,_xll.ArrayDIM($BD18:$BG18))</f>
        <v>0</v>
      </c>
      <c r="M18" s="237">
        <f t="shared" si="14"/>
        <v>0</v>
      </c>
      <c r="N18" s="254">
        <f t="array" ref="N18">_xll.BCC(DB,_xll.ArrayDPT($AA18:$AG18),_xll.ArrayCOA($AI18:$BB18),YR,PRD,RV,_xll.ArrayDIM($BD18:$BG18))</f>
        <v>0</v>
      </c>
      <c r="O18" s="237">
        <f t="shared" si="15"/>
        <v>0</v>
      </c>
      <c r="P18" s="237">
        <f t="shared" ref="P18:P19" si="19">+N18-L18</f>
        <v>0</v>
      </c>
      <c r="Q18" s="237">
        <f t="shared" si="16"/>
        <v>0</v>
      </c>
      <c r="R18" s="254">
        <f t="array" ref="R18">_xll.ACC(DB,_xll.ArrayDPT($AA18:$AG18),_xll.ArrayCOA($AI18:$BB18),YR-1,PRD,_xll.ArrayDIM($BD18:$BG18))</f>
        <v>0</v>
      </c>
      <c r="S18" s="237">
        <f t="shared" si="17"/>
        <v>0</v>
      </c>
      <c r="T18" s="295"/>
      <c r="U18" s="295"/>
      <c r="V18" s="295"/>
      <c r="W18" s="295"/>
      <c r="X18" s="295"/>
      <c r="Y18" s="295"/>
      <c r="Z18" s="295"/>
      <c r="AA18" s="95"/>
      <c r="AB18" s="96"/>
      <c r="AC18" s="96"/>
      <c r="AD18" s="96"/>
      <c r="AE18" s="96"/>
      <c r="AF18" s="96"/>
      <c r="AG18" s="96"/>
      <c r="AH18" s="97"/>
      <c r="AI18" s="95"/>
      <c r="AJ18" s="96"/>
      <c r="AK18" s="95"/>
      <c r="AL18" s="96"/>
      <c r="AM18" s="95"/>
      <c r="AN18" s="96"/>
      <c r="AO18" s="95"/>
      <c r="AP18" s="98"/>
      <c r="AQ18" s="96"/>
      <c r="AR18" s="96"/>
      <c r="AS18" s="95"/>
      <c r="AT18" s="98"/>
      <c r="AU18" s="96"/>
      <c r="AV18" s="96"/>
      <c r="AW18" s="95"/>
      <c r="AX18" s="98"/>
      <c r="AY18" s="96"/>
      <c r="AZ18" s="96"/>
      <c r="BA18" s="95"/>
      <c r="BB18" s="98"/>
      <c r="BC18" s="99"/>
      <c r="BD18" s="95"/>
      <c r="BE18" s="96"/>
      <c r="BF18" s="96"/>
      <c r="BG18" s="98"/>
    </row>
    <row r="19" spans="1:59" ht="12" customHeight="1">
      <c r="A19" s="254">
        <f t="array" ref="A19">_xll.AC(DB,_xll.ArrayDPT($AA19:$AG19),_xll.ArrayCOA($AI19:$BB19),YR-1,PRD,_xll.ArrayDIM($BD19:$BG19))</f>
        <v>0</v>
      </c>
      <c r="B19" s="237">
        <f t="shared" si="10"/>
        <v>0</v>
      </c>
      <c r="C19" s="237">
        <f t="shared" si="18"/>
        <v>0</v>
      </c>
      <c r="D19" s="237">
        <f t="shared" si="11"/>
        <v>0</v>
      </c>
      <c r="E19" s="254">
        <f t="array" ref="E19">_xll.BC(DB,_xll.ArrayDPT($AA19:$AG19),_xll.ArrayCOA($AI19:$BB19),YR,PRD,RV,_xll.ArrayDIM($BD19:$BG19))</f>
        <v>0</v>
      </c>
      <c r="F19" s="237">
        <f t="shared" si="12"/>
        <v>0</v>
      </c>
      <c r="G19" s="254">
        <f t="array" ref="G19">_xll.AC(DB,_xll.ArrayDPT($AA19:$AG19),_xll.ArrayCOA($AI19:$BB19),YR,PRD,_xll.ArrayDIM($BD19:$BG19))</f>
        <v>0</v>
      </c>
      <c r="H19" s="237">
        <f t="shared" si="13"/>
        <v>0</v>
      </c>
      <c r="I19" s="237"/>
      <c r="J19" s="328" t="s">
        <v>1062</v>
      </c>
      <c r="K19" s="237"/>
      <c r="L19" s="254">
        <f t="array" ref="L19">_xll.ACC(DB,_xll.ArrayDPT($AA19:$AG19),_xll.ArrayCOA($AI19:$BB19),YR,PRD,_xll.ArrayDIM($BD19:$BG19))</f>
        <v>0</v>
      </c>
      <c r="M19" s="237">
        <f t="shared" si="14"/>
        <v>0</v>
      </c>
      <c r="N19" s="254">
        <f t="array" ref="N19">_xll.BCC(DB,_xll.ArrayDPT($AA19:$AG19),_xll.ArrayCOA($AI19:$BB19),YR,PRD,RV,_xll.ArrayDIM($BD19:$BG19))</f>
        <v>0</v>
      </c>
      <c r="O19" s="237">
        <f t="shared" si="15"/>
        <v>0</v>
      </c>
      <c r="P19" s="237">
        <f t="shared" si="19"/>
        <v>0</v>
      </c>
      <c r="Q19" s="237">
        <f t="shared" si="16"/>
        <v>0</v>
      </c>
      <c r="R19" s="254">
        <f t="array" ref="R19">_xll.ACC(DB,_xll.ArrayDPT($AA19:$AG19),_xll.ArrayCOA($AI19:$BB19),YR-1,PRD,_xll.ArrayDIM($BD19:$BG19))</f>
        <v>0</v>
      </c>
      <c r="S19" s="237">
        <f t="shared" si="17"/>
        <v>0</v>
      </c>
      <c r="T19" s="295"/>
      <c r="U19" s="295"/>
      <c r="V19" s="295"/>
      <c r="W19" s="295"/>
      <c r="X19" s="295"/>
      <c r="Y19" s="295"/>
      <c r="Z19" s="295"/>
      <c r="AA19" s="95"/>
      <c r="AB19" s="96"/>
      <c r="AC19" s="96"/>
      <c r="AD19" s="96"/>
      <c r="AE19" s="96"/>
      <c r="AF19" s="96"/>
      <c r="AG19" s="96"/>
      <c r="AH19" s="97"/>
      <c r="AI19" s="95"/>
      <c r="AJ19" s="96"/>
      <c r="AK19" s="95"/>
      <c r="AL19" s="96"/>
      <c r="AM19" s="95"/>
      <c r="AN19" s="96"/>
      <c r="AO19" s="95"/>
      <c r="AP19" s="98"/>
      <c r="AQ19" s="96"/>
      <c r="AR19" s="96"/>
      <c r="AS19" s="95"/>
      <c r="AT19" s="98"/>
      <c r="AU19" s="96"/>
      <c r="AV19" s="96"/>
      <c r="AW19" s="95"/>
      <c r="AX19" s="98"/>
      <c r="AY19" s="96"/>
      <c r="AZ19" s="96"/>
      <c r="BA19" s="95"/>
      <c r="BB19" s="98"/>
      <c r="BC19" s="99"/>
      <c r="BD19" s="95"/>
      <c r="BE19" s="96"/>
      <c r="BF19" s="96"/>
      <c r="BG19" s="98"/>
    </row>
    <row r="20" spans="1:59" ht="6" customHeight="1">
      <c r="A20" s="330"/>
      <c r="B20" s="329"/>
      <c r="C20" s="392"/>
      <c r="D20" s="329"/>
      <c r="E20" s="392"/>
      <c r="F20" s="329"/>
      <c r="G20" s="392"/>
      <c r="H20" s="329"/>
      <c r="I20" s="398"/>
      <c r="J20" s="392"/>
      <c r="K20" s="399"/>
      <c r="L20" s="393"/>
      <c r="M20" s="333"/>
      <c r="N20" s="393"/>
      <c r="O20" s="333"/>
      <c r="P20" s="393"/>
      <c r="Q20" s="333"/>
      <c r="R20" s="393"/>
      <c r="S20" s="341"/>
      <c r="T20" s="328"/>
      <c r="U20" s="328"/>
      <c r="V20" s="328"/>
      <c r="W20" s="328"/>
      <c r="X20" s="328"/>
      <c r="Y20" s="328"/>
      <c r="Z20" s="328"/>
      <c r="AA20" s="95"/>
      <c r="AB20" s="96"/>
      <c r="AC20" s="96"/>
      <c r="AD20" s="96"/>
      <c r="AE20" s="96"/>
      <c r="AF20" s="96"/>
      <c r="AG20" s="96"/>
      <c r="AH20" s="97"/>
      <c r="AI20" s="95"/>
      <c r="AJ20" s="96"/>
      <c r="AK20" s="95"/>
      <c r="AL20" s="96"/>
      <c r="AM20" s="95"/>
      <c r="AN20" s="96"/>
      <c r="AO20" s="95"/>
      <c r="AP20" s="98"/>
      <c r="AQ20" s="96"/>
      <c r="AR20" s="96"/>
      <c r="AS20" s="95"/>
      <c r="AT20" s="98"/>
      <c r="AU20" s="96"/>
      <c r="AV20" s="96"/>
      <c r="AW20" s="95"/>
      <c r="AX20" s="98"/>
      <c r="AY20" s="96"/>
      <c r="AZ20" s="96"/>
      <c r="BA20" s="95"/>
      <c r="BB20" s="98"/>
      <c r="BC20" s="99"/>
      <c r="BD20" s="95"/>
      <c r="BE20" s="96"/>
      <c r="BF20" s="96"/>
      <c r="BG20" s="98"/>
    </row>
    <row r="21" spans="1:59" ht="12" customHeight="1">
      <c r="A21" s="394">
        <f>SUM(A17:A19)</f>
        <v>1316816.6599999999</v>
      </c>
      <c r="B21" s="338">
        <f>IF(A21=0,0,(A21*100)/A$44)</f>
        <v>98.602320800299253</v>
      </c>
      <c r="C21" s="395">
        <f>SUM(C17:C19)</f>
        <v>-898359.6100000001</v>
      </c>
      <c r="D21" s="338">
        <f>IF(C21=0,0,(C21*100)/C$44)</f>
        <v>100</v>
      </c>
      <c r="E21" s="395">
        <f>SUM(E17:E19)</f>
        <v>0</v>
      </c>
      <c r="F21" s="338">
        <f>IF(E21=0,0,(E21*100)/E$44)</f>
        <v>0</v>
      </c>
      <c r="G21" s="395">
        <f>SUM(G17:G19)</f>
        <v>898359.6100000001</v>
      </c>
      <c r="H21" s="338">
        <f>IF(G21=0,0,(G21*100)/G$44)</f>
        <v>100</v>
      </c>
      <c r="I21" s="394"/>
      <c r="J21" s="396" t="s">
        <v>1063</v>
      </c>
      <c r="K21" s="400"/>
      <c r="L21" s="395">
        <f>SUM(L17:L19)</f>
        <v>898359.6100000001</v>
      </c>
      <c r="M21" s="338">
        <f>IF(L21=0,0,(L21*100)/L$44)</f>
        <v>100</v>
      </c>
      <c r="N21" s="395">
        <f>SUM(N17:N19)</f>
        <v>0</v>
      </c>
      <c r="O21" s="338">
        <f>IF(N21=0,0,(N21*100)/N$44)</f>
        <v>0</v>
      </c>
      <c r="P21" s="395">
        <f>SUM(P17:P19)</f>
        <v>-898359.6100000001</v>
      </c>
      <c r="Q21" s="338">
        <f>IF(P21=0,0,(P21*100)/P$44)</f>
        <v>100</v>
      </c>
      <c r="R21" s="395">
        <f>SUM(R17:R19)</f>
        <v>1316816.6599999999</v>
      </c>
      <c r="S21" s="338">
        <f>IF(R21=0,0,(R21*100)/R$44)</f>
        <v>98.602320800299253</v>
      </c>
      <c r="T21" s="397"/>
      <c r="U21" s="397"/>
      <c r="V21" s="397"/>
      <c r="W21" s="397"/>
      <c r="X21" s="397"/>
      <c r="Y21" s="397"/>
      <c r="Z21" s="397"/>
      <c r="AA21" s="95"/>
      <c r="AB21" s="96"/>
      <c r="AC21" s="96"/>
      <c r="AD21" s="96"/>
      <c r="AE21" s="96"/>
      <c r="AF21" s="96"/>
      <c r="AG21" s="96"/>
      <c r="AH21" s="97"/>
      <c r="AI21" s="95"/>
      <c r="AJ21" s="96"/>
      <c r="AK21" s="95"/>
      <c r="AL21" s="96"/>
      <c r="AM21" s="95"/>
      <c r="AN21" s="96"/>
      <c r="AO21" s="95"/>
      <c r="AP21" s="98"/>
      <c r="AQ21" s="96"/>
      <c r="AR21" s="96"/>
      <c r="AS21" s="95"/>
      <c r="AT21" s="98"/>
      <c r="AU21" s="96"/>
      <c r="AV21" s="96"/>
      <c r="AW21" s="95"/>
      <c r="AX21" s="98"/>
      <c r="AY21" s="96"/>
      <c r="AZ21" s="96"/>
      <c r="BA21" s="95"/>
      <c r="BB21" s="98"/>
      <c r="BC21" s="99"/>
      <c r="BD21" s="95"/>
      <c r="BE21" s="96"/>
      <c r="BF21" s="96"/>
      <c r="BG21" s="98"/>
    </row>
    <row r="22" spans="1:59" ht="12" customHeight="1">
      <c r="A22" s="237" t="s">
        <v>2</v>
      </c>
      <c r="B22" s="237"/>
      <c r="C22" s="237"/>
      <c r="D22" s="237"/>
      <c r="E22" s="237" t="s">
        <v>2</v>
      </c>
      <c r="F22" s="237"/>
      <c r="G22" s="237" t="s">
        <v>2</v>
      </c>
      <c r="H22" s="237"/>
      <c r="I22" s="237"/>
      <c r="J22" s="340" t="s">
        <v>1064</v>
      </c>
      <c r="K22" s="237"/>
      <c r="L22" s="237" t="s">
        <v>2</v>
      </c>
      <c r="M22" s="237"/>
      <c r="N22" s="237" t="s">
        <v>2</v>
      </c>
      <c r="O22" s="237"/>
      <c r="P22" s="237"/>
      <c r="Q22" s="237"/>
      <c r="R22" s="237" t="s">
        <v>2</v>
      </c>
      <c r="S22" s="237"/>
      <c r="T22" s="295"/>
      <c r="U22" s="295"/>
      <c r="V22" s="295"/>
      <c r="W22" s="295"/>
      <c r="X22" s="295"/>
      <c r="Y22" s="295"/>
      <c r="Z22" s="295"/>
      <c r="AA22" s="95"/>
      <c r="AB22" s="96"/>
      <c r="AC22" s="96"/>
      <c r="AD22" s="96"/>
      <c r="AE22" s="96"/>
      <c r="AF22" s="96"/>
      <c r="AG22" s="96"/>
      <c r="AH22" s="97"/>
      <c r="AI22" s="95"/>
      <c r="AJ22" s="96"/>
      <c r="AK22" s="95"/>
      <c r="AL22" s="96"/>
      <c r="AM22" s="95"/>
      <c r="AN22" s="96"/>
      <c r="AO22" s="95"/>
      <c r="AP22" s="98"/>
      <c r="AQ22" s="96"/>
      <c r="AR22" s="96"/>
      <c r="AS22" s="95"/>
      <c r="AT22" s="98"/>
      <c r="AU22" s="96"/>
      <c r="AV22" s="96"/>
      <c r="AW22" s="95"/>
      <c r="AX22" s="98"/>
      <c r="AY22" s="96"/>
      <c r="AZ22" s="96"/>
      <c r="BA22" s="95"/>
      <c r="BB22" s="98"/>
      <c r="BC22" s="99"/>
      <c r="BD22" s="95"/>
      <c r="BE22" s="96"/>
      <c r="BF22" s="96"/>
      <c r="BG22" s="98"/>
    </row>
    <row r="23" spans="1:59" ht="12" customHeight="1">
      <c r="A23" s="254">
        <f t="array" ref="A23">_xll.AC(DB,_xll.ArrayDPT($AA23:$AG23),_xll.ArrayCOA($AI23:$BB23),YR-1,PRD,_xll.ArrayDIM($BD23:$BG23))</f>
        <v>0</v>
      </c>
      <c r="B23" s="237">
        <f t="shared" ref="B23:B37" si="20">IF(A23=0,0,(A23*100)/A$44)</f>
        <v>0</v>
      </c>
      <c r="C23" s="237">
        <f t="shared" ref="C23:C37" si="21">+E23-G23</f>
        <v>0</v>
      </c>
      <c r="D23" s="237">
        <f t="shared" ref="D23:D37" si="22">IF(C23=0,0,(C23*100)/C$44)</f>
        <v>0</v>
      </c>
      <c r="E23" s="254">
        <f t="array" ref="E23">_xll.BC(DB,_xll.ArrayDPT($AA23:$AG23),_xll.ArrayCOA($AI23:$BB23),YR,PRD,RV,_xll.ArrayDIM($BD23:$BG23))</f>
        <v>0</v>
      </c>
      <c r="F23" s="237">
        <f t="shared" ref="F23:F37" si="23">IF(E23=0,0,(E23*100)/E$44)</f>
        <v>0</v>
      </c>
      <c r="G23" s="254">
        <f t="array" ref="G23">_xll.AC(DB,_xll.ArrayDPT($AA23:$AG23),_xll.ArrayCOA($AI23:$BB23),YR,PRD,_xll.ArrayDIM($BD23:$BG23))</f>
        <v>0</v>
      </c>
      <c r="H23" s="237">
        <f t="shared" ref="H23:H37" si="24">IF(G23=0,0,(G23*100)/G$44)</f>
        <v>0</v>
      </c>
      <c r="I23" s="237"/>
      <c r="J23" s="328" t="s">
        <v>943</v>
      </c>
      <c r="K23" s="237"/>
      <c r="L23" s="254">
        <f t="array" ref="L23">_xll.ACC(DB,_xll.ArrayDPT($AA23:$AG23),_xll.ArrayCOA($AI23:$BB23),YR,PRD,_xll.ArrayDIM($BD23:$BG23))</f>
        <v>0</v>
      </c>
      <c r="M23" s="237">
        <f t="shared" ref="M23:M37" si="25">IF(L23=0,0,(L23*100)/L$44)</f>
        <v>0</v>
      </c>
      <c r="N23" s="254">
        <f t="array" ref="N23">_xll.BCC(DB,_xll.ArrayDPT($AA23:$AG23),_xll.ArrayCOA($AI23:$BB23),YR,PRD,RV,_xll.ArrayDIM($BD23:$BG23))</f>
        <v>0</v>
      </c>
      <c r="O23" s="237">
        <f t="shared" ref="O23:O37" si="26">IF(N23=0,0,(N23*100)/N$44)</f>
        <v>0</v>
      </c>
      <c r="P23" s="237">
        <f t="shared" ref="P23:P37" si="27">+N23-L23</f>
        <v>0</v>
      </c>
      <c r="Q23" s="237">
        <f t="shared" ref="Q23:Q37" si="28">IF(P23=0,0,(P23*100)/P$44)</f>
        <v>0</v>
      </c>
      <c r="R23" s="254">
        <f t="array" ref="R23">_xll.ACC(DB,_xll.ArrayDPT($AA23:$AG23),_xll.ArrayCOA($AI23:$BB23),YR-1,PRD,_xll.ArrayDIM($BD23:$BG23))</f>
        <v>0</v>
      </c>
      <c r="S23" s="237">
        <f t="shared" ref="S23:S37" si="29">IF(R23=0,0,(R23*100)/R$44)</f>
        <v>0</v>
      </c>
      <c r="T23" s="295"/>
      <c r="U23" s="295"/>
      <c r="V23" s="295"/>
      <c r="W23" s="295"/>
      <c r="X23" s="295"/>
      <c r="Y23" s="295"/>
      <c r="Z23" s="295"/>
      <c r="AA23" s="95"/>
      <c r="AB23" s="96"/>
      <c r="AC23" s="96"/>
      <c r="AD23" s="96"/>
      <c r="AE23" s="96"/>
      <c r="AF23" s="96"/>
      <c r="AG23" s="96"/>
      <c r="AH23" s="97"/>
      <c r="AI23" s="95"/>
      <c r="AJ23" s="96"/>
      <c r="AK23" s="95"/>
      <c r="AL23" s="96"/>
      <c r="AM23" s="95"/>
      <c r="AN23" s="96"/>
      <c r="AO23" s="95"/>
      <c r="AP23" s="98"/>
      <c r="AQ23" s="96"/>
      <c r="AR23" s="96"/>
      <c r="AS23" s="95"/>
      <c r="AT23" s="98"/>
      <c r="AU23" s="96"/>
      <c r="AV23" s="96"/>
      <c r="AW23" s="95"/>
      <c r="AX23" s="98"/>
      <c r="AY23" s="96"/>
      <c r="AZ23" s="96"/>
      <c r="BA23" s="95"/>
      <c r="BB23" s="98"/>
      <c r="BC23" s="99"/>
      <c r="BD23" s="95"/>
      <c r="BE23" s="96"/>
      <c r="BF23" s="96"/>
      <c r="BG23" s="98"/>
    </row>
    <row r="24" spans="1:59" ht="12" customHeight="1">
      <c r="A24" s="254">
        <f t="array" ref="A24">_xll.AC(DB,_xll.ArrayDPT($AA24:$AG24),_xll.ArrayCOA($AI24:$BB24),YR-1,PRD,_xll.ArrayDIM($BD24:$BG24))</f>
        <v>18665.759999999998</v>
      </c>
      <c r="B24" s="237">
        <f t="shared" si="20"/>
        <v>1.3976791997007343</v>
      </c>
      <c r="C24" s="237">
        <f t="shared" si="21"/>
        <v>0</v>
      </c>
      <c r="D24" s="237">
        <f t="shared" si="22"/>
        <v>0</v>
      </c>
      <c r="E24" s="254">
        <f t="array" ref="E24">_xll.BC(DB,_xll.ArrayDPT($AA24:$AG24),_xll.ArrayCOA($AI24:$BB24),YR,PRD,RV,_xll.ArrayDIM($BD24:$BG24))</f>
        <v>0</v>
      </c>
      <c r="F24" s="237">
        <f t="shared" si="23"/>
        <v>0</v>
      </c>
      <c r="G24" s="254">
        <f t="array" ref="G24">_xll.AC(DB,_xll.ArrayDPT($AA24:$AG24),_xll.ArrayCOA($AI24:$BB24),YR,PRD,_xll.ArrayDIM($BD24:$BG24))</f>
        <v>0</v>
      </c>
      <c r="H24" s="237">
        <f t="shared" si="24"/>
        <v>0</v>
      </c>
      <c r="I24" s="237"/>
      <c r="J24" s="328" t="s">
        <v>1065</v>
      </c>
      <c r="K24" s="237"/>
      <c r="L24" s="254">
        <f t="array" ref="L24">_xll.ACC(DB,_xll.ArrayDPT($AA24:$AG24),_xll.ArrayCOA($AI24:$BB24),YR,PRD,_xll.ArrayDIM($BD24:$BG24))</f>
        <v>0</v>
      </c>
      <c r="M24" s="237">
        <f t="shared" si="25"/>
        <v>0</v>
      </c>
      <c r="N24" s="254">
        <f t="array" ref="N24">_xll.BCC(DB,_xll.ArrayDPT($AA24:$AG24),_xll.ArrayCOA($AI24:$BB24),YR,PRD,RV,_xll.ArrayDIM($BD24:$BG24))</f>
        <v>0</v>
      </c>
      <c r="O24" s="237">
        <f t="shared" si="26"/>
        <v>0</v>
      </c>
      <c r="P24" s="237">
        <f t="shared" si="27"/>
        <v>0</v>
      </c>
      <c r="Q24" s="237">
        <f t="shared" si="28"/>
        <v>0</v>
      </c>
      <c r="R24" s="254">
        <f t="array" ref="R24">_xll.ACC(DB,_xll.ArrayDPT($AA24:$AG24),_xll.ArrayCOA($AI24:$BB24),YR-1,PRD,_xll.ArrayDIM($BD24:$BG24))</f>
        <v>18665.759999999998</v>
      </c>
      <c r="S24" s="237">
        <f t="shared" si="29"/>
        <v>1.3976791997007343</v>
      </c>
      <c r="T24" s="295"/>
      <c r="U24" s="295"/>
      <c r="V24" s="295"/>
      <c r="W24" s="295"/>
      <c r="X24" s="295"/>
      <c r="Y24" s="295"/>
      <c r="Z24" s="295"/>
      <c r="AA24" s="95" t="s">
        <v>932</v>
      </c>
      <c r="AB24" s="96"/>
      <c r="AC24" s="96"/>
      <c r="AD24" s="96"/>
      <c r="AE24" s="96"/>
      <c r="AF24" s="96"/>
      <c r="AG24" s="96"/>
      <c r="AH24" s="97"/>
      <c r="AI24" s="95" t="s">
        <v>946</v>
      </c>
      <c r="AJ24" s="96" t="s">
        <v>946</v>
      </c>
      <c r="AK24" s="95"/>
      <c r="AL24" s="96"/>
      <c r="AM24" s="95"/>
      <c r="AN24" s="96"/>
      <c r="AO24" s="95"/>
      <c r="AP24" s="98"/>
      <c r="AQ24" s="96"/>
      <c r="AR24" s="96"/>
      <c r="AS24" s="95"/>
      <c r="AT24" s="98"/>
      <c r="AU24" s="96"/>
      <c r="AV24" s="96"/>
      <c r="AW24" s="95"/>
      <c r="AX24" s="98"/>
      <c r="AY24" s="96"/>
      <c r="AZ24" s="96"/>
      <c r="BA24" s="95"/>
      <c r="BB24" s="98"/>
      <c r="BC24" s="99"/>
      <c r="BD24" s="95"/>
      <c r="BE24" s="96"/>
      <c r="BF24" s="96"/>
      <c r="BG24" s="98"/>
    </row>
    <row r="25" spans="1:59" ht="12" customHeight="1">
      <c r="A25" s="254">
        <f t="array" ref="A25">_xll.AC(DB,_xll.ArrayDPT($AA25:$AG25),_xll.ArrayCOA($AI25:$BB25),YR-1,PRD,_xll.ArrayDIM($BD25:$BG25))</f>
        <v>0</v>
      </c>
      <c r="B25" s="237">
        <f t="shared" si="20"/>
        <v>0</v>
      </c>
      <c r="C25" s="237">
        <f t="shared" si="21"/>
        <v>0</v>
      </c>
      <c r="D25" s="237">
        <f t="shared" si="22"/>
        <v>0</v>
      </c>
      <c r="E25" s="254">
        <f t="array" ref="E25">_xll.BC(DB,_xll.ArrayDPT($AA25:$AG25),_xll.ArrayCOA($AI25:$BB25),YR,PRD,RV,_xll.ArrayDIM($BD25:$BG25))</f>
        <v>0</v>
      </c>
      <c r="F25" s="237">
        <f t="shared" si="23"/>
        <v>0</v>
      </c>
      <c r="G25" s="254">
        <f t="array" ref="G25">_xll.AC(DB,_xll.ArrayDPT($AA25:$AG25),_xll.ArrayCOA($AI25:$BB25),YR,PRD,_xll.ArrayDIM($BD25:$BG25))</f>
        <v>0</v>
      </c>
      <c r="H25" s="237">
        <f t="shared" si="24"/>
        <v>0</v>
      </c>
      <c r="I25" s="237"/>
      <c r="J25" s="328" t="s">
        <v>1066</v>
      </c>
      <c r="K25" s="237"/>
      <c r="L25" s="254">
        <f t="array" ref="L25">_xll.ACC(DB,_xll.ArrayDPT($AA25:$AG25),_xll.ArrayCOA($AI25:$BB25),YR,PRD,_xll.ArrayDIM($BD25:$BG25))</f>
        <v>0</v>
      </c>
      <c r="M25" s="237">
        <f t="shared" si="25"/>
        <v>0</v>
      </c>
      <c r="N25" s="254">
        <f t="array" ref="N25">_xll.BCC(DB,_xll.ArrayDPT($AA25:$AG25),_xll.ArrayCOA($AI25:$BB25),YR,PRD,RV,_xll.ArrayDIM($BD25:$BG25))</f>
        <v>0</v>
      </c>
      <c r="O25" s="237">
        <f t="shared" si="26"/>
        <v>0</v>
      </c>
      <c r="P25" s="237">
        <f t="shared" si="27"/>
        <v>0</v>
      </c>
      <c r="Q25" s="237">
        <f t="shared" si="28"/>
        <v>0</v>
      </c>
      <c r="R25" s="254">
        <f t="array" ref="R25">_xll.ACC(DB,_xll.ArrayDPT($AA25:$AG25),_xll.ArrayCOA($AI25:$BB25),YR-1,PRD,_xll.ArrayDIM($BD25:$BG25))</f>
        <v>0</v>
      </c>
      <c r="S25" s="237">
        <f t="shared" si="29"/>
        <v>0</v>
      </c>
      <c r="T25" s="295"/>
      <c r="U25" s="295"/>
      <c r="V25" s="295"/>
      <c r="W25" s="295"/>
      <c r="X25" s="295"/>
      <c r="Y25" s="295"/>
      <c r="Z25" s="295"/>
      <c r="AA25" s="95"/>
      <c r="AB25" s="96"/>
      <c r="AC25" s="96"/>
      <c r="AD25" s="96"/>
      <c r="AE25" s="96"/>
      <c r="AF25" s="96"/>
      <c r="AG25" s="96"/>
      <c r="AH25" s="97"/>
      <c r="AI25" s="95"/>
      <c r="AJ25" s="96"/>
      <c r="AK25" s="95"/>
      <c r="AL25" s="96"/>
      <c r="AM25" s="95"/>
      <c r="AN25" s="96"/>
      <c r="AO25" s="95"/>
      <c r="AP25" s="98"/>
      <c r="AQ25" s="96"/>
      <c r="AR25" s="96"/>
      <c r="AS25" s="95"/>
      <c r="AT25" s="98"/>
      <c r="AU25" s="96"/>
      <c r="AV25" s="96"/>
      <c r="AW25" s="95"/>
      <c r="AX25" s="98"/>
      <c r="AY25" s="96"/>
      <c r="AZ25" s="96"/>
      <c r="BA25" s="95"/>
      <c r="BB25" s="98"/>
      <c r="BC25" s="99"/>
      <c r="BD25" s="95"/>
      <c r="BE25" s="96"/>
      <c r="BF25" s="96"/>
      <c r="BG25" s="98"/>
    </row>
    <row r="26" spans="1:59" ht="12" customHeight="1">
      <c r="A26" s="254">
        <f t="array" ref="A26">_xll.AC(DB,_xll.ArrayDPT($AA26:$AG26),_xll.ArrayCOA($AI26:$BB26),YR-1,PRD,_xll.ArrayDIM($BD26:$BG26))</f>
        <v>0</v>
      </c>
      <c r="B26" s="237">
        <f t="shared" si="20"/>
        <v>0</v>
      </c>
      <c r="C26" s="237">
        <f t="shared" si="21"/>
        <v>0</v>
      </c>
      <c r="D26" s="237">
        <f t="shared" si="22"/>
        <v>0</v>
      </c>
      <c r="E26" s="254">
        <f t="array" ref="E26">_xll.BC(DB,_xll.ArrayDPT($AA26:$AG26),_xll.ArrayCOA($AI26:$BB26),YR,PRD,RV,_xll.ArrayDIM($BD26:$BG26))</f>
        <v>0</v>
      </c>
      <c r="F26" s="237">
        <f t="shared" si="23"/>
        <v>0</v>
      </c>
      <c r="G26" s="254">
        <f t="array" ref="G26">_xll.AC(DB,_xll.ArrayDPT($AA26:$AG26),_xll.ArrayCOA($AI26:$BB26),YR,PRD,_xll.ArrayDIM($BD26:$BG26))</f>
        <v>0</v>
      </c>
      <c r="H26" s="237">
        <f t="shared" si="24"/>
        <v>0</v>
      </c>
      <c r="I26" s="237"/>
      <c r="J26" s="328" t="s">
        <v>1067</v>
      </c>
      <c r="K26" s="237"/>
      <c r="L26" s="254">
        <f t="array" ref="L26">_xll.ACC(DB,_xll.ArrayDPT($AA26:$AG26),_xll.ArrayCOA($AI26:$BB26),YR,PRD,_xll.ArrayDIM($BD26:$BG26))</f>
        <v>0</v>
      </c>
      <c r="M26" s="237">
        <f t="shared" si="25"/>
        <v>0</v>
      </c>
      <c r="N26" s="254">
        <f t="array" ref="N26">_xll.BCC(DB,_xll.ArrayDPT($AA26:$AG26),_xll.ArrayCOA($AI26:$BB26),YR,PRD,RV,_xll.ArrayDIM($BD26:$BG26))</f>
        <v>0</v>
      </c>
      <c r="O26" s="237">
        <f t="shared" si="26"/>
        <v>0</v>
      </c>
      <c r="P26" s="237">
        <f t="shared" si="27"/>
        <v>0</v>
      </c>
      <c r="Q26" s="237">
        <f t="shared" si="28"/>
        <v>0</v>
      </c>
      <c r="R26" s="254">
        <f t="array" ref="R26">_xll.ACC(DB,_xll.ArrayDPT($AA26:$AG26),_xll.ArrayCOA($AI26:$BB26),YR-1,PRD,_xll.ArrayDIM($BD26:$BG26))</f>
        <v>0</v>
      </c>
      <c r="S26" s="237">
        <f t="shared" si="29"/>
        <v>0</v>
      </c>
      <c r="T26" s="295"/>
      <c r="U26" s="295"/>
      <c r="V26" s="295"/>
      <c r="W26" s="295"/>
      <c r="X26" s="295"/>
      <c r="Y26" s="295"/>
      <c r="Z26" s="295"/>
      <c r="AA26" s="95"/>
      <c r="AB26" s="96"/>
      <c r="AC26" s="96"/>
      <c r="AD26" s="96"/>
      <c r="AE26" s="96"/>
      <c r="AF26" s="96"/>
      <c r="AG26" s="96"/>
      <c r="AH26" s="97"/>
      <c r="AI26" s="95"/>
      <c r="AJ26" s="96"/>
      <c r="AK26" s="95"/>
      <c r="AL26" s="96"/>
      <c r="AM26" s="95"/>
      <c r="AN26" s="96"/>
      <c r="AO26" s="95"/>
      <c r="AP26" s="98"/>
      <c r="AQ26" s="96"/>
      <c r="AR26" s="96"/>
      <c r="AS26" s="95"/>
      <c r="AT26" s="98"/>
      <c r="AU26" s="96"/>
      <c r="AV26" s="96"/>
      <c r="AW26" s="95"/>
      <c r="AX26" s="98"/>
      <c r="AY26" s="96"/>
      <c r="AZ26" s="96"/>
      <c r="BA26" s="95"/>
      <c r="BB26" s="98"/>
      <c r="BC26" s="99"/>
      <c r="BD26" s="95"/>
      <c r="BE26" s="96"/>
      <c r="BF26" s="96"/>
      <c r="BG26" s="98"/>
    </row>
    <row r="27" spans="1:59" ht="12" customHeight="1">
      <c r="A27" s="254">
        <f t="array" ref="A27">_xll.AC(DB,_xll.ArrayDPT($AA27:$AG27),_xll.ArrayCOA($AI27:$BB27),YR-1,PRD,_xll.ArrayDIM($BD27:$BG27))</f>
        <v>0</v>
      </c>
      <c r="B27" s="237">
        <f t="shared" si="20"/>
        <v>0</v>
      </c>
      <c r="C27" s="237">
        <f t="shared" si="21"/>
        <v>0</v>
      </c>
      <c r="D27" s="237">
        <f t="shared" si="22"/>
        <v>0</v>
      </c>
      <c r="E27" s="254">
        <f t="array" ref="E27">_xll.BC(DB,_xll.ArrayDPT($AA27:$AG27),_xll.ArrayCOA($AI27:$BB27),YR,PRD,RV,_xll.ArrayDIM($BD27:$BG27))</f>
        <v>0</v>
      </c>
      <c r="F27" s="237">
        <f t="shared" si="23"/>
        <v>0</v>
      </c>
      <c r="G27" s="254">
        <f t="array" ref="G27">_xll.AC(DB,_xll.ArrayDPT($AA27:$AG27),_xll.ArrayCOA($AI27:$BB27),YR,PRD,_xll.ArrayDIM($BD27:$BG27))</f>
        <v>0</v>
      </c>
      <c r="H27" s="237">
        <f t="shared" si="24"/>
        <v>0</v>
      </c>
      <c r="I27" s="237"/>
      <c r="J27" s="328" t="s">
        <v>1068</v>
      </c>
      <c r="K27" s="237"/>
      <c r="L27" s="254">
        <f t="array" ref="L27">_xll.ACC(DB,_xll.ArrayDPT($AA27:$AG27),_xll.ArrayCOA($AI27:$BB27),YR,PRD,_xll.ArrayDIM($BD27:$BG27))</f>
        <v>0</v>
      </c>
      <c r="M27" s="237">
        <f t="shared" si="25"/>
        <v>0</v>
      </c>
      <c r="N27" s="254">
        <f t="array" ref="N27">_xll.BCC(DB,_xll.ArrayDPT($AA27:$AG27),_xll.ArrayCOA($AI27:$BB27),YR,PRD,RV,_xll.ArrayDIM($BD27:$BG27))</f>
        <v>0</v>
      </c>
      <c r="O27" s="237">
        <f t="shared" si="26"/>
        <v>0</v>
      </c>
      <c r="P27" s="237">
        <f t="shared" si="27"/>
        <v>0</v>
      </c>
      <c r="Q27" s="237">
        <f t="shared" si="28"/>
        <v>0</v>
      </c>
      <c r="R27" s="254">
        <f t="array" ref="R27">_xll.ACC(DB,_xll.ArrayDPT($AA27:$AG27),_xll.ArrayCOA($AI27:$BB27),YR-1,PRD,_xll.ArrayDIM($BD27:$BG27))</f>
        <v>0</v>
      </c>
      <c r="S27" s="237">
        <f t="shared" si="29"/>
        <v>0</v>
      </c>
      <c r="T27" s="295"/>
      <c r="U27" s="295"/>
      <c r="V27" s="295"/>
      <c r="W27" s="295"/>
      <c r="X27" s="295"/>
      <c r="Y27" s="295"/>
      <c r="Z27" s="295"/>
      <c r="AA27" s="95"/>
      <c r="AB27" s="96"/>
      <c r="AC27" s="96"/>
      <c r="AD27" s="96"/>
      <c r="AE27" s="96"/>
      <c r="AF27" s="96"/>
      <c r="AG27" s="96"/>
      <c r="AH27" s="97"/>
      <c r="AI27" s="95"/>
      <c r="AJ27" s="96"/>
      <c r="AK27" s="95"/>
      <c r="AL27" s="96"/>
      <c r="AM27" s="95"/>
      <c r="AN27" s="96"/>
      <c r="AO27" s="95"/>
      <c r="AP27" s="98"/>
      <c r="AQ27" s="96"/>
      <c r="AR27" s="96"/>
      <c r="AS27" s="95"/>
      <c r="AT27" s="98"/>
      <c r="AU27" s="96"/>
      <c r="AV27" s="96"/>
      <c r="AW27" s="95"/>
      <c r="AX27" s="98"/>
      <c r="AY27" s="96"/>
      <c r="AZ27" s="96"/>
      <c r="BA27" s="95"/>
      <c r="BB27" s="98"/>
      <c r="BC27" s="99"/>
      <c r="BD27" s="95"/>
      <c r="BE27" s="96"/>
      <c r="BF27" s="96"/>
      <c r="BG27" s="98"/>
    </row>
    <row r="28" spans="1:59" ht="12" customHeight="1">
      <c r="A28" s="254">
        <f t="array" ref="A28">_xll.AC(DB,_xll.ArrayDPT($AA28:$AG28),_xll.ArrayCOA($AI28:$BB28),YR-1,PRD,_xll.ArrayDIM($BD28:$BG28))</f>
        <v>0</v>
      </c>
      <c r="B28" s="237">
        <f t="shared" si="20"/>
        <v>0</v>
      </c>
      <c r="C28" s="237">
        <f t="shared" si="21"/>
        <v>0</v>
      </c>
      <c r="D28" s="237">
        <f t="shared" si="22"/>
        <v>0</v>
      </c>
      <c r="E28" s="254">
        <f t="array" ref="E28">_xll.BC(DB,_xll.ArrayDPT($AA28:$AG28),_xll.ArrayCOA($AI28:$BB28),YR,PRD,RV,_xll.ArrayDIM($BD28:$BG28))</f>
        <v>0</v>
      </c>
      <c r="F28" s="237">
        <f t="shared" si="23"/>
        <v>0</v>
      </c>
      <c r="G28" s="254">
        <f t="array" ref="G28">_xll.AC(DB,_xll.ArrayDPT($AA28:$AG28),_xll.ArrayCOA($AI28:$BB28),YR,PRD,_xll.ArrayDIM($BD28:$BG28))</f>
        <v>0</v>
      </c>
      <c r="H28" s="237">
        <f t="shared" si="24"/>
        <v>0</v>
      </c>
      <c r="I28" s="237"/>
      <c r="J28" s="328" t="s">
        <v>867</v>
      </c>
      <c r="K28" s="237"/>
      <c r="L28" s="254">
        <f t="array" ref="L28">_xll.ACC(DB,_xll.ArrayDPT($AA28:$AG28),_xll.ArrayCOA($AI28:$BB28),YR,PRD,_xll.ArrayDIM($BD28:$BG28))</f>
        <v>0</v>
      </c>
      <c r="M28" s="237">
        <f t="shared" si="25"/>
        <v>0</v>
      </c>
      <c r="N28" s="254">
        <f t="array" ref="N28">_xll.BCC(DB,_xll.ArrayDPT($AA28:$AG28),_xll.ArrayCOA($AI28:$BB28),YR,PRD,RV,_xll.ArrayDIM($BD28:$BG28))</f>
        <v>0</v>
      </c>
      <c r="O28" s="237">
        <f t="shared" si="26"/>
        <v>0</v>
      </c>
      <c r="P28" s="237">
        <f t="shared" si="27"/>
        <v>0</v>
      </c>
      <c r="Q28" s="237">
        <f t="shared" si="28"/>
        <v>0</v>
      </c>
      <c r="R28" s="254">
        <f t="array" ref="R28">_xll.ACC(DB,_xll.ArrayDPT($AA28:$AG28),_xll.ArrayCOA($AI28:$BB28),YR-1,PRD,_xll.ArrayDIM($BD28:$BG28))</f>
        <v>0</v>
      </c>
      <c r="S28" s="237">
        <f t="shared" si="29"/>
        <v>0</v>
      </c>
      <c r="T28" s="295"/>
      <c r="U28" s="295"/>
      <c r="V28" s="295"/>
      <c r="W28" s="295"/>
      <c r="X28" s="295"/>
      <c r="Y28" s="295"/>
      <c r="Z28" s="295"/>
      <c r="AA28" s="95"/>
      <c r="AB28" s="96"/>
      <c r="AC28" s="96"/>
      <c r="AD28" s="96"/>
      <c r="AE28" s="96"/>
      <c r="AF28" s="96"/>
      <c r="AG28" s="96"/>
      <c r="AH28" s="97"/>
      <c r="AI28" s="95"/>
      <c r="AJ28" s="96"/>
      <c r="AK28" s="95"/>
      <c r="AL28" s="96"/>
      <c r="AM28" s="95"/>
      <c r="AN28" s="96"/>
      <c r="AO28" s="95"/>
      <c r="AP28" s="98"/>
      <c r="AQ28" s="96"/>
      <c r="AR28" s="96"/>
      <c r="AS28" s="95"/>
      <c r="AT28" s="98"/>
      <c r="AU28" s="96"/>
      <c r="AV28" s="96"/>
      <c r="AW28" s="95"/>
      <c r="AX28" s="98"/>
      <c r="AY28" s="96"/>
      <c r="AZ28" s="96"/>
      <c r="BA28" s="95"/>
      <c r="BB28" s="98"/>
      <c r="BC28" s="99"/>
      <c r="BD28" s="95"/>
      <c r="BE28" s="96"/>
      <c r="BF28" s="96"/>
      <c r="BG28" s="98"/>
    </row>
    <row r="29" spans="1:59" ht="12" customHeight="1">
      <c r="A29" s="254">
        <f t="array" ref="A29">_xll.AC(DB,_xll.ArrayDPT($AA29:$AG29),_xll.ArrayCOA($AI29:$BB29),YR-1,PRD,_xll.ArrayDIM($BD29:$BG29))</f>
        <v>0</v>
      </c>
      <c r="B29" s="237">
        <f t="shared" si="20"/>
        <v>0</v>
      </c>
      <c r="C29" s="237">
        <f t="shared" si="21"/>
        <v>0</v>
      </c>
      <c r="D29" s="237">
        <f t="shared" si="22"/>
        <v>0</v>
      </c>
      <c r="E29" s="254">
        <f t="array" ref="E29">_xll.BC(DB,_xll.ArrayDPT($AA29:$AG29),_xll.ArrayCOA($AI29:$BB29),YR,PRD,RV,_xll.ArrayDIM($BD29:$BG29))</f>
        <v>0</v>
      </c>
      <c r="F29" s="237">
        <f t="shared" si="23"/>
        <v>0</v>
      </c>
      <c r="G29" s="254">
        <f t="array" ref="G29">_xll.AC(DB,_xll.ArrayDPT($AA29:$AG29),_xll.ArrayCOA($AI29:$BB29),YR,PRD,_xll.ArrayDIM($BD29:$BG29))</f>
        <v>0</v>
      </c>
      <c r="H29" s="237">
        <f t="shared" si="24"/>
        <v>0</v>
      </c>
      <c r="I29" s="237"/>
      <c r="J29" s="328" t="s">
        <v>1069</v>
      </c>
      <c r="K29" s="237"/>
      <c r="L29" s="254">
        <f t="array" ref="L29">_xll.ACC(DB,_xll.ArrayDPT($AA29:$AG29),_xll.ArrayCOA($AI29:$BB29),YR,PRD,_xll.ArrayDIM($BD29:$BG29))</f>
        <v>0</v>
      </c>
      <c r="M29" s="237">
        <f t="shared" si="25"/>
        <v>0</v>
      </c>
      <c r="N29" s="254">
        <f t="array" ref="N29">_xll.BCC(DB,_xll.ArrayDPT($AA29:$AG29),_xll.ArrayCOA($AI29:$BB29),YR,PRD,RV,_xll.ArrayDIM($BD29:$BG29))</f>
        <v>0</v>
      </c>
      <c r="O29" s="237">
        <f t="shared" si="26"/>
        <v>0</v>
      </c>
      <c r="P29" s="237">
        <f t="shared" si="27"/>
        <v>0</v>
      </c>
      <c r="Q29" s="237">
        <f t="shared" si="28"/>
        <v>0</v>
      </c>
      <c r="R29" s="254">
        <f t="array" ref="R29">_xll.ACC(DB,_xll.ArrayDPT($AA29:$AG29),_xll.ArrayCOA($AI29:$BB29),YR-1,PRD,_xll.ArrayDIM($BD29:$BG29))</f>
        <v>0</v>
      </c>
      <c r="S29" s="237">
        <f t="shared" si="29"/>
        <v>0</v>
      </c>
      <c r="T29" s="295"/>
      <c r="U29" s="295"/>
      <c r="V29" s="295"/>
      <c r="W29" s="295"/>
      <c r="X29" s="295"/>
      <c r="Y29" s="295"/>
      <c r="Z29" s="295"/>
      <c r="AA29" s="95"/>
      <c r="AB29" s="96"/>
      <c r="AC29" s="96"/>
      <c r="AD29" s="96"/>
      <c r="AE29" s="96"/>
      <c r="AF29" s="96"/>
      <c r="AG29" s="96"/>
      <c r="AH29" s="97"/>
      <c r="AI29" s="95"/>
      <c r="AJ29" s="96"/>
      <c r="AK29" s="95"/>
      <c r="AL29" s="96"/>
      <c r="AM29" s="95"/>
      <c r="AN29" s="96"/>
      <c r="AO29" s="95"/>
      <c r="AP29" s="98"/>
      <c r="AQ29" s="96"/>
      <c r="AR29" s="96"/>
      <c r="AS29" s="95"/>
      <c r="AT29" s="98"/>
      <c r="AU29" s="96"/>
      <c r="AV29" s="96"/>
      <c r="AW29" s="95"/>
      <c r="AX29" s="98"/>
      <c r="AY29" s="96"/>
      <c r="AZ29" s="96"/>
      <c r="BA29" s="95"/>
      <c r="BB29" s="98"/>
      <c r="BC29" s="99"/>
      <c r="BD29" s="95"/>
      <c r="BE29" s="96"/>
      <c r="BF29" s="96"/>
      <c r="BG29" s="98"/>
    </row>
    <row r="30" spans="1:59" ht="12" customHeight="1">
      <c r="A30" s="254">
        <f t="array" ref="A30">_xll.AC(DB,_xll.ArrayDPT($AA30:$AG30),_xll.ArrayCOA($AI30:$BB30),YR-1,PRD,_xll.ArrayDIM($BD30:$BG30))</f>
        <v>0</v>
      </c>
      <c r="B30" s="237">
        <f t="shared" si="20"/>
        <v>0</v>
      </c>
      <c r="C30" s="237">
        <f t="shared" si="21"/>
        <v>0</v>
      </c>
      <c r="D30" s="237">
        <f t="shared" si="22"/>
        <v>0</v>
      </c>
      <c r="E30" s="254">
        <f t="array" ref="E30">_xll.BC(DB,_xll.ArrayDPT($AA30:$AG30),_xll.ArrayCOA($AI30:$BB30),YR,PRD,RV,_xll.ArrayDIM($BD30:$BG30))</f>
        <v>0</v>
      </c>
      <c r="F30" s="237">
        <f t="shared" si="23"/>
        <v>0</v>
      </c>
      <c r="G30" s="254">
        <f t="array" ref="G30">_xll.AC(DB,_xll.ArrayDPT($AA30:$AG30),_xll.ArrayCOA($AI30:$BB30),YR,PRD,_xll.ArrayDIM($BD30:$BG30))</f>
        <v>0</v>
      </c>
      <c r="H30" s="237">
        <f t="shared" si="24"/>
        <v>0</v>
      </c>
      <c r="I30" s="237"/>
      <c r="J30" s="328" t="s">
        <v>711</v>
      </c>
      <c r="K30" s="237"/>
      <c r="L30" s="254">
        <f t="array" ref="L30">_xll.ACC(DB,_xll.ArrayDPT($AA30:$AG30),_xll.ArrayCOA($AI30:$BB30),YR,PRD,_xll.ArrayDIM($BD30:$BG30))</f>
        <v>0</v>
      </c>
      <c r="M30" s="237">
        <f t="shared" si="25"/>
        <v>0</v>
      </c>
      <c r="N30" s="254">
        <f t="array" ref="N30">_xll.BCC(DB,_xll.ArrayDPT($AA30:$AG30),_xll.ArrayCOA($AI30:$BB30),YR,PRD,RV,_xll.ArrayDIM($BD30:$BG30))</f>
        <v>0</v>
      </c>
      <c r="O30" s="237">
        <f t="shared" si="26"/>
        <v>0</v>
      </c>
      <c r="P30" s="237">
        <f t="shared" si="27"/>
        <v>0</v>
      </c>
      <c r="Q30" s="237">
        <f t="shared" si="28"/>
        <v>0</v>
      </c>
      <c r="R30" s="254">
        <f t="array" ref="R30">_xll.ACC(DB,_xll.ArrayDPT($AA30:$AG30),_xll.ArrayCOA($AI30:$BB30),YR-1,PRD,_xll.ArrayDIM($BD30:$BG30))</f>
        <v>0</v>
      </c>
      <c r="S30" s="237">
        <f t="shared" si="29"/>
        <v>0</v>
      </c>
      <c r="T30" s="295"/>
      <c r="U30" s="295"/>
      <c r="V30" s="295"/>
      <c r="W30" s="295"/>
      <c r="X30" s="295"/>
      <c r="Y30" s="295"/>
      <c r="Z30" s="295"/>
      <c r="AA30" s="95"/>
      <c r="AB30" s="96"/>
      <c r="AC30" s="96"/>
      <c r="AD30" s="96"/>
      <c r="AE30" s="96"/>
      <c r="AF30" s="96"/>
      <c r="AG30" s="96"/>
      <c r="AH30" s="97"/>
      <c r="AI30" s="95"/>
      <c r="AJ30" s="96"/>
      <c r="AK30" s="95"/>
      <c r="AL30" s="96"/>
      <c r="AM30" s="95"/>
      <c r="AN30" s="96"/>
      <c r="AO30" s="95"/>
      <c r="AP30" s="98"/>
      <c r="AQ30" s="96"/>
      <c r="AR30" s="96"/>
      <c r="AS30" s="95"/>
      <c r="AT30" s="98"/>
      <c r="AU30" s="96"/>
      <c r="AV30" s="96"/>
      <c r="AW30" s="95"/>
      <c r="AX30" s="98"/>
      <c r="AY30" s="96"/>
      <c r="AZ30" s="96"/>
      <c r="BA30" s="95"/>
      <c r="BB30" s="98"/>
      <c r="BC30" s="99"/>
      <c r="BD30" s="95"/>
      <c r="BE30" s="96"/>
      <c r="BF30" s="96"/>
      <c r="BG30" s="98"/>
    </row>
    <row r="31" spans="1:59" ht="12" customHeight="1">
      <c r="A31" s="254">
        <f t="array" ref="A31">_xll.AC(DB,_xll.ArrayDPT($AA31:$AG31),_xll.ArrayCOA($AI31:$BB31),YR-1,PRD,_xll.ArrayDIM($BD31:$BG31))</f>
        <v>0</v>
      </c>
      <c r="B31" s="237">
        <f t="shared" si="20"/>
        <v>0</v>
      </c>
      <c r="C31" s="237">
        <f t="shared" si="21"/>
        <v>0</v>
      </c>
      <c r="D31" s="237">
        <f t="shared" si="22"/>
        <v>0</v>
      </c>
      <c r="E31" s="254">
        <f t="array" ref="E31">_xll.BC(DB,_xll.ArrayDPT($AA31:$AG31),_xll.ArrayCOA($AI31:$BB31),YR,PRD,RV,_xll.ArrayDIM($BD31:$BG31))</f>
        <v>0</v>
      </c>
      <c r="F31" s="237">
        <f t="shared" si="23"/>
        <v>0</v>
      </c>
      <c r="G31" s="254">
        <f t="array" ref="G31">_xll.AC(DB,_xll.ArrayDPT($AA31:$AG31),_xll.ArrayCOA($AI31:$BB31),YR,PRD,_xll.ArrayDIM($BD31:$BG31))</f>
        <v>0</v>
      </c>
      <c r="H31" s="237">
        <f t="shared" si="24"/>
        <v>0</v>
      </c>
      <c r="I31" s="237"/>
      <c r="J31" s="328" t="s">
        <v>663</v>
      </c>
      <c r="K31" s="237"/>
      <c r="L31" s="254">
        <f t="array" ref="L31">_xll.ACC(DB,_xll.ArrayDPT($AA31:$AG31),_xll.ArrayCOA($AI31:$BB31),YR,PRD,_xll.ArrayDIM($BD31:$BG31))</f>
        <v>0</v>
      </c>
      <c r="M31" s="237">
        <f t="shared" si="25"/>
        <v>0</v>
      </c>
      <c r="N31" s="254">
        <f t="array" ref="N31">_xll.BCC(DB,_xll.ArrayDPT($AA31:$AG31),_xll.ArrayCOA($AI31:$BB31),YR,PRD,RV,_xll.ArrayDIM($BD31:$BG31))</f>
        <v>0</v>
      </c>
      <c r="O31" s="237">
        <f t="shared" si="26"/>
        <v>0</v>
      </c>
      <c r="P31" s="237">
        <f t="shared" si="27"/>
        <v>0</v>
      </c>
      <c r="Q31" s="237">
        <f t="shared" si="28"/>
        <v>0</v>
      </c>
      <c r="R31" s="254">
        <f t="array" ref="R31">_xll.ACC(DB,_xll.ArrayDPT($AA31:$AG31),_xll.ArrayCOA($AI31:$BB31),YR-1,PRD,_xll.ArrayDIM($BD31:$BG31))</f>
        <v>0</v>
      </c>
      <c r="S31" s="237">
        <f t="shared" si="29"/>
        <v>0</v>
      </c>
      <c r="T31" s="295"/>
      <c r="U31" s="295"/>
      <c r="V31" s="295"/>
      <c r="W31" s="295"/>
      <c r="X31" s="295"/>
      <c r="Y31" s="295"/>
      <c r="Z31" s="295"/>
      <c r="AA31" s="95"/>
      <c r="AB31" s="96"/>
      <c r="AC31" s="96"/>
      <c r="AD31" s="96"/>
      <c r="AE31" s="96"/>
      <c r="AF31" s="96"/>
      <c r="AG31" s="96"/>
      <c r="AH31" s="97"/>
      <c r="AI31" s="95"/>
      <c r="AJ31" s="96"/>
      <c r="AK31" s="95"/>
      <c r="AL31" s="96"/>
      <c r="AM31" s="95"/>
      <c r="AN31" s="96"/>
      <c r="AO31" s="95"/>
      <c r="AP31" s="98"/>
      <c r="AQ31" s="96"/>
      <c r="AR31" s="96"/>
      <c r="AS31" s="95"/>
      <c r="AT31" s="98"/>
      <c r="AU31" s="96"/>
      <c r="AV31" s="96"/>
      <c r="AW31" s="95"/>
      <c r="AX31" s="98"/>
      <c r="AY31" s="96"/>
      <c r="AZ31" s="96"/>
      <c r="BA31" s="95"/>
      <c r="BB31" s="98"/>
      <c r="BC31" s="99"/>
      <c r="BD31" s="95"/>
      <c r="BE31" s="96"/>
      <c r="BF31" s="96"/>
      <c r="BG31" s="98"/>
    </row>
    <row r="32" spans="1:59" ht="12" customHeight="1">
      <c r="A32" s="254">
        <f t="array" ref="A32">_xll.AC(DB,_xll.ArrayDPT($AA32:$AG32),_xll.ArrayCOA($AI32:$BB32),YR-1,PRD,_xll.ArrayDIM($BD32:$BG32))</f>
        <v>0</v>
      </c>
      <c r="B32" s="237">
        <f t="shared" si="20"/>
        <v>0</v>
      </c>
      <c r="C32" s="237">
        <f t="shared" si="21"/>
        <v>0</v>
      </c>
      <c r="D32" s="237">
        <f t="shared" si="22"/>
        <v>0</v>
      </c>
      <c r="E32" s="254">
        <f t="array" ref="E32">_xll.BC(DB,_xll.ArrayDPT($AA32:$AG32),_xll.ArrayCOA($AI32:$BB32),YR,PRD,RV,_xll.ArrayDIM($BD32:$BG32))</f>
        <v>0</v>
      </c>
      <c r="F32" s="237">
        <f t="shared" si="23"/>
        <v>0</v>
      </c>
      <c r="G32" s="254">
        <f t="array" ref="G32">_xll.AC(DB,_xll.ArrayDPT($AA32:$AG32),_xll.ArrayCOA($AI32:$BB32),YR,PRD,_xll.ArrayDIM($BD32:$BG32))</f>
        <v>0</v>
      </c>
      <c r="H32" s="237">
        <f t="shared" si="24"/>
        <v>0</v>
      </c>
      <c r="I32" s="237"/>
      <c r="J32" s="328" t="s">
        <v>1070</v>
      </c>
      <c r="K32" s="237"/>
      <c r="L32" s="254">
        <f t="array" ref="L32">_xll.ACC(DB,_xll.ArrayDPT($AA32:$AG32),_xll.ArrayCOA($AI32:$BB32),YR,PRD,_xll.ArrayDIM($BD32:$BG32))</f>
        <v>0</v>
      </c>
      <c r="M32" s="237">
        <f t="shared" si="25"/>
        <v>0</v>
      </c>
      <c r="N32" s="254">
        <f t="array" ref="N32">_xll.BCC(DB,_xll.ArrayDPT($AA32:$AG32),_xll.ArrayCOA($AI32:$BB32),YR,PRD,RV,_xll.ArrayDIM($BD32:$BG32))</f>
        <v>0</v>
      </c>
      <c r="O32" s="237">
        <f t="shared" si="26"/>
        <v>0</v>
      </c>
      <c r="P32" s="237">
        <f t="shared" si="27"/>
        <v>0</v>
      </c>
      <c r="Q32" s="237">
        <f t="shared" si="28"/>
        <v>0</v>
      </c>
      <c r="R32" s="254">
        <f t="array" ref="R32">_xll.ACC(DB,_xll.ArrayDPT($AA32:$AG32),_xll.ArrayCOA($AI32:$BB32),YR-1,PRD,_xll.ArrayDIM($BD32:$BG32))</f>
        <v>0</v>
      </c>
      <c r="S32" s="237">
        <f t="shared" si="29"/>
        <v>0</v>
      </c>
      <c r="T32" s="295"/>
      <c r="U32" s="295"/>
      <c r="V32" s="295"/>
      <c r="W32" s="295"/>
      <c r="X32" s="295"/>
      <c r="Y32" s="295"/>
      <c r="Z32" s="295"/>
      <c r="AA32" s="95"/>
      <c r="AB32" s="96"/>
      <c r="AC32" s="96"/>
      <c r="AD32" s="96"/>
      <c r="AE32" s="96"/>
      <c r="AF32" s="96"/>
      <c r="AG32" s="96"/>
      <c r="AH32" s="97"/>
      <c r="AI32" s="95"/>
      <c r="AJ32" s="96"/>
      <c r="AK32" s="95"/>
      <c r="AL32" s="96"/>
      <c r="AM32" s="95"/>
      <c r="AN32" s="96"/>
      <c r="AO32" s="95"/>
      <c r="AP32" s="98"/>
      <c r="AQ32" s="96"/>
      <c r="AR32" s="96"/>
      <c r="AS32" s="95"/>
      <c r="AT32" s="98"/>
      <c r="AU32" s="96"/>
      <c r="AV32" s="96"/>
      <c r="AW32" s="95"/>
      <c r="AX32" s="98"/>
      <c r="AY32" s="96"/>
      <c r="AZ32" s="96"/>
      <c r="BA32" s="95"/>
      <c r="BB32" s="98"/>
      <c r="BC32" s="99"/>
      <c r="BD32" s="95"/>
      <c r="BE32" s="96"/>
      <c r="BF32" s="96"/>
      <c r="BG32" s="98"/>
    </row>
    <row r="33" spans="1:59" ht="12" customHeight="1">
      <c r="A33" s="254">
        <f t="array" ref="A33">_xll.AC(DB,_xll.ArrayDPT($AA33:$AG33),_xll.ArrayCOA($AI33:$BB33),YR-1,PRD,_xll.ArrayDIM($BD33:$BG33))</f>
        <v>0</v>
      </c>
      <c r="B33" s="237">
        <f t="shared" si="20"/>
        <v>0</v>
      </c>
      <c r="C33" s="237">
        <f t="shared" si="21"/>
        <v>0</v>
      </c>
      <c r="D33" s="237">
        <f t="shared" si="22"/>
        <v>0</v>
      </c>
      <c r="E33" s="254">
        <f t="array" ref="E33">_xll.BC(DB,_xll.ArrayDPT($AA33:$AG33),_xll.ArrayCOA($AI33:$BB33),YR,PRD,RV,_xll.ArrayDIM($BD33:$BG33))</f>
        <v>0</v>
      </c>
      <c r="F33" s="237">
        <f t="shared" si="23"/>
        <v>0</v>
      </c>
      <c r="G33" s="254">
        <f t="array" ref="G33">_xll.AC(DB,_xll.ArrayDPT($AA33:$AG33),_xll.ArrayCOA($AI33:$BB33),YR,PRD,_xll.ArrayDIM($BD33:$BG33))</f>
        <v>0</v>
      </c>
      <c r="H33" s="237">
        <f t="shared" si="24"/>
        <v>0</v>
      </c>
      <c r="I33" s="237"/>
      <c r="J33" s="328" t="s">
        <v>1071</v>
      </c>
      <c r="K33" s="237"/>
      <c r="L33" s="254">
        <f t="array" ref="L33">_xll.ACC(DB,_xll.ArrayDPT($AA33:$AG33),_xll.ArrayCOA($AI33:$BB33),YR,PRD,_xll.ArrayDIM($BD33:$BG33))</f>
        <v>0</v>
      </c>
      <c r="M33" s="237">
        <f t="shared" si="25"/>
        <v>0</v>
      </c>
      <c r="N33" s="254">
        <f t="array" ref="N33">_xll.BCC(DB,_xll.ArrayDPT($AA33:$AG33),_xll.ArrayCOA($AI33:$BB33),YR,PRD,RV,_xll.ArrayDIM($BD33:$BG33))</f>
        <v>0</v>
      </c>
      <c r="O33" s="237">
        <f t="shared" si="26"/>
        <v>0</v>
      </c>
      <c r="P33" s="237">
        <f t="shared" si="27"/>
        <v>0</v>
      </c>
      <c r="Q33" s="237">
        <f t="shared" si="28"/>
        <v>0</v>
      </c>
      <c r="R33" s="254">
        <f t="array" ref="R33">_xll.ACC(DB,_xll.ArrayDPT($AA33:$AG33),_xll.ArrayCOA($AI33:$BB33),YR-1,PRD,_xll.ArrayDIM($BD33:$BG33))</f>
        <v>0</v>
      </c>
      <c r="S33" s="237">
        <f t="shared" si="29"/>
        <v>0</v>
      </c>
      <c r="T33" s="295"/>
      <c r="U33" s="295"/>
      <c r="V33" s="295"/>
      <c r="W33" s="295"/>
      <c r="X33" s="295"/>
      <c r="Y33" s="295"/>
      <c r="Z33" s="295"/>
      <c r="AA33" s="95"/>
      <c r="AB33" s="96"/>
      <c r="AC33" s="96"/>
      <c r="AD33" s="96"/>
      <c r="AE33" s="96"/>
      <c r="AF33" s="96"/>
      <c r="AG33" s="96"/>
      <c r="AH33" s="97"/>
      <c r="AI33" s="95"/>
      <c r="AJ33" s="96"/>
      <c r="AK33" s="95"/>
      <c r="AL33" s="96"/>
      <c r="AM33" s="95"/>
      <c r="AN33" s="96"/>
      <c r="AO33" s="95"/>
      <c r="AP33" s="98"/>
      <c r="AQ33" s="96"/>
      <c r="AR33" s="96"/>
      <c r="AS33" s="95"/>
      <c r="AT33" s="98"/>
      <c r="AU33" s="96"/>
      <c r="AV33" s="96"/>
      <c r="AW33" s="95"/>
      <c r="AX33" s="98"/>
      <c r="AY33" s="96"/>
      <c r="AZ33" s="96"/>
      <c r="BA33" s="95"/>
      <c r="BB33" s="98"/>
      <c r="BC33" s="99"/>
      <c r="BD33" s="95"/>
      <c r="BE33" s="96"/>
      <c r="BF33" s="96"/>
      <c r="BG33" s="98"/>
    </row>
    <row r="34" spans="1:59" ht="12" customHeight="1">
      <c r="A34" s="254">
        <f t="array" ref="A34">_xll.AC(DB,_xll.ArrayDPT($AA34:$AG34),_xll.ArrayCOA($AI34:$BB34),YR-1,PRD,_xll.ArrayDIM($BD34:$BG34))</f>
        <v>0</v>
      </c>
      <c r="B34" s="237">
        <f t="shared" si="20"/>
        <v>0</v>
      </c>
      <c r="C34" s="237">
        <f t="shared" si="21"/>
        <v>0</v>
      </c>
      <c r="D34" s="237">
        <f t="shared" si="22"/>
        <v>0</v>
      </c>
      <c r="E34" s="254">
        <f t="array" ref="E34">_xll.BC(DB,_xll.ArrayDPT($AA34:$AG34),_xll.ArrayCOA($AI34:$BB34),YR,PRD,RV,_xll.ArrayDIM($BD34:$BG34))</f>
        <v>0</v>
      </c>
      <c r="F34" s="237">
        <f t="shared" si="23"/>
        <v>0</v>
      </c>
      <c r="G34" s="254">
        <f t="array" ref="G34">_xll.AC(DB,_xll.ArrayDPT($AA34:$AG34),_xll.ArrayCOA($AI34:$BB34),YR,PRD,_xll.ArrayDIM($BD34:$BG34))</f>
        <v>0</v>
      </c>
      <c r="H34" s="237">
        <f t="shared" si="24"/>
        <v>0</v>
      </c>
      <c r="I34" s="237"/>
      <c r="J34" s="328" t="s">
        <v>1072</v>
      </c>
      <c r="K34" s="237"/>
      <c r="L34" s="254">
        <f t="array" ref="L34">_xll.ACC(DB,_xll.ArrayDPT($AA34:$AG34),_xll.ArrayCOA($AI34:$BB34),YR,PRD,_xll.ArrayDIM($BD34:$BG34))</f>
        <v>0</v>
      </c>
      <c r="M34" s="237">
        <f t="shared" si="25"/>
        <v>0</v>
      </c>
      <c r="N34" s="254">
        <f t="array" ref="N34">_xll.BCC(DB,_xll.ArrayDPT($AA34:$AG34),_xll.ArrayCOA($AI34:$BB34),YR,PRD,RV,_xll.ArrayDIM($BD34:$BG34))</f>
        <v>0</v>
      </c>
      <c r="O34" s="237">
        <f t="shared" si="26"/>
        <v>0</v>
      </c>
      <c r="P34" s="237">
        <f t="shared" si="27"/>
        <v>0</v>
      </c>
      <c r="Q34" s="237">
        <f t="shared" si="28"/>
        <v>0</v>
      </c>
      <c r="R34" s="254">
        <f t="array" ref="R34">_xll.ACC(DB,_xll.ArrayDPT($AA34:$AG34),_xll.ArrayCOA($AI34:$BB34),YR-1,PRD,_xll.ArrayDIM($BD34:$BG34))</f>
        <v>0</v>
      </c>
      <c r="S34" s="237">
        <f t="shared" si="29"/>
        <v>0</v>
      </c>
      <c r="T34" s="295"/>
      <c r="U34" s="295"/>
      <c r="V34" s="295"/>
      <c r="W34" s="295"/>
      <c r="X34" s="295"/>
      <c r="Y34" s="295"/>
      <c r="Z34" s="295"/>
      <c r="AA34" s="95"/>
      <c r="AB34" s="96"/>
      <c r="AC34" s="96"/>
      <c r="AD34" s="96"/>
      <c r="AE34" s="96"/>
      <c r="AF34" s="96"/>
      <c r="AG34" s="96"/>
      <c r="AH34" s="97"/>
      <c r="AI34" s="95"/>
      <c r="AJ34" s="96"/>
      <c r="AK34" s="95"/>
      <c r="AL34" s="96"/>
      <c r="AM34" s="95"/>
      <c r="AN34" s="96"/>
      <c r="AO34" s="95"/>
      <c r="AP34" s="98"/>
      <c r="AQ34" s="96"/>
      <c r="AR34" s="96"/>
      <c r="AS34" s="95"/>
      <c r="AT34" s="98"/>
      <c r="AU34" s="96"/>
      <c r="AV34" s="96"/>
      <c r="AW34" s="95"/>
      <c r="AX34" s="98"/>
      <c r="AY34" s="96"/>
      <c r="AZ34" s="96"/>
      <c r="BA34" s="95"/>
      <c r="BB34" s="98"/>
      <c r="BC34" s="99"/>
      <c r="BD34" s="95"/>
      <c r="BE34" s="96"/>
      <c r="BF34" s="96"/>
      <c r="BG34" s="98"/>
    </row>
    <row r="35" spans="1:59" ht="12" customHeight="1">
      <c r="A35" s="254">
        <f t="array" ref="A35">_xll.AC(DB,_xll.ArrayDPT($AA35:$AG35),_xll.ArrayCOA($AI35:$BB35),YR-1,PRD,_xll.ArrayDIM($BD35:$BG35))</f>
        <v>0</v>
      </c>
      <c r="B35" s="237">
        <f t="shared" si="20"/>
        <v>0</v>
      </c>
      <c r="C35" s="237">
        <f t="shared" si="21"/>
        <v>0</v>
      </c>
      <c r="D35" s="237">
        <f t="shared" si="22"/>
        <v>0</v>
      </c>
      <c r="E35" s="254">
        <f t="array" ref="E35">_xll.BC(DB,_xll.ArrayDPT($AA35:$AG35),_xll.ArrayCOA($AI35:$BB35),YR,PRD,RV,_xll.ArrayDIM($BD35:$BG35))</f>
        <v>0</v>
      </c>
      <c r="F35" s="237">
        <f t="shared" si="23"/>
        <v>0</v>
      </c>
      <c r="G35" s="254">
        <f t="array" ref="G35">_xll.AC(DB,_xll.ArrayDPT($AA35:$AG35),_xll.ArrayCOA($AI35:$BB35),YR,PRD,_xll.ArrayDIM($BD35:$BG35))</f>
        <v>0</v>
      </c>
      <c r="H35" s="237">
        <f t="shared" si="24"/>
        <v>0</v>
      </c>
      <c r="I35" s="237"/>
      <c r="J35" s="328" t="s">
        <v>1073</v>
      </c>
      <c r="K35" s="237"/>
      <c r="L35" s="254">
        <f t="array" ref="L35">_xll.ACC(DB,_xll.ArrayDPT($AA35:$AG35),_xll.ArrayCOA($AI35:$BB35),YR,PRD,_xll.ArrayDIM($BD35:$BG35))</f>
        <v>0</v>
      </c>
      <c r="M35" s="237">
        <f t="shared" si="25"/>
        <v>0</v>
      </c>
      <c r="N35" s="254">
        <f t="array" ref="N35">_xll.BCC(DB,_xll.ArrayDPT($AA35:$AG35),_xll.ArrayCOA($AI35:$BB35),YR,PRD,RV,_xll.ArrayDIM($BD35:$BG35))</f>
        <v>0</v>
      </c>
      <c r="O35" s="237">
        <f t="shared" si="26"/>
        <v>0</v>
      </c>
      <c r="P35" s="237">
        <f t="shared" si="27"/>
        <v>0</v>
      </c>
      <c r="Q35" s="237">
        <f t="shared" si="28"/>
        <v>0</v>
      </c>
      <c r="R35" s="254">
        <f t="array" ref="R35">_xll.ACC(DB,_xll.ArrayDPT($AA35:$AG35),_xll.ArrayCOA($AI35:$BB35),YR-1,PRD,_xll.ArrayDIM($BD35:$BG35))</f>
        <v>0</v>
      </c>
      <c r="S35" s="237">
        <f t="shared" si="29"/>
        <v>0</v>
      </c>
      <c r="T35" s="295"/>
      <c r="U35" s="295"/>
      <c r="V35" s="295"/>
      <c r="W35" s="295"/>
      <c r="X35" s="295"/>
      <c r="Y35" s="295"/>
      <c r="Z35" s="295"/>
      <c r="AA35" s="95"/>
      <c r="AB35" s="96"/>
      <c r="AC35" s="96"/>
      <c r="AD35" s="96"/>
      <c r="AE35" s="96"/>
      <c r="AF35" s="96"/>
      <c r="AG35" s="96"/>
      <c r="AH35" s="97"/>
      <c r="AI35" s="95"/>
      <c r="AJ35" s="96"/>
      <c r="AK35" s="95"/>
      <c r="AL35" s="96"/>
      <c r="AM35" s="95"/>
      <c r="AN35" s="96"/>
      <c r="AO35" s="95"/>
      <c r="AP35" s="98"/>
      <c r="AQ35" s="96"/>
      <c r="AR35" s="96"/>
      <c r="AS35" s="95"/>
      <c r="AT35" s="98"/>
      <c r="AU35" s="96"/>
      <c r="AV35" s="96"/>
      <c r="AW35" s="95"/>
      <c r="AX35" s="98"/>
      <c r="AY35" s="96"/>
      <c r="AZ35" s="96"/>
      <c r="BA35" s="95"/>
      <c r="BB35" s="98"/>
      <c r="BC35" s="99"/>
      <c r="BD35" s="95"/>
      <c r="BE35" s="96"/>
      <c r="BF35" s="96"/>
      <c r="BG35" s="98"/>
    </row>
    <row r="36" spans="1:59" ht="12" customHeight="1">
      <c r="A36" s="254">
        <f t="array" ref="A36">_xll.AC(DB,_xll.ArrayDPT($AA36:$AG36),_xll.ArrayCOA($AI36:$BB36),YR-1,PRD,_xll.ArrayDIM($BD36:$BG36))</f>
        <v>0</v>
      </c>
      <c r="B36" s="237">
        <f t="shared" si="20"/>
        <v>0</v>
      </c>
      <c r="C36" s="237">
        <f t="shared" si="21"/>
        <v>0</v>
      </c>
      <c r="D36" s="237">
        <f t="shared" si="22"/>
        <v>0</v>
      </c>
      <c r="E36" s="254">
        <f t="array" ref="E36">_xll.BC(DB,_xll.ArrayDPT($AA36:$AG36),_xll.ArrayCOA($AI36:$BB36),YR,PRD,RV,_xll.ArrayDIM($BD36:$BG36))</f>
        <v>0</v>
      </c>
      <c r="F36" s="237">
        <f t="shared" si="23"/>
        <v>0</v>
      </c>
      <c r="G36" s="254">
        <f t="array" ref="G36">_xll.AC(DB,_xll.ArrayDPT($AA36:$AG36),_xll.ArrayCOA($AI36:$BB36),YR,PRD,_xll.ArrayDIM($BD36:$BG36))</f>
        <v>0</v>
      </c>
      <c r="H36" s="237">
        <f t="shared" si="24"/>
        <v>0</v>
      </c>
      <c r="I36" s="237"/>
      <c r="J36" s="328" t="s">
        <v>1074</v>
      </c>
      <c r="K36" s="237"/>
      <c r="L36" s="254">
        <f t="array" ref="L36">_xll.ACC(DB,_xll.ArrayDPT($AA36:$AG36),_xll.ArrayCOA($AI36:$BB36),YR,PRD,_xll.ArrayDIM($BD36:$BG36))</f>
        <v>0</v>
      </c>
      <c r="M36" s="237">
        <f t="shared" si="25"/>
        <v>0</v>
      </c>
      <c r="N36" s="254">
        <f t="array" ref="N36">_xll.BCC(DB,_xll.ArrayDPT($AA36:$AG36),_xll.ArrayCOA($AI36:$BB36),YR,PRD,RV,_xll.ArrayDIM($BD36:$BG36))</f>
        <v>0</v>
      </c>
      <c r="O36" s="237">
        <f t="shared" si="26"/>
        <v>0</v>
      </c>
      <c r="P36" s="237">
        <f t="shared" si="27"/>
        <v>0</v>
      </c>
      <c r="Q36" s="237">
        <f t="shared" si="28"/>
        <v>0</v>
      </c>
      <c r="R36" s="254">
        <f t="array" ref="R36">_xll.ACC(DB,_xll.ArrayDPT($AA36:$AG36),_xll.ArrayCOA($AI36:$BB36),YR-1,PRD,_xll.ArrayDIM($BD36:$BG36))</f>
        <v>0</v>
      </c>
      <c r="S36" s="237">
        <f t="shared" si="29"/>
        <v>0</v>
      </c>
      <c r="T36" s="295"/>
      <c r="U36" s="295"/>
      <c r="V36" s="295"/>
      <c r="W36" s="295"/>
      <c r="X36" s="295"/>
      <c r="Y36" s="295"/>
      <c r="Z36" s="295"/>
      <c r="AA36" s="95"/>
      <c r="AB36" s="96"/>
      <c r="AC36" s="96"/>
      <c r="AD36" s="96"/>
      <c r="AE36" s="96"/>
      <c r="AF36" s="96"/>
      <c r="AG36" s="96"/>
      <c r="AH36" s="97"/>
      <c r="AI36" s="95"/>
      <c r="AJ36" s="96"/>
      <c r="AK36" s="95"/>
      <c r="AL36" s="96"/>
      <c r="AM36" s="95"/>
      <c r="AN36" s="96"/>
      <c r="AO36" s="95"/>
      <c r="AP36" s="98"/>
      <c r="AQ36" s="96"/>
      <c r="AR36" s="96"/>
      <c r="AS36" s="95"/>
      <c r="AT36" s="98"/>
      <c r="AU36" s="96"/>
      <c r="AV36" s="96"/>
      <c r="AW36" s="95"/>
      <c r="AX36" s="98"/>
      <c r="AY36" s="96"/>
      <c r="AZ36" s="96"/>
      <c r="BA36" s="95"/>
      <c r="BB36" s="98"/>
      <c r="BC36" s="99"/>
      <c r="BD36" s="95"/>
      <c r="BE36" s="96"/>
      <c r="BF36" s="96"/>
      <c r="BG36" s="98"/>
    </row>
    <row r="37" spans="1:59" ht="12" customHeight="1">
      <c r="A37" s="254">
        <f t="array" ref="A37">_xll.AC(DB,_xll.ArrayDPT($AA37:$AG37),_xll.ArrayCOA($AI37:$BB37),YR-1,PRD,_xll.ArrayDIM($BD37:$BG37))</f>
        <v>0</v>
      </c>
      <c r="B37" s="237">
        <f t="shared" si="20"/>
        <v>0</v>
      </c>
      <c r="C37" s="237">
        <f t="shared" si="21"/>
        <v>0</v>
      </c>
      <c r="D37" s="237">
        <f t="shared" si="22"/>
        <v>0</v>
      </c>
      <c r="E37" s="254">
        <f t="array" ref="E37">_xll.BC(DB,_xll.ArrayDPT($AA37:$AG37),_xll.ArrayCOA($AI37:$BB37),YR,PRD,RV,_xll.ArrayDIM($BD37:$BG37))</f>
        <v>0</v>
      </c>
      <c r="F37" s="237">
        <f t="shared" si="23"/>
        <v>0</v>
      </c>
      <c r="G37" s="254">
        <f t="array" ref="G37">_xll.AC(DB,_xll.ArrayDPT($AA37:$AG37),_xll.ArrayCOA($AI37:$BB37),YR,PRD,_xll.ArrayDIM($BD37:$BG37))</f>
        <v>0</v>
      </c>
      <c r="H37" s="237">
        <f t="shared" si="24"/>
        <v>0</v>
      </c>
      <c r="I37" s="237"/>
      <c r="J37" s="328" t="s">
        <v>721</v>
      </c>
      <c r="K37" s="237"/>
      <c r="L37" s="254">
        <f t="array" ref="L37">_xll.ACC(DB,_xll.ArrayDPT($AA37:$AG37),_xll.ArrayCOA($AI37:$BB37),YR,PRD,_xll.ArrayDIM($BD37:$BG37))</f>
        <v>0</v>
      </c>
      <c r="M37" s="237">
        <f t="shared" si="25"/>
        <v>0</v>
      </c>
      <c r="N37" s="254">
        <f t="array" ref="N37">_xll.BCC(DB,_xll.ArrayDPT($AA37:$AG37),_xll.ArrayCOA($AI37:$BB37),YR,PRD,RV,_xll.ArrayDIM($BD37:$BG37))</f>
        <v>0</v>
      </c>
      <c r="O37" s="237">
        <f t="shared" si="26"/>
        <v>0</v>
      </c>
      <c r="P37" s="237">
        <f t="shared" si="27"/>
        <v>0</v>
      </c>
      <c r="Q37" s="237">
        <f t="shared" si="28"/>
        <v>0</v>
      </c>
      <c r="R37" s="254">
        <f t="array" ref="R37">_xll.ACC(DB,_xll.ArrayDPT($AA37:$AG37),_xll.ArrayCOA($AI37:$BB37),YR-1,PRD,_xll.ArrayDIM($BD37:$BG37))</f>
        <v>0</v>
      </c>
      <c r="S37" s="237">
        <f t="shared" si="29"/>
        <v>0</v>
      </c>
      <c r="T37" s="295"/>
      <c r="U37" s="295"/>
      <c r="V37" s="295"/>
      <c r="W37" s="295"/>
      <c r="X37" s="295"/>
      <c r="Y37" s="295"/>
      <c r="Z37" s="295"/>
      <c r="AA37" s="95"/>
      <c r="AB37" s="96"/>
      <c r="AC37" s="96"/>
      <c r="AD37" s="96"/>
      <c r="AE37" s="96"/>
      <c r="AF37" s="96"/>
      <c r="AG37" s="96"/>
      <c r="AH37" s="97"/>
      <c r="AI37" s="95"/>
      <c r="AJ37" s="96"/>
      <c r="AK37" s="95"/>
      <c r="AL37" s="96"/>
      <c r="AM37" s="95"/>
      <c r="AN37" s="96"/>
      <c r="AO37" s="95"/>
      <c r="AP37" s="98"/>
      <c r="AQ37" s="96"/>
      <c r="AR37" s="96"/>
      <c r="AS37" s="95"/>
      <c r="AT37" s="98"/>
      <c r="AU37" s="96"/>
      <c r="AV37" s="96"/>
      <c r="AW37" s="95"/>
      <c r="AX37" s="98"/>
      <c r="AY37" s="96"/>
      <c r="AZ37" s="96"/>
      <c r="BA37" s="95"/>
      <c r="BB37" s="98"/>
      <c r="BC37" s="99"/>
      <c r="BD37" s="95"/>
      <c r="BE37" s="96"/>
      <c r="BF37" s="96"/>
      <c r="BG37" s="98"/>
    </row>
    <row r="38" spans="1:59" ht="6" customHeight="1">
      <c r="A38" s="330"/>
      <c r="B38" s="329"/>
      <c r="C38" s="392"/>
      <c r="D38" s="329"/>
      <c r="E38" s="392"/>
      <c r="F38" s="329"/>
      <c r="G38" s="392"/>
      <c r="H38" s="329"/>
      <c r="I38" s="398"/>
      <c r="J38" s="392"/>
      <c r="K38" s="399"/>
      <c r="L38" s="393"/>
      <c r="M38" s="333"/>
      <c r="N38" s="393"/>
      <c r="O38" s="333"/>
      <c r="P38" s="393"/>
      <c r="Q38" s="333"/>
      <c r="R38" s="393"/>
      <c r="S38" s="341"/>
      <c r="T38" s="328"/>
      <c r="U38" s="328"/>
      <c r="V38" s="328"/>
      <c r="W38" s="328"/>
      <c r="X38" s="328"/>
      <c r="Y38" s="328"/>
      <c r="Z38" s="328"/>
      <c r="AA38" s="95"/>
      <c r="AB38" s="96"/>
      <c r="AC38" s="96"/>
      <c r="AD38" s="96"/>
      <c r="AE38" s="96"/>
      <c r="AF38" s="96"/>
      <c r="AG38" s="96"/>
      <c r="AH38" s="97"/>
      <c r="AI38" s="95"/>
      <c r="AJ38" s="96"/>
      <c r="AK38" s="95"/>
      <c r="AL38" s="96"/>
      <c r="AM38" s="95"/>
      <c r="AN38" s="96"/>
      <c r="AO38" s="95"/>
      <c r="AP38" s="98"/>
      <c r="AQ38" s="96"/>
      <c r="AR38" s="96"/>
      <c r="AS38" s="95"/>
      <c r="AT38" s="98"/>
      <c r="AU38" s="96"/>
      <c r="AV38" s="96"/>
      <c r="AW38" s="95"/>
      <c r="AX38" s="98"/>
      <c r="AY38" s="96"/>
      <c r="AZ38" s="96"/>
      <c r="BA38" s="95"/>
      <c r="BB38" s="98"/>
      <c r="BC38" s="99"/>
      <c r="BD38" s="95"/>
      <c r="BE38" s="96"/>
      <c r="BF38" s="96"/>
      <c r="BG38" s="98"/>
    </row>
    <row r="39" spans="1:59" ht="12" customHeight="1">
      <c r="A39" s="394">
        <f>SUM(A23:A37)</f>
        <v>18665.759999999998</v>
      </c>
      <c r="B39" s="338">
        <f t="shared" ref="B39:B40" si="30">IF(A39=0,0,(A39*100)/A$44)</f>
        <v>1.3976791997007343</v>
      </c>
      <c r="C39" s="395">
        <f>SUM(C23:C37)</f>
        <v>0</v>
      </c>
      <c r="D39" s="338">
        <f t="shared" ref="D39:D40" si="31">IF(C39=0,0,(C39*100)/C$44)</f>
        <v>0</v>
      </c>
      <c r="E39" s="395">
        <f>SUM(E23:E37)</f>
        <v>0</v>
      </c>
      <c r="F39" s="338">
        <f t="shared" ref="F39:F40" si="32">IF(E39=0,0,(E39*100)/E$44)</f>
        <v>0</v>
      </c>
      <c r="G39" s="395">
        <f>SUM(G23:G37)</f>
        <v>0</v>
      </c>
      <c r="H39" s="338">
        <f t="shared" ref="H39:H40" si="33">IF(G39=0,0,(G39*100)/G$44)</f>
        <v>0</v>
      </c>
      <c r="I39" s="394"/>
      <c r="J39" s="396" t="s">
        <v>1075</v>
      </c>
      <c r="K39" s="400"/>
      <c r="L39" s="395">
        <f>SUM(L23:L37)</f>
        <v>0</v>
      </c>
      <c r="M39" s="338">
        <f t="shared" ref="M39:M40" si="34">IF(L39=0,0,(L39*100)/L$44)</f>
        <v>0</v>
      </c>
      <c r="N39" s="395">
        <f>SUM(N23:N37)</f>
        <v>0</v>
      </c>
      <c r="O39" s="338">
        <f t="shared" ref="O39:O40" si="35">IF(N39=0,0,(N39*100)/N$44)</f>
        <v>0</v>
      </c>
      <c r="P39" s="395">
        <f>SUM(P23:P37)</f>
        <v>0</v>
      </c>
      <c r="Q39" s="338">
        <f t="shared" ref="Q39:Q40" si="36">IF(P39=0,0,(P39*100)/P$44)</f>
        <v>0</v>
      </c>
      <c r="R39" s="395">
        <f>SUM(R23:R37)</f>
        <v>18665.759999999998</v>
      </c>
      <c r="S39" s="338">
        <f t="shared" ref="S39:S40" si="37">IF(R39=0,0,(R39*100)/R$44)</f>
        <v>1.3976791997007343</v>
      </c>
      <c r="T39" s="397"/>
      <c r="U39" s="397"/>
      <c r="V39" s="397"/>
      <c r="W39" s="397"/>
      <c r="X39" s="397"/>
      <c r="Y39" s="397"/>
      <c r="Z39" s="397"/>
      <c r="AA39" s="95"/>
      <c r="AB39" s="96"/>
      <c r="AC39" s="96"/>
      <c r="AD39" s="96"/>
      <c r="AE39" s="96"/>
      <c r="AF39" s="96"/>
      <c r="AG39" s="96"/>
      <c r="AH39" s="97"/>
      <c r="AI39" s="95"/>
      <c r="AJ39" s="96"/>
      <c r="AK39" s="95"/>
      <c r="AL39" s="96"/>
      <c r="AM39" s="95"/>
      <c r="AN39" s="96"/>
      <c r="AO39" s="95"/>
      <c r="AP39" s="98"/>
      <c r="AQ39" s="96"/>
      <c r="AR39" s="96"/>
      <c r="AS39" s="95"/>
      <c r="AT39" s="98"/>
      <c r="AU39" s="96"/>
      <c r="AV39" s="96"/>
      <c r="AW39" s="95"/>
      <c r="AX39" s="98"/>
      <c r="AY39" s="96"/>
      <c r="AZ39" s="96"/>
      <c r="BA39" s="95"/>
      <c r="BB39" s="98"/>
      <c r="BC39" s="99"/>
      <c r="BD39" s="95"/>
      <c r="BE39" s="96"/>
      <c r="BF39" s="96"/>
      <c r="BG39" s="98"/>
    </row>
    <row r="40" spans="1:59" ht="12" customHeight="1">
      <c r="A40" s="254">
        <f t="array" ref="A40">_xll.AC(DB,_xll.ArrayDPT($AA40:$AG40),_xll.ArrayCOA($AI40:$BB40),YR-1,PRD,_xll.ArrayDIM($BD40:$BG40))</f>
        <v>0</v>
      </c>
      <c r="B40" s="237">
        <f t="shared" si="30"/>
        <v>0</v>
      </c>
      <c r="C40" s="237">
        <f>+E40-G40</f>
        <v>0</v>
      </c>
      <c r="D40" s="237">
        <f t="shared" si="31"/>
        <v>0</v>
      </c>
      <c r="E40" s="254">
        <f t="array" ref="E40">_xll.BC(DB,_xll.ArrayDPT($AA40:$AG40),_xll.ArrayCOA($AI40:$BB40),YR,PRD,RV,_xll.ArrayDIM($BD40:$BG40))</f>
        <v>0</v>
      </c>
      <c r="F40" s="237">
        <f t="shared" si="32"/>
        <v>0</v>
      </c>
      <c r="G40" s="254">
        <f t="array" ref="G40">_xll.AC(DB,_xll.ArrayDPT($AA40:$AG40),_xll.ArrayCOA($AI40:$BB40),YR,PRD,_xll.ArrayDIM($BD40:$BG40))</f>
        <v>0</v>
      </c>
      <c r="H40" s="237">
        <f t="shared" si="33"/>
        <v>0</v>
      </c>
      <c r="I40" s="262"/>
      <c r="J40" s="237" t="s">
        <v>1076</v>
      </c>
      <c r="K40" s="262"/>
      <c r="L40" s="254">
        <f t="array" ref="L40">_xll.ACC(DB,_xll.ArrayDPT($AA40:$AG40),_xll.ArrayCOA($AI40:$BB40),YR,PRD,_xll.ArrayDIM($BD40:$BG40))</f>
        <v>0</v>
      </c>
      <c r="M40" s="237">
        <f t="shared" si="34"/>
        <v>0</v>
      </c>
      <c r="N40" s="254">
        <f t="array" ref="N40">_xll.BCC(DB,_xll.ArrayDPT($AA40:$AG40),_xll.ArrayCOA($AI40:$BB40),YR,PRD,RV,_xll.ArrayDIM($BD40:$BG40))</f>
        <v>0</v>
      </c>
      <c r="O40" s="237">
        <f t="shared" si="35"/>
        <v>0</v>
      </c>
      <c r="P40" s="237">
        <f>+N40-L40</f>
        <v>0</v>
      </c>
      <c r="Q40" s="237">
        <f t="shared" si="36"/>
        <v>0</v>
      </c>
      <c r="R40" s="254">
        <f t="array" ref="R40">_xll.ACC(DB,_xll.ArrayDPT($AA40:$AG40),_xll.ArrayCOA($AI40:$BB40),YR-1,PRD,_xll.ArrayDIM($BD40:$BG40))</f>
        <v>0</v>
      </c>
      <c r="S40" s="237">
        <f t="shared" si="37"/>
        <v>0</v>
      </c>
      <c r="T40" s="397"/>
      <c r="U40" s="397"/>
      <c r="V40" s="397"/>
      <c r="W40" s="397"/>
      <c r="X40" s="397"/>
      <c r="Y40" s="397"/>
      <c r="Z40" s="397"/>
      <c r="AA40" s="95"/>
      <c r="AB40" s="96"/>
      <c r="AC40" s="96"/>
      <c r="AD40" s="96"/>
      <c r="AE40" s="96"/>
      <c r="AF40" s="96"/>
      <c r="AG40" s="96"/>
      <c r="AH40" s="97"/>
      <c r="AI40" s="95"/>
      <c r="AJ40" s="96"/>
      <c r="AK40" s="95"/>
      <c r="AL40" s="96"/>
      <c r="AM40" s="95"/>
      <c r="AN40" s="96"/>
      <c r="AO40" s="95"/>
      <c r="AP40" s="98"/>
      <c r="AQ40" s="96"/>
      <c r="AR40" s="96"/>
      <c r="AS40" s="95"/>
      <c r="AT40" s="98"/>
      <c r="AU40" s="96"/>
      <c r="AV40" s="96"/>
      <c r="AW40" s="95"/>
      <c r="AX40" s="98"/>
      <c r="AY40" s="96"/>
      <c r="AZ40" s="96"/>
      <c r="BA40" s="95"/>
      <c r="BB40" s="98"/>
      <c r="BC40" s="99"/>
      <c r="BD40" s="95"/>
      <c r="BE40" s="96"/>
      <c r="BF40" s="96"/>
      <c r="BG40" s="98"/>
    </row>
    <row r="41" spans="1:59" ht="6" customHeight="1">
      <c r="A41" s="330"/>
      <c r="B41" s="329"/>
      <c r="C41" s="392"/>
      <c r="D41" s="329"/>
      <c r="E41" s="392"/>
      <c r="F41" s="329"/>
      <c r="G41" s="392"/>
      <c r="H41" s="329"/>
      <c r="I41" s="398"/>
      <c r="J41" s="392"/>
      <c r="K41" s="399"/>
      <c r="L41" s="393"/>
      <c r="M41" s="333"/>
      <c r="N41" s="393"/>
      <c r="O41" s="333"/>
      <c r="P41" s="393"/>
      <c r="Q41" s="333"/>
      <c r="R41" s="393"/>
      <c r="S41" s="341"/>
      <c r="T41" s="328"/>
      <c r="U41" s="328"/>
      <c r="V41" s="328"/>
      <c r="W41" s="328"/>
      <c r="X41" s="328"/>
      <c r="Y41" s="328"/>
      <c r="Z41" s="328"/>
      <c r="AA41" s="95"/>
      <c r="AB41" s="96"/>
      <c r="AC41" s="96"/>
      <c r="AD41" s="96"/>
      <c r="AE41" s="96"/>
      <c r="AF41" s="96"/>
      <c r="AG41" s="96"/>
      <c r="AH41" s="97"/>
      <c r="AI41" s="95"/>
      <c r="AJ41" s="96"/>
      <c r="AK41" s="95"/>
      <c r="AL41" s="96"/>
      <c r="AM41" s="95"/>
      <c r="AN41" s="96"/>
      <c r="AO41" s="95"/>
      <c r="AP41" s="98"/>
      <c r="AQ41" s="96"/>
      <c r="AR41" s="96"/>
      <c r="AS41" s="95"/>
      <c r="AT41" s="98"/>
      <c r="AU41" s="96"/>
      <c r="AV41" s="96"/>
      <c r="AW41" s="95"/>
      <c r="AX41" s="98"/>
      <c r="AY41" s="96"/>
      <c r="AZ41" s="96"/>
      <c r="BA41" s="95"/>
      <c r="BB41" s="98"/>
      <c r="BC41" s="99"/>
      <c r="BD41" s="95"/>
      <c r="BE41" s="96"/>
      <c r="BF41" s="96"/>
      <c r="BG41" s="98"/>
    </row>
    <row r="42" spans="1:59" ht="12" customHeight="1">
      <c r="A42" s="394">
        <f>SUM(A39:A40)</f>
        <v>18665.759999999998</v>
      </c>
      <c r="B42" s="338">
        <f>IF(A42=0,0,(A42*100)/A$44)</f>
        <v>1.3976791997007343</v>
      </c>
      <c r="C42" s="395">
        <f>SUM(C39:C40)</f>
        <v>0</v>
      </c>
      <c r="D42" s="338">
        <f>IF(C42=0,0,(C42*100)/C$44)</f>
        <v>0</v>
      </c>
      <c r="E42" s="395">
        <f>SUM(E39:E40)</f>
        <v>0</v>
      </c>
      <c r="F42" s="338">
        <f>IF(E42=0,0,(E42*100)/E$44)</f>
        <v>0</v>
      </c>
      <c r="G42" s="395">
        <f>SUM(G39:G40)</f>
        <v>0</v>
      </c>
      <c r="H42" s="338">
        <f>IF(G42=0,0,(G42*100)/G$44)</f>
        <v>0</v>
      </c>
      <c r="I42" s="394"/>
      <c r="J42" s="396" t="s">
        <v>1077</v>
      </c>
      <c r="K42" s="400"/>
      <c r="L42" s="395">
        <f>SUM(L39:L40)</f>
        <v>0</v>
      </c>
      <c r="M42" s="338">
        <f>IF(L42=0,0,(L42*100)/L$44)</f>
        <v>0</v>
      </c>
      <c r="N42" s="395">
        <f>SUM(N39:N40)</f>
        <v>0</v>
      </c>
      <c r="O42" s="338">
        <f>IF(N42=0,0,(N42*100)/N$44)</f>
        <v>0</v>
      </c>
      <c r="P42" s="395">
        <f>SUM(P39:P40)</f>
        <v>0</v>
      </c>
      <c r="Q42" s="338">
        <f>IF(P42=0,0,(P42*100)/P$44)</f>
        <v>0</v>
      </c>
      <c r="R42" s="395">
        <f>SUM(R39:R40)</f>
        <v>18665.759999999998</v>
      </c>
      <c r="S42" s="338">
        <f>IF(R42=0,0,(R42*100)/R$44)</f>
        <v>1.3976791997007343</v>
      </c>
      <c r="T42" s="397"/>
      <c r="U42" s="397"/>
      <c r="V42" s="397"/>
      <c r="W42" s="397"/>
      <c r="X42" s="397"/>
      <c r="Y42" s="397"/>
      <c r="Z42" s="397"/>
      <c r="AA42" s="95"/>
      <c r="AB42" s="96"/>
      <c r="AC42" s="96"/>
      <c r="AD42" s="96"/>
      <c r="AE42" s="96"/>
      <c r="AF42" s="96"/>
      <c r="AG42" s="96"/>
      <c r="AH42" s="97"/>
      <c r="AI42" s="95"/>
      <c r="AJ42" s="96"/>
      <c r="AK42" s="95"/>
      <c r="AL42" s="96"/>
      <c r="AM42" s="95"/>
      <c r="AN42" s="96"/>
      <c r="AO42" s="95"/>
      <c r="AP42" s="98"/>
      <c r="AQ42" s="96"/>
      <c r="AR42" s="96"/>
      <c r="AS42" s="95"/>
      <c r="AT42" s="98"/>
      <c r="AU42" s="96"/>
      <c r="AV42" s="96"/>
      <c r="AW42" s="95"/>
      <c r="AX42" s="98"/>
      <c r="AY42" s="96"/>
      <c r="AZ42" s="96"/>
      <c r="BA42" s="95"/>
      <c r="BB42" s="98"/>
      <c r="BC42" s="99"/>
      <c r="BD42" s="95"/>
      <c r="BE42" s="96"/>
      <c r="BF42" s="96"/>
      <c r="BG42" s="98"/>
    </row>
    <row r="43" spans="1:59" ht="6" customHeight="1">
      <c r="A43" s="330"/>
      <c r="B43" s="329"/>
      <c r="C43" s="392"/>
      <c r="D43" s="329"/>
      <c r="E43" s="392"/>
      <c r="F43" s="329"/>
      <c r="G43" s="392"/>
      <c r="H43" s="329"/>
      <c r="I43" s="398"/>
      <c r="J43" s="392"/>
      <c r="K43" s="399"/>
      <c r="L43" s="393"/>
      <c r="M43" s="333"/>
      <c r="N43" s="393"/>
      <c r="O43" s="333"/>
      <c r="P43" s="393"/>
      <c r="Q43" s="333"/>
      <c r="R43" s="393"/>
      <c r="S43" s="341"/>
      <c r="T43" s="328"/>
      <c r="U43" s="328"/>
      <c r="V43" s="328"/>
      <c r="W43" s="328"/>
      <c r="X43" s="328"/>
      <c r="Y43" s="328"/>
      <c r="Z43" s="328"/>
      <c r="AA43" s="95"/>
      <c r="AB43" s="96"/>
      <c r="AC43" s="96"/>
      <c r="AD43" s="96"/>
      <c r="AE43" s="96"/>
      <c r="AF43" s="96"/>
      <c r="AG43" s="96"/>
      <c r="AH43" s="97"/>
      <c r="AI43" s="95"/>
      <c r="AJ43" s="96"/>
      <c r="AK43" s="95"/>
      <c r="AL43" s="96"/>
      <c r="AM43" s="95"/>
      <c r="AN43" s="96"/>
      <c r="AO43" s="95"/>
      <c r="AP43" s="98"/>
      <c r="AQ43" s="96"/>
      <c r="AR43" s="96"/>
      <c r="AS43" s="95"/>
      <c r="AT43" s="98"/>
      <c r="AU43" s="96"/>
      <c r="AV43" s="96"/>
      <c r="AW43" s="95"/>
      <c r="AX43" s="98"/>
      <c r="AY43" s="96"/>
      <c r="AZ43" s="96"/>
      <c r="BA43" s="95"/>
      <c r="BB43" s="98"/>
      <c r="BC43" s="99"/>
      <c r="BD43" s="95"/>
      <c r="BE43" s="96"/>
      <c r="BF43" s="96"/>
      <c r="BG43" s="98"/>
    </row>
    <row r="44" spans="1:59" ht="12" customHeight="1">
      <c r="A44" s="394">
        <f>A21+A42</f>
        <v>1335482.42</v>
      </c>
      <c r="B44" s="338">
        <f>IF(A44=0,0,(A44*100)/A$44)</f>
        <v>100</v>
      </c>
      <c r="C44" s="395">
        <f>C21+C42</f>
        <v>-898359.6100000001</v>
      </c>
      <c r="D44" s="338">
        <f>IF(C44=0,0,(C44*100)/C$44)</f>
        <v>100</v>
      </c>
      <c r="E44" s="395">
        <f>E21+E42</f>
        <v>0</v>
      </c>
      <c r="F44" s="338">
        <f>IF(E44=0,0,(E44*100)/E$44)</f>
        <v>0</v>
      </c>
      <c r="G44" s="395">
        <f>G21+G42</f>
        <v>898359.6100000001</v>
      </c>
      <c r="H44" s="338">
        <f>IF(G44=0,0,(G44*100)/G$44)</f>
        <v>100</v>
      </c>
      <c r="I44" s="394"/>
      <c r="J44" s="396" t="s">
        <v>1078</v>
      </c>
      <c r="K44" s="400"/>
      <c r="L44" s="395">
        <f>L21+L42</f>
        <v>898359.6100000001</v>
      </c>
      <c r="M44" s="338">
        <f>IF(L44=0,0,(L44*100)/L$44)</f>
        <v>100</v>
      </c>
      <c r="N44" s="395">
        <f>N21+N42</f>
        <v>0</v>
      </c>
      <c r="O44" s="338">
        <f>IF(N44=0,0,(N44*100)/N$44)</f>
        <v>0</v>
      </c>
      <c r="P44" s="395">
        <f>P21+P42</f>
        <v>-898359.6100000001</v>
      </c>
      <c r="Q44" s="338">
        <f>IF(P44=0,0,(P44*100)/P$44)</f>
        <v>100</v>
      </c>
      <c r="R44" s="395">
        <f>R21+R42</f>
        <v>1335482.42</v>
      </c>
      <c r="S44" s="338">
        <f>IF(R44=0,0,(R44*100)/R$44)</f>
        <v>100</v>
      </c>
      <c r="T44" s="397"/>
      <c r="U44" s="397"/>
      <c r="V44" s="397"/>
      <c r="W44" s="397"/>
      <c r="X44" s="397"/>
      <c r="Y44" s="397"/>
      <c r="Z44" s="397"/>
      <c r="AA44" s="95"/>
      <c r="AB44" s="96"/>
      <c r="AC44" s="96"/>
      <c r="AD44" s="96"/>
      <c r="AE44" s="96"/>
      <c r="AF44" s="96"/>
      <c r="AG44" s="96"/>
      <c r="AH44" s="97"/>
      <c r="AI44" s="95"/>
      <c r="AJ44" s="96"/>
      <c r="AK44" s="95"/>
      <c r="AL44" s="96"/>
      <c r="AM44" s="95"/>
      <c r="AN44" s="96"/>
      <c r="AO44" s="95"/>
      <c r="AP44" s="98"/>
      <c r="AQ44" s="96"/>
      <c r="AR44" s="96"/>
      <c r="AS44" s="95"/>
      <c r="AT44" s="98"/>
      <c r="AU44" s="96"/>
      <c r="AV44" s="96"/>
      <c r="AW44" s="95"/>
      <c r="AX44" s="98"/>
      <c r="AY44" s="96"/>
      <c r="AZ44" s="96"/>
      <c r="BA44" s="95"/>
      <c r="BB44" s="98"/>
      <c r="BC44" s="99"/>
      <c r="BD44" s="95"/>
      <c r="BE44" s="96"/>
      <c r="BF44" s="96"/>
      <c r="BG44" s="98"/>
    </row>
    <row r="45" spans="1:59" ht="12" customHeight="1">
      <c r="A45" s="445"/>
      <c r="B45" s="300"/>
      <c r="C45" s="445"/>
      <c r="D45" s="300"/>
      <c r="E45" s="445"/>
      <c r="F45" s="300"/>
      <c r="G45" s="445"/>
      <c r="H45" s="300"/>
      <c r="I45" s="300"/>
      <c r="J45" s="415"/>
      <c r="K45" s="300"/>
      <c r="L45" s="445"/>
      <c r="M45" s="300"/>
      <c r="N45" s="445"/>
      <c r="O45" s="300"/>
      <c r="P45" s="445"/>
      <c r="Q45" s="300"/>
      <c r="R45" s="445"/>
      <c r="S45" s="300"/>
      <c r="T45" s="226"/>
      <c r="U45" s="319"/>
      <c r="V45" s="319"/>
      <c r="W45" s="319"/>
      <c r="X45" s="319"/>
      <c r="Y45" s="319"/>
      <c r="Z45" s="319"/>
    </row>
    <row r="46" spans="1:59" ht="12.75" customHeight="1">
      <c r="A46" s="244"/>
      <c r="B46" s="244"/>
      <c r="C46" s="244"/>
      <c r="D46" s="244"/>
      <c r="E46" s="244"/>
      <c r="F46" s="244"/>
      <c r="G46" s="244"/>
      <c r="H46" s="244"/>
      <c r="I46" s="244"/>
      <c r="J46" s="365"/>
      <c r="K46" s="244"/>
      <c r="L46" s="244"/>
      <c r="M46" s="244"/>
      <c r="N46" s="244"/>
      <c r="O46" s="244"/>
      <c r="P46" s="244"/>
      <c r="Q46" s="244"/>
      <c r="R46" s="244"/>
      <c r="S46" s="244"/>
      <c r="T46" s="226"/>
      <c r="U46" s="226"/>
      <c r="V46" s="226"/>
      <c r="W46" s="226"/>
      <c r="X46" s="226"/>
      <c r="Y46" s="226"/>
      <c r="Z46" s="226"/>
    </row>
    <row r="47" spans="1:59" ht="12" customHeight="1">
      <c r="A47" s="239"/>
      <c r="B47" s="239"/>
      <c r="C47" s="239"/>
      <c r="D47" s="239"/>
      <c r="E47" s="239"/>
      <c r="F47" s="239"/>
      <c r="G47" s="239"/>
      <c r="H47" s="239"/>
      <c r="I47" s="239"/>
      <c r="J47" s="364"/>
      <c r="K47" s="239"/>
      <c r="L47" s="237"/>
      <c r="M47" s="239"/>
      <c r="N47" s="239"/>
      <c r="O47" s="239"/>
      <c r="P47" s="239"/>
      <c r="Q47" s="239"/>
      <c r="R47" s="239"/>
      <c r="S47" s="244"/>
      <c r="T47" s="226"/>
      <c r="U47" s="446"/>
      <c r="V47" s="446"/>
      <c r="W47" s="446"/>
      <c r="X47" s="446"/>
      <c r="Y47" s="446"/>
      <c r="Z47" s="446"/>
    </row>
    <row r="48" spans="1:59" ht="12" customHeight="1">
      <c r="A48" s="244"/>
      <c r="B48" s="244"/>
      <c r="C48" s="244"/>
      <c r="D48" s="244"/>
      <c r="E48" s="244"/>
      <c r="F48" s="244"/>
      <c r="G48" s="244"/>
      <c r="H48" s="300"/>
      <c r="I48" s="300"/>
      <c r="J48" s="237"/>
      <c r="K48" s="300"/>
      <c r="L48" s="244"/>
      <c r="M48" s="244"/>
      <c r="N48" s="244"/>
      <c r="O48" s="244"/>
      <c r="P48" s="244"/>
      <c r="Q48" s="244"/>
      <c r="R48" s="244"/>
      <c r="S48" s="244"/>
      <c r="T48" s="226"/>
      <c r="U48" s="226"/>
      <c r="V48" s="226"/>
      <c r="W48" s="226"/>
      <c r="X48" s="226"/>
      <c r="Y48" s="226"/>
      <c r="Z48" s="226"/>
    </row>
    <row r="49" spans="1:26" ht="12" customHeight="1">
      <c r="A49" s="244"/>
      <c r="B49" s="244"/>
      <c r="C49" s="244"/>
      <c r="D49" s="244"/>
      <c r="E49" s="244"/>
      <c r="F49" s="244"/>
      <c r="G49" s="244"/>
      <c r="H49" s="300"/>
      <c r="I49" s="300"/>
      <c r="J49" s="237"/>
      <c r="K49" s="300"/>
      <c r="L49" s="244"/>
      <c r="M49" s="244"/>
      <c r="N49" s="244"/>
      <c r="O49" s="244"/>
      <c r="P49" s="244"/>
      <c r="Q49" s="244"/>
      <c r="R49" s="244"/>
      <c r="S49" s="244"/>
      <c r="T49" s="226"/>
      <c r="U49" s="226"/>
      <c r="V49" s="226"/>
      <c r="W49" s="226"/>
      <c r="X49" s="226"/>
      <c r="Y49" s="226"/>
      <c r="Z49" s="226"/>
    </row>
    <row r="50" spans="1:26" ht="12" customHeight="1">
      <c r="A50" s="244"/>
      <c r="B50" s="244"/>
      <c r="C50" s="244"/>
      <c r="D50" s="244"/>
      <c r="E50" s="244"/>
      <c r="F50" s="244"/>
      <c r="G50" s="244"/>
      <c r="H50" s="300"/>
      <c r="I50" s="300"/>
      <c r="J50" s="237"/>
      <c r="K50" s="300"/>
      <c r="L50" s="244"/>
      <c r="M50" s="244"/>
      <c r="N50" s="244"/>
      <c r="O50" s="244"/>
      <c r="P50" s="244"/>
      <c r="Q50" s="244"/>
      <c r="R50" s="244"/>
      <c r="S50" s="244"/>
      <c r="T50" s="226"/>
      <c r="U50" s="226"/>
      <c r="V50" s="226"/>
      <c r="W50" s="226"/>
      <c r="X50" s="226"/>
      <c r="Y50" s="226"/>
      <c r="Z50" s="226"/>
    </row>
    <row r="51" spans="1:26" ht="12" customHeight="1">
      <c r="A51" s="244"/>
      <c r="B51" s="244"/>
      <c r="C51" s="244"/>
      <c r="D51" s="244"/>
      <c r="E51" s="244"/>
      <c r="F51" s="244"/>
      <c r="G51" s="244"/>
      <c r="H51" s="300"/>
      <c r="I51" s="300"/>
      <c r="J51" s="237"/>
      <c r="K51" s="300"/>
      <c r="L51" s="244"/>
      <c r="M51" s="244"/>
      <c r="N51" s="244"/>
      <c r="O51" s="244"/>
      <c r="P51" s="244"/>
      <c r="Q51" s="244"/>
      <c r="R51" s="244"/>
      <c r="S51" s="244"/>
      <c r="T51" s="226"/>
      <c r="U51" s="226"/>
      <c r="V51" s="226"/>
      <c r="W51" s="226"/>
      <c r="X51" s="226"/>
      <c r="Y51" s="226"/>
      <c r="Z51" s="226"/>
    </row>
    <row r="52" spans="1:26" ht="12" customHeight="1">
      <c r="A52" s="244"/>
      <c r="B52" s="244"/>
      <c r="C52" s="244"/>
      <c r="D52" s="244"/>
      <c r="E52" s="244"/>
      <c r="F52" s="244"/>
      <c r="G52" s="244"/>
      <c r="H52" s="300"/>
      <c r="I52" s="300"/>
      <c r="J52" s="237"/>
      <c r="K52" s="300"/>
      <c r="L52" s="244"/>
      <c r="M52" s="244"/>
      <c r="N52" s="244"/>
      <c r="O52" s="244"/>
      <c r="P52" s="244"/>
      <c r="Q52" s="244"/>
      <c r="R52" s="244"/>
      <c r="S52" s="244"/>
      <c r="T52" s="226"/>
      <c r="U52" s="301"/>
      <c r="V52" s="301"/>
      <c r="W52" s="301"/>
      <c r="X52" s="301"/>
      <c r="Y52" s="226"/>
      <c r="Z52" s="226"/>
    </row>
    <row r="53" spans="1:26" ht="12" customHeight="1">
      <c r="A53" s="244"/>
      <c r="B53" s="244"/>
      <c r="C53" s="244"/>
      <c r="D53" s="244"/>
      <c r="E53" s="244"/>
      <c r="F53" s="244"/>
      <c r="G53" s="244"/>
      <c r="H53" s="300"/>
      <c r="I53" s="300"/>
      <c r="J53" s="237"/>
      <c r="K53" s="300"/>
      <c r="L53" s="244"/>
      <c r="M53" s="244"/>
      <c r="N53" s="244"/>
      <c r="O53" s="244"/>
      <c r="P53" s="244"/>
      <c r="Q53" s="244"/>
      <c r="R53" s="244"/>
      <c r="S53" s="244"/>
      <c r="T53" s="226"/>
      <c r="U53" s="301"/>
      <c r="V53" s="301"/>
      <c r="W53" s="301"/>
      <c r="X53" s="301"/>
      <c r="Y53" s="301"/>
      <c r="Z53" s="301"/>
    </row>
    <row r="54" spans="1:26" ht="12" customHeight="1">
      <c r="A54" s="237"/>
      <c r="B54" s="237"/>
      <c r="C54" s="237"/>
      <c r="D54" s="237"/>
      <c r="E54" s="237"/>
      <c r="F54" s="237"/>
      <c r="G54" s="237"/>
      <c r="H54" s="300"/>
      <c r="I54" s="300"/>
      <c r="J54" s="237"/>
      <c r="K54" s="300"/>
      <c r="L54" s="237"/>
      <c r="M54" s="244"/>
      <c r="N54" s="237"/>
      <c r="O54" s="237"/>
      <c r="P54" s="237"/>
      <c r="Q54" s="237"/>
      <c r="R54" s="237"/>
      <c r="S54" s="237"/>
      <c r="T54" s="226"/>
      <c r="U54" s="226"/>
      <c r="V54" s="226"/>
      <c r="W54" s="226"/>
      <c r="X54" s="226"/>
      <c r="Y54" s="226"/>
      <c r="Z54" s="226"/>
    </row>
    <row r="55" spans="1:26" ht="10.5" customHeight="1">
      <c r="A55" s="428"/>
      <c r="B55" s="428"/>
      <c r="C55" s="428"/>
      <c r="D55" s="428"/>
      <c r="E55" s="428"/>
      <c r="F55" s="428"/>
      <c r="G55" s="428"/>
      <c r="H55" s="428"/>
      <c r="I55" s="428"/>
      <c r="J55" s="428"/>
      <c r="K55" s="428"/>
      <c r="L55" s="428"/>
      <c r="M55" s="428"/>
      <c r="N55" s="428"/>
      <c r="O55" s="428"/>
      <c r="P55" s="428"/>
      <c r="Q55" s="428"/>
      <c r="R55" s="428"/>
      <c r="S55" s="428"/>
      <c r="T55" s="60"/>
      <c r="U55" s="60"/>
      <c r="V55" s="137"/>
      <c r="W55" s="137"/>
      <c r="X55" s="137"/>
      <c r="Y55" s="137"/>
      <c r="Z55" s="137"/>
    </row>
    <row r="56" spans="1:26" ht="10.5" customHeight="1">
      <c r="A56" s="428"/>
      <c r="B56" s="428"/>
      <c r="C56" s="428"/>
      <c r="D56" s="428"/>
      <c r="E56" s="428"/>
      <c r="F56" s="428"/>
      <c r="G56" s="428"/>
      <c r="H56" s="428"/>
      <c r="I56" s="428"/>
      <c r="J56" s="428"/>
      <c r="K56" s="428"/>
      <c r="L56" s="428"/>
      <c r="M56" s="428"/>
      <c r="N56" s="428"/>
      <c r="O56" s="428"/>
      <c r="P56" s="428"/>
      <c r="Q56" s="428"/>
      <c r="R56" s="428"/>
      <c r="S56" s="428"/>
      <c r="T56" s="60"/>
      <c r="U56" s="60"/>
      <c r="V56" s="137"/>
      <c r="W56" s="137"/>
      <c r="X56" s="137"/>
      <c r="Y56" s="137"/>
      <c r="Z56" s="137"/>
    </row>
    <row r="57" spans="1:26" ht="10.5" customHeight="1">
      <c r="A57" s="428"/>
      <c r="B57" s="428"/>
      <c r="C57" s="428"/>
      <c r="D57" s="428"/>
      <c r="E57" s="428"/>
      <c r="F57" s="428"/>
      <c r="G57" s="428"/>
      <c r="H57" s="428"/>
      <c r="I57" s="428"/>
      <c r="J57" s="428"/>
      <c r="K57" s="428"/>
      <c r="L57" s="428"/>
      <c r="M57" s="428"/>
      <c r="N57" s="428"/>
      <c r="O57" s="428"/>
      <c r="P57" s="428"/>
      <c r="Q57" s="428"/>
      <c r="R57" s="428"/>
      <c r="S57" s="428"/>
      <c r="T57" s="60"/>
      <c r="U57" s="60"/>
      <c r="V57" s="137"/>
      <c r="W57" s="137"/>
      <c r="X57" s="137"/>
      <c r="Y57" s="137"/>
      <c r="Z57" s="137"/>
    </row>
    <row r="58" spans="1:26" ht="10.5" customHeight="1">
      <c r="A58" s="428"/>
      <c r="B58" s="428"/>
      <c r="C58" s="428"/>
      <c r="D58" s="428"/>
      <c r="E58" s="428"/>
      <c r="F58" s="428"/>
      <c r="G58" s="428"/>
      <c r="H58" s="428"/>
      <c r="I58" s="428"/>
      <c r="J58" s="428"/>
      <c r="K58" s="428"/>
      <c r="L58" s="428"/>
      <c r="M58" s="428"/>
      <c r="N58" s="428"/>
      <c r="O58" s="428"/>
      <c r="P58" s="428"/>
      <c r="Q58" s="428"/>
      <c r="R58" s="428"/>
      <c r="S58" s="428"/>
      <c r="T58" s="60"/>
      <c r="U58" s="60"/>
      <c r="V58" s="137"/>
      <c r="W58" s="137"/>
      <c r="X58" s="137"/>
      <c r="Y58" s="137"/>
      <c r="Z58" s="137"/>
    </row>
    <row r="59" spans="1:26" ht="10.5" customHeight="1">
      <c r="A59" s="428"/>
      <c r="B59" s="428"/>
      <c r="C59" s="428"/>
      <c r="D59" s="428"/>
      <c r="E59" s="428"/>
      <c r="F59" s="428"/>
      <c r="G59" s="428"/>
      <c r="H59" s="428"/>
      <c r="I59" s="428"/>
      <c r="J59" s="428"/>
      <c r="K59" s="428"/>
      <c r="L59" s="428"/>
      <c r="M59" s="428"/>
      <c r="N59" s="428"/>
      <c r="O59" s="428"/>
      <c r="P59" s="428"/>
      <c r="Q59" s="428"/>
      <c r="R59" s="428"/>
      <c r="S59" s="428"/>
      <c r="T59" s="60"/>
      <c r="U59" s="60"/>
      <c r="V59" s="137"/>
      <c r="W59" s="137"/>
      <c r="X59" s="137"/>
      <c r="Y59" s="137"/>
      <c r="Z59" s="137"/>
    </row>
    <row r="60" spans="1:26" ht="10.5" customHeight="1">
      <c r="A60" s="428"/>
      <c r="B60" s="428"/>
      <c r="C60" s="428"/>
      <c r="D60" s="428"/>
      <c r="E60" s="428"/>
      <c r="F60" s="428"/>
      <c r="G60" s="428"/>
      <c r="H60" s="428"/>
      <c r="I60" s="428"/>
      <c r="J60" s="428"/>
      <c r="K60" s="428"/>
      <c r="L60" s="428"/>
      <c r="M60" s="428"/>
      <c r="N60" s="428"/>
      <c r="O60" s="428"/>
      <c r="P60" s="428"/>
      <c r="Q60" s="428"/>
      <c r="R60" s="428"/>
      <c r="S60" s="428"/>
      <c r="T60" s="60"/>
      <c r="U60" s="60"/>
      <c r="V60" s="137"/>
      <c r="W60" s="137"/>
      <c r="X60" s="137"/>
      <c r="Y60" s="137"/>
      <c r="Z60" s="137"/>
    </row>
    <row r="61" spans="1:26" ht="10.5" customHeight="1">
      <c r="A61" s="428"/>
      <c r="B61" s="428"/>
      <c r="C61" s="428"/>
      <c r="D61" s="428"/>
      <c r="E61" s="428"/>
      <c r="F61" s="428"/>
      <c r="G61" s="428"/>
      <c r="H61" s="428"/>
      <c r="I61" s="428"/>
      <c r="J61" s="428"/>
      <c r="K61" s="428"/>
      <c r="L61" s="428"/>
      <c r="M61" s="428"/>
      <c r="N61" s="428"/>
      <c r="O61" s="428"/>
      <c r="P61" s="428"/>
      <c r="Q61" s="428"/>
      <c r="R61" s="428"/>
      <c r="S61" s="428"/>
      <c r="T61" s="60"/>
      <c r="U61" s="60"/>
      <c r="V61" s="137"/>
      <c r="W61" s="137"/>
      <c r="X61" s="137"/>
      <c r="Y61" s="137"/>
      <c r="Z61" s="137"/>
    </row>
    <row r="62" spans="1:26" ht="10.5" customHeight="1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60"/>
      <c r="U62" s="60"/>
      <c r="V62" s="137"/>
      <c r="W62" s="137"/>
      <c r="X62" s="137"/>
      <c r="Y62" s="137"/>
      <c r="Z62" s="137"/>
    </row>
    <row r="63" spans="1:26" ht="10.5" customHeight="1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60"/>
      <c r="U63" s="60"/>
      <c r="V63" s="137"/>
      <c r="W63" s="137"/>
      <c r="X63" s="137"/>
      <c r="Y63" s="137"/>
      <c r="Z63" s="137"/>
    </row>
    <row r="64" spans="1:26" ht="10.5" customHeight="1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60"/>
      <c r="U64" s="60"/>
      <c r="V64" s="137"/>
      <c r="W64" s="137"/>
      <c r="X64" s="137"/>
      <c r="Y64" s="137"/>
      <c r="Z64" s="137"/>
    </row>
    <row r="65" spans="1:26" ht="10.5" customHeight="1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60"/>
      <c r="U65" s="60"/>
      <c r="V65" s="137"/>
      <c r="W65" s="137"/>
      <c r="X65" s="137"/>
      <c r="Y65" s="137"/>
      <c r="Z65" s="137"/>
    </row>
    <row r="66" spans="1:26" ht="10.5" customHeight="1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60"/>
      <c r="U66" s="60"/>
      <c r="V66" s="137"/>
      <c r="W66" s="137"/>
      <c r="X66" s="137"/>
      <c r="Y66" s="137"/>
      <c r="Z66" s="137"/>
    </row>
    <row r="67" spans="1:26" ht="10.5" customHeight="1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60"/>
      <c r="U67" s="60"/>
      <c r="V67" s="137"/>
      <c r="W67" s="137"/>
      <c r="X67" s="137"/>
      <c r="Y67" s="137"/>
      <c r="Z67" s="137"/>
    </row>
    <row r="68" spans="1:26" ht="10.5" customHeight="1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60"/>
      <c r="U68" s="60"/>
      <c r="V68" s="137"/>
      <c r="W68" s="137"/>
      <c r="X68" s="137"/>
      <c r="Y68" s="137"/>
      <c r="Z68" s="137"/>
    </row>
    <row r="69" spans="1:26" ht="10.5" customHeight="1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60"/>
      <c r="U69" s="60"/>
      <c r="V69" s="137"/>
      <c r="W69" s="137"/>
      <c r="X69" s="137"/>
      <c r="Y69" s="137"/>
      <c r="Z69" s="137"/>
    </row>
    <row r="70" spans="1:26" ht="10.5" customHeight="1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60"/>
      <c r="U70" s="60"/>
      <c r="V70" s="137"/>
      <c r="W70" s="137"/>
      <c r="X70" s="137"/>
      <c r="Y70" s="137"/>
      <c r="Z70" s="137"/>
    </row>
    <row r="71" spans="1:26" ht="10.5" customHeight="1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60"/>
      <c r="U71" s="60"/>
      <c r="V71" s="137"/>
      <c r="W71" s="137"/>
      <c r="X71" s="137"/>
      <c r="Y71" s="137"/>
      <c r="Z71" s="137"/>
    </row>
    <row r="72" spans="1:26" ht="10.5" customHeight="1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60"/>
      <c r="U72" s="60"/>
      <c r="V72" s="137"/>
      <c r="W72" s="137"/>
      <c r="X72" s="137"/>
      <c r="Y72" s="137"/>
      <c r="Z72" s="137"/>
    </row>
    <row r="73" spans="1:26" ht="10.5" customHeight="1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60"/>
      <c r="U73" s="60"/>
      <c r="V73" s="137"/>
      <c r="W73" s="137"/>
      <c r="X73" s="137"/>
      <c r="Y73" s="137"/>
      <c r="Z73" s="137"/>
    </row>
    <row r="74" spans="1:26" ht="10.5" customHeight="1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60"/>
      <c r="U74" s="60"/>
      <c r="V74" s="137"/>
      <c r="W74" s="137"/>
      <c r="X74" s="137"/>
      <c r="Y74" s="137"/>
      <c r="Z74" s="137"/>
    </row>
    <row r="75" spans="1:26" ht="12" customHeight="1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60"/>
      <c r="U75" s="60"/>
      <c r="V75" s="137"/>
      <c r="W75" s="137"/>
      <c r="X75" s="137"/>
      <c r="Y75" s="137"/>
      <c r="Z75" s="137"/>
    </row>
    <row r="76" spans="1:26" ht="12" customHeight="1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60"/>
      <c r="U76" s="60"/>
      <c r="V76" s="137"/>
      <c r="W76" s="137"/>
      <c r="X76" s="137"/>
      <c r="Y76" s="137"/>
      <c r="Z76" s="137"/>
    </row>
    <row r="77" spans="1:26" ht="12" customHeight="1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60"/>
      <c r="U77" s="60"/>
      <c r="V77" s="137"/>
      <c r="W77" s="137"/>
      <c r="X77" s="137"/>
      <c r="Y77" s="137"/>
      <c r="Z77" s="137"/>
    </row>
    <row r="78" spans="1:26" ht="12" customHeight="1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60"/>
      <c r="U78" s="60"/>
      <c r="V78" s="137"/>
      <c r="W78" s="137"/>
      <c r="X78" s="137"/>
      <c r="Y78" s="137"/>
      <c r="Z78" s="137"/>
    </row>
    <row r="79" spans="1:26" ht="12" customHeight="1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60"/>
      <c r="U79" s="60"/>
      <c r="V79" s="137"/>
      <c r="W79" s="137"/>
      <c r="X79" s="137"/>
      <c r="Y79" s="137"/>
      <c r="Z79" s="137"/>
    </row>
    <row r="80" spans="1:26" ht="12" customHeight="1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60"/>
      <c r="U80" s="60"/>
      <c r="V80" s="137"/>
      <c r="W80" s="137"/>
      <c r="X80" s="137"/>
      <c r="Y80" s="137"/>
      <c r="Z80" s="137"/>
    </row>
    <row r="81" spans="1:26" ht="12" customHeight="1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60"/>
      <c r="U81" s="60"/>
      <c r="V81" s="137"/>
      <c r="W81" s="137"/>
      <c r="X81" s="137"/>
      <c r="Y81" s="137"/>
      <c r="Z81" s="137"/>
    </row>
    <row r="82" spans="1:26" ht="12" customHeight="1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60"/>
      <c r="U82" s="60"/>
      <c r="V82" s="137"/>
      <c r="W82" s="137"/>
      <c r="X82" s="137"/>
      <c r="Y82" s="137"/>
      <c r="Z82" s="137"/>
    </row>
    <row r="83" spans="1:26" ht="12" customHeight="1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60"/>
      <c r="U83" s="60"/>
      <c r="V83" s="137"/>
      <c r="W83" s="137"/>
      <c r="X83" s="137"/>
      <c r="Y83" s="137"/>
      <c r="Z83" s="137"/>
    </row>
    <row r="84" spans="1:26" ht="12" customHeight="1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60"/>
      <c r="U84" s="60"/>
      <c r="V84" s="137"/>
      <c r="W84" s="137"/>
      <c r="X84" s="137"/>
      <c r="Y84" s="137"/>
      <c r="Z84" s="137"/>
    </row>
    <row r="85" spans="1:26" ht="12" customHeight="1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60"/>
      <c r="U85" s="60"/>
      <c r="V85" s="137"/>
      <c r="W85" s="137"/>
      <c r="X85" s="137"/>
      <c r="Y85" s="137"/>
      <c r="Z85" s="137"/>
    </row>
    <row r="86" spans="1:26" ht="12" customHeight="1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60"/>
      <c r="U86" s="60"/>
      <c r="V86" s="137"/>
      <c r="W86" s="137"/>
      <c r="X86" s="137"/>
      <c r="Y86" s="137"/>
      <c r="Z86" s="137"/>
    </row>
    <row r="87" spans="1:26" ht="12" customHeight="1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60"/>
      <c r="U87" s="60"/>
      <c r="V87" s="137"/>
      <c r="W87" s="137"/>
      <c r="X87" s="137"/>
      <c r="Y87" s="137"/>
      <c r="Z87" s="137"/>
    </row>
    <row r="88" spans="1:26" ht="12" customHeight="1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60"/>
      <c r="U88" s="60"/>
      <c r="V88" s="137"/>
      <c r="W88" s="137"/>
      <c r="X88" s="137"/>
      <c r="Y88" s="137"/>
      <c r="Z88" s="137"/>
    </row>
    <row r="89" spans="1:26" ht="12" customHeight="1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60"/>
      <c r="U89" s="60"/>
      <c r="V89" s="137"/>
      <c r="W89" s="137"/>
      <c r="X89" s="137"/>
      <c r="Y89" s="137"/>
      <c r="Z89" s="137"/>
    </row>
    <row r="90" spans="1:26" ht="12" customHeight="1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60"/>
      <c r="U90" s="60"/>
      <c r="V90" s="137"/>
      <c r="W90" s="137"/>
      <c r="X90" s="137"/>
      <c r="Y90" s="137"/>
      <c r="Z90" s="137"/>
    </row>
    <row r="91" spans="1:26" ht="12" customHeight="1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60"/>
      <c r="U91" s="60"/>
      <c r="V91" s="137"/>
      <c r="W91" s="137"/>
      <c r="X91" s="137"/>
      <c r="Y91" s="137"/>
      <c r="Z91" s="137"/>
    </row>
    <row r="92" spans="1:26" ht="12" customHeight="1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60"/>
      <c r="U92" s="60"/>
      <c r="V92" s="137"/>
      <c r="W92" s="137"/>
      <c r="X92" s="137"/>
      <c r="Y92" s="137"/>
      <c r="Z92" s="137"/>
    </row>
    <row r="93" spans="1:26" ht="12" customHeight="1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60"/>
      <c r="U93" s="60"/>
      <c r="V93" s="137"/>
      <c r="W93" s="137"/>
      <c r="X93" s="137"/>
      <c r="Y93" s="137"/>
      <c r="Z93" s="137"/>
    </row>
    <row r="94" spans="1:26" ht="12" customHeight="1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60"/>
      <c r="U94" s="60"/>
      <c r="V94" s="137"/>
      <c r="W94" s="137"/>
      <c r="X94" s="137"/>
      <c r="Y94" s="137"/>
      <c r="Z94" s="137"/>
    </row>
    <row r="95" spans="1:26" ht="12" customHeight="1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60"/>
      <c r="U95" s="60"/>
      <c r="V95" s="137"/>
      <c r="W95" s="137"/>
      <c r="X95" s="137"/>
      <c r="Y95" s="137"/>
      <c r="Z95" s="137"/>
    </row>
    <row r="96" spans="1:26" ht="12" customHeight="1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60"/>
      <c r="U96" s="60"/>
      <c r="V96" s="137"/>
      <c r="W96" s="137"/>
      <c r="X96" s="137"/>
      <c r="Y96" s="137"/>
      <c r="Z96" s="137"/>
    </row>
    <row r="97" spans="1:26" ht="12" customHeight="1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60"/>
      <c r="U97" s="60"/>
      <c r="V97" s="137"/>
      <c r="W97" s="137"/>
      <c r="X97" s="137"/>
      <c r="Y97" s="137"/>
      <c r="Z97" s="137"/>
    </row>
    <row r="98" spans="1:26" ht="12" customHeight="1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60"/>
      <c r="U98" s="60"/>
      <c r="V98" s="137"/>
      <c r="W98" s="137"/>
      <c r="X98" s="137"/>
      <c r="Y98" s="137"/>
      <c r="Z98" s="137"/>
    </row>
    <row r="99" spans="1:26" ht="12" customHeight="1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60"/>
      <c r="U99" s="60"/>
      <c r="V99" s="137"/>
      <c r="W99" s="137"/>
      <c r="X99" s="137"/>
      <c r="Y99" s="137"/>
      <c r="Z99" s="137"/>
    </row>
    <row r="100" spans="1:26" ht="12" customHeight="1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60"/>
      <c r="U100" s="60"/>
      <c r="V100" s="137"/>
      <c r="W100" s="137"/>
      <c r="X100" s="137"/>
      <c r="Y100" s="137"/>
      <c r="Z100" s="137"/>
    </row>
    <row r="101" spans="1:26" ht="12" customHeight="1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60"/>
      <c r="U101" s="60"/>
      <c r="V101" s="137"/>
      <c r="W101" s="137"/>
      <c r="X101" s="137"/>
      <c r="Y101" s="137"/>
      <c r="Z101" s="137"/>
    </row>
    <row r="102" spans="1:26" ht="12" customHeight="1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60"/>
      <c r="U102" s="60"/>
      <c r="V102" s="137"/>
      <c r="W102" s="137"/>
      <c r="X102" s="137"/>
      <c r="Y102" s="137"/>
      <c r="Z102" s="137"/>
    </row>
    <row r="103" spans="1:26" ht="12" customHeight="1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60"/>
      <c r="U103" s="60"/>
      <c r="V103" s="137"/>
      <c r="W103" s="137"/>
      <c r="X103" s="137"/>
      <c r="Y103" s="137"/>
      <c r="Z103" s="137"/>
    </row>
    <row r="104" spans="1:26" ht="12" customHeight="1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60"/>
      <c r="U104" s="60"/>
      <c r="V104" s="137"/>
      <c r="W104" s="137"/>
      <c r="X104" s="137"/>
      <c r="Y104" s="137"/>
      <c r="Z104" s="137"/>
    </row>
    <row r="105" spans="1:26" ht="12" customHeight="1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60"/>
      <c r="U105" s="60"/>
      <c r="V105" s="137"/>
      <c r="W105" s="137"/>
      <c r="X105" s="137"/>
      <c r="Y105" s="137"/>
      <c r="Z105" s="137"/>
    </row>
    <row r="106" spans="1:26" ht="12" customHeight="1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60"/>
      <c r="U106" s="60"/>
      <c r="V106" s="137"/>
      <c r="W106" s="137"/>
      <c r="X106" s="137"/>
      <c r="Y106" s="137"/>
      <c r="Z106" s="137"/>
    </row>
    <row r="107" spans="1:26" ht="12" customHeight="1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60"/>
      <c r="U107" s="60"/>
      <c r="V107" s="137"/>
      <c r="W107" s="137"/>
      <c r="X107" s="137"/>
      <c r="Y107" s="137"/>
      <c r="Z107" s="137"/>
    </row>
    <row r="108" spans="1:26" ht="12" customHeight="1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60"/>
      <c r="U108" s="60"/>
      <c r="V108" s="137"/>
      <c r="W108" s="137"/>
      <c r="X108" s="137"/>
      <c r="Y108" s="137"/>
      <c r="Z108" s="137"/>
    </row>
    <row r="109" spans="1:26" ht="12" customHeight="1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60"/>
      <c r="U109" s="60"/>
      <c r="V109" s="137"/>
      <c r="W109" s="137"/>
      <c r="X109" s="137"/>
      <c r="Y109" s="137"/>
      <c r="Z109" s="137"/>
    </row>
    <row r="110" spans="1:26" ht="12" customHeight="1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60"/>
      <c r="U110" s="60"/>
      <c r="V110" s="137"/>
      <c r="W110" s="137"/>
      <c r="X110" s="137"/>
      <c r="Y110" s="137"/>
      <c r="Z110" s="137"/>
    </row>
    <row r="111" spans="1:26" ht="12" customHeight="1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60"/>
      <c r="U111" s="60"/>
      <c r="V111" s="137"/>
      <c r="W111" s="137"/>
      <c r="X111" s="137"/>
      <c r="Y111" s="137"/>
      <c r="Z111" s="137"/>
    </row>
    <row r="112" spans="1:26" ht="12" customHeight="1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60"/>
      <c r="U112" s="60"/>
      <c r="V112" s="137"/>
      <c r="W112" s="137"/>
      <c r="X112" s="137"/>
      <c r="Y112" s="137"/>
      <c r="Z112" s="137"/>
    </row>
    <row r="113" spans="1:26" ht="12" customHeight="1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60"/>
      <c r="U113" s="60"/>
      <c r="V113" s="137"/>
      <c r="W113" s="137"/>
      <c r="X113" s="137"/>
      <c r="Y113" s="137"/>
      <c r="Z113" s="137"/>
    </row>
    <row r="114" spans="1:26" ht="12" customHeight="1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60"/>
      <c r="U114" s="60"/>
      <c r="V114" s="137"/>
      <c r="W114" s="137"/>
      <c r="X114" s="137"/>
      <c r="Y114" s="137"/>
      <c r="Z114" s="137"/>
    </row>
    <row r="115" spans="1:26" ht="12" customHeight="1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60"/>
      <c r="U115" s="60"/>
      <c r="V115" s="137"/>
      <c r="W115" s="137"/>
      <c r="X115" s="137"/>
      <c r="Y115" s="137"/>
      <c r="Z115" s="137"/>
    </row>
    <row r="116" spans="1:26" ht="12" customHeight="1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60"/>
      <c r="U116" s="60"/>
      <c r="V116" s="137"/>
      <c r="W116" s="137"/>
      <c r="X116" s="137"/>
      <c r="Y116" s="137"/>
      <c r="Z116" s="137"/>
    </row>
    <row r="117" spans="1:26" ht="12" customHeight="1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60"/>
      <c r="U117" s="60"/>
      <c r="V117" s="137"/>
      <c r="W117" s="137"/>
      <c r="X117" s="137"/>
      <c r="Y117" s="137"/>
      <c r="Z117" s="137"/>
    </row>
    <row r="118" spans="1:26" ht="12" customHeight="1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60"/>
      <c r="U118" s="60"/>
      <c r="V118" s="137"/>
      <c r="W118" s="137"/>
      <c r="X118" s="137"/>
      <c r="Y118" s="137"/>
      <c r="Z118" s="137"/>
    </row>
    <row r="119" spans="1:26" ht="12" customHeight="1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60"/>
      <c r="U119" s="60"/>
      <c r="V119" s="137"/>
      <c r="W119" s="137"/>
      <c r="X119" s="137"/>
      <c r="Y119" s="137"/>
      <c r="Z119" s="137"/>
    </row>
    <row r="120" spans="1:26" ht="12" customHeight="1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60"/>
      <c r="U120" s="60"/>
      <c r="V120" s="137"/>
      <c r="W120" s="137"/>
      <c r="X120" s="137"/>
      <c r="Y120" s="137"/>
      <c r="Z120" s="137"/>
    </row>
    <row r="121" spans="1:26" ht="12" customHeight="1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60"/>
      <c r="U121" s="60"/>
      <c r="V121" s="137"/>
      <c r="W121" s="137"/>
      <c r="X121" s="137"/>
      <c r="Y121" s="137"/>
      <c r="Z121" s="137"/>
    </row>
    <row r="122" spans="1:26" ht="12" customHeight="1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60"/>
      <c r="U122" s="60"/>
      <c r="V122" s="137"/>
      <c r="W122" s="137"/>
      <c r="X122" s="137"/>
      <c r="Y122" s="137"/>
      <c r="Z122" s="137"/>
    </row>
    <row r="123" spans="1:26" ht="12" customHeight="1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60"/>
      <c r="U123" s="60"/>
      <c r="V123" s="137"/>
      <c r="W123" s="137"/>
      <c r="X123" s="137"/>
      <c r="Y123" s="137"/>
      <c r="Z123" s="137"/>
    </row>
    <row r="124" spans="1:26" ht="12" customHeight="1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60"/>
      <c r="U124" s="60"/>
      <c r="V124" s="137"/>
      <c r="W124" s="137"/>
      <c r="X124" s="137"/>
      <c r="Y124" s="137"/>
      <c r="Z124" s="137"/>
    </row>
    <row r="125" spans="1:26" ht="12" customHeight="1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60"/>
      <c r="U125" s="60"/>
      <c r="V125" s="137"/>
      <c r="W125" s="137"/>
      <c r="X125" s="137"/>
      <c r="Y125" s="137"/>
      <c r="Z125" s="137"/>
    </row>
    <row r="126" spans="1:26" ht="12" customHeight="1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60"/>
      <c r="U126" s="60"/>
      <c r="V126" s="137"/>
      <c r="W126" s="137"/>
      <c r="X126" s="137"/>
      <c r="Y126" s="137"/>
      <c r="Z126" s="137"/>
    </row>
    <row r="127" spans="1:26" ht="12" customHeight="1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60"/>
      <c r="U127" s="60"/>
      <c r="V127" s="137"/>
      <c r="W127" s="137"/>
      <c r="X127" s="137"/>
      <c r="Y127" s="137"/>
      <c r="Z127" s="137"/>
    </row>
    <row r="128" spans="1:26" ht="12" customHeight="1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60"/>
      <c r="U128" s="60"/>
      <c r="V128" s="137"/>
      <c r="W128" s="137"/>
      <c r="X128" s="137"/>
      <c r="Y128" s="137"/>
      <c r="Z128" s="137"/>
    </row>
    <row r="129" spans="1:26" ht="12" customHeight="1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60"/>
      <c r="U129" s="60"/>
      <c r="V129" s="137"/>
      <c r="W129" s="137"/>
      <c r="X129" s="137"/>
      <c r="Y129" s="137"/>
      <c r="Z129" s="137"/>
    </row>
    <row r="130" spans="1:26" ht="12" customHeight="1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60"/>
      <c r="U130" s="60"/>
      <c r="V130" s="137"/>
      <c r="W130" s="137"/>
      <c r="X130" s="137"/>
      <c r="Y130" s="137"/>
      <c r="Z130" s="137"/>
    </row>
    <row r="131" spans="1:26" ht="12" customHeight="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60"/>
      <c r="U131" s="60"/>
      <c r="V131" s="137"/>
      <c r="W131" s="137"/>
      <c r="X131" s="137"/>
      <c r="Y131" s="137"/>
      <c r="Z131" s="137"/>
    </row>
    <row r="132" spans="1:26" ht="12" customHeight="1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60"/>
      <c r="U132" s="60"/>
      <c r="V132" s="137"/>
      <c r="W132" s="137"/>
      <c r="X132" s="137"/>
      <c r="Y132" s="137"/>
      <c r="Z132" s="137"/>
    </row>
    <row r="133" spans="1:26" ht="12" customHeight="1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60"/>
      <c r="U133" s="60"/>
      <c r="V133" s="137"/>
      <c r="W133" s="137"/>
      <c r="X133" s="137"/>
      <c r="Y133" s="137"/>
      <c r="Z133" s="137"/>
    </row>
    <row r="134" spans="1:26" ht="12" customHeight="1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60"/>
      <c r="U134" s="60"/>
      <c r="V134" s="137"/>
      <c r="W134" s="137"/>
      <c r="X134" s="137"/>
      <c r="Y134" s="137"/>
      <c r="Z134" s="137"/>
    </row>
    <row r="135" spans="1:26" ht="12" customHeight="1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60"/>
      <c r="U135" s="60"/>
      <c r="V135" s="137"/>
      <c r="W135" s="137"/>
      <c r="X135" s="137"/>
      <c r="Y135" s="137"/>
      <c r="Z135" s="137"/>
    </row>
    <row r="136" spans="1:26" ht="12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</row>
    <row r="137" spans="1:26" ht="12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</row>
    <row r="138" spans="1:26" ht="12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</row>
    <row r="139" spans="1:26" ht="12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</row>
    <row r="140" spans="1:26" ht="12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</row>
    <row r="141" spans="1:26" ht="12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</row>
    <row r="142" spans="1:26" ht="12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</row>
    <row r="143" spans="1:26" ht="12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</row>
    <row r="144" spans="1:26" ht="12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</row>
    <row r="145" spans="1:26" ht="12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</row>
    <row r="146" spans="1:26" ht="12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</row>
    <row r="147" spans="1:26" ht="12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</row>
    <row r="148" spans="1:26" ht="12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</row>
    <row r="149" spans="1:26" ht="12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</row>
    <row r="150" spans="1:26" ht="12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</row>
    <row r="151" spans="1:26" ht="12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</row>
    <row r="152" spans="1:26" ht="12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</row>
    <row r="153" spans="1:26" ht="12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</row>
    <row r="154" spans="1:26" ht="12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</row>
    <row r="155" spans="1:26" ht="12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</row>
    <row r="156" spans="1:26" ht="12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</row>
    <row r="157" spans="1:26" ht="12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</row>
    <row r="158" spans="1:26" ht="12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</row>
    <row r="159" spans="1:26" ht="12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</row>
    <row r="160" spans="1:26" ht="12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</row>
    <row r="161" spans="1:26" ht="12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</row>
    <row r="162" spans="1:26" ht="12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</row>
    <row r="163" spans="1:26" ht="12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</row>
    <row r="164" spans="1:26" ht="12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</row>
    <row r="165" spans="1:26" ht="12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</row>
    <row r="166" spans="1:26" ht="12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</row>
    <row r="167" spans="1:26" ht="12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</row>
    <row r="168" spans="1:26" ht="12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</row>
    <row r="169" spans="1:26" ht="12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</row>
    <row r="170" spans="1:26" ht="12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</row>
    <row r="171" spans="1:26" ht="12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</row>
    <row r="172" spans="1:26" ht="12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</row>
    <row r="173" spans="1:26" ht="12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</row>
    <row r="174" spans="1:26" ht="12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</row>
    <row r="175" spans="1:26" ht="12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</row>
    <row r="176" spans="1:26" ht="12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</row>
    <row r="177" spans="1:26" ht="12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</row>
    <row r="178" spans="1:26" ht="12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</row>
    <row r="179" spans="1:26" ht="12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</row>
    <row r="180" spans="1:26" ht="12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</row>
    <row r="181" spans="1:26" ht="12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</row>
    <row r="182" spans="1:26" ht="12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</row>
    <row r="183" spans="1:26" ht="12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</row>
    <row r="184" spans="1:26" ht="12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</row>
    <row r="185" spans="1:26" ht="12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</row>
    <row r="186" spans="1:26" ht="12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</row>
    <row r="187" spans="1:26" ht="12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</row>
    <row r="188" spans="1:26" ht="12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</row>
    <row r="189" spans="1:26" ht="12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</row>
    <row r="190" spans="1:26" ht="12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</row>
    <row r="191" spans="1:26" ht="12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</row>
    <row r="192" spans="1:26" ht="12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</row>
    <row r="193" spans="1:26" ht="12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</row>
    <row r="194" spans="1:26" ht="12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</row>
    <row r="195" spans="1:26" ht="12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</row>
    <row r="196" spans="1:26" ht="12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</row>
    <row r="197" spans="1:26" ht="12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</row>
    <row r="198" spans="1:26" ht="12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</row>
    <row r="199" spans="1:26" ht="12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</row>
    <row r="200" spans="1:26" ht="12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</row>
    <row r="201" spans="1:26" ht="12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</row>
    <row r="202" spans="1:26" ht="12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</row>
    <row r="203" spans="1:26" ht="12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</row>
    <row r="204" spans="1:26" ht="12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</row>
    <row r="205" spans="1:26" ht="12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</row>
    <row r="206" spans="1:26" ht="12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</row>
    <row r="207" spans="1:26" ht="12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</row>
    <row r="208" spans="1:26" ht="12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</row>
    <row r="209" spans="1:26" ht="12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</row>
    <row r="210" spans="1:26" ht="12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</row>
    <row r="211" spans="1:26" ht="12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</row>
    <row r="212" spans="1:26" ht="12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</row>
    <row r="213" spans="1:26" ht="12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</row>
    <row r="214" spans="1:26" ht="12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</row>
    <row r="215" spans="1:26" ht="12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</row>
    <row r="216" spans="1:26" ht="12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</row>
    <row r="217" spans="1:26" ht="12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</row>
    <row r="218" spans="1:26" ht="12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</row>
    <row r="219" spans="1:26" ht="12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</row>
    <row r="220" spans="1:26" ht="12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</row>
    <row r="221" spans="1:26" ht="12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</row>
    <row r="222" spans="1:26" ht="12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</row>
    <row r="223" spans="1:26" ht="12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</row>
    <row r="224" spans="1:26" ht="12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</row>
    <row r="225" spans="1:26" ht="12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</row>
    <row r="226" spans="1:26" ht="12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</row>
    <row r="227" spans="1:26" ht="12" customHeight="1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</row>
    <row r="228" spans="1:26" ht="12" customHeight="1">
      <c r="A228" s="137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</row>
    <row r="229" spans="1:26" ht="12" customHeight="1">
      <c r="A229" s="137"/>
      <c r="B229" s="137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</row>
    <row r="230" spans="1:26" ht="12" customHeight="1">
      <c r="A230" s="137"/>
      <c r="B230" s="137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</row>
    <row r="231" spans="1:26" ht="12" customHeight="1">
      <c r="A231" s="137"/>
      <c r="B231" s="137"/>
      <c r="C231" s="137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</row>
    <row r="232" spans="1:26" ht="12" customHeight="1">
      <c r="A232" s="137"/>
      <c r="B232" s="137"/>
      <c r="C232" s="137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</row>
    <row r="233" spans="1:26" ht="12" customHeight="1">
      <c r="A233" s="137"/>
      <c r="B233" s="137"/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</row>
    <row r="234" spans="1:26" ht="12" customHeight="1">
      <c r="A234" s="137"/>
      <c r="B234" s="137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</row>
    <row r="235" spans="1:26" ht="12" customHeight="1">
      <c r="A235" s="137"/>
      <c r="B235" s="137"/>
      <c r="C235" s="137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</row>
    <row r="236" spans="1:26" ht="12" customHeight="1">
      <c r="A236" s="137"/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</row>
    <row r="237" spans="1:26" ht="12" customHeight="1">
      <c r="A237" s="137"/>
      <c r="B237" s="137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</row>
    <row r="238" spans="1:26" ht="12" customHeight="1">
      <c r="A238" s="137"/>
      <c r="B238" s="137"/>
      <c r="C238" s="137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</row>
    <row r="239" spans="1:26" ht="12" customHeight="1">
      <c r="A239" s="137"/>
      <c r="B239" s="137"/>
      <c r="C239" s="137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</row>
    <row r="240" spans="1:26" ht="12" customHeight="1">
      <c r="A240" s="137"/>
      <c r="B240" s="137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</row>
    <row r="241" spans="1:26" ht="12" customHeight="1">
      <c r="A241" s="137"/>
      <c r="B241" s="137"/>
      <c r="C241" s="137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</row>
    <row r="242" spans="1:26" ht="12" customHeight="1">
      <c r="A242" s="137"/>
      <c r="B242" s="137"/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</row>
    <row r="243" spans="1:26" ht="12" customHeight="1">
      <c r="A243" s="137"/>
      <c r="B243" s="137"/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</row>
    <row r="244" spans="1:26" ht="12" customHeight="1">
      <c r="A244" s="137"/>
      <c r="B244" s="137"/>
      <c r="C244" s="137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</row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Q5:AR5"/>
    <mergeCell ref="AS5:AT5"/>
    <mergeCell ref="AU5:AV5"/>
    <mergeCell ref="AW5:AX5"/>
    <mergeCell ref="AY5:AZ5"/>
    <mergeCell ref="BA5:BB5"/>
    <mergeCell ref="A2:S2"/>
    <mergeCell ref="AA3:BG3"/>
    <mergeCell ref="A4:H4"/>
    <mergeCell ref="L4:S4"/>
    <mergeCell ref="AA4:AG4"/>
    <mergeCell ref="AI4:BB4"/>
    <mergeCell ref="BD4:BG5"/>
    <mergeCell ref="A5:B5"/>
    <mergeCell ref="C5:D5"/>
    <mergeCell ref="E5:F5"/>
    <mergeCell ref="G5:H5"/>
    <mergeCell ref="L5:M5"/>
    <mergeCell ref="N5:O5"/>
    <mergeCell ref="AF5:AF6"/>
    <mergeCell ref="AG5:AG6"/>
    <mergeCell ref="P5:Q5"/>
    <mergeCell ref="R5:S5"/>
    <mergeCell ref="AA5:AA6"/>
    <mergeCell ref="AB5:AB6"/>
    <mergeCell ref="AC5:AC6"/>
    <mergeCell ref="AO5:AP5"/>
    <mergeCell ref="AD5:AD6"/>
    <mergeCell ref="AE5:AE6"/>
    <mergeCell ref="AI5:AJ5"/>
    <mergeCell ref="AK5:AL5"/>
    <mergeCell ref="AM5:AN5"/>
  </mergeCells>
  <dataValidations count="1">
    <dataValidation type="list" allowBlank="1" showErrorMessage="1" sqref="BD7:BD44" xr:uid="{00000000-0002-0000-0E00-000000000000}">
      <formula1>"A,O"</formula1>
    </dataValidation>
  </dataValidations>
  <printOptions horizontalCentered="1"/>
  <pageMargins left="0.14000000000000001" right="0.13" top="0.45" bottom="0.24" header="0" footer="0"/>
  <pageSetup paperSize="9" scale="90" orientation="landscape"/>
  <headerFooter>
    <oddFooter>&amp;L&amp;F; &amp;A&amp;CPage &amp;P of &amp;RPrint on &amp;D, &amp;T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1000"/>
  <sheetViews>
    <sheetView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Q46" sqref="Q46"/>
    </sheetView>
  </sheetViews>
  <sheetFormatPr defaultColWidth="14.42578125" defaultRowHeight="15" customHeight="1"/>
  <cols>
    <col min="1" max="1" width="11.7109375" customWidth="1"/>
    <col min="2" max="2" width="6" customWidth="1"/>
    <col min="3" max="3" width="11.7109375" customWidth="1"/>
    <col min="4" max="4" width="6.7109375" bestFit="1" customWidth="1"/>
    <col min="5" max="5" width="11.7109375" customWidth="1"/>
    <col min="6" max="6" width="6" customWidth="1"/>
    <col min="7" max="7" width="11.7109375" customWidth="1"/>
    <col min="8" max="8" width="6" customWidth="1"/>
    <col min="9" max="9" width="2" customWidth="1"/>
    <col min="10" max="10" width="36.28515625" customWidth="1"/>
    <col min="11" max="11" width="2" customWidth="1"/>
    <col min="12" max="12" width="11.7109375" customWidth="1"/>
    <col min="13" max="13" width="6" customWidth="1"/>
    <col min="14" max="14" width="11.7109375" customWidth="1"/>
    <col min="15" max="15" width="6" customWidth="1"/>
    <col min="16" max="16" width="11.7109375" customWidth="1"/>
    <col min="17" max="17" width="6" customWidth="1"/>
    <col min="18" max="18" width="11.7109375" customWidth="1"/>
    <col min="19" max="19" width="6" customWidth="1"/>
    <col min="20" max="20" width="10.42578125" customWidth="1"/>
    <col min="21" max="21" width="5.28515625" customWidth="1"/>
    <col min="22" max="25" width="10.42578125" hidden="1" customWidth="1"/>
    <col min="26" max="26" width="5.28515625" customWidth="1"/>
  </cols>
  <sheetData>
    <row r="1" spans="1:57" ht="15" customHeight="1">
      <c r="A1" s="308"/>
      <c r="B1" s="433"/>
      <c r="C1" s="434"/>
      <c r="D1" s="435"/>
      <c r="E1" s="434"/>
      <c r="F1" s="435"/>
      <c r="G1" s="434"/>
      <c r="H1" s="436" t="s">
        <v>2</v>
      </c>
      <c r="I1" s="436"/>
      <c r="J1" s="382"/>
      <c r="K1" s="436"/>
      <c r="L1" s="434"/>
      <c r="M1" s="435"/>
      <c r="N1" s="434"/>
      <c r="O1" s="435"/>
      <c r="P1" s="434"/>
      <c r="Q1" s="435"/>
      <c r="R1" s="434"/>
      <c r="S1" s="447" t="s">
        <v>2</v>
      </c>
      <c r="T1" s="382"/>
      <c r="U1" s="382"/>
      <c r="V1" s="382"/>
      <c r="W1" s="382"/>
      <c r="X1" s="382"/>
      <c r="Y1" s="382"/>
      <c r="Z1" s="382"/>
    </row>
    <row r="2" spans="1:57" ht="15" customHeight="1">
      <c r="A2" s="664" t="s">
        <v>26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665"/>
      <c r="O2" s="665"/>
      <c r="P2" s="665"/>
      <c r="Q2" s="665"/>
      <c r="R2" s="665"/>
      <c r="S2" s="665"/>
      <c r="T2" s="64" t="s">
        <v>506</v>
      </c>
      <c r="U2" s="64">
        <f>PRD</f>
        <v>1</v>
      </c>
      <c r="V2" s="382"/>
      <c r="W2" s="382"/>
      <c r="X2" s="382"/>
      <c r="Y2" s="67"/>
      <c r="Z2" s="67"/>
    </row>
    <row r="3" spans="1:57" ht="15" customHeight="1">
      <c r="A3" s="218"/>
      <c r="B3" s="438"/>
      <c r="C3" s="384"/>
      <c r="D3" s="385"/>
      <c r="E3" s="384"/>
      <c r="F3" s="386"/>
      <c r="G3" s="448" t="s">
        <v>1079</v>
      </c>
      <c r="H3" s="449"/>
      <c r="I3" s="449"/>
      <c r="J3" s="450"/>
      <c r="K3" s="449"/>
      <c r="L3" s="384"/>
      <c r="M3" s="386"/>
      <c r="N3" s="384"/>
      <c r="O3" s="386"/>
      <c r="P3" s="67"/>
      <c r="Q3" s="222" t="s">
        <v>1080</v>
      </c>
      <c r="R3" s="67"/>
      <c r="S3" s="67"/>
      <c r="T3" s="441"/>
      <c r="U3" s="382"/>
      <c r="V3" s="382"/>
      <c r="W3" s="67"/>
      <c r="X3" s="67"/>
      <c r="Y3" s="67"/>
      <c r="Z3" s="67"/>
      <c r="AA3" s="656" t="s">
        <v>29</v>
      </c>
      <c r="AB3" s="660"/>
      <c r="AC3" s="660"/>
      <c r="AD3" s="660"/>
      <c r="AE3" s="660"/>
      <c r="AF3" s="660"/>
      <c r="AG3" s="660"/>
      <c r="AH3" s="660"/>
      <c r="AI3" s="660"/>
      <c r="AJ3" s="660"/>
      <c r="AK3" s="660"/>
      <c r="AL3" s="660"/>
      <c r="AM3" s="660"/>
      <c r="AN3" s="660"/>
      <c r="AO3" s="660"/>
      <c r="AP3" s="660"/>
      <c r="AQ3" s="660"/>
      <c r="AR3" s="660"/>
      <c r="AS3" s="660"/>
      <c r="AT3" s="660"/>
      <c r="AU3" s="660"/>
      <c r="AV3" s="660"/>
      <c r="AW3" s="660"/>
      <c r="AX3" s="660"/>
      <c r="AY3" s="660"/>
      <c r="AZ3" s="660"/>
      <c r="BA3" s="660"/>
      <c r="BB3" s="660"/>
      <c r="BC3" s="660"/>
      <c r="BD3" s="660"/>
      <c r="BE3" s="657"/>
    </row>
    <row r="4" spans="1:57" ht="13.5" customHeight="1">
      <c r="A4" s="666" t="s">
        <v>509</v>
      </c>
      <c r="B4" s="667"/>
      <c r="C4" s="667"/>
      <c r="D4" s="667"/>
      <c r="E4" s="667"/>
      <c r="F4" s="667"/>
      <c r="G4" s="667"/>
      <c r="H4" s="668"/>
      <c r="I4" s="223"/>
      <c r="J4" s="225"/>
      <c r="K4" s="223"/>
      <c r="L4" s="669" t="s">
        <v>510</v>
      </c>
      <c r="M4" s="667"/>
      <c r="N4" s="667"/>
      <c r="O4" s="667"/>
      <c r="P4" s="667"/>
      <c r="Q4" s="667"/>
      <c r="R4" s="667"/>
      <c r="S4" s="670"/>
      <c r="T4" s="226"/>
      <c r="U4" s="226"/>
      <c r="V4" s="226"/>
      <c r="W4" s="226"/>
      <c r="X4" s="226"/>
      <c r="Y4" s="226"/>
      <c r="Z4" s="226"/>
      <c r="AA4" s="671" t="s">
        <v>30</v>
      </c>
      <c r="AB4" s="665"/>
      <c r="AC4" s="665"/>
      <c r="AD4" s="665"/>
      <c r="AE4" s="665"/>
      <c r="AF4" s="73"/>
      <c r="AG4" s="671" t="s">
        <v>31</v>
      </c>
      <c r="AH4" s="665"/>
      <c r="AI4" s="665"/>
      <c r="AJ4" s="665"/>
      <c r="AK4" s="665"/>
      <c r="AL4" s="665"/>
      <c r="AM4" s="665"/>
      <c r="AN4" s="665"/>
      <c r="AO4" s="665"/>
      <c r="AP4" s="665"/>
      <c r="AQ4" s="665"/>
      <c r="AR4" s="665"/>
      <c r="AS4" s="665"/>
      <c r="AT4" s="665"/>
      <c r="AU4" s="665"/>
      <c r="AV4" s="665"/>
      <c r="AW4" s="665"/>
      <c r="AX4" s="665"/>
      <c r="AY4" s="665"/>
      <c r="AZ4" s="672"/>
      <c r="BA4" s="74"/>
      <c r="BB4" s="673" t="s">
        <v>32</v>
      </c>
      <c r="BC4" s="674"/>
      <c r="BD4" s="674"/>
      <c r="BE4" s="675"/>
    </row>
    <row r="5" spans="1:57" ht="15" customHeight="1">
      <c r="A5" s="679" t="s">
        <v>511</v>
      </c>
      <c r="B5" s="662"/>
      <c r="C5" s="661" t="s">
        <v>512</v>
      </c>
      <c r="D5" s="662"/>
      <c r="E5" s="661" t="s">
        <v>513</v>
      </c>
      <c r="F5" s="662"/>
      <c r="G5" s="661" t="s">
        <v>514</v>
      </c>
      <c r="H5" s="662"/>
      <c r="I5" s="227"/>
      <c r="J5" s="229" t="s">
        <v>515</v>
      </c>
      <c r="K5" s="227"/>
      <c r="L5" s="661" t="s">
        <v>514</v>
      </c>
      <c r="M5" s="662"/>
      <c r="N5" s="661" t="s">
        <v>513</v>
      </c>
      <c r="O5" s="662"/>
      <c r="P5" s="661" t="s">
        <v>512</v>
      </c>
      <c r="Q5" s="662"/>
      <c r="R5" s="661" t="s">
        <v>511</v>
      </c>
      <c r="S5" s="663"/>
      <c r="T5" s="226"/>
      <c r="U5" s="226"/>
      <c r="V5" s="226"/>
      <c r="W5" s="226"/>
      <c r="X5" s="226"/>
      <c r="Y5" s="226"/>
      <c r="Z5" s="226"/>
      <c r="AA5" s="658" t="s">
        <v>38</v>
      </c>
      <c r="AB5" s="658" t="s">
        <v>39</v>
      </c>
      <c r="AC5" s="658" t="s">
        <v>40</v>
      </c>
      <c r="AD5" s="658" t="s">
        <v>41</v>
      </c>
      <c r="AE5" s="673" t="s">
        <v>42</v>
      </c>
      <c r="AF5" s="451"/>
      <c r="AG5" s="656" t="s">
        <v>43</v>
      </c>
      <c r="AH5" s="660"/>
      <c r="AI5" s="656" t="s">
        <v>44</v>
      </c>
      <c r="AJ5" s="660"/>
      <c r="AK5" s="656" t="s">
        <v>45</v>
      </c>
      <c r="AL5" s="660"/>
      <c r="AM5" s="656" t="s">
        <v>46</v>
      </c>
      <c r="AN5" s="657"/>
      <c r="AO5" s="680" t="s">
        <v>47</v>
      </c>
      <c r="AP5" s="660"/>
      <c r="AQ5" s="656" t="s">
        <v>48</v>
      </c>
      <c r="AR5" s="657"/>
      <c r="AS5" s="680" t="s">
        <v>49</v>
      </c>
      <c r="AT5" s="660"/>
      <c r="AU5" s="656" t="s">
        <v>50</v>
      </c>
      <c r="AV5" s="657"/>
      <c r="AW5" s="680" t="s">
        <v>51</v>
      </c>
      <c r="AX5" s="657"/>
      <c r="AY5" s="656" t="s">
        <v>52</v>
      </c>
      <c r="AZ5" s="657"/>
      <c r="BA5" s="81"/>
      <c r="BB5" s="676"/>
      <c r="BC5" s="677"/>
      <c r="BD5" s="677"/>
      <c r="BE5" s="678"/>
    </row>
    <row r="6" spans="1:57" ht="15" customHeight="1">
      <c r="A6" s="230" t="s">
        <v>526</v>
      </c>
      <c r="B6" s="231" t="s">
        <v>37</v>
      </c>
      <c r="C6" s="232" t="s">
        <v>526</v>
      </c>
      <c r="D6" s="231" t="s">
        <v>37</v>
      </c>
      <c r="E6" s="232" t="s">
        <v>526</v>
      </c>
      <c r="F6" s="231" t="s">
        <v>37</v>
      </c>
      <c r="G6" s="232" t="s">
        <v>526</v>
      </c>
      <c r="H6" s="231" t="s">
        <v>37</v>
      </c>
      <c r="I6" s="233"/>
      <c r="J6" s="235"/>
      <c r="K6" s="233"/>
      <c r="L6" s="232" t="s">
        <v>526</v>
      </c>
      <c r="M6" s="231" t="s">
        <v>37</v>
      </c>
      <c r="N6" s="232" t="s">
        <v>526</v>
      </c>
      <c r="O6" s="231" t="s">
        <v>37</v>
      </c>
      <c r="P6" s="232" t="s">
        <v>526</v>
      </c>
      <c r="Q6" s="231" t="s">
        <v>37</v>
      </c>
      <c r="R6" s="232" t="s">
        <v>526</v>
      </c>
      <c r="S6" s="236" t="s">
        <v>37</v>
      </c>
      <c r="T6" s="226"/>
      <c r="U6" s="226"/>
      <c r="V6" s="226"/>
      <c r="W6" s="226"/>
      <c r="X6" s="226"/>
      <c r="Y6" s="226"/>
      <c r="Z6" s="226"/>
      <c r="AA6" s="659"/>
      <c r="AB6" s="659"/>
      <c r="AC6" s="659"/>
      <c r="AD6" s="659"/>
      <c r="AE6" s="676"/>
      <c r="AF6" s="452"/>
      <c r="AG6" s="85" t="s">
        <v>56</v>
      </c>
      <c r="AH6" s="86" t="s">
        <v>57</v>
      </c>
      <c r="AI6" s="85" t="s">
        <v>56</v>
      </c>
      <c r="AJ6" s="86" t="s">
        <v>57</v>
      </c>
      <c r="AK6" s="85" t="s">
        <v>56</v>
      </c>
      <c r="AL6" s="86" t="s">
        <v>57</v>
      </c>
      <c r="AM6" s="64" t="s">
        <v>56</v>
      </c>
      <c r="AN6" s="87" t="s">
        <v>57</v>
      </c>
      <c r="AO6" s="88" t="s">
        <v>56</v>
      </c>
      <c r="AP6" s="86" t="s">
        <v>57</v>
      </c>
      <c r="AQ6" s="85" t="s">
        <v>56</v>
      </c>
      <c r="AR6" s="89" t="s">
        <v>57</v>
      </c>
      <c r="AS6" s="88" t="s">
        <v>56</v>
      </c>
      <c r="AT6" s="86" t="s">
        <v>57</v>
      </c>
      <c r="AU6" s="85" t="s">
        <v>56</v>
      </c>
      <c r="AV6" s="89" t="s">
        <v>57</v>
      </c>
      <c r="AW6" s="88" t="s">
        <v>56</v>
      </c>
      <c r="AX6" s="89" t="s">
        <v>57</v>
      </c>
      <c r="AY6" s="85" t="s">
        <v>56</v>
      </c>
      <c r="AZ6" s="89" t="s">
        <v>57</v>
      </c>
      <c r="BA6" s="90"/>
      <c r="BB6" s="64" t="s">
        <v>58</v>
      </c>
      <c r="BC6" s="64" t="s">
        <v>59</v>
      </c>
      <c r="BD6" s="64" t="s">
        <v>60</v>
      </c>
      <c r="BE6" s="91" t="s">
        <v>61</v>
      </c>
    </row>
    <row r="7" spans="1:57" ht="12" customHeight="1">
      <c r="A7" s="453"/>
      <c r="B7" s="422"/>
      <c r="C7" s="422"/>
      <c r="D7" s="422"/>
      <c r="E7" s="422"/>
      <c r="F7" s="422"/>
      <c r="G7" s="422"/>
      <c r="H7" s="422"/>
      <c r="I7" s="422"/>
      <c r="J7" s="423" t="s">
        <v>632</v>
      </c>
      <c r="K7" s="422"/>
      <c r="L7" s="422"/>
      <c r="M7" s="422"/>
      <c r="N7" s="422"/>
      <c r="O7" s="422"/>
      <c r="P7" s="422"/>
      <c r="Q7" s="422"/>
      <c r="R7" s="422"/>
      <c r="S7" s="422"/>
      <c r="T7" s="391"/>
      <c r="U7" s="391"/>
      <c r="V7" s="391"/>
      <c r="W7" s="391"/>
      <c r="X7" s="391"/>
      <c r="Y7" s="391"/>
      <c r="Z7" s="391"/>
      <c r="AA7" s="95"/>
      <c r="AB7" s="96"/>
      <c r="AC7" s="96"/>
      <c r="AD7" s="96"/>
      <c r="AE7" s="96"/>
      <c r="AF7" s="454"/>
      <c r="AG7" s="95"/>
      <c r="AH7" s="96"/>
      <c r="AI7" s="95"/>
      <c r="AJ7" s="96"/>
      <c r="AK7" s="95"/>
      <c r="AL7" s="96"/>
      <c r="AM7" s="95"/>
      <c r="AN7" s="98"/>
      <c r="AO7" s="96"/>
      <c r="AP7" s="96"/>
      <c r="AQ7" s="95"/>
      <c r="AR7" s="98"/>
      <c r="AS7" s="96"/>
      <c r="AT7" s="96"/>
      <c r="AU7" s="95"/>
      <c r="AV7" s="98"/>
      <c r="AW7" s="96"/>
      <c r="AX7" s="96"/>
      <c r="AY7" s="95"/>
      <c r="AZ7" s="98"/>
      <c r="BA7" s="99"/>
      <c r="BB7" s="95"/>
      <c r="BC7" s="100"/>
      <c r="BD7" s="100"/>
      <c r="BE7" s="98"/>
    </row>
    <row r="8" spans="1:57" ht="12" customHeight="1">
      <c r="A8" s="254">
        <f t="array" ref="A8">_xll.AC(DB,_xll.ArrayDPT($AA8:$AE8),_xll.ArrayCOA($AG8:$AZ8),YR-1,PRD,_xll.ArrayDIM($BB8:$BE8))</f>
        <v>56000</v>
      </c>
      <c r="B8" s="237">
        <f t="shared" ref="B8:B14" si="0">IF(A8=0,0,(A8*100)/A$70)</f>
        <v>12.010439473990791</v>
      </c>
      <c r="C8" s="237">
        <f t="shared" ref="C8:C14" si="1">+E8-G8</f>
        <v>-45000</v>
      </c>
      <c r="D8" s="237">
        <f t="shared" ref="D8:D14" si="2">IF(C8=0,0,(C8*100)/C$70)</f>
        <v>9.9743234316673064</v>
      </c>
      <c r="E8" s="254">
        <f t="array" ref="E8">_xll.BC(DB,_xll.ArrayDPT($AA8:$AE8),_xll.ArrayCOA($AG8:$AZ8),YR,PRD,RV,_xll.ArrayDIM($BB8:$BE8))</f>
        <v>0</v>
      </c>
      <c r="F8" s="237">
        <f t="shared" ref="F8:F14" si="3">IF(E8=0,0,(E8*100)/E$70)</f>
        <v>0</v>
      </c>
      <c r="G8" s="254">
        <f t="array" ref="G8">_xll.AC(DB,_xll.ArrayDPT($AA8:$AE8),_xll.ArrayCOA($AG8:$AZ8),YR,PRD,_xll.ArrayDIM($BB8:$BE8))</f>
        <v>45000</v>
      </c>
      <c r="H8" s="237">
        <f>IF(G8=0,0,(G8*100)/G$70)</f>
        <v>9.9743234316673064</v>
      </c>
      <c r="I8" s="237"/>
      <c r="J8" s="328" t="s">
        <v>639</v>
      </c>
      <c r="K8" s="237"/>
      <c r="L8" s="254">
        <f t="array" ref="L8">_xll.ACC(DB,_xll.ArrayDPT($AA8:$AE8),_xll.ArrayCOA($AG8:$AZ8),YR,PRD,_xll.ArrayDIM($BB8:$BE8))</f>
        <v>45000</v>
      </c>
      <c r="M8" s="237">
        <f t="shared" ref="M8:M10" si="4">IF(L8=0,0,(L8*100)/L$70)</f>
        <v>9.9743234316673064</v>
      </c>
      <c r="N8" s="254">
        <f t="array" ref="N8">_xll.BCC(DB,_xll.ArrayDPT($AA8:$AE8),_xll.ArrayCOA($AG8:$AZ8),YR,PRD,RV,_xll.ArrayDIM($BB8:$BE8))</f>
        <v>0</v>
      </c>
      <c r="O8" s="237">
        <f t="shared" ref="O8:O10" si="5">IF(N8=0,0,(N8*100)/N$70)</f>
        <v>0</v>
      </c>
      <c r="P8" s="237">
        <f t="shared" ref="P8:P14" si="6">+N8-L8</f>
        <v>-45000</v>
      </c>
      <c r="Q8" s="237">
        <f t="shared" ref="Q8:Q10" si="7">IF(P8=0,0,(P8*100)/P$70)</f>
        <v>9.9743234316673064</v>
      </c>
      <c r="R8" s="254">
        <f t="array" ref="R8">_xll.ACC(DB,_xll.ArrayDPT($AA8:$AE8),_xll.ArrayCOA($AG8:$AZ8),YR-1,PRD,_xll.ArrayDIM($BB8:$BE8))</f>
        <v>56000</v>
      </c>
      <c r="S8" s="237">
        <f t="shared" ref="S8:S10" si="8">IF(R8=0,0,(R8*100)/R$70)</f>
        <v>12.010439473990791</v>
      </c>
      <c r="T8" s="295"/>
      <c r="U8" s="295"/>
      <c r="V8" s="295"/>
      <c r="W8" s="295"/>
      <c r="X8" s="295"/>
      <c r="Y8" s="295"/>
      <c r="Z8" s="295"/>
      <c r="AA8" s="95" t="s">
        <v>1057</v>
      </c>
      <c r="AB8" s="96"/>
      <c r="AC8" s="96"/>
      <c r="AD8" s="96"/>
      <c r="AE8" s="96"/>
      <c r="AF8" s="454"/>
      <c r="AG8" s="95" t="s">
        <v>641</v>
      </c>
      <c r="AH8" s="96" t="s">
        <v>641</v>
      </c>
      <c r="AI8" s="95"/>
      <c r="AJ8" s="96"/>
      <c r="AK8" s="95"/>
      <c r="AL8" s="96"/>
      <c r="AM8" s="95"/>
      <c r="AN8" s="98"/>
      <c r="AO8" s="96"/>
      <c r="AP8" s="96"/>
      <c r="AQ8" s="95"/>
      <c r="AR8" s="98"/>
      <c r="AS8" s="96"/>
      <c r="AT8" s="96"/>
      <c r="AU8" s="95"/>
      <c r="AV8" s="98"/>
      <c r="AW8" s="96"/>
      <c r="AX8" s="96"/>
      <c r="AY8" s="95"/>
      <c r="AZ8" s="98"/>
      <c r="BA8" s="99"/>
      <c r="BB8" s="95"/>
      <c r="BC8" s="96"/>
      <c r="BD8" s="96"/>
      <c r="BE8" s="98"/>
    </row>
    <row r="9" spans="1:57" ht="12" customHeight="1">
      <c r="A9" s="254">
        <f t="array" ref="A9">_xll.AC(DB,_xll.ArrayDPT($AA9:$AE9),_xll.ArrayCOA($AG9:$AZ9),YR-1,PRD,_xll.ArrayDIM($BB9:$BE9))</f>
        <v>11000</v>
      </c>
      <c r="B9" s="237">
        <f t="shared" si="0"/>
        <v>2.3591934681053339</v>
      </c>
      <c r="C9" s="237">
        <f t="shared" si="1"/>
        <v>0</v>
      </c>
      <c r="D9" s="237">
        <f t="shared" si="2"/>
        <v>0</v>
      </c>
      <c r="E9" s="254">
        <f t="array" ref="E9">_xll.BC(DB,_xll.ArrayDPT($AA9:$AE9),_xll.ArrayCOA($AG9:$AZ9),YR,PRD,RV,_xll.ArrayDIM($BB9:$BE9))</f>
        <v>0</v>
      </c>
      <c r="F9" s="237">
        <f t="shared" si="3"/>
        <v>0</v>
      </c>
      <c r="G9" s="254">
        <f t="array" ref="G9">_xll.AC(DB,_xll.ArrayDPT($AA9:$AE9),_xll.ArrayCOA($AG9:$AZ9),YR,PRD,_xll.ArrayDIM($BB9:$BE9))</f>
        <v>0</v>
      </c>
      <c r="H9" s="237">
        <f t="shared" ref="H9:H14" si="9">IF(G9=0,0,(G9*100)/G$70)</f>
        <v>0</v>
      </c>
      <c r="I9" s="237"/>
      <c r="J9" s="328" t="s">
        <v>1081</v>
      </c>
      <c r="K9" s="237"/>
      <c r="L9" s="254">
        <f t="array" ref="L9">_xll.ACC(DB,_xll.ArrayDPT($AA9:$AE9),_xll.ArrayCOA($AG9:$AZ9),YR,PRD,_xll.ArrayDIM($BB9:$BE9))</f>
        <v>0</v>
      </c>
      <c r="M9" s="237">
        <f t="shared" si="4"/>
        <v>0</v>
      </c>
      <c r="N9" s="254">
        <f t="array" ref="N9">_xll.BCC(DB,_xll.ArrayDPT($AA9:$AE9),_xll.ArrayCOA($AG9:$AZ9),YR,PRD,RV,_xll.ArrayDIM($BB9:$BE9))</f>
        <v>0</v>
      </c>
      <c r="O9" s="237">
        <f t="shared" si="5"/>
        <v>0</v>
      </c>
      <c r="P9" s="237">
        <f t="shared" si="6"/>
        <v>0</v>
      </c>
      <c r="Q9" s="237">
        <f t="shared" si="7"/>
        <v>0</v>
      </c>
      <c r="R9" s="254">
        <f t="array" ref="R9">_xll.ACC(DB,_xll.ArrayDPT($AA9:$AE9),_xll.ArrayCOA($AG9:$AZ9),YR-1,PRD,_xll.ArrayDIM($BB9:$BE9))</f>
        <v>11000</v>
      </c>
      <c r="S9" s="237">
        <f t="shared" si="8"/>
        <v>2.3591934681053339</v>
      </c>
      <c r="T9" s="295"/>
      <c r="U9" s="295"/>
      <c r="V9" s="295"/>
      <c r="W9" s="295"/>
      <c r="X9" s="295"/>
      <c r="Y9" s="295"/>
      <c r="Z9" s="295"/>
      <c r="AA9" s="95" t="s">
        <v>1057</v>
      </c>
      <c r="AB9" s="96"/>
      <c r="AC9" s="96"/>
      <c r="AD9" s="96"/>
      <c r="AE9" s="96"/>
      <c r="AF9" s="454"/>
      <c r="AG9" s="95" t="s">
        <v>638</v>
      </c>
      <c r="AH9" s="96" t="s">
        <v>638</v>
      </c>
      <c r="AI9" s="95"/>
      <c r="AJ9" s="96"/>
      <c r="AK9" s="95"/>
      <c r="AL9" s="96"/>
      <c r="AM9" s="95"/>
      <c r="AN9" s="98"/>
      <c r="AO9" s="96"/>
      <c r="AP9" s="96"/>
      <c r="AQ9" s="95"/>
      <c r="AR9" s="98"/>
      <c r="AS9" s="96"/>
      <c r="AT9" s="96"/>
      <c r="AU9" s="95"/>
      <c r="AV9" s="98"/>
      <c r="AW9" s="96"/>
      <c r="AX9" s="96"/>
      <c r="AY9" s="95"/>
      <c r="AZ9" s="98"/>
      <c r="BA9" s="99"/>
      <c r="BB9" s="95"/>
      <c r="BC9" s="96"/>
      <c r="BD9" s="96"/>
      <c r="BE9" s="98"/>
    </row>
    <row r="10" spans="1:57" ht="12" customHeight="1">
      <c r="A10" s="254">
        <f t="array" ref="A10">_xll.AC(DB,_xll.ArrayDPT($AA10:$AE10),_xll.ArrayCOA($AG10:$AZ10),YR-1,PRD,_xll.ArrayDIM($BB10:$BE10))</f>
        <v>0</v>
      </c>
      <c r="B10" s="237">
        <f t="shared" si="0"/>
        <v>0</v>
      </c>
      <c r="C10" s="237">
        <f t="shared" si="1"/>
        <v>0</v>
      </c>
      <c r="D10" s="237">
        <f t="shared" si="2"/>
        <v>0</v>
      </c>
      <c r="E10" s="254">
        <f t="array" ref="E10">_xll.BC(DB,_xll.ArrayDPT($AA10:$AE10),_xll.ArrayCOA($AG10:$AZ10),YR,PRD,RV,_xll.ArrayDIM($BB10:$BE10))</f>
        <v>0</v>
      </c>
      <c r="F10" s="237">
        <f t="shared" si="3"/>
        <v>0</v>
      </c>
      <c r="G10" s="254">
        <f t="array" ref="G10">_xll.AC(DB,_xll.ArrayDPT($AA10:$AE10),_xll.ArrayCOA($AG10:$AZ10),YR,PRD,_xll.ArrayDIM($BB10:$BE10))</f>
        <v>0</v>
      </c>
      <c r="H10" s="237">
        <f t="shared" si="9"/>
        <v>0</v>
      </c>
      <c r="I10" s="237"/>
      <c r="J10" s="328" t="s">
        <v>1082</v>
      </c>
      <c r="K10" s="237"/>
      <c r="L10" s="254">
        <f t="array" ref="L10">_xll.ACC(DB,_xll.ArrayDPT($AA10:$AE10),_xll.ArrayCOA($AG10:$AZ10),YR,PRD,_xll.ArrayDIM($BB10:$BE10))</f>
        <v>0</v>
      </c>
      <c r="M10" s="237">
        <f t="shared" si="4"/>
        <v>0</v>
      </c>
      <c r="N10" s="254">
        <f t="array" ref="N10">_xll.BCC(DB,_xll.ArrayDPT($AA10:$AE10),_xll.ArrayCOA($AG10:$AZ10),YR,PRD,RV,_xll.ArrayDIM($BB10:$BE10))</f>
        <v>0</v>
      </c>
      <c r="O10" s="237">
        <f t="shared" si="5"/>
        <v>0</v>
      </c>
      <c r="P10" s="237">
        <f t="shared" si="6"/>
        <v>0</v>
      </c>
      <c r="Q10" s="237">
        <f t="shared" si="7"/>
        <v>0</v>
      </c>
      <c r="R10" s="254">
        <f t="array" ref="R10">_xll.ACC(DB,_xll.ArrayDPT($AA10:$AE10),_xll.ArrayCOA($AG10:$AZ10),YR-1,PRD,_xll.ArrayDIM($BB10:$BE10))</f>
        <v>0</v>
      </c>
      <c r="S10" s="237">
        <f t="shared" si="8"/>
        <v>0</v>
      </c>
      <c r="T10" s="295"/>
      <c r="U10" s="295"/>
      <c r="V10" s="295"/>
      <c r="W10" s="295"/>
      <c r="X10" s="295"/>
      <c r="Y10" s="295"/>
      <c r="Z10" s="295"/>
      <c r="AA10" s="95" t="s">
        <v>1057</v>
      </c>
      <c r="AB10" s="96"/>
      <c r="AC10" s="96"/>
      <c r="AD10" s="96"/>
      <c r="AE10" s="96"/>
      <c r="AF10" s="454"/>
      <c r="AG10" s="95" t="s">
        <v>1059</v>
      </c>
      <c r="AH10" s="96" t="s">
        <v>1059</v>
      </c>
      <c r="AI10" s="95"/>
      <c r="AJ10" s="96"/>
      <c r="AK10" s="95"/>
      <c r="AL10" s="96"/>
      <c r="AM10" s="95"/>
      <c r="AN10" s="98"/>
      <c r="AO10" s="96"/>
      <c r="AP10" s="96"/>
      <c r="AQ10" s="95"/>
      <c r="AR10" s="98"/>
      <c r="AS10" s="96"/>
      <c r="AT10" s="96"/>
      <c r="AU10" s="95"/>
      <c r="AV10" s="98"/>
      <c r="AW10" s="96"/>
      <c r="AX10" s="96"/>
      <c r="AY10" s="95"/>
      <c r="AZ10" s="98"/>
      <c r="BA10" s="99"/>
      <c r="BB10" s="95"/>
      <c r="BC10" s="96"/>
      <c r="BD10" s="96"/>
      <c r="BE10" s="98"/>
    </row>
    <row r="11" spans="1:57" ht="12" customHeight="1">
      <c r="A11" s="254">
        <f t="array" ref="A11">_xll.AC(DB,_xll.ArrayDPT($AA11:$AE11),_xll.ArrayCOA($AG11:$AZ11),YR-1,PRD,_xll.ArrayDIM($BB11:$BE11))</f>
        <v>3000</v>
      </c>
      <c r="B11" s="237">
        <f t="shared" si="0"/>
        <v>0.64341640039236381</v>
      </c>
      <c r="C11" s="237">
        <f t="shared" si="1"/>
        <v>-3775</v>
      </c>
      <c r="D11" s="237">
        <f t="shared" si="2"/>
        <v>0.83673491010097967</v>
      </c>
      <c r="E11" s="254">
        <f t="array" ref="E11">_xll.BC(DB,_xll.ArrayDPT($AA11:$AE11),_xll.ArrayCOA($AG11:$AZ11),YR,PRD,RV,_xll.ArrayDIM($BB11:$BE11))</f>
        <v>0</v>
      </c>
      <c r="F11" s="237">
        <f t="shared" si="3"/>
        <v>0</v>
      </c>
      <c r="G11" s="254">
        <f t="array" ref="G11">_xll.AC(DB,_xll.ArrayDPT($AA11:$AE11),_xll.ArrayCOA($AG11:$AZ11),YR,PRD,_xll.ArrayDIM($BB11:$BE11))</f>
        <v>3775</v>
      </c>
      <c r="H11" s="237">
        <f t="shared" si="9"/>
        <v>0.83673491010097967</v>
      </c>
      <c r="I11" s="237"/>
      <c r="J11" s="328" t="s">
        <v>646</v>
      </c>
      <c r="K11" s="237"/>
      <c r="L11" s="254">
        <f t="array" ref="L11">_xll.ACC(DB,_xll.ArrayDPT($AA11:$AE11),_xll.ArrayCOA($AG11:$AZ11),YR,PRD,_xll.ArrayDIM($BB11:$BE11))</f>
        <v>3775</v>
      </c>
      <c r="M11" s="237">
        <f>IF(L11=0,0,(L11*100)/L$66)</f>
        <v>16.057434145378693</v>
      </c>
      <c r="N11" s="254">
        <f t="array" ref="N11">_xll.BCC(DB,_xll.ArrayDPT($AA11:$AE11),_xll.ArrayCOA($AG11:$AZ11),YR,PRD,RV,_xll.ArrayDIM($BB11:$BE11))</f>
        <v>0</v>
      </c>
      <c r="O11" s="237">
        <f>IF(N11=0,0,(N11*100)/N$66)</f>
        <v>0</v>
      </c>
      <c r="P11" s="237">
        <f t="shared" si="6"/>
        <v>-3775</v>
      </c>
      <c r="Q11" s="237">
        <f>IF(P11=0,0,(P11*100)/P$66)</f>
        <v>16.057434145378693</v>
      </c>
      <c r="R11" s="254">
        <f t="array" ref="R11">_xll.ACC(DB,_xll.ArrayDPT($AA11:$AE11),_xll.ArrayCOA($AG11:$AZ11),YR-1,PRD,_xll.ArrayDIM($BB11:$BE11))</f>
        <v>3000</v>
      </c>
      <c r="S11" s="237" t="e">
        <f>IF(R11=0,0,(R11*100)/R$66)</f>
        <v>#DIV/0!</v>
      </c>
      <c r="T11" s="295"/>
      <c r="U11" s="295"/>
      <c r="V11" s="295"/>
      <c r="W11" s="295"/>
      <c r="X11" s="295"/>
      <c r="Y11" s="295"/>
      <c r="Z11" s="295"/>
      <c r="AA11" s="95" t="s">
        <v>1057</v>
      </c>
      <c r="AB11" s="96"/>
      <c r="AC11" s="96"/>
      <c r="AD11" s="96"/>
      <c r="AE11" s="96"/>
      <c r="AF11" s="97"/>
      <c r="AG11" s="95" t="s">
        <v>647</v>
      </c>
      <c r="AH11" s="96" t="s">
        <v>647</v>
      </c>
      <c r="AI11" s="95" t="s">
        <v>657</v>
      </c>
      <c r="AJ11" s="96" t="s">
        <v>657</v>
      </c>
      <c r="AK11" s="95"/>
      <c r="AL11" s="96"/>
      <c r="AM11" s="95"/>
      <c r="AN11" s="98"/>
      <c r="AO11" s="96"/>
      <c r="AP11" s="96"/>
      <c r="AQ11" s="95"/>
      <c r="AR11" s="98"/>
      <c r="AS11" s="96"/>
      <c r="AT11" s="96"/>
      <c r="AU11" s="95"/>
      <c r="AV11" s="98"/>
      <c r="AW11" s="96"/>
      <c r="AX11" s="96"/>
      <c r="AY11" s="95"/>
      <c r="AZ11" s="98"/>
      <c r="BA11" s="99"/>
      <c r="BB11" s="95"/>
      <c r="BC11" s="96"/>
      <c r="BD11" s="96"/>
      <c r="BE11" s="98"/>
    </row>
    <row r="12" spans="1:57" ht="12" customHeight="1">
      <c r="A12" s="254">
        <f t="array" ref="A12">_xll.AC(DB,_xll.ArrayDPT($AA12:$AE12),_xll.ArrayCOA($AG12:$AZ12),YR-1,PRD,_xll.ArrayDIM($BB12:$BE12))</f>
        <v>0</v>
      </c>
      <c r="B12" s="237">
        <f t="shared" si="0"/>
        <v>0</v>
      </c>
      <c r="C12" s="237">
        <f t="shared" si="1"/>
        <v>0</v>
      </c>
      <c r="D12" s="237">
        <f t="shared" si="2"/>
        <v>0</v>
      </c>
      <c r="E12" s="254">
        <f t="array" ref="E12">_xll.BC(DB,_xll.ArrayDPT($AA12:$AE12),_xll.ArrayCOA($AG12:$AZ12),YR,PRD,RV,_xll.ArrayDIM($BB12:$BE12))</f>
        <v>0</v>
      </c>
      <c r="F12" s="237">
        <f t="shared" si="3"/>
        <v>0</v>
      </c>
      <c r="G12" s="254">
        <f t="array" ref="G12">_xll.AC(DB,_xll.ArrayDPT($AA12:$AE12),_xll.ArrayCOA($AG12:$AZ12),YR,PRD,_xll.ArrayDIM($BB12:$BE12))</f>
        <v>0</v>
      </c>
      <c r="H12" s="237">
        <f t="shared" si="9"/>
        <v>0</v>
      </c>
      <c r="I12" s="237"/>
      <c r="J12" s="328" t="s">
        <v>648</v>
      </c>
      <c r="K12" s="237"/>
      <c r="L12" s="254">
        <f t="array" ref="L12">_xll.ACC(DB,_xll.ArrayDPT($AA12:$AE12),_xll.ArrayCOA($AG12:$AZ12),YR,PRD,_xll.ArrayDIM($BB12:$BE12))</f>
        <v>0</v>
      </c>
      <c r="M12" s="237">
        <f t="shared" ref="M12:M14" si="10">IF(L12=0,0,(L12*100)/L$70)</f>
        <v>0</v>
      </c>
      <c r="N12" s="254">
        <f t="array" ref="N12">_xll.BCC(DB,_xll.ArrayDPT($AA12:$AE12),_xll.ArrayCOA($AG12:$AZ12),YR,PRD,RV,_xll.ArrayDIM($BB12:$BE12))</f>
        <v>0</v>
      </c>
      <c r="O12" s="237">
        <f t="shared" ref="O12:O14" si="11">IF(N12=0,0,(N12*100)/N$70)</f>
        <v>0</v>
      </c>
      <c r="P12" s="237">
        <f t="shared" si="6"/>
        <v>0</v>
      </c>
      <c r="Q12" s="237">
        <f t="shared" ref="Q12:Q14" si="12">IF(P12=0,0,(P12*100)/P$70)</f>
        <v>0</v>
      </c>
      <c r="R12" s="254">
        <f t="array" ref="R12">_xll.ACC(DB,_xll.ArrayDPT($AA12:$AE12),_xll.ArrayCOA($AG12:$AZ12),YR-1,PRD,_xll.ArrayDIM($BB12:$BE12))</f>
        <v>0</v>
      </c>
      <c r="S12" s="237">
        <f t="shared" ref="S12:S14" si="13">IF(R12=0,0,(R12*100)/R$70)</f>
        <v>0</v>
      </c>
      <c r="T12" s="295"/>
      <c r="U12" s="295"/>
      <c r="V12" s="295"/>
      <c r="W12" s="295"/>
      <c r="X12" s="295"/>
      <c r="Y12" s="295"/>
      <c r="Z12" s="295"/>
      <c r="AA12" s="95"/>
      <c r="AB12" s="96"/>
      <c r="AC12" s="96"/>
      <c r="AD12" s="96"/>
      <c r="AE12" s="96"/>
      <c r="AF12" s="454"/>
      <c r="AG12" s="95"/>
      <c r="AH12" s="96"/>
      <c r="AI12" s="95"/>
      <c r="AJ12" s="96"/>
      <c r="AK12" s="95"/>
      <c r="AL12" s="96"/>
      <c r="AM12" s="95"/>
      <c r="AN12" s="98"/>
      <c r="AO12" s="96"/>
      <c r="AP12" s="96"/>
      <c r="AQ12" s="95"/>
      <c r="AR12" s="98"/>
      <c r="AS12" s="96"/>
      <c r="AT12" s="96"/>
      <c r="AU12" s="95"/>
      <c r="AV12" s="98"/>
      <c r="AW12" s="96"/>
      <c r="AX12" s="96"/>
      <c r="AY12" s="95"/>
      <c r="AZ12" s="98"/>
      <c r="BA12" s="99"/>
      <c r="BB12" s="95"/>
      <c r="BC12" s="96"/>
      <c r="BD12" s="96"/>
      <c r="BE12" s="98"/>
    </row>
    <row r="13" spans="1:57" ht="12" customHeight="1">
      <c r="A13" s="254">
        <f t="array" ref="A13">_xll.AC(DB,_xll.ArrayDPT($AA13:$AE13),_xll.ArrayCOA($AG13:$AZ13),YR-1,PRD,_xll.ArrayDIM($BB13:$BE13))</f>
        <v>0</v>
      </c>
      <c r="B13" s="237">
        <f t="shared" si="0"/>
        <v>0</v>
      </c>
      <c r="C13" s="237">
        <f t="shared" si="1"/>
        <v>0</v>
      </c>
      <c r="D13" s="237">
        <f t="shared" si="2"/>
        <v>0</v>
      </c>
      <c r="E13" s="254">
        <f t="array" ref="E13">_xll.BC(DB,_xll.ArrayDPT($AA13:$AE13),_xll.ArrayCOA($AG13:$AZ13),YR,PRD,RV,_xll.ArrayDIM($BB13:$BE13))</f>
        <v>0</v>
      </c>
      <c r="F13" s="237">
        <f t="shared" si="3"/>
        <v>0</v>
      </c>
      <c r="G13" s="254">
        <f t="array" ref="G13">_xll.AC(DB,_xll.ArrayDPT($AA13:$AE13),_xll.ArrayCOA($AG13:$AZ13),YR,PRD,_xll.ArrayDIM($BB13:$BE13))</f>
        <v>0</v>
      </c>
      <c r="H13" s="237">
        <f t="shared" si="9"/>
        <v>0</v>
      </c>
      <c r="I13" s="237"/>
      <c r="J13" s="328" t="s">
        <v>650</v>
      </c>
      <c r="K13" s="237"/>
      <c r="L13" s="254">
        <f t="array" ref="L13">_xll.ACC(DB,_xll.ArrayDPT($AA13:$AE13),_xll.ArrayCOA($AG13:$AZ13),YR,PRD,_xll.ArrayDIM($BB13:$BE13))</f>
        <v>0</v>
      </c>
      <c r="M13" s="237">
        <f t="shared" si="10"/>
        <v>0</v>
      </c>
      <c r="N13" s="254">
        <f t="array" ref="N13">_xll.BCC(DB,_xll.ArrayDPT($AA13:$AE13),_xll.ArrayCOA($AG13:$AZ13),YR,PRD,RV,_xll.ArrayDIM($BB13:$BE13))</f>
        <v>0</v>
      </c>
      <c r="O13" s="237">
        <f t="shared" si="11"/>
        <v>0</v>
      </c>
      <c r="P13" s="237">
        <f t="shared" si="6"/>
        <v>0</v>
      </c>
      <c r="Q13" s="237">
        <f t="shared" si="12"/>
        <v>0</v>
      </c>
      <c r="R13" s="254">
        <f t="array" ref="R13">_xll.ACC(DB,_xll.ArrayDPT($AA13:$AE13),_xll.ArrayCOA($AG13:$AZ13),YR-1,PRD,_xll.ArrayDIM($BB13:$BE13))</f>
        <v>0</v>
      </c>
      <c r="S13" s="237">
        <f t="shared" si="13"/>
        <v>0</v>
      </c>
      <c r="T13" s="295"/>
      <c r="U13" s="295"/>
      <c r="V13" s="295"/>
      <c r="W13" s="295"/>
      <c r="X13" s="295"/>
      <c r="Y13" s="295"/>
      <c r="Z13" s="295"/>
      <c r="AA13" s="95" t="s">
        <v>1057</v>
      </c>
      <c r="AB13" s="96"/>
      <c r="AC13" s="96"/>
      <c r="AD13" s="96"/>
      <c r="AE13" s="96"/>
      <c r="AF13" s="454"/>
      <c r="AG13" s="95" t="s">
        <v>651</v>
      </c>
      <c r="AH13" s="96" t="s">
        <v>651</v>
      </c>
      <c r="AI13" s="95"/>
      <c r="AJ13" s="96"/>
      <c r="AK13" s="95"/>
      <c r="AL13" s="96"/>
      <c r="AM13" s="95"/>
      <c r="AN13" s="98"/>
      <c r="AO13" s="96"/>
      <c r="AP13" s="96"/>
      <c r="AQ13" s="95"/>
      <c r="AR13" s="98"/>
      <c r="AS13" s="96"/>
      <c r="AT13" s="96"/>
      <c r="AU13" s="95"/>
      <c r="AV13" s="98"/>
      <c r="AW13" s="96"/>
      <c r="AX13" s="96"/>
      <c r="AY13" s="95"/>
      <c r="AZ13" s="98"/>
      <c r="BA13" s="99"/>
      <c r="BB13" s="95"/>
      <c r="BC13" s="96"/>
      <c r="BD13" s="96"/>
      <c r="BE13" s="98"/>
    </row>
    <row r="14" spans="1:57" ht="12" customHeight="1">
      <c r="A14" s="254">
        <f t="array" ref="A14">_xll.AC(DB,_xll.ArrayDPT($AA14:$AE14),_xll.ArrayCOA($AG14:$AZ14),YR-1,PRD,_xll.ArrayDIM($BB14:$BE14))</f>
        <v>1550</v>
      </c>
      <c r="B14" s="237">
        <f t="shared" si="0"/>
        <v>0.332431806869388</v>
      </c>
      <c r="C14" s="237">
        <f t="shared" si="1"/>
        <v>0</v>
      </c>
      <c r="D14" s="237">
        <f t="shared" si="2"/>
        <v>0</v>
      </c>
      <c r="E14" s="254">
        <f t="array" ref="E14">_xll.BC(DB,_xll.ArrayDPT($AA14:$AE14),_xll.ArrayCOA($AG14:$AZ14),YR,PRD,RV,_xll.ArrayDIM($BB14:$BE14))</f>
        <v>0</v>
      </c>
      <c r="F14" s="237">
        <f t="shared" si="3"/>
        <v>0</v>
      </c>
      <c r="G14" s="254">
        <f t="array" ref="G14">_xll.AC(DB,_xll.ArrayDPT($AA14:$AE14),_xll.ArrayCOA($AG14:$AZ14),YR,PRD,_xll.ArrayDIM($BB14:$BE14))</f>
        <v>0</v>
      </c>
      <c r="H14" s="237">
        <f t="shared" si="9"/>
        <v>0</v>
      </c>
      <c r="I14" s="237"/>
      <c r="J14" s="328" t="s">
        <v>922</v>
      </c>
      <c r="K14" s="237"/>
      <c r="L14" s="254">
        <f t="array" ref="L14">_xll.ACC(DB,_xll.ArrayDPT($AA14:$AE14),_xll.ArrayCOA($AG14:$AZ14),YR,PRD,_xll.ArrayDIM($BB14:$BE14))</f>
        <v>0</v>
      </c>
      <c r="M14" s="237">
        <f t="shared" si="10"/>
        <v>0</v>
      </c>
      <c r="N14" s="254">
        <f t="array" ref="N14">_xll.BCC(DB,_xll.ArrayDPT($AA14:$AE14),_xll.ArrayCOA($AG14:$AZ14),YR,PRD,RV,_xll.ArrayDIM($BB14:$BE14))</f>
        <v>0</v>
      </c>
      <c r="O14" s="237">
        <f t="shared" si="11"/>
        <v>0</v>
      </c>
      <c r="P14" s="237">
        <f t="shared" si="6"/>
        <v>0</v>
      </c>
      <c r="Q14" s="237">
        <f t="shared" si="12"/>
        <v>0</v>
      </c>
      <c r="R14" s="254">
        <f t="array" ref="R14">_xll.ACC(DB,_xll.ArrayDPT($AA14:$AE14),_xll.ArrayCOA($AG14:$AZ14),YR-1,PRD,_xll.ArrayDIM($BB14:$BE14))</f>
        <v>1550</v>
      </c>
      <c r="S14" s="237">
        <f t="shared" si="13"/>
        <v>0.332431806869388</v>
      </c>
      <c r="T14" s="295"/>
      <c r="U14" s="295"/>
      <c r="V14" s="295"/>
      <c r="W14" s="295"/>
      <c r="X14" s="295"/>
      <c r="Y14" s="295"/>
      <c r="Z14" s="295"/>
      <c r="AA14" s="95" t="s">
        <v>1057</v>
      </c>
      <c r="AB14" s="96"/>
      <c r="AC14" s="96"/>
      <c r="AD14" s="96"/>
      <c r="AE14" s="96"/>
      <c r="AF14" s="454"/>
      <c r="AG14" s="95" t="s">
        <v>579</v>
      </c>
      <c r="AH14" s="96" t="s">
        <v>579</v>
      </c>
      <c r="AI14" s="95"/>
      <c r="AJ14" s="96"/>
      <c r="AK14" s="95"/>
      <c r="AL14" s="96"/>
      <c r="AM14" s="95"/>
      <c r="AN14" s="98"/>
      <c r="AO14" s="96"/>
      <c r="AP14" s="96"/>
      <c r="AQ14" s="95"/>
      <c r="AR14" s="98"/>
      <c r="AS14" s="96"/>
      <c r="AT14" s="96"/>
      <c r="AU14" s="95"/>
      <c r="AV14" s="98"/>
      <c r="AW14" s="96"/>
      <c r="AX14" s="96"/>
      <c r="AY14" s="95"/>
      <c r="AZ14" s="98"/>
      <c r="BA14" s="99"/>
      <c r="BB14" s="95"/>
      <c r="BC14" s="96"/>
      <c r="BD14" s="96"/>
      <c r="BE14" s="98"/>
    </row>
    <row r="15" spans="1:57" ht="6" customHeight="1">
      <c r="A15" s="330"/>
      <c r="B15" s="329"/>
      <c r="C15" s="392"/>
      <c r="D15" s="329"/>
      <c r="E15" s="392"/>
      <c r="F15" s="329"/>
      <c r="G15" s="392"/>
      <c r="H15" s="329"/>
      <c r="I15" s="398"/>
      <c r="J15" s="392"/>
      <c r="K15" s="399"/>
      <c r="L15" s="393"/>
      <c r="M15" s="333"/>
      <c r="N15" s="393"/>
      <c r="O15" s="333"/>
      <c r="P15" s="393"/>
      <c r="Q15" s="333"/>
      <c r="R15" s="393"/>
      <c r="S15" s="341"/>
      <c r="T15" s="328"/>
      <c r="U15" s="328"/>
      <c r="V15" s="328"/>
      <c r="W15" s="328"/>
      <c r="X15" s="328"/>
      <c r="Y15" s="328"/>
      <c r="Z15" s="328"/>
      <c r="AA15" s="95"/>
      <c r="AB15" s="96"/>
      <c r="AC15" s="96"/>
      <c r="AD15" s="96"/>
      <c r="AE15" s="96"/>
      <c r="AF15" s="454"/>
      <c r="AG15" s="95"/>
      <c r="AH15" s="96"/>
      <c r="AI15" s="95"/>
      <c r="AJ15" s="96"/>
      <c r="AK15" s="95"/>
      <c r="AL15" s="96"/>
      <c r="AM15" s="95"/>
      <c r="AN15" s="98"/>
      <c r="AO15" s="96"/>
      <c r="AP15" s="96"/>
      <c r="AQ15" s="95"/>
      <c r="AR15" s="98"/>
      <c r="AS15" s="96"/>
      <c r="AT15" s="96"/>
      <c r="AU15" s="95"/>
      <c r="AV15" s="98"/>
      <c r="AW15" s="96"/>
      <c r="AX15" s="96"/>
      <c r="AY15" s="95"/>
      <c r="AZ15" s="98"/>
      <c r="BA15" s="99"/>
      <c r="BB15" s="95"/>
      <c r="BC15" s="96"/>
      <c r="BD15" s="96"/>
      <c r="BE15" s="98"/>
    </row>
    <row r="16" spans="1:57" ht="12" customHeight="1">
      <c r="A16" s="394">
        <f>SUM(A8:A14)</f>
        <v>71550</v>
      </c>
      <c r="B16" s="338">
        <f>IF(A16=0,0,(A16*100)/A$70)</f>
        <v>15.345481149357878</v>
      </c>
      <c r="C16" s="395">
        <f>SUM(C8:C14)</f>
        <v>-48775</v>
      </c>
      <c r="D16" s="338">
        <f>IF(C16=0,0,(C16*100)/C$70)</f>
        <v>10.811058341768286</v>
      </c>
      <c r="E16" s="395">
        <f>SUM(E8:E14)</f>
        <v>0</v>
      </c>
      <c r="F16" s="338">
        <f>IF(E16=0,0,(E16*100)/E$70)</f>
        <v>0</v>
      </c>
      <c r="G16" s="395">
        <f>SUM(G8:G14)</f>
        <v>48775</v>
      </c>
      <c r="H16" s="338">
        <f>IF(G16=0,0,(G16*100)/G$70)</f>
        <v>10.811058341768286</v>
      </c>
      <c r="I16" s="394"/>
      <c r="J16" s="396" t="s">
        <v>1083</v>
      </c>
      <c r="K16" s="400"/>
      <c r="L16" s="395">
        <f>SUM(L8:L14)</f>
        <v>48775</v>
      </c>
      <c r="M16" s="338">
        <f>IF(L16=0,0,(L16*100)/L$70)</f>
        <v>10.811058341768286</v>
      </c>
      <c r="N16" s="395">
        <f>SUM(N8:N14)</f>
        <v>0</v>
      </c>
      <c r="O16" s="338">
        <f>IF(N16=0,0,(N16*100)/N$70)</f>
        <v>0</v>
      </c>
      <c r="P16" s="395">
        <f>SUM(P8:P14)</f>
        <v>-48775</v>
      </c>
      <c r="Q16" s="338">
        <f>IF(P16=0,0,(P16*100)/P$70)</f>
        <v>10.811058341768286</v>
      </c>
      <c r="R16" s="395">
        <f>SUM(R8:R14)</f>
        <v>71550</v>
      </c>
      <c r="S16" s="338">
        <f>IF(R16=0,0,(R16*100)/R$70)</f>
        <v>15.345481149357878</v>
      </c>
      <c r="T16" s="397"/>
      <c r="U16" s="397"/>
      <c r="V16" s="397"/>
      <c r="W16" s="397"/>
      <c r="X16" s="397"/>
      <c r="Y16" s="397"/>
      <c r="Z16" s="397"/>
      <c r="AA16" s="95"/>
      <c r="AB16" s="96"/>
      <c r="AC16" s="96"/>
      <c r="AD16" s="96"/>
      <c r="AE16" s="96"/>
      <c r="AF16" s="454"/>
      <c r="AG16" s="95"/>
      <c r="AH16" s="96"/>
      <c r="AI16" s="95"/>
      <c r="AJ16" s="96"/>
      <c r="AK16" s="95"/>
      <c r="AL16" s="96"/>
      <c r="AM16" s="95"/>
      <c r="AN16" s="98"/>
      <c r="AO16" s="96"/>
      <c r="AP16" s="96"/>
      <c r="AQ16" s="95"/>
      <c r="AR16" s="98"/>
      <c r="AS16" s="96"/>
      <c r="AT16" s="96"/>
      <c r="AU16" s="95"/>
      <c r="AV16" s="98"/>
      <c r="AW16" s="96"/>
      <c r="AX16" s="96"/>
      <c r="AY16" s="95"/>
      <c r="AZ16" s="98"/>
      <c r="BA16" s="99"/>
      <c r="BB16" s="95"/>
      <c r="BC16" s="96"/>
      <c r="BD16" s="96"/>
      <c r="BE16" s="98"/>
    </row>
    <row r="17" spans="1:57" ht="12" customHeight="1">
      <c r="A17" s="237"/>
      <c r="B17" s="237"/>
      <c r="C17" s="237"/>
      <c r="D17" s="237"/>
      <c r="E17" s="237"/>
      <c r="F17" s="237"/>
      <c r="G17" s="237"/>
      <c r="H17" s="237"/>
      <c r="I17" s="237"/>
      <c r="J17" s="340" t="s">
        <v>653</v>
      </c>
      <c r="K17" s="237"/>
      <c r="L17" s="237"/>
      <c r="M17" s="237"/>
      <c r="N17" s="237"/>
      <c r="O17" s="237"/>
      <c r="P17" s="237"/>
      <c r="Q17" s="237"/>
      <c r="R17" s="237"/>
      <c r="S17" s="237"/>
      <c r="T17" s="295"/>
      <c r="U17" s="295"/>
      <c r="V17" s="295"/>
      <c r="W17" s="295"/>
      <c r="X17" s="295"/>
      <c r="Y17" s="295"/>
      <c r="Z17" s="295"/>
      <c r="AA17" s="95"/>
      <c r="AB17" s="96"/>
      <c r="AC17" s="96"/>
      <c r="AD17" s="96"/>
      <c r="AE17" s="96"/>
      <c r="AF17" s="454"/>
      <c r="AG17" s="95"/>
      <c r="AH17" s="96"/>
      <c r="AI17" s="95"/>
      <c r="AJ17" s="96"/>
      <c r="AK17" s="95"/>
      <c r="AL17" s="96"/>
      <c r="AM17" s="95"/>
      <c r="AN17" s="98"/>
      <c r="AO17" s="96"/>
      <c r="AP17" s="96"/>
      <c r="AQ17" s="95"/>
      <c r="AR17" s="98"/>
      <c r="AS17" s="96"/>
      <c r="AT17" s="96"/>
      <c r="AU17" s="95"/>
      <c r="AV17" s="98"/>
      <c r="AW17" s="96"/>
      <c r="AX17" s="96"/>
      <c r="AY17" s="95"/>
      <c r="AZ17" s="98"/>
      <c r="BA17" s="99"/>
      <c r="BB17" s="95"/>
      <c r="BC17" s="96"/>
      <c r="BD17" s="96"/>
      <c r="BE17" s="98"/>
    </row>
    <row r="18" spans="1:57" ht="12" hidden="1" customHeight="1">
      <c r="A18" s="254">
        <f t="array" ref="A18">_xll.AC(DB,_xll.ArrayDPT($AA18:$AE18),_xll.ArrayCOA($AG18:$AZ18),YR-1,PRD,_xll.ArrayDIM($BB18:$BE18))</f>
        <v>0</v>
      </c>
      <c r="B18" s="237">
        <f t="shared" ref="B18:B57" si="14">IF(A18=0,0,(A18*100)/A$70)</f>
        <v>0</v>
      </c>
      <c r="C18" s="237">
        <f t="shared" ref="C18:C57" si="15">+E18-G18</f>
        <v>0</v>
      </c>
      <c r="D18" s="237">
        <f t="shared" ref="D18:D57" si="16">IF(C18=0,0,(C18*100)/C$70)</f>
        <v>0</v>
      </c>
      <c r="E18" s="254">
        <f t="array" ref="E18">_xll.BC(DB,_xll.ArrayDPT($AA18:$AE18),_xll.ArrayCOA($AG18:$AZ18),YR,PRD,RV,_xll.ArrayDIM($BB18:$BE18))</f>
        <v>0</v>
      </c>
      <c r="F18" s="237">
        <f t="shared" ref="F18:F57" si="17">IF(E18=0,0,(E18*100)/E$70)</f>
        <v>0</v>
      </c>
      <c r="G18" s="254">
        <f t="array" ref="G18">_xll.AC(DB,_xll.ArrayDPT($AA18:$AE18),_xll.ArrayCOA($AG18:$AZ18),YR,PRD,_xll.ArrayDIM($BB18:$BE18))</f>
        <v>0</v>
      </c>
      <c r="H18" s="237">
        <f t="shared" ref="H18:H57" si="18">IF(G18=0,0,(G18*100)/G$70)</f>
        <v>0</v>
      </c>
      <c r="I18" s="237"/>
      <c r="J18" s="328" t="s">
        <v>1056</v>
      </c>
      <c r="K18" s="237"/>
      <c r="L18" s="254">
        <f t="array" ref="L18">_xll.ACC(DB,_xll.ArrayDPT($AA18:$AE18),_xll.ArrayCOA($AG18:$AZ18),YR,PRD,_xll.ArrayDIM($BB18:$BE18))</f>
        <v>0</v>
      </c>
      <c r="M18" s="237">
        <f t="shared" ref="M18:M57" si="19">IF(L18=0,0,(L18*100)/L$70)</f>
        <v>0</v>
      </c>
      <c r="N18" s="254">
        <f t="array" ref="N18">_xll.BCC(DB,_xll.ArrayDPT($AA18:$AE18),_xll.ArrayCOA($AG18:$AZ18),YR,PRD,RV,_xll.ArrayDIM($BB18:$BE18))</f>
        <v>0</v>
      </c>
      <c r="O18" s="237">
        <f t="shared" ref="O18:O57" si="20">IF(N18=0,0,(N18*100)/N$70)</f>
        <v>0</v>
      </c>
      <c r="P18" s="237">
        <f t="shared" ref="P18:P57" si="21">+N18-L18</f>
        <v>0</v>
      </c>
      <c r="Q18" s="237">
        <f t="shared" ref="Q18:Q57" si="22">IF(P18=0,0,(P18*100)/P$70)</f>
        <v>0</v>
      </c>
      <c r="R18" s="254">
        <f t="array" ref="R18">_xll.ACC(DB,_xll.ArrayDPT($AA18:$AE18),_xll.ArrayCOA($AG18:$AZ18),YR-1,PRD,_xll.ArrayDIM($BB18:$BE18))</f>
        <v>0</v>
      </c>
      <c r="S18" s="237">
        <f t="shared" ref="S18:S57" si="23">IF(R18=0,0,(R18*100)/R$70)</f>
        <v>0</v>
      </c>
      <c r="T18" s="295"/>
      <c r="U18" s="295"/>
      <c r="V18" s="295"/>
      <c r="W18" s="295"/>
      <c r="X18" s="295"/>
      <c r="Y18" s="295"/>
      <c r="Z18" s="295"/>
      <c r="AA18" s="95"/>
      <c r="AB18" s="96"/>
      <c r="AC18" s="96"/>
      <c r="AD18" s="96"/>
      <c r="AE18" s="96"/>
      <c r="AF18" s="454"/>
      <c r="AG18" s="95"/>
      <c r="AH18" s="96"/>
      <c r="AI18" s="95"/>
      <c r="AJ18" s="96"/>
      <c r="AK18" s="95"/>
      <c r="AL18" s="96"/>
      <c r="AM18" s="95"/>
      <c r="AN18" s="98"/>
      <c r="AO18" s="96"/>
      <c r="AP18" s="96"/>
      <c r="AQ18" s="95"/>
      <c r="AR18" s="98"/>
      <c r="AS18" s="96"/>
      <c r="AT18" s="96"/>
      <c r="AU18" s="95"/>
      <c r="AV18" s="98"/>
      <c r="AW18" s="96"/>
      <c r="AX18" s="96"/>
      <c r="AY18" s="95"/>
      <c r="AZ18" s="98"/>
      <c r="BA18" s="99"/>
      <c r="BB18" s="95"/>
      <c r="BC18" s="96"/>
      <c r="BD18" s="96"/>
      <c r="BE18" s="98"/>
    </row>
    <row r="19" spans="1:57" ht="12" hidden="1" customHeight="1">
      <c r="A19" s="254">
        <f t="array" ref="A19">_xll.AC(DB,_xll.ArrayDPT($AA19:$AE19),_xll.ArrayCOA($AG19:$AZ19),YR-1,PRD,_xll.ArrayDIM($BB19:$BE19))</f>
        <v>0</v>
      </c>
      <c r="B19" s="237">
        <f t="shared" si="14"/>
        <v>0</v>
      </c>
      <c r="C19" s="237">
        <f t="shared" si="15"/>
        <v>0</v>
      </c>
      <c r="D19" s="237">
        <f t="shared" si="16"/>
        <v>0</v>
      </c>
      <c r="E19" s="254">
        <f t="array" ref="E19">_xll.BC(DB,_xll.ArrayDPT($AA19:$AE19),_xll.ArrayCOA($AG19:$AZ19),YR,PRD,RV,_xll.ArrayDIM($BB19:$BE19))</f>
        <v>0</v>
      </c>
      <c r="F19" s="237">
        <f t="shared" si="17"/>
        <v>0</v>
      </c>
      <c r="G19" s="254">
        <f t="array" ref="G19">_xll.AC(DB,_xll.ArrayDPT($AA19:$AE19),_xll.ArrayCOA($AG19:$AZ19),YR,PRD,_xll.ArrayDIM($BB19:$BE19))</f>
        <v>0</v>
      </c>
      <c r="H19" s="237">
        <f t="shared" si="18"/>
        <v>0</v>
      </c>
      <c r="I19" s="237"/>
      <c r="J19" s="328" t="s">
        <v>1084</v>
      </c>
      <c r="K19" s="237"/>
      <c r="L19" s="254">
        <f t="array" ref="L19">_xll.ACC(DB,_xll.ArrayDPT($AA19:$AE19),_xll.ArrayCOA($AG19:$AZ19),YR,PRD,_xll.ArrayDIM($BB19:$BE19))</f>
        <v>0</v>
      </c>
      <c r="M19" s="237">
        <f t="shared" si="19"/>
        <v>0</v>
      </c>
      <c r="N19" s="254">
        <f t="array" ref="N19">_xll.BCC(DB,_xll.ArrayDPT($AA19:$AE19),_xll.ArrayCOA($AG19:$AZ19),YR,PRD,RV,_xll.ArrayDIM($BB19:$BE19))</f>
        <v>0</v>
      </c>
      <c r="O19" s="237">
        <f t="shared" si="20"/>
        <v>0</v>
      </c>
      <c r="P19" s="237">
        <f t="shared" si="21"/>
        <v>0</v>
      </c>
      <c r="Q19" s="237">
        <f t="shared" si="22"/>
        <v>0</v>
      </c>
      <c r="R19" s="254">
        <f t="array" ref="R19">_xll.ACC(DB,_xll.ArrayDPT($AA19:$AE19),_xll.ArrayCOA($AG19:$AZ19),YR-1,PRD,_xll.ArrayDIM($BB19:$BE19))</f>
        <v>0</v>
      </c>
      <c r="S19" s="237">
        <f t="shared" si="23"/>
        <v>0</v>
      </c>
      <c r="T19" s="295"/>
      <c r="U19" s="295"/>
      <c r="V19" s="295"/>
      <c r="W19" s="295"/>
      <c r="X19" s="295"/>
      <c r="Y19" s="295"/>
      <c r="Z19" s="295"/>
      <c r="AA19" s="95"/>
      <c r="AB19" s="96"/>
      <c r="AC19" s="96"/>
      <c r="AD19" s="96"/>
      <c r="AE19" s="96"/>
      <c r="AF19" s="454"/>
      <c r="AG19" s="95"/>
      <c r="AH19" s="96"/>
      <c r="AI19" s="95"/>
      <c r="AJ19" s="96"/>
      <c r="AK19" s="95"/>
      <c r="AL19" s="96"/>
      <c r="AM19" s="95"/>
      <c r="AN19" s="98"/>
      <c r="AO19" s="96"/>
      <c r="AP19" s="96"/>
      <c r="AQ19" s="95"/>
      <c r="AR19" s="98"/>
      <c r="AS19" s="96"/>
      <c r="AT19" s="96"/>
      <c r="AU19" s="95"/>
      <c r="AV19" s="98"/>
      <c r="AW19" s="96"/>
      <c r="AX19" s="96"/>
      <c r="AY19" s="95"/>
      <c r="AZ19" s="98"/>
      <c r="BA19" s="99"/>
      <c r="BB19" s="95"/>
      <c r="BC19" s="96"/>
      <c r="BD19" s="96"/>
      <c r="BE19" s="98"/>
    </row>
    <row r="20" spans="1:57" ht="12" hidden="1" customHeight="1">
      <c r="A20" s="254">
        <f t="array" ref="A20">_xll.AC(DB,_xll.ArrayDPT($AA20:$AE20),_xll.ArrayCOA($AG20:$AZ20),YR-1,PRD,_xll.ArrayDIM($BB20:$BE20))</f>
        <v>0</v>
      </c>
      <c r="B20" s="237">
        <f t="shared" si="14"/>
        <v>0</v>
      </c>
      <c r="C20" s="237">
        <f t="shared" si="15"/>
        <v>0</v>
      </c>
      <c r="D20" s="237">
        <f t="shared" si="16"/>
        <v>0</v>
      </c>
      <c r="E20" s="254">
        <f t="array" ref="E20">_xll.BC(DB,_xll.ArrayDPT($AA20:$AE20),_xll.ArrayCOA($AG20:$AZ20),YR,PRD,RV,_xll.ArrayDIM($BB20:$BE20))</f>
        <v>0</v>
      </c>
      <c r="F20" s="237">
        <f t="shared" si="17"/>
        <v>0</v>
      </c>
      <c r="G20" s="254">
        <f t="array" ref="G20">_xll.AC(DB,_xll.ArrayDPT($AA20:$AE20),_xll.ArrayCOA($AG20:$AZ20),YR,PRD,_xll.ArrayDIM($BB20:$BE20))</f>
        <v>0</v>
      </c>
      <c r="H20" s="237">
        <f t="shared" si="18"/>
        <v>0</v>
      </c>
      <c r="I20" s="237"/>
      <c r="J20" s="328" t="s">
        <v>865</v>
      </c>
      <c r="K20" s="237"/>
      <c r="L20" s="254">
        <f t="array" ref="L20">_xll.ACC(DB,_xll.ArrayDPT($AA20:$AE20),_xll.ArrayCOA($AG20:$AZ20),YR,PRD,_xll.ArrayDIM($BB20:$BE20))</f>
        <v>0</v>
      </c>
      <c r="M20" s="237">
        <f t="shared" si="19"/>
        <v>0</v>
      </c>
      <c r="N20" s="254">
        <f t="array" ref="N20">_xll.BCC(DB,_xll.ArrayDPT($AA20:$AE20),_xll.ArrayCOA($AG20:$AZ20),YR,PRD,RV,_xll.ArrayDIM($BB20:$BE20))</f>
        <v>0</v>
      </c>
      <c r="O20" s="237">
        <f t="shared" si="20"/>
        <v>0</v>
      </c>
      <c r="P20" s="237">
        <f t="shared" si="21"/>
        <v>0</v>
      </c>
      <c r="Q20" s="237">
        <f t="shared" si="22"/>
        <v>0</v>
      </c>
      <c r="R20" s="254">
        <f t="array" ref="R20">_xll.ACC(DB,_xll.ArrayDPT($AA20:$AE20),_xll.ArrayCOA($AG20:$AZ20),YR-1,PRD,_xll.ArrayDIM($BB20:$BE20))</f>
        <v>0</v>
      </c>
      <c r="S20" s="237">
        <f t="shared" si="23"/>
        <v>0</v>
      </c>
      <c r="T20" s="295"/>
      <c r="U20" s="295"/>
      <c r="V20" s="295"/>
      <c r="W20" s="295"/>
      <c r="X20" s="295"/>
      <c r="Y20" s="295"/>
      <c r="Z20" s="295"/>
      <c r="AA20" s="95"/>
      <c r="AB20" s="96"/>
      <c r="AC20" s="96"/>
      <c r="AD20" s="96"/>
      <c r="AE20" s="96"/>
      <c r="AF20" s="454"/>
      <c r="AG20" s="95"/>
      <c r="AH20" s="96"/>
      <c r="AI20" s="95"/>
      <c r="AJ20" s="96"/>
      <c r="AK20" s="95"/>
      <c r="AL20" s="96"/>
      <c r="AM20" s="95"/>
      <c r="AN20" s="98"/>
      <c r="AO20" s="96"/>
      <c r="AP20" s="96"/>
      <c r="AQ20" s="95"/>
      <c r="AR20" s="98"/>
      <c r="AS20" s="96"/>
      <c r="AT20" s="96"/>
      <c r="AU20" s="95"/>
      <c r="AV20" s="98"/>
      <c r="AW20" s="96"/>
      <c r="AX20" s="96"/>
      <c r="AY20" s="95"/>
      <c r="AZ20" s="98"/>
      <c r="BA20" s="99"/>
      <c r="BB20" s="95"/>
      <c r="BC20" s="96"/>
      <c r="BD20" s="96"/>
      <c r="BE20" s="98"/>
    </row>
    <row r="21" spans="1:57" ht="12" customHeight="1">
      <c r="A21" s="254">
        <f t="array" ref="A21">_xll.AC(DB,_xll.ArrayDPT($AA21:$AE21),_xll.ArrayCOA($AG21:$AZ21),YR-1,PRD,_xll.ArrayDIM($BB21:$BE21))</f>
        <v>14725</v>
      </c>
      <c r="B21" s="237">
        <f t="shared" si="14"/>
        <v>3.1581021652591859</v>
      </c>
      <c r="C21" s="237">
        <f t="shared" si="15"/>
        <v>0</v>
      </c>
      <c r="D21" s="237">
        <f t="shared" si="16"/>
        <v>0</v>
      </c>
      <c r="E21" s="254">
        <f t="array" ref="E21">_xll.BC(DB,_xll.ArrayDPT($AA21:$AE21),_xll.ArrayCOA($AG21:$AZ21),YR,PRD,RV,_xll.ArrayDIM($BB21:$BE21))</f>
        <v>0</v>
      </c>
      <c r="F21" s="237">
        <f t="shared" si="17"/>
        <v>0</v>
      </c>
      <c r="G21" s="254">
        <f t="array" ref="G21">_xll.AC(DB,_xll.ArrayDPT($AA21:$AE21),_xll.ArrayCOA($AG21:$AZ21),YR,PRD,_xll.ArrayDIM($BB21:$BE21))</f>
        <v>0</v>
      </c>
      <c r="H21" s="237">
        <f t="shared" si="18"/>
        <v>0</v>
      </c>
      <c r="I21" s="237"/>
      <c r="J21" s="328" t="s">
        <v>1085</v>
      </c>
      <c r="K21" s="237"/>
      <c r="L21" s="254">
        <f t="array" ref="L21">_xll.ACC(DB,_xll.ArrayDPT($AA21:$AE21),_xll.ArrayCOA($AG21:$AZ21),YR,PRD,_xll.ArrayDIM($BB21:$BE21))</f>
        <v>0</v>
      </c>
      <c r="M21" s="237">
        <f t="shared" si="19"/>
        <v>0</v>
      </c>
      <c r="N21" s="254">
        <f t="array" ref="N21">_xll.BCC(DB,_xll.ArrayDPT($AA21:$AE21),_xll.ArrayCOA($AG21:$AZ21),YR,PRD,RV,_xll.ArrayDIM($BB21:$BE21))</f>
        <v>0</v>
      </c>
      <c r="O21" s="237">
        <f t="shared" si="20"/>
        <v>0</v>
      </c>
      <c r="P21" s="237">
        <f t="shared" si="21"/>
        <v>0</v>
      </c>
      <c r="Q21" s="237">
        <f t="shared" si="22"/>
        <v>0</v>
      </c>
      <c r="R21" s="254">
        <f t="array" ref="R21">_xll.ACC(DB,_xll.ArrayDPT($AA21:$AE21),_xll.ArrayCOA($AG21:$AZ21),YR-1,PRD,_xll.ArrayDIM($BB21:$BE21))</f>
        <v>14725</v>
      </c>
      <c r="S21" s="237">
        <f t="shared" si="23"/>
        <v>3.1581021652591859</v>
      </c>
      <c r="T21" s="295"/>
      <c r="U21" s="295"/>
      <c r="V21" s="295"/>
      <c r="W21" s="295"/>
      <c r="X21" s="295"/>
      <c r="Y21" s="295"/>
      <c r="Z21" s="295"/>
      <c r="AA21" s="95" t="s">
        <v>1057</v>
      </c>
      <c r="AB21" s="96"/>
      <c r="AC21" s="96"/>
      <c r="AD21" s="96"/>
      <c r="AE21" s="96"/>
      <c r="AF21" s="454"/>
      <c r="AG21" s="95" t="s">
        <v>1086</v>
      </c>
      <c r="AH21" s="96" t="s">
        <v>1086</v>
      </c>
      <c r="AI21" s="95"/>
      <c r="AJ21" s="96"/>
      <c r="AK21" s="95"/>
      <c r="AL21" s="96"/>
      <c r="AM21" s="95"/>
      <c r="AN21" s="98"/>
      <c r="AO21" s="96"/>
      <c r="AP21" s="96"/>
      <c r="AQ21" s="95"/>
      <c r="AR21" s="98"/>
      <c r="AS21" s="96"/>
      <c r="AT21" s="96"/>
      <c r="AU21" s="95"/>
      <c r="AV21" s="98"/>
      <c r="AW21" s="96"/>
      <c r="AX21" s="96"/>
      <c r="AY21" s="95"/>
      <c r="AZ21" s="98"/>
      <c r="BA21" s="99"/>
      <c r="BB21" s="95"/>
      <c r="BC21" s="96"/>
      <c r="BD21" s="96"/>
      <c r="BE21" s="98"/>
    </row>
    <row r="22" spans="1:57" ht="12" customHeight="1">
      <c r="A22" s="254">
        <f t="array" ref="A22">_xll.AC(DB,_xll.ArrayDPT($AA22:$AE22),_xll.ArrayCOA($AG22:$AZ22),YR-1,PRD,_xll.ArrayDIM($BB22:$BE22))</f>
        <v>0</v>
      </c>
      <c r="B22" s="237">
        <f t="shared" si="14"/>
        <v>0</v>
      </c>
      <c r="C22" s="237">
        <f t="shared" si="15"/>
        <v>0</v>
      </c>
      <c r="D22" s="237">
        <f t="shared" si="16"/>
        <v>0</v>
      </c>
      <c r="E22" s="254">
        <f t="array" ref="E22">_xll.BC(DB,_xll.ArrayDPT($AA22:$AE22),_xll.ArrayCOA($AG22:$AZ22),YR,PRD,RV,_xll.ArrayDIM($BB22:$BE22))</f>
        <v>0</v>
      </c>
      <c r="F22" s="237">
        <f t="shared" si="17"/>
        <v>0</v>
      </c>
      <c r="G22" s="254">
        <f t="array" ref="G22">_xll.AC(DB,_xll.ArrayDPT($AA22:$AE22),_xll.ArrayCOA($AG22:$AZ22),YR,PRD,_xll.ArrayDIM($BB22:$BE22))</f>
        <v>0</v>
      </c>
      <c r="H22" s="237">
        <f t="shared" si="18"/>
        <v>0</v>
      </c>
      <c r="I22" s="237"/>
      <c r="J22" s="328" t="s">
        <v>1087</v>
      </c>
      <c r="K22" s="237"/>
      <c r="L22" s="254">
        <f t="array" ref="L22">_xll.ACC(DB,_xll.ArrayDPT($AA22:$AE22),_xll.ArrayCOA($AG22:$AZ22),YR,PRD,_xll.ArrayDIM($BB22:$BE22))</f>
        <v>0</v>
      </c>
      <c r="M22" s="237">
        <f t="shared" si="19"/>
        <v>0</v>
      </c>
      <c r="N22" s="254">
        <f t="array" ref="N22">_xll.BCC(DB,_xll.ArrayDPT($AA22:$AE22),_xll.ArrayCOA($AG22:$AZ22),YR,PRD,RV,_xll.ArrayDIM($BB22:$BE22))</f>
        <v>0</v>
      </c>
      <c r="O22" s="237">
        <f t="shared" si="20"/>
        <v>0</v>
      </c>
      <c r="P22" s="237">
        <f t="shared" si="21"/>
        <v>0</v>
      </c>
      <c r="Q22" s="237">
        <f t="shared" si="22"/>
        <v>0</v>
      </c>
      <c r="R22" s="254">
        <f t="array" ref="R22">_xll.ACC(DB,_xll.ArrayDPT($AA22:$AE22),_xll.ArrayCOA($AG22:$AZ22),YR-1,PRD,_xll.ArrayDIM($BB22:$BE22))</f>
        <v>0</v>
      </c>
      <c r="S22" s="237">
        <f t="shared" si="23"/>
        <v>0</v>
      </c>
      <c r="T22" s="295"/>
      <c r="U22" s="295"/>
      <c r="V22" s="295"/>
      <c r="W22" s="295"/>
      <c r="X22" s="295"/>
      <c r="Y22" s="295"/>
      <c r="Z22" s="295"/>
      <c r="AA22" s="95" t="s">
        <v>1057</v>
      </c>
      <c r="AB22" s="96"/>
      <c r="AC22" s="96"/>
      <c r="AD22" s="96"/>
      <c r="AE22" s="96"/>
      <c r="AF22" s="454"/>
      <c r="AG22" s="95" t="s">
        <v>1088</v>
      </c>
      <c r="AH22" s="96" t="s">
        <v>1088</v>
      </c>
      <c r="AI22" s="95"/>
      <c r="AJ22" s="96"/>
      <c r="AK22" s="95"/>
      <c r="AL22" s="96"/>
      <c r="AM22" s="95"/>
      <c r="AN22" s="98"/>
      <c r="AO22" s="96"/>
      <c r="AP22" s="96"/>
      <c r="AQ22" s="95"/>
      <c r="AR22" s="98"/>
      <c r="AS22" s="96"/>
      <c r="AT22" s="96"/>
      <c r="AU22" s="95"/>
      <c r="AV22" s="98"/>
      <c r="AW22" s="96"/>
      <c r="AX22" s="96"/>
      <c r="AY22" s="95"/>
      <c r="AZ22" s="98"/>
      <c r="BA22" s="99"/>
      <c r="BB22" s="95"/>
      <c r="BC22" s="96"/>
      <c r="BD22" s="96"/>
      <c r="BE22" s="98"/>
    </row>
    <row r="23" spans="1:57" ht="12" customHeight="1">
      <c r="A23" s="254">
        <f t="array" ref="A23">_xll.AC(DB,_xll.ArrayDPT($AA23:$AE23),_xll.ArrayCOA($AG23:$AZ23),YR-1,PRD,_xll.ArrayDIM($BB23:$BE23))</f>
        <v>0</v>
      </c>
      <c r="B23" s="237">
        <f t="shared" si="14"/>
        <v>0</v>
      </c>
      <c r="C23" s="237">
        <f t="shared" si="15"/>
        <v>0</v>
      </c>
      <c r="D23" s="237">
        <f t="shared" si="16"/>
        <v>0</v>
      </c>
      <c r="E23" s="254">
        <f t="array" ref="E23">_xll.BC(DB,_xll.ArrayDPT($AA23:$AE23),_xll.ArrayCOA($AG23:$AZ23),YR,PRD,RV,_xll.ArrayDIM($BB23:$BE23))</f>
        <v>0</v>
      </c>
      <c r="F23" s="237">
        <f t="shared" si="17"/>
        <v>0</v>
      </c>
      <c r="G23" s="254">
        <f t="array" ref="G23">_xll.AC(DB,_xll.ArrayDPT($AA23:$AE23),_xll.ArrayCOA($AG23:$AZ23),YR,PRD,_xll.ArrayDIM($BB23:$BE23))</f>
        <v>0</v>
      </c>
      <c r="H23" s="237">
        <f t="shared" si="18"/>
        <v>0</v>
      </c>
      <c r="I23" s="237"/>
      <c r="J23" s="328" t="s">
        <v>1089</v>
      </c>
      <c r="K23" s="237"/>
      <c r="L23" s="254">
        <f t="array" ref="L23">_xll.ACC(DB,_xll.ArrayDPT($AA23:$AE23),_xll.ArrayCOA($AG23:$AZ23),YR,PRD,_xll.ArrayDIM($BB23:$BE23))</f>
        <v>0</v>
      </c>
      <c r="M23" s="237">
        <f t="shared" si="19"/>
        <v>0</v>
      </c>
      <c r="N23" s="254">
        <f t="array" ref="N23">_xll.BCC(DB,_xll.ArrayDPT($AA23:$AE23),_xll.ArrayCOA($AG23:$AZ23),YR,PRD,RV,_xll.ArrayDIM($BB23:$BE23))</f>
        <v>0</v>
      </c>
      <c r="O23" s="237">
        <f t="shared" si="20"/>
        <v>0</v>
      </c>
      <c r="P23" s="237">
        <f t="shared" si="21"/>
        <v>0</v>
      </c>
      <c r="Q23" s="237">
        <f t="shared" si="22"/>
        <v>0</v>
      </c>
      <c r="R23" s="254">
        <f t="array" ref="R23">_xll.ACC(DB,_xll.ArrayDPT($AA23:$AE23),_xll.ArrayCOA($AG23:$AZ23),YR-1,PRD,_xll.ArrayDIM($BB23:$BE23))</f>
        <v>0</v>
      </c>
      <c r="S23" s="237">
        <f t="shared" si="23"/>
        <v>0</v>
      </c>
      <c r="T23" s="295"/>
      <c r="U23" s="295"/>
      <c r="V23" s="295"/>
      <c r="W23" s="295"/>
      <c r="X23" s="295"/>
      <c r="Y23" s="295"/>
      <c r="Z23" s="295"/>
      <c r="AA23" s="95" t="s">
        <v>1057</v>
      </c>
      <c r="AB23" s="96"/>
      <c r="AC23" s="96"/>
      <c r="AD23" s="96"/>
      <c r="AE23" s="96"/>
      <c r="AF23" s="454"/>
      <c r="AG23" s="95" t="s">
        <v>1003</v>
      </c>
      <c r="AH23" s="96" t="s">
        <v>1003</v>
      </c>
      <c r="AI23" s="95"/>
      <c r="AJ23" s="96"/>
      <c r="AK23" s="95"/>
      <c r="AL23" s="96"/>
      <c r="AM23" s="95"/>
      <c r="AN23" s="98"/>
      <c r="AO23" s="96"/>
      <c r="AP23" s="96"/>
      <c r="AQ23" s="95"/>
      <c r="AR23" s="98"/>
      <c r="AS23" s="96"/>
      <c r="AT23" s="96"/>
      <c r="AU23" s="95"/>
      <c r="AV23" s="98"/>
      <c r="AW23" s="96"/>
      <c r="AX23" s="96"/>
      <c r="AY23" s="95"/>
      <c r="AZ23" s="98"/>
      <c r="BA23" s="99"/>
      <c r="BB23" s="95"/>
      <c r="BC23" s="96"/>
      <c r="BD23" s="96"/>
      <c r="BE23" s="98"/>
    </row>
    <row r="24" spans="1:57" ht="12" customHeight="1">
      <c r="A24" s="254">
        <f t="array" ref="A24">_xll.AC(DB,_xll.ArrayDPT($AA24:$AE24),_xll.ArrayCOA($AG24:$AZ24),YR-1,PRD,_xll.ArrayDIM($BB24:$BE24))</f>
        <v>0</v>
      </c>
      <c r="B24" s="237">
        <f t="shared" si="14"/>
        <v>0</v>
      </c>
      <c r="C24" s="237">
        <f t="shared" si="15"/>
        <v>0</v>
      </c>
      <c r="D24" s="237">
        <f t="shared" si="16"/>
        <v>0</v>
      </c>
      <c r="E24" s="254">
        <f t="array" ref="E24">_xll.BC(DB,_xll.ArrayDPT($AA24:$AE24),_xll.ArrayCOA($AG24:$AZ24),YR,PRD,RV,_xll.ArrayDIM($BB24:$BE24))</f>
        <v>0</v>
      </c>
      <c r="F24" s="237">
        <f t="shared" si="17"/>
        <v>0</v>
      </c>
      <c r="G24" s="254">
        <f t="array" ref="G24">_xll.AC(DB,_xll.ArrayDPT($AA24:$AE24),_xll.ArrayCOA($AG24:$AZ24),YR,PRD,_xll.ArrayDIM($BB24:$BE24))</f>
        <v>0</v>
      </c>
      <c r="H24" s="237">
        <f t="shared" si="18"/>
        <v>0</v>
      </c>
      <c r="I24" s="237"/>
      <c r="J24" s="328" t="s">
        <v>987</v>
      </c>
      <c r="K24" s="237"/>
      <c r="L24" s="254">
        <f t="array" ref="L24">_xll.ACC(DB,_xll.ArrayDPT($AA24:$AE24),_xll.ArrayCOA($AG24:$AZ24),YR,PRD,_xll.ArrayDIM($BB24:$BE24))</f>
        <v>0</v>
      </c>
      <c r="M24" s="237">
        <f t="shared" si="19"/>
        <v>0</v>
      </c>
      <c r="N24" s="254">
        <f t="array" ref="N24">_xll.BCC(DB,_xll.ArrayDPT($AA24:$AE24),_xll.ArrayCOA($AG24:$AZ24),YR,PRD,RV,_xll.ArrayDIM($BB24:$BE24))</f>
        <v>0</v>
      </c>
      <c r="O24" s="237">
        <f t="shared" si="20"/>
        <v>0</v>
      </c>
      <c r="P24" s="237">
        <f t="shared" si="21"/>
        <v>0</v>
      </c>
      <c r="Q24" s="237">
        <f t="shared" si="22"/>
        <v>0</v>
      </c>
      <c r="R24" s="254">
        <f t="array" ref="R24">_xll.ACC(DB,_xll.ArrayDPT($AA24:$AE24),_xll.ArrayCOA($AG24:$AZ24),YR-1,PRD,_xll.ArrayDIM($BB24:$BE24))</f>
        <v>0</v>
      </c>
      <c r="S24" s="237">
        <f t="shared" si="23"/>
        <v>0</v>
      </c>
      <c r="T24" s="295"/>
      <c r="U24" s="295"/>
      <c r="V24" s="295"/>
      <c r="W24" s="295"/>
      <c r="X24" s="295"/>
      <c r="Y24" s="295"/>
      <c r="Z24" s="295"/>
      <c r="AA24" s="95" t="s">
        <v>1057</v>
      </c>
      <c r="AB24" s="96"/>
      <c r="AC24" s="96"/>
      <c r="AD24" s="96"/>
      <c r="AE24" s="96"/>
      <c r="AF24" s="454"/>
      <c r="AG24" s="95" t="s">
        <v>1002</v>
      </c>
      <c r="AH24" s="96" t="s">
        <v>1002</v>
      </c>
      <c r="AI24" s="95"/>
      <c r="AJ24" s="96"/>
      <c r="AK24" s="95"/>
      <c r="AL24" s="96"/>
      <c r="AM24" s="95"/>
      <c r="AN24" s="98"/>
      <c r="AO24" s="96"/>
      <c r="AP24" s="96"/>
      <c r="AQ24" s="95"/>
      <c r="AR24" s="98"/>
      <c r="AS24" s="96"/>
      <c r="AT24" s="96"/>
      <c r="AU24" s="95"/>
      <c r="AV24" s="98"/>
      <c r="AW24" s="96"/>
      <c r="AX24" s="96"/>
      <c r="AY24" s="95"/>
      <c r="AZ24" s="98"/>
      <c r="BA24" s="99"/>
      <c r="BB24" s="95"/>
      <c r="BC24" s="96"/>
      <c r="BD24" s="96"/>
      <c r="BE24" s="98"/>
    </row>
    <row r="25" spans="1:57" ht="12" customHeight="1">
      <c r="A25" s="254">
        <f t="array" ref="A25">_xll.AC(DB,_xll.ArrayDPT($AA25:$AE25),_xll.ArrayCOA($AG25:$AZ25),YR-1,PRD,_xll.ArrayDIM($BB25:$BE25))</f>
        <v>0</v>
      </c>
      <c r="B25" s="237">
        <f t="shared" si="14"/>
        <v>0</v>
      </c>
      <c r="C25" s="237">
        <f t="shared" si="15"/>
        <v>0</v>
      </c>
      <c r="D25" s="237">
        <f t="shared" si="16"/>
        <v>0</v>
      </c>
      <c r="E25" s="254">
        <f t="array" ref="E25">_xll.BC(DB,_xll.ArrayDPT($AA25:$AE25),_xll.ArrayCOA($AG25:$AZ25),YR,PRD,RV,_xll.ArrayDIM($BB25:$BE25))</f>
        <v>0</v>
      </c>
      <c r="F25" s="237">
        <f t="shared" si="17"/>
        <v>0</v>
      </c>
      <c r="G25" s="254">
        <f t="array" ref="G25">_xll.AC(DB,_xll.ArrayDPT($AA25:$AE25),_xll.ArrayCOA($AG25:$AZ25),YR,PRD,_xll.ArrayDIM($BB25:$BE25))</f>
        <v>0</v>
      </c>
      <c r="H25" s="237">
        <f t="shared" si="18"/>
        <v>0</v>
      </c>
      <c r="I25" s="237"/>
      <c r="J25" s="328" t="s">
        <v>949</v>
      </c>
      <c r="K25" s="237"/>
      <c r="L25" s="254">
        <f t="array" ref="L25">_xll.ACC(DB,_xll.ArrayDPT($AA25:$AE25),_xll.ArrayCOA($AG25:$AZ25),YR,PRD,_xll.ArrayDIM($BB25:$BE25))</f>
        <v>0</v>
      </c>
      <c r="M25" s="237">
        <f t="shared" si="19"/>
        <v>0</v>
      </c>
      <c r="N25" s="254">
        <f t="array" ref="N25">_xll.BCC(DB,_xll.ArrayDPT($AA25:$AE25),_xll.ArrayCOA($AG25:$AZ25),YR,PRD,RV,_xll.ArrayDIM($BB25:$BE25))</f>
        <v>0</v>
      </c>
      <c r="O25" s="237">
        <f t="shared" si="20"/>
        <v>0</v>
      </c>
      <c r="P25" s="237">
        <f t="shared" si="21"/>
        <v>0</v>
      </c>
      <c r="Q25" s="237">
        <f t="shared" si="22"/>
        <v>0</v>
      </c>
      <c r="R25" s="254">
        <f t="array" ref="R25">_xll.ACC(DB,_xll.ArrayDPT($AA25:$AE25),_xll.ArrayCOA($AG25:$AZ25),YR-1,PRD,_xll.ArrayDIM($BB25:$BE25))</f>
        <v>0</v>
      </c>
      <c r="S25" s="237">
        <f t="shared" si="23"/>
        <v>0</v>
      </c>
      <c r="T25" s="295"/>
      <c r="U25" s="295"/>
      <c r="V25" s="295"/>
      <c r="W25" s="295"/>
      <c r="X25" s="295"/>
      <c r="Y25" s="295"/>
      <c r="Z25" s="295"/>
      <c r="AA25" s="95" t="s">
        <v>1057</v>
      </c>
      <c r="AB25" s="96"/>
      <c r="AC25" s="96"/>
      <c r="AD25" s="96"/>
      <c r="AE25" s="96"/>
      <c r="AF25" s="454"/>
      <c r="AG25" s="95" t="s">
        <v>580</v>
      </c>
      <c r="AH25" s="96" t="s">
        <v>580</v>
      </c>
      <c r="AI25" s="95"/>
      <c r="AJ25" s="96"/>
      <c r="AK25" s="95"/>
      <c r="AL25" s="96"/>
      <c r="AM25" s="95"/>
      <c r="AN25" s="98"/>
      <c r="AO25" s="96"/>
      <c r="AP25" s="96"/>
      <c r="AQ25" s="95"/>
      <c r="AR25" s="98"/>
      <c r="AS25" s="96"/>
      <c r="AT25" s="96"/>
      <c r="AU25" s="95"/>
      <c r="AV25" s="98"/>
      <c r="AW25" s="96"/>
      <c r="AX25" s="96"/>
      <c r="AY25" s="95"/>
      <c r="AZ25" s="98"/>
      <c r="BA25" s="99"/>
      <c r="BB25" s="95"/>
      <c r="BC25" s="96"/>
      <c r="BD25" s="96"/>
      <c r="BE25" s="98"/>
    </row>
    <row r="26" spans="1:57" ht="12" customHeight="1">
      <c r="A26" s="254">
        <f t="array" ref="A26">_xll.AC(DB,_xll.ArrayDPT($AA26:$AE26),_xll.ArrayCOA($AG26:$AZ26),YR-1,PRD,_xll.ArrayDIM($BB26:$BE26))</f>
        <v>0</v>
      </c>
      <c r="B26" s="237">
        <f t="shared" si="14"/>
        <v>0</v>
      </c>
      <c r="C26" s="237">
        <f t="shared" si="15"/>
        <v>0</v>
      </c>
      <c r="D26" s="237">
        <f t="shared" si="16"/>
        <v>0</v>
      </c>
      <c r="E26" s="254">
        <f t="array" ref="E26">_xll.BC(DB,_xll.ArrayDPT($AA26:$AE26),_xll.ArrayCOA($AG26:$AZ26),YR,PRD,RV,_xll.ArrayDIM($BB26:$BE26))</f>
        <v>0</v>
      </c>
      <c r="F26" s="237">
        <f t="shared" si="17"/>
        <v>0</v>
      </c>
      <c r="G26" s="254">
        <f t="array" ref="G26">_xll.AC(DB,_xll.ArrayDPT($AA26:$AE26),_xll.ArrayCOA($AG26:$AZ26),YR,PRD,_xll.ArrayDIM($BB26:$BE26))</f>
        <v>0</v>
      </c>
      <c r="H26" s="237">
        <f t="shared" si="18"/>
        <v>0</v>
      </c>
      <c r="I26" s="237"/>
      <c r="J26" s="328" t="s">
        <v>1090</v>
      </c>
      <c r="K26" s="237"/>
      <c r="L26" s="254">
        <f t="array" ref="L26">_xll.ACC(DB,_xll.ArrayDPT($AA26:$AE26),_xll.ArrayCOA($AG26:$AZ26),YR,PRD,_xll.ArrayDIM($BB26:$BE26))</f>
        <v>0</v>
      </c>
      <c r="M26" s="237">
        <f t="shared" si="19"/>
        <v>0</v>
      </c>
      <c r="N26" s="254">
        <f t="array" ref="N26">_xll.BCC(DB,_xll.ArrayDPT($AA26:$AE26),_xll.ArrayCOA($AG26:$AZ26),YR,PRD,RV,_xll.ArrayDIM($BB26:$BE26))</f>
        <v>0</v>
      </c>
      <c r="O26" s="237">
        <f t="shared" si="20"/>
        <v>0</v>
      </c>
      <c r="P26" s="237">
        <f t="shared" si="21"/>
        <v>0</v>
      </c>
      <c r="Q26" s="237">
        <f t="shared" si="22"/>
        <v>0</v>
      </c>
      <c r="R26" s="254">
        <f t="array" ref="R26">_xll.ACC(DB,_xll.ArrayDPT($AA26:$AE26),_xll.ArrayCOA($AG26:$AZ26),YR-1,PRD,_xll.ArrayDIM($BB26:$BE26))</f>
        <v>0</v>
      </c>
      <c r="S26" s="237">
        <f t="shared" si="23"/>
        <v>0</v>
      </c>
      <c r="T26" s="295"/>
      <c r="U26" s="295"/>
      <c r="V26" s="295"/>
      <c r="W26" s="295"/>
      <c r="X26" s="295"/>
      <c r="Y26" s="295"/>
      <c r="Z26" s="295"/>
      <c r="AA26" s="95" t="s">
        <v>1057</v>
      </c>
      <c r="AB26" s="96"/>
      <c r="AC26" s="96"/>
      <c r="AD26" s="96"/>
      <c r="AE26" s="96"/>
      <c r="AF26" s="454"/>
      <c r="AG26" s="95" t="s">
        <v>1091</v>
      </c>
      <c r="AH26" s="96" t="s">
        <v>1091</v>
      </c>
      <c r="AI26" s="95"/>
      <c r="AJ26" s="96"/>
      <c r="AK26" s="95"/>
      <c r="AL26" s="96"/>
      <c r="AM26" s="95"/>
      <c r="AN26" s="98"/>
      <c r="AO26" s="96"/>
      <c r="AP26" s="96"/>
      <c r="AQ26" s="95"/>
      <c r="AR26" s="98"/>
      <c r="AS26" s="96"/>
      <c r="AT26" s="96"/>
      <c r="AU26" s="95"/>
      <c r="AV26" s="98"/>
      <c r="AW26" s="96"/>
      <c r="AX26" s="96"/>
      <c r="AY26" s="95"/>
      <c r="AZ26" s="98"/>
      <c r="BA26" s="99"/>
      <c r="BB26" s="95"/>
      <c r="BC26" s="96"/>
      <c r="BD26" s="96"/>
      <c r="BE26" s="98"/>
    </row>
    <row r="27" spans="1:57" ht="12" customHeight="1">
      <c r="A27" s="254">
        <f t="array" ref="A27">_xll.AC(DB,_xll.ArrayDPT($AA27:$AE27),_xll.ArrayCOA($AG27:$AZ27),YR-1,PRD,_xll.ArrayDIM($BB27:$BE27))</f>
        <v>0</v>
      </c>
      <c r="B27" s="237">
        <f t="shared" si="14"/>
        <v>0</v>
      </c>
      <c r="C27" s="237">
        <f t="shared" si="15"/>
        <v>0</v>
      </c>
      <c r="D27" s="237">
        <f t="shared" si="16"/>
        <v>0</v>
      </c>
      <c r="E27" s="254">
        <f t="array" ref="E27">_xll.BC(DB,_xll.ArrayDPT($AA27:$AE27),_xll.ArrayCOA($AG27:$AZ27),YR,PRD,RV,_xll.ArrayDIM($BB27:$BE27))</f>
        <v>0</v>
      </c>
      <c r="F27" s="237">
        <f t="shared" si="17"/>
        <v>0</v>
      </c>
      <c r="G27" s="254">
        <f t="array" ref="G27">_xll.AC(DB,_xll.ArrayDPT($AA27:$AE27),_xll.ArrayCOA($AG27:$AZ27),YR,PRD,_xll.ArrayDIM($BB27:$BE27))</f>
        <v>0</v>
      </c>
      <c r="H27" s="237">
        <f t="shared" si="18"/>
        <v>0</v>
      </c>
      <c r="I27" s="237"/>
      <c r="J27" s="328" t="s">
        <v>1092</v>
      </c>
      <c r="K27" s="237"/>
      <c r="L27" s="254">
        <f t="array" ref="L27">_xll.ACC(DB,_xll.ArrayDPT($AA27:$AE27),_xll.ArrayCOA($AG27:$AZ27),YR,PRD,_xll.ArrayDIM($BB27:$BE27))</f>
        <v>0</v>
      </c>
      <c r="M27" s="237">
        <f t="shared" si="19"/>
        <v>0</v>
      </c>
      <c r="N27" s="254">
        <f t="array" ref="N27">_xll.BCC(DB,_xll.ArrayDPT($AA27:$AE27),_xll.ArrayCOA($AG27:$AZ27),YR,PRD,RV,_xll.ArrayDIM($BB27:$BE27))</f>
        <v>0</v>
      </c>
      <c r="O27" s="237">
        <f t="shared" si="20"/>
        <v>0</v>
      </c>
      <c r="P27" s="237">
        <f t="shared" si="21"/>
        <v>0</v>
      </c>
      <c r="Q27" s="237">
        <f t="shared" si="22"/>
        <v>0</v>
      </c>
      <c r="R27" s="254">
        <f t="array" ref="R27">_xll.ACC(DB,_xll.ArrayDPT($AA27:$AE27),_xll.ArrayCOA($AG27:$AZ27),YR-1,PRD,_xll.ArrayDIM($BB27:$BE27))</f>
        <v>0</v>
      </c>
      <c r="S27" s="237">
        <f t="shared" si="23"/>
        <v>0</v>
      </c>
      <c r="T27" s="295"/>
      <c r="U27" s="295"/>
      <c r="V27" s="295"/>
      <c r="W27" s="295"/>
      <c r="X27" s="295"/>
      <c r="Y27" s="295"/>
      <c r="Z27" s="295"/>
      <c r="AA27" s="95" t="s">
        <v>1057</v>
      </c>
      <c r="AB27" s="96"/>
      <c r="AC27" s="96"/>
      <c r="AD27" s="96"/>
      <c r="AE27" s="96"/>
      <c r="AF27" s="454"/>
      <c r="AG27" s="95" t="s">
        <v>1093</v>
      </c>
      <c r="AH27" s="96" t="s">
        <v>1093</v>
      </c>
      <c r="AI27" s="95"/>
      <c r="AJ27" s="96"/>
      <c r="AK27" s="95"/>
      <c r="AL27" s="96"/>
      <c r="AM27" s="95"/>
      <c r="AN27" s="98"/>
      <c r="AO27" s="96"/>
      <c r="AP27" s="96"/>
      <c r="AQ27" s="95"/>
      <c r="AR27" s="98"/>
      <c r="AS27" s="96"/>
      <c r="AT27" s="96"/>
      <c r="AU27" s="95"/>
      <c r="AV27" s="98"/>
      <c r="AW27" s="96"/>
      <c r="AX27" s="96"/>
      <c r="AY27" s="95"/>
      <c r="AZ27" s="98"/>
      <c r="BA27" s="99"/>
      <c r="BB27" s="95"/>
      <c r="BC27" s="96"/>
      <c r="BD27" s="96"/>
      <c r="BE27" s="98"/>
    </row>
    <row r="28" spans="1:57" ht="12" customHeight="1">
      <c r="A28" s="254">
        <f t="array" ref="A28">_xll.AC(DB,_xll.ArrayDPT($AA28:$AE28),_xll.ArrayCOA($AG28:$AZ28),YR-1,PRD,_xll.ArrayDIM($BB28:$BE28))</f>
        <v>0</v>
      </c>
      <c r="B28" s="237">
        <f t="shared" si="14"/>
        <v>0</v>
      </c>
      <c r="C28" s="237">
        <f t="shared" si="15"/>
        <v>0</v>
      </c>
      <c r="D28" s="237">
        <f t="shared" si="16"/>
        <v>0</v>
      </c>
      <c r="E28" s="254">
        <f t="array" ref="E28">_xll.BC(DB,_xll.ArrayDPT($AA28:$AE28),_xll.ArrayCOA($AG28:$AZ28),YR,PRD,RV,_xll.ArrayDIM($BB28:$BE28))</f>
        <v>0</v>
      </c>
      <c r="F28" s="237">
        <f t="shared" si="17"/>
        <v>0</v>
      </c>
      <c r="G28" s="254">
        <f t="array" ref="G28">_xll.AC(DB,_xll.ArrayDPT($AA28:$AE28),_xll.ArrayCOA($AG28:$AZ28),YR,PRD,_xll.ArrayDIM($BB28:$BE28))</f>
        <v>0</v>
      </c>
      <c r="H28" s="237">
        <f t="shared" si="18"/>
        <v>0</v>
      </c>
      <c r="I28" s="237"/>
      <c r="J28" s="328" t="s">
        <v>1094</v>
      </c>
      <c r="K28" s="237"/>
      <c r="L28" s="254">
        <f t="array" ref="L28">_xll.ACC(DB,_xll.ArrayDPT($AA28:$AE28),_xll.ArrayCOA($AG28:$AZ28),YR,PRD,_xll.ArrayDIM($BB28:$BE28))</f>
        <v>0</v>
      </c>
      <c r="M28" s="237">
        <f t="shared" si="19"/>
        <v>0</v>
      </c>
      <c r="N28" s="254">
        <f t="array" ref="N28">_xll.BCC(DB,_xll.ArrayDPT($AA28:$AE28),_xll.ArrayCOA($AG28:$AZ28),YR,PRD,RV,_xll.ArrayDIM($BB28:$BE28))</f>
        <v>0</v>
      </c>
      <c r="O28" s="237">
        <f t="shared" si="20"/>
        <v>0</v>
      </c>
      <c r="P28" s="237">
        <f t="shared" si="21"/>
        <v>0</v>
      </c>
      <c r="Q28" s="237">
        <f t="shared" si="22"/>
        <v>0</v>
      </c>
      <c r="R28" s="254">
        <f t="array" ref="R28">_xll.ACC(DB,_xll.ArrayDPT($AA28:$AE28),_xll.ArrayCOA($AG28:$AZ28),YR-1,PRD,_xll.ArrayDIM($BB28:$BE28))</f>
        <v>0</v>
      </c>
      <c r="S28" s="237">
        <f t="shared" si="23"/>
        <v>0</v>
      </c>
      <c r="T28" s="295"/>
      <c r="U28" s="295"/>
      <c r="V28" s="295"/>
      <c r="W28" s="295"/>
      <c r="X28" s="295"/>
      <c r="Y28" s="295"/>
      <c r="Z28" s="295"/>
      <c r="AA28" s="95" t="s">
        <v>1057</v>
      </c>
      <c r="AB28" s="96"/>
      <c r="AC28" s="96"/>
      <c r="AD28" s="96"/>
      <c r="AE28" s="96"/>
      <c r="AF28" s="454"/>
      <c r="AG28" s="95" t="s">
        <v>1095</v>
      </c>
      <c r="AH28" s="96" t="s">
        <v>1095</v>
      </c>
      <c r="AI28" s="95"/>
      <c r="AJ28" s="96"/>
      <c r="AK28" s="95"/>
      <c r="AL28" s="96"/>
      <c r="AM28" s="95"/>
      <c r="AN28" s="98"/>
      <c r="AO28" s="96"/>
      <c r="AP28" s="96"/>
      <c r="AQ28" s="95"/>
      <c r="AR28" s="98"/>
      <c r="AS28" s="96"/>
      <c r="AT28" s="96"/>
      <c r="AU28" s="95"/>
      <c r="AV28" s="98"/>
      <c r="AW28" s="96"/>
      <c r="AX28" s="96"/>
      <c r="AY28" s="95"/>
      <c r="AZ28" s="98"/>
      <c r="BA28" s="99"/>
      <c r="BB28" s="95"/>
      <c r="BC28" s="96"/>
      <c r="BD28" s="96"/>
      <c r="BE28" s="98"/>
    </row>
    <row r="29" spans="1:57" ht="12" customHeight="1">
      <c r="A29" s="254">
        <f t="array" ref="A29">_xll.AC(DB,_xll.ArrayDPT($AA29:$AE29),_xll.ArrayCOA($AG29:$AZ29),YR-1,PRD,_xll.ArrayDIM($BB29:$BE29))</f>
        <v>0</v>
      </c>
      <c r="B29" s="237">
        <f t="shared" si="14"/>
        <v>0</v>
      </c>
      <c r="C29" s="237">
        <f t="shared" si="15"/>
        <v>0</v>
      </c>
      <c r="D29" s="237">
        <f t="shared" si="16"/>
        <v>0</v>
      </c>
      <c r="E29" s="254">
        <f t="array" ref="E29">_xll.BC(DB,_xll.ArrayDPT($AA29:$AE29),_xll.ArrayCOA($AG29:$AZ29),YR,PRD,RV,_xll.ArrayDIM($BB29:$BE29))</f>
        <v>0</v>
      </c>
      <c r="F29" s="237">
        <f t="shared" si="17"/>
        <v>0</v>
      </c>
      <c r="G29" s="254">
        <f t="array" ref="G29">_xll.AC(DB,_xll.ArrayDPT($AA29:$AE29),_xll.ArrayCOA($AG29:$AZ29),YR,PRD,_xll.ArrayDIM($BB29:$BE29))</f>
        <v>0</v>
      </c>
      <c r="H29" s="237">
        <f t="shared" si="18"/>
        <v>0</v>
      </c>
      <c r="I29" s="237"/>
      <c r="J29" s="328" t="s">
        <v>1096</v>
      </c>
      <c r="K29" s="237"/>
      <c r="L29" s="254">
        <f t="array" ref="L29">_xll.ACC(DB,_xll.ArrayDPT($AA29:$AE29),_xll.ArrayCOA($AG29:$AZ29),YR,PRD,_xll.ArrayDIM($BB29:$BE29))</f>
        <v>0</v>
      </c>
      <c r="M29" s="237">
        <f t="shared" si="19"/>
        <v>0</v>
      </c>
      <c r="N29" s="254">
        <f t="array" ref="N29">_xll.BCC(DB,_xll.ArrayDPT($AA29:$AE29),_xll.ArrayCOA($AG29:$AZ29),YR,PRD,RV,_xll.ArrayDIM($BB29:$BE29))</f>
        <v>0</v>
      </c>
      <c r="O29" s="237">
        <f t="shared" si="20"/>
        <v>0</v>
      </c>
      <c r="P29" s="237">
        <f t="shared" si="21"/>
        <v>0</v>
      </c>
      <c r="Q29" s="237">
        <f t="shared" si="22"/>
        <v>0</v>
      </c>
      <c r="R29" s="254">
        <f t="array" ref="R29">_xll.ACC(DB,_xll.ArrayDPT($AA29:$AE29),_xll.ArrayCOA($AG29:$AZ29),YR-1,PRD,_xll.ArrayDIM($BB29:$BE29))</f>
        <v>0</v>
      </c>
      <c r="S29" s="237">
        <f t="shared" si="23"/>
        <v>0</v>
      </c>
      <c r="T29" s="295"/>
      <c r="U29" s="295"/>
      <c r="V29" s="295"/>
      <c r="W29" s="295"/>
      <c r="X29" s="295"/>
      <c r="Y29" s="295"/>
      <c r="Z29" s="295"/>
      <c r="AA29" s="95" t="s">
        <v>1057</v>
      </c>
      <c r="AB29" s="96"/>
      <c r="AC29" s="96"/>
      <c r="AD29" s="96"/>
      <c r="AE29" s="96"/>
      <c r="AF29" s="454"/>
      <c r="AG29" s="95" t="s">
        <v>1097</v>
      </c>
      <c r="AH29" s="96" t="s">
        <v>1097</v>
      </c>
      <c r="AI29" s="95"/>
      <c r="AJ29" s="96"/>
      <c r="AK29" s="95"/>
      <c r="AL29" s="96"/>
      <c r="AM29" s="95"/>
      <c r="AN29" s="98"/>
      <c r="AO29" s="96"/>
      <c r="AP29" s="96"/>
      <c r="AQ29" s="95"/>
      <c r="AR29" s="98"/>
      <c r="AS29" s="96"/>
      <c r="AT29" s="96"/>
      <c r="AU29" s="95"/>
      <c r="AV29" s="98"/>
      <c r="AW29" s="96"/>
      <c r="AX29" s="96"/>
      <c r="AY29" s="95"/>
      <c r="AZ29" s="98"/>
      <c r="BA29" s="99"/>
      <c r="BB29" s="95"/>
      <c r="BC29" s="96"/>
      <c r="BD29" s="96"/>
      <c r="BE29" s="98"/>
    </row>
    <row r="30" spans="1:57" ht="12" customHeight="1">
      <c r="A30" s="254">
        <f t="array" ref="A30">_xll.AC(DB,_xll.ArrayDPT($AA30:$AE30),_xll.ArrayCOA($AG30:$AZ30),YR-1,PRD,_xll.ArrayDIM($BB30:$BE30))</f>
        <v>0</v>
      </c>
      <c r="B30" s="237">
        <f t="shared" si="14"/>
        <v>0</v>
      </c>
      <c r="C30" s="237">
        <f t="shared" si="15"/>
        <v>0</v>
      </c>
      <c r="D30" s="237">
        <f t="shared" si="16"/>
        <v>0</v>
      </c>
      <c r="E30" s="254">
        <f t="array" ref="E30">_xll.BC(DB,_xll.ArrayDPT($AA30:$AE30),_xll.ArrayCOA($AG30:$AZ30),YR,PRD,RV,_xll.ArrayDIM($BB30:$BE30))</f>
        <v>0</v>
      </c>
      <c r="F30" s="237">
        <f t="shared" si="17"/>
        <v>0</v>
      </c>
      <c r="G30" s="254">
        <f t="array" ref="G30">_xll.AC(DB,_xll.ArrayDPT($AA30:$AE30),_xll.ArrayCOA($AG30:$AZ30),YR,PRD,_xll.ArrayDIM($BB30:$BE30))</f>
        <v>0</v>
      </c>
      <c r="H30" s="237">
        <f t="shared" si="18"/>
        <v>0</v>
      </c>
      <c r="I30" s="237"/>
      <c r="J30" s="328" t="s">
        <v>1098</v>
      </c>
      <c r="K30" s="237"/>
      <c r="L30" s="254">
        <f t="array" ref="L30">_xll.ACC(DB,_xll.ArrayDPT($AA30:$AE30),_xll.ArrayCOA($AG30:$AZ30),YR,PRD,_xll.ArrayDIM($BB30:$BE30))</f>
        <v>0</v>
      </c>
      <c r="M30" s="237">
        <f t="shared" si="19"/>
        <v>0</v>
      </c>
      <c r="N30" s="254">
        <f t="array" ref="N30">_xll.BCC(DB,_xll.ArrayDPT($AA30:$AE30),_xll.ArrayCOA($AG30:$AZ30),YR,PRD,RV,_xll.ArrayDIM($BB30:$BE30))</f>
        <v>0</v>
      </c>
      <c r="O30" s="237">
        <f t="shared" si="20"/>
        <v>0</v>
      </c>
      <c r="P30" s="237">
        <f t="shared" si="21"/>
        <v>0</v>
      </c>
      <c r="Q30" s="237">
        <f t="shared" si="22"/>
        <v>0</v>
      </c>
      <c r="R30" s="254">
        <f t="array" ref="R30">_xll.ACC(DB,_xll.ArrayDPT($AA30:$AE30),_xll.ArrayCOA($AG30:$AZ30),YR-1,PRD,_xll.ArrayDIM($BB30:$BE30))</f>
        <v>0</v>
      </c>
      <c r="S30" s="237">
        <f t="shared" si="23"/>
        <v>0</v>
      </c>
      <c r="T30" s="295"/>
      <c r="U30" s="295"/>
      <c r="V30" s="295"/>
      <c r="W30" s="295"/>
      <c r="X30" s="295"/>
      <c r="Y30" s="295"/>
      <c r="Z30" s="295"/>
      <c r="AA30" s="95" t="s">
        <v>1057</v>
      </c>
      <c r="AB30" s="96"/>
      <c r="AC30" s="96"/>
      <c r="AD30" s="96"/>
      <c r="AE30" s="96"/>
      <c r="AF30" s="454"/>
      <c r="AG30" s="95" t="s">
        <v>1099</v>
      </c>
      <c r="AH30" s="96" t="s">
        <v>1099</v>
      </c>
      <c r="AI30" s="95"/>
      <c r="AJ30" s="96"/>
      <c r="AK30" s="95"/>
      <c r="AL30" s="96"/>
      <c r="AM30" s="95"/>
      <c r="AN30" s="98"/>
      <c r="AO30" s="96"/>
      <c r="AP30" s="96"/>
      <c r="AQ30" s="95"/>
      <c r="AR30" s="98"/>
      <c r="AS30" s="96"/>
      <c r="AT30" s="96"/>
      <c r="AU30" s="95"/>
      <c r="AV30" s="98"/>
      <c r="AW30" s="96"/>
      <c r="AX30" s="96"/>
      <c r="AY30" s="95"/>
      <c r="AZ30" s="98"/>
      <c r="BA30" s="99"/>
      <c r="BB30" s="95"/>
      <c r="BC30" s="96"/>
      <c r="BD30" s="96"/>
      <c r="BE30" s="98"/>
    </row>
    <row r="31" spans="1:57" ht="12" customHeight="1">
      <c r="A31" s="254">
        <f t="array" ref="A31">_xll.AC(DB,_xll.ArrayDPT($AA31:$AE31),_xll.ArrayCOA($AG31:$AZ31),YR-1,PRD,_xll.ArrayDIM($BB31:$BE31))</f>
        <v>0</v>
      </c>
      <c r="B31" s="237">
        <f t="shared" si="14"/>
        <v>0</v>
      </c>
      <c r="C31" s="237">
        <f t="shared" si="15"/>
        <v>0</v>
      </c>
      <c r="D31" s="237">
        <f t="shared" si="16"/>
        <v>0</v>
      </c>
      <c r="E31" s="254">
        <f t="array" ref="E31">_xll.BC(DB,_xll.ArrayDPT($AA31:$AE31),_xll.ArrayCOA($AG31:$AZ31),YR,PRD,RV,_xll.ArrayDIM($BB31:$BE31))</f>
        <v>0</v>
      </c>
      <c r="F31" s="237">
        <f t="shared" si="17"/>
        <v>0</v>
      </c>
      <c r="G31" s="254">
        <f t="array" ref="G31">_xll.AC(DB,_xll.ArrayDPT($AA31:$AE31),_xll.ArrayCOA($AG31:$AZ31),YR,PRD,_xll.ArrayDIM($BB31:$BE31))</f>
        <v>0</v>
      </c>
      <c r="H31" s="237">
        <f t="shared" si="18"/>
        <v>0</v>
      </c>
      <c r="I31" s="237"/>
      <c r="J31" s="328" t="s">
        <v>1100</v>
      </c>
      <c r="K31" s="237"/>
      <c r="L31" s="254">
        <f t="array" ref="L31">_xll.ACC(DB,_xll.ArrayDPT($AA31:$AE31),_xll.ArrayCOA($AG31:$AZ31),YR,PRD,_xll.ArrayDIM($BB31:$BE31))</f>
        <v>0</v>
      </c>
      <c r="M31" s="237">
        <f t="shared" si="19"/>
        <v>0</v>
      </c>
      <c r="N31" s="254">
        <f t="array" ref="N31">_xll.BCC(DB,_xll.ArrayDPT($AA31:$AE31),_xll.ArrayCOA($AG31:$AZ31),YR,PRD,RV,_xll.ArrayDIM($BB31:$BE31))</f>
        <v>0</v>
      </c>
      <c r="O31" s="237">
        <f t="shared" si="20"/>
        <v>0</v>
      </c>
      <c r="P31" s="237">
        <f t="shared" si="21"/>
        <v>0</v>
      </c>
      <c r="Q31" s="237">
        <f t="shared" si="22"/>
        <v>0</v>
      </c>
      <c r="R31" s="254">
        <f t="array" ref="R31">_xll.ACC(DB,_xll.ArrayDPT($AA31:$AE31),_xll.ArrayCOA($AG31:$AZ31),YR-1,PRD,_xll.ArrayDIM($BB31:$BE31))</f>
        <v>0</v>
      </c>
      <c r="S31" s="237">
        <f t="shared" si="23"/>
        <v>0</v>
      </c>
      <c r="T31" s="295"/>
      <c r="U31" s="295"/>
      <c r="V31" s="295"/>
      <c r="W31" s="295"/>
      <c r="X31" s="295"/>
      <c r="Y31" s="295"/>
      <c r="Z31" s="295"/>
      <c r="AA31" s="95" t="s">
        <v>1057</v>
      </c>
      <c r="AB31" s="96"/>
      <c r="AC31" s="96"/>
      <c r="AD31" s="96"/>
      <c r="AE31" s="96"/>
      <c r="AF31" s="454"/>
      <c r="AG31" s="95" t="s">
        <v>1101</v>
      </c>
      <c r="AH31" s="96" t="s">
        <v>1101</v>
      </c>
      <c r="AI31" s="95"/>
      <c r="AJ31" s="96"/>
      <c r="AK31" s="95"/>
      <c r="AL31" s="96"/>
      <c r="AM31" s="95"/>
      <c r="AN31" s="98"/>
      <c r="AO31" s="96"/>
      <c r="AP31" s="96"/>
      <c r="AQ31" s="95"/>
      <c r="AR31" s="98"/>
      <c r="AS31" s="96"/>
      <c r="AT31" s="96"/>
      <c r="AU31" s="95"/>
      <c r="AV31" s="98"/>
      <c r="AW31" s="96"/>
      <c r="AX31" s="96"/>
      <c r="AY31" s="95"/>
      <c r="AZ31" s="98"/>
      <c r="BA31" s="99"/>
      <c r="BB31" s="95"/>
      <c r="BC31" s="96"/>
      <c r="BD31" s="96"/>
      <c r="BE31" s="98"/>
    </row>
    <row r="32" spans="1:57" ht="12" customHeight="1">
      <c r="A32" s="254">
        <f t="array" ref="A32">_xll.AC(DB,_xll.ArrayDPT($AA32:$AE32),_xll.ArrayCOA($AG32:$AZ32),YR-1,PRD,_xll.ArrayDIM($BB32:$BE32))</f>
        <v>0</v>
      </c>
      <c r="B32" s="237">
        <f t="shared" si="14"/>
        <v>0</v>
      </c>
      <c r="C32" s="237">
        <f t="shared" si="15"/>
        <v>0</v>
      </c>
      <c r="D32" s="237">
        <f t="shared" si="16"/>
        <v>0</v>
      </c>
      <c r="E32" s="254">
        <f t="array" ref="E32">_xll.BC(DB,_xll.ArrayDPT($AA32:$AE32),_xll.ArrayCOA($AG32:$AZ32),YR,PRD,RV,_xll.ArrayDIM($BB32:$BE32))</f>
        <v>0</v>
      </c>
      <c r="F32" s="237">
        <f t="shared" si="17"/>
        <v>0</v>
      </c>
      <c r="G32" s="254">
        <f t="array" ref="G32">_xll.AC(DB,_xll.ArrayDPT($AA32:$AE32),_xll.ArrayCOA($AG32:$AZ32),YR,PRD,_xll.ArrayDIM($BB32:$BE32))</f>
        <v>0</v>
      </c>
      <c r="H32" s="237">
        <f t="shared" si="18"/>
        <v>0</v>
      </c>
      <c r="I32" s="237"/>
      <c r="J32" s="328" t="s">
        <v>1102</v>
      </c>
      <c r="K32" s="237"/>
      <c r="L32" s="254">
        <f t="array" ref="L32">_xll.ACC(DB,_xll.ArrayDPT($AA32:$AE32),_xll.ArrayCOA($AG32:$AZ32),YR,PRD,_xll.ArrayDIM($BB32:$BE32))</f>
        <v>0</v>
      </c>
      <c r="M32" s="237">
        <f t="shared" si="19"/>
        <v>0</v>
      </c>
      <c r="N32" s="254">
        <f t="array" ref="N32">_xll.BCC(DB,_xll.ArrayDPT($AA32:$AE32),_xll.ArrayCOA($AG32:$AZ32),YR,PRD,RV,_xll.ArrayDIM($BB32:$BE32))</f>
        <v>0</v>
      </c>
      <c r="O32" s="237">
        <f t="shared" si="20"/>
        <v>0</v>
      </c>
      <c r="P32" s="237">
        <f t="shared" si="21"/>
        <v>0</v>
      </c>
      <c r="Q32" s="237">
        <f t="shared" si="22"/>
        <v>0</v>
      </c>
      <c r="R32" s="254">
        <f t="array" ref="R32">_xll.ACC(DB,_xll.ArrayDPT($AA32:$AE32),_xll.ArrayCOA($AG32:$AZ32),YR-1,PRD,_xll.ArrayDIM($BB32:$BE32))</f>
        <v>0</v>
      </c>
      <c r="S32" s="237">
        <f t="shared" si="23"/>
        <v>0</v>
      </c>
      <c r="T32" s="295"/>
      <c r="U32" s="295"/>
      <c r="V32" s="295"/>
      <c r="W32" s="295"/>
      <c r="X32" s="295"/>
      <c r="Y32" s="295"/>
      <c r="Z32" s="295"/>
      <c r="AA32" s="95" t="s">
        <v>1057</v>
      </c>
      <c r="AB32" s="96"/>
      <c r="AC32" s="96"/>
      <c r="AD32" s="96"/>
      <c r="AE32" s="96"/>
      <c r="AF32" s="454"/>
      <c r="AG32" s="95" t="s">
        <v>1103</v>
      </c>
      <c r="AH32" s="96" t="s">
        <v>1103</v>
      </c>
      <c r="AI32" s="95"/>
      <c r="AJ32" s="96"/>
      <c r="AK32" s="95"/>
      <c r="AL32" s="96"/>
      <c r="AM32" s="95"/>
      <c r="AN32" s="98"/>
      <c r="AO32" s="96"/>
      <c r="AP32" s="96"/>
      <c r="AQ32" s="95"/>
      <c r="AR32" s="98"/>
      <c r="AS32" s="96"/>
      <c r="AT32" s="96"/>
      <c r="AU32" s="95"/>
      <c r="AV32" s="98"/>
      <c r="AW32" s="96"/>
      <c r="AX32" s="96"/>
      <c r="AY32" s="95"/>
      <c r="AZ32" s="98"/>
      <c r="BA32" s="99"/>
      <c r="BB32" s="95"/>
      <c r="BC32" s="96"/>
      <c r="BD32" s="96"/>
      <c r="BE32" s="98"/>
    </row>
    <row r="33" spans="1:57" ht="12" customHeight="1">
      <c r="A33" s="254">
        <f t="array" ref="A33">_xll.AC(DB,_xll.ArrayDPT($AA33:$AE33),_xll.ArrayCOA($AG33:$AZ33),YR-1,PRD,_xll.ArrayDIM($BB33:$BE33))</f>
        <v>0</v>
      </c>
      <c r="B33" s="237">
        <f t="shared" si="14"/>
        <v>0</v>
      </c>
      <c r="C33" s="237">
        <f t="shared" si="15"/>
        <v>0</v>
      </c>
      <c r="D33" s="237">
        <f t="shared" si="16"/>
        <v>0</v>
      </c>
      <c r="E33" s="254">
        <f t="array" ref="E33">_xll.BC(DB,_xll.ArrayDPT($AA33:$AE33),_xll.ArrayCOA($AG33:$AZ33),YR,PRD,RV,_xll.ArrayDIM($BB33:$BE33))</f>
        <v>0</v>
      </c>
      <c r="F33" s="237">
        <f t="shared" si="17"/>
        <v>0</v>
      </c>
      <c r="G33" s="254">
        <f t="array" ref="G33">_xll.AC(DB,_xll.ArrayDPT($AA33:$AE33),_xll.ArrayCOA($AG33:$AZ33),YR,PRD,_xll.ArrayDIM($BB33:$BE33))</f>
        <v>0</v>
      </c>
      <c r="H33" s="237">
        <f t="shared" si="18"/>
        <v>0</v>
      </c>
      <c r="I33" s="237"/>
      <c r="J33" s="328" t="s">
        <v>1104</v>
      </c>
      <c r="K33" s="237"/>
      <c r="L33" s="254">
        <f t="array" ref="L33">_xll.ACC(DB,_xll.ArrayDPT($AA33:$AE33),_xll.ArrayCOA($AG33:$AZ33),YR,PRD,_xll.ArrayDIM($BB33:$BE33))</f>
        <v>0</v>
      </c>
      <c r="M33" s="237">
        <f t="shared" si="19"/>
        <v>0</v>
      </c>
      <c r="N33" s="254">
        <f t="array" ref="N33">_xll.BCC(DB,_xll.ArrayDPT($AA33:$AE33),_xll.ArrayCOA($AG33:$AZ33),YR,PRD,RV,_xll.ArrayDIM($BB33:$BE33))</f>
        <v>0</v>
      </c>
      <c r="O33" s="237">
        <f t="shared" si="20"/>
        <v>0</v>
      </c>
      <c r="P33" s="237">
        <f t="shared" si="21"/>
        <v>0</v>
      </c>
      <c r="Q33" s="237">
        <f t="shared" si="22"/>
        <v>0</v>
      </c>
      <c r="R33" s="254">
        <f t="array" ref="R33">_xll.ACC(DB,_xll.ArrayDPT($AA33:$AE33),_xll.ArrayCOA($AG33:$AZ33),YR-1,PRD,_xll.ArrayDIM($BB33:$BE33))</f>
        <v>0</v>
      </c>
      <c r="S33" s="237">
        <f t="shared" si="23"/>
        <v>0</v>
      </c>
      <c r="T33" s="295"/>
      <c r="U33" s="295"/>
      <c r="V33" s="295"/>
      <c r="W33" s="295"/>
      <c r="X33" s="295"/>
      <c r="Y33" s="295"/>
      <c r="Z33" s="295"/>
      <c r="AA33" s="95" t="s">
        <v>1057</v>
      </c>
      <c r="AB33" s="96"/>
      <c r="AC33" s="96"/>
      <c r="AD33" s="96"/>
      <c r="AE33" s="96"/>
      <c r="AF33" s="454"/>
      <c r="AG33" s="95" t="s">
        <v>1105</v>
      </c>
      <c r="AH33" s="96" t="s">
        <v>1105</v>
      </c>
      <c r="AI33" s="95"/>
      <c r="AJ33" s="96"/>
      <c r="AK33" s="95"/>
      <c r="AL33" s="96"/>
      <c r="AM33" s="95"/>
      <c r="AN33" s="98"/>
      <c r="AO33" s="96"/>
      <c r="AP33" s="96"/>
      <c r="AQ33" s="95"/>
      <c r="AR33" s="98"/>
      <c r="AS33" s="96"/>
      <c r="AT33" s="96"/>
      <c r="AU33" s="95"/>
      <c r="AV33" s="98"/>
      <c r="AW33" s="96"/>
      <c r="AX33" s="96"/>
      <c r="AY33" s="95"/>
      <c r="AZ33" s="98"/>
      <c r="BA33" s="99"/>
      <c r="BB33" s="95"/>
      <c r="BC33" s="96"/>
      <c r="BD33" s="96"/>
      <c r="BE33" s="98"/>
    </row>
    <row r="34" spans="1:57" ht="12" customHeight="1">
      <c r="A34" s="254">
        <f t="array" ref="A34">_xll.AC(DB,_xll.ArrayDPT($AA34:$AE34),_xll.ArrayCOA($AG34:$AZ34),YR-1,PRD,_xll.ArrayDIM($BB34:$BE34))</f>
        <v>0</v>
      </c>
      <c r="B34" s="237">
        <f t="shared" si="14"/>
        <v>0</v>
      </c>
      <c r="C34" s="237">
        <f t="shared" si="15"/>
        <v>0</v>
      </c>
      <c r="D34" s="237">
        <f t="shared" si="16"/>
        <v>0</v>
      </c>
      <c r="E34" s="254">
        <f t="array" ref="E34">_xll.BC(DB,_xll.ArrayDPT($AA34:$AE34),_xll.ArrayCOA($AG34:$AZ34),YR,PRD,RV,_xll.ArrayDIM($BB34:$BE34))</f>
        <v>0</v>
      </c>
      <c r="F34" s="237">
        <f t="shared" si="17"/>
        <v>0</v>
      </c>
      <c r="G34" s="254">
        <f t="array" ref="G34">_xll.AC(DB,_xll.ArrayDPT($AA34:$AE34),_xll.ArrayCOA($AG34:$AZ34),YR,PRD,_xll.ArrayDIM($BB34:$BE34))</f>
        <v>0</v>
      </c>
      <c r="H34" s="237">
        <f t="shared" si="18"/>
        <v>0</v>
      </c>
      <c r="I34" s="237"/>
      <c r="J34" s="328" t="s">
        <v>1106</v>
      </c>
      <c r="K34" s="237"/>
      <c r="L34" s="254">
        <f t="array" ref="L34">_xll.ACC(DB,_xll.ArrayDPT($AA34:$AE34),_xll.ArrayCOA($AG34:$AZ34),YR,PRD,_xll.ArrayDIM($BB34:$BE34))</f>
        <v>0</v>
      </c>
      <c r="M34" s="237">
        <f t="shared" si="19"/>
        <v>0</v>
      </c>
      <c r="N34" s="254">
        <f t="array" ref="N34">_xll.BCC(DB,_xll.ArrayDPT($AA34:$AE34),_xll.ArrayCOA($AG34:$AZ34),YR,PRD,RV,_xll.ArrayDIM($BB34:$BE34))</f>
        <v>0</v>
      </c>
      <c r="O34" s="237">
        <f t="shared" si="20"/>
        <v>0</v>
      </c>
      <c r="P34" s="237">
        <f t="shared" si="21"/>
        <v>0</v>
      </c>
      <c r="Q34" s="237">
        <f t="shared" si="22"/>
        <v>0</v>
      </c>
      <c r="R34" s="254">
        <f t="array" ref="R34">_xll.ACC(DB,_xll.ArrayDPT($AA34:$AE34),_xll.ArrayCOA($AG34:$AZ34),YR-1,PRD,_xll.ArrayDIM($BB34:$BE34))</f>
        <v>0</v>
      </c>
      <c r="S34" s="237">
        <f t="shared" si="23"/>
        <v>0</v>
      </c>
      <c r="T34" s="295"/>
      <c r="U34" s="295"/>
      <c r="V34" s="295"/>
      <c r="W34" s="295"/>
      <c r="X34" s="295"/>
      <c r="Y34" s="295"/>
      <c r="Z34" s="295"/>
      <c r="AA34" s="95" t="s">
        <v>1057</v>
      </c>
      <c r="AB34" s="96"/>
      <c r="AC34" s="96"/>
      <c r="AD34" s="96"/>
      <c r="AE34" s="96"/>
      <c r="AF34" s="454"/>
      <c r="AG34" s="95" t="s">
        <v>1107</v>
      </c>
      <c r="AH34" s="96" t="s">
        <v>1107</v>
      </c>
      <c r="AI34" s="95"/>
      <c r="AJ34" s="96"/>
      <c r="AK34" s="95"/>
      <c r="AL34" s="96"/>
      <c r="AM34" s="95"/>
      <c r="AN34" s="98"/>
      <c r="AO34" s="96"/>
      <c r="AP34" s="96"/>
      <c r="AQ34" s="95"/>
      <c r="AR34" s="98"/>
      <c r="AS34" s="96"/>
      <c r="AT34" s="96"/>
      <c r="AU34" s="95"/>
      <c r="AV34" s="98"/>
      <c r="AW34" s="96"/>
      <c r="AX34" s="96"/>
      <c r="AY34" s="95"/>
      <c r="AZ34" s="98"/>
      <c r="BA34" s="99"/>
      <c r="BB34" s="95"/>
      <c r="BC34" s="96"/>
      <c r="BD34" s="96"/>
      <c r="BE34" s="98"/>
    </row>
    <row r="35" spans="1:57" ht="12" customHeight="1">
      <c r="A35" s="254">
        <f t="array" ref="A35">_xll.AC(DB,_xll.ArrayDPT($AA35:$AE35),_xll.ArrayCOA($AG35:$AZ35),YR-1,PRD,_xll.ArrayDIM($BB35:$BE35))</f>
        <v>0</v>
      </c>
      <c r="B35" s="237">
        <f t="shared" si="14"/>
        <v>0</v>
      </c>
      <c r="C35" s="237">
        <f t="shared" si="15"/>
        <v>0</v>
      </c>
      <c r="D35" s="237">
        <f t="shared" si="16"/>
        <v>0</v>
      </c>
      <c r="E35" s="254">
        <f t="array" ref="E35">_xll.BC(DB,_xll.ArrayDPT($AA35:$AE35),_xll.ArrayCOA($AG35:$AZ35),YR,PRD,RV,_xll.ArrayDIM($BB35:$BE35))</f>
        <v>0</v>
      </c>
      <c r="F35" s="237">
        <f t="shared" si="17"/>
        <v>0</v>
      </c>
      <c r="G35" s="254">
        <f>_xll.AC(DB,_xll.ArrayDPT($AA35:$AE35),_xll.ArrayCOA($AG35:$AZ35),YR,PRD,_xll.ArrayDIM($BB35:$BE35))</f>
        <v>0</v>
      </c>
      <c r="H35" s="237">
        <f t="shared" si="18"/>
        <v>0</v>
      </c>
      <c r="I35" s="237"/>
      <c r="J35" s="328" t="s">
        <v>1108</v>
      </c>
      <c r="K35" s="237"/>
      <c r="L35" s="254">
        <f t="array" ref="L35">_xll.ACC(DB,_xll.ArrayDPT($AA35:$AE35),_xll.ArrayCOA($AG35:$AZ35),YR,PRD,_xll.ArrayDIM($BB35:$BE35))</f>
        <v>0</v>
      </c>
      <c r="M35" s="237">
        <f t="shared" si="19"/>
        <v>0</v>
      </c>
      <c r="N35" s="254">
        <f t="array" ref="N35">_xll.BCC(DB,_xll.ArrayDPT($AA35:$AE35),_xll.ArrayCOA($AG35:$AZ35),YR,PRD,RV,_xll.ArrayDIM($BB35:$BE35))</f>
        <v>0</v>
      </c>
      <c r="O35" s="237">
        <f t="shared" si="20"/>
        <v>0</v>
      </c>
      <c r="P35" s="237">
        <f t="shared" si="21"/>
        <v>0</v>
      </c>
      <c r="Q35" s="237">
        <f t="shared" si="22"/>
        <v>0</v>
      </c>
      <c r="R35" s="254">
        <f t="array" ref="R35">_xll.ACC(DB,_xll.ArrayDPT($AA35:$AE35),_xll.ArrayCOA($AG35:$AZ35),YR-1,PRD,_xll.ArrayDIM($BB35:$BE35))</f>
        <v>0</v>
      </c>
      <c r="S35" s="237">
        <f t="shared" si="23"/>
        <v>0</v>
      </c>
      <c r="T35" s="295"/>
      <c r="U35" s="295"/>
      <c r="V35" s="295"/>
      <c r="W35" s="295"/>
      <c r="X35" s="295"/>
      <c r="Y35" s="295"/>
      <c r="Z35" s="295"/>
      <c r="AA35" s="95" t="s">
        <v>1057</v>
      </c>
      <c r="AB35" s="96"/>
      <c r="AC35" s="96"/>
      <c r="AD35" s="96"/>
      <c r="AE35" s="96"/>
      <c r="AF35" s="454"/>
      <c r="AG35" s="95" t="s">
        <v>1109</v>
      </c>
      <c r="AH35" s="96" t="s">
        <v>1109</v>
      </c>
      <c r="AI35" s="95"/>
      <c r="AJ35" s="96"/>
      <c r="AK35" s="95"/>
      <c r="AL35" s="96"/>
      <c r="AM35" s="95"/>
      <c r="AN35" s="98"/>
      <c r="AO35" s="96"/>
      <c r="AP35" s="96"/>
      <c r="AQ35" s="95"/>
      <c r="AR35" s="98"/>
      <c r="AS35" s="96"/>
      <c r="AT35" s="96"/>
      <c r="AU35" s="95"/>
      <c r="AV35" s="98"/>
      <c r="AW35" s="96"/>
      <c r="AX35" s="96"/>
      <c r="AY35" s="95"/>
      <c r="AZ35" s="98"/>
      <c r="BA35" s="99"/>
      <c r="BB35" s="95"/>
      <c r="BC35" s="96"/>
      <c r="BD35" s="96"/>
      <c r="BE35" s="98"/>
    </row>
    <row r="36" spans="1:57" ht="12" customHeight="1">
      <c r="A36" s="254">
        <f t="array" ref="A36">_xll.AC(DB,_xll.ArrayDPT($AA36:$AE36),_xll.ArrayCOA($AG36:$AZ36),YR-1,PRD,_xll.ArrayDIM($BB36:$BE36))</f>
        <v>0</v>
      </c>
      <c r="B36" s="237">
        <f t="shared" si="14"/>
        <v>0</v>
      </c>
      <c r="C36" s="237">
        <f t="shared" si="15"/>
        <v>0</v>
      </c>
      <c r="D36" s="237">
        <f t="shared" si="16"/>
        <v>0</v>
      </c>
      <c r="E36" s="254">
        <f t="array" ref="E36">_xll.BC(DB,_xll.ArrayDPT($AA36:$AE36),_xll.ArrayCOA($AG36:$AZ36),YR,PRD,RV,_xll.ArrayDIM($BB36:$BE36))</f>
        <v>0</v>
      </c>
      <c r="F36" s="237">
        <f t="shared" si="17"/>
        <v>0</v>
      </c>
      <c r="G36" s="254">
        <f t="array" ref="G36">_xll.AC(DB,_xll.ArrayDPT($AA36:$AE36),_xll.ArrayCOA($AG36:$AZ36),YR,PRD,_xll.ArrayDIM($BB36:$BE36))</f>
        <v>0</v>
      </c>
      <c r="H36" s="237">
        <f t="shared" si="18"/>
        <v>0</v>
      </c>
      <c r="I36" s="237"/>
      <c r="J36" s="328" t="s">
        <v>1004</v>
      </c>
      <c r="K36" s="237"/>
      <c r="L36" s="254">
        <f t="array" ref="L36">_xll.ACC(DB,_xll.ArrayDPT($AA36:$AE36),_xll.ArrayCOA($AG36:$AZ36),YR,PRD,_xll.ArrayDIM($BB36:$BE36))</f>
        <v>0</v>
      </c>
      <c r="M36" s="237">
        <f t="shared" si="19"/>
        <v>0</v>
      </c>
      <c r="N36" s="254">
        <f t="array" ref="N36">_xll.BCC(DB,_xll.ArrayDPT($AA36:$AE36),_xll.ArrayCOA($AG36:$AZ36),YR,PRD,RV,_xll.ArrayDIM($BB36:$BE36))</f>
        <v>0</v>
      </c>
      <c r="O36" s="237">
        <f t="shared" si="20"/>
        <v>0</v>
      </c>
      <c r="P36" s="237">
        <f t="shared" si="21"/>
        <v>0</v>
      </c>
      <c r="Q36" s="237">
        <f t="shared" si="22"/>
        <v>0</v>
      </c>
      <c r="R36" s="254">
        <f t="array" ref="R36">_xll.ACC(DB,_xll.ArrayDPT($AA36:$AE36),_xll.ArrayCOA($AG36:$AZ36),YR-1,PRD,_xll.ArrayDIM($BB36:$BE36))</f>
        <v>0</v>
      </c>
      <c r="S36" s="237">
        <f t="shared" si="23"/>
        <v>0</v>
      </c>
      <c r="T36" s="295"/>
      <c r="U36" s="295"/>
      <c r="V36" s="295"/>
      <c r="W36" s="295"/>
      <c r="X36" s="295"/>
      <c r="Y36" s="295"/>
      <c r="Z36" s="295"/>
      <c r="AA36" s="95" t="s">
        <v>1057</v>
      </c>
      <c r="AB36" s="96"/>
      <c r="AC36" s="96"/>
      <c r="AD36" s="96"/>
      <c r="AE36" s="96"/>
      <c r="AF36" s="454"/>
      <c r="AG36" s="95" t="s">
        <v>1005</v>
      </c>
      <c r="AH36" s="96" t="s">
        <v>1005</v>
      </c>
      <c r="AI36" s="95"/>
      <c r="AJ36" s="96"/>
      <c r="AK36" s="95"/>
      <c r="AL36" s="96"/>
      <c r="AM36" s="95"/>
      <c r="AN36" s="98"/>
      <c r="AO36" s="96"/>
      <c r="AP36" s="96"/>
      <c r="AQ36" s="95"/>
      <c r="AR36" s="98"/>
      <c r="AS36" s="96"/>
      <c r="AT36" s="96"/>
      <c r="AU36" s="95"/>
      <c r="AV36" s="98"/>
      <c r="AW36" s="96"/>
      <c r="AX36" s="96"/>
      <c r="AY36" s="95"/>
      <c r="AZ36" s="98"/>
      <c r="BA36" s="99"/>
      <c r="BB36" s="95"/>
      <c r="BC36" s="96"/>
      <c r="BD36" s="96"/>
      <c r="BE36" s="98"/>
    </row>
    <row r="37" spans="1:57" ht="12" customHeight="1">
      <c r="A37" s="254">
        <f t="array" ref="A37">_xll.AC(DB,_xll.ArrayDPT($AA37:$AE37),_xll.ArrayCOA($AG37:$AZ37),YR-1,PRD,_xll.ArrayDIM($BB37:$BE37))</f>
        <v>0</v>
      </c>
      <c r="B37" s="237">
        <f t="shared" si="14"/>
        <v>0</v>
      </c>
      <c r="C37" s="237">
        <f t="shared" si="15"/>
        <v>0</v>
      </c>
      <c r="D37" s="237">
        <f t="shared" si="16"/>
        <v>0</v>
      </c>
      <c r="E37" s="254">
        <f t="array" ref="E37">_xll.BC(DB,_xll.ArrayDPT($AA37:$AE37),_xll.ArrayCOA($AG37:$AZ37),YR,PRD,RV,_xll.ArrayDIM($BB37:$BE37))</f>
        <v>0</v>
      </c>
      <c r="F37" s="237">
        <f t="shared" si="17"/>
        <v>0</v>
      </c>
      <c r="G37" s="254">
        <f t="array" ref="G37">_xll.AC(DB,_xll.ArrayDPT($AA37:$AE37),_xll.ArrayCOA($AG37:$AZ37),YR,PRD,_xll.ArrayDIM($BB37:$BE37))</f>
        <v>0</v>
      </c>
      <c r="H37" s="237">
        <f t="shared" si="18"/>
        <v>0</v>
      </c>
      <c r="I37" s="237"/>
      <c r="J37" s="328" t="s">
        <v>1110</v>
      </c>
      <c r="K37" s="237"/>
      <c r="L37" s="254">
        <f t="array" ref="L37">_xll.ACC(DB,_xll.ArrayDPT($AA37:$AE37),_xll.ArrayCOA($AG37:$AZ37),YR,PRD,_xll.ArrayDIM($BB37:$BE37))</f>
        <v>0</v>
      </c>
      <c r="M37" s="237">
        <f t="shared" si="19"/>
        <v>0</v>
      </c>
      <c r="N37" s="254">
        <f t="array" ref="N37">_xll.BCC(DB,_xll.ArrayDPT($AA37:$AE37),_xll.ArrayCOA($AG37:$AZ37),YR,PRD,RV,_xll.ArrayDIM($BB37:$BE37))</f>
        <v>0</v>
      </c>
      <c r="O37" s="237">
        <f t="shared" si="20"/>
        <v>0</v>
      </c>
      <c r="P37" s="237">
        <f t="shared" si="21"/>
        <v>0</v>
      </c>
      <c r="Q37" s="237">
        <f t="shared" si="22"/>
        <v>0</v>
      </c>
      <c r="R37" s="254">
        <f t="array" ref="R37">_xll.ACC(DB,_xll.ArrayDPT($AA37:$AE37),_xll.ArrayCOA($AG37:$AZ37),YR-1,PRD,_xll.ArrayDIM($BB37:$BE37))</f>
        <v>0</v>
      </c>
      <c r="S37" s="237">
        <f t="shared" si="23"/>
        <v>0</v>
      </c>
      <c r="T37" s="295"/>
      <c r="U37" s="295"/>
      <c r="V37" s="295"/>
      <c r="W37" s="295"/>
      <c r="X37" s="295"/>
      <c r="Y37" s="295"/>
      <c r="Z37" s="295"/>
      <c r="AA37" s="95" t="s">
        <v>1057</v>
      </c>
      <c r="AB37" s="96"/>
      <c r="AC37" s="96"/>
      <c r="AD37" s="96"/>
      <c r="AE37" s="96"/>
      <c r="AF37" s="454"/>
      <c r="AG37" s="95" t="s">
        <v>1111</v>
      </c>
      <c r="AH37" s="96" t="s">
        <v>1111</v>
      </c>
      <c r="AI37" s="95"/>
      <c r="AJ37" s="96"/>
      <c r="AK37" s="95"/>
      <c r="AL37" s="96"/>
      <c r="AM37" s="95"/>
      <c r="AN37" s="98"/>
      <c r="AO37" s="96"/>
      <c r="AP37" s="96"/>
      <c r="AQ37" s="95"/>
      <c r="AR37" s="98"/>
      <c r="AS37" s="96"/>
      <c r="AT37" s="96"/>
      <c r="AU37" s="95"/>
      <c r="AV37" s="98"/>
      <c r="AW37" s="96"/>
      <c r="AX37" s="96"/>
      <c r="AY37" s="95"/>
      <c r="AZ37" s="98"/>
      <c r="BA37" s="99"/>
      <c r="BB37" s="95"/>
      <c r="BC37" s="96"/>
      <c r="BD37" s="96"/>
      <c r="BE37" s="98"/>
    </row>
    <row r="38" spans="1:57" ht="12" customHeight="1">
      <c r="A38" s="254">
        <f t="array" ref="A38">_xll.AC(DB,_xll.ArrayDPT($AA38:$AE38),_xll.ArrayCOA($AG38:$AZ38),YR-1,PRD,_xll.ArrayDIM($BB38:$BE38))</f>
        <v>16449.64</v>
      </c>
      <c r="B38" s="237">
        <f t="shared" si="14"/>
        <v>3.5279893855167481</v>
      </c>
      <c r="C38" s="237">
        <f t="shared" si="15"/>
        <v>-4804.4399999999996</v>
      </c>
      <c r="D38" s="237">
        <f t="shared" si="16"/>
        <v>1.0649119659564372</v>
      </c>
      <c r="E38" s="254">
        <f t="array" ref="E38">_xll.BC(DB,_xll.ArrayDPT($AA38:$AE38),_xll.ArrayCOA($AG38:$AZ38),YR,PRD,RV,_xll.ArrayDIM($BB38:$BE38))</f>
        <v>0</v>
      </c>
      <c r="F38" s="237">
        <f t="shared" si="17"/>
        <v>0</v>
      </c>
      <c r="G38" s="254">
        <f t="array" ref="G38">_xll.AC(DB,_xll.ArrayDPT($AA38:$AE38),_xll.ArrayCOA($AG38:$AZ38),YR,PRD,_xll.ArrayDIM($BB38:$BE38))</f>
        <v>4804.4399999999996</v>
      </c>
      <c r="H38" s="237">
        <f t="shared" si="18"/>
        <v>1.0649119659564372</v>
      </c>
      <c r="I38" s="237"/>
      <c r="J38" s="328" t="s">
        <v>1112</v>
      </c>
      <c r="K38" s="237"/>
      <c r="L38" s="254">
        <f t="array" ref="L38">_xll.ACC(DB,_xll.ArrayDPT($AA38:$AE38),_xll.ArrayCOA($AG38:$AZ38),YR,PRD,_xll.ArrayDIM($BB38:$BE38))</f>
        <v>4804.4399999999996</v>
      </c>
      <c r="M38" s="237">
        <f t="shared" si="19"/>
        <v>1.0649119659564372</v>
      </c>
      <c r="N38" s="254">
        <f t="array" ref="N38">_xll.BCC(DB,_xll.ArrayDPT($AA38:$AE38),_xll.ArrayCOA($AG38:$AZ38),YR,PRD,RV,_xll.ArrayDIM($BB38:$BE38))</f>
        <v>0</v>
      </c>
      <c r="O38" s="237">
        <f t="shared" si="20"/>
        <v>0</v>
      </c>
      <c r="P38" s="237">
        <f t="shared" si="21"/>
        <v>-4804.4399999999996</v>
      </c>
      <c r="Q38" s="237">
        <f t="shared" si="22"/>
        <v>1.0649119659564372</v>
      </c>
      <c r="R38" s="254">
        <f t="array" ref="R38">_xll.ACC(DB,_xll.ArrayDPT($AA38:$AE38),_xll.ArrayCOA($AG38:$AZ38),YR-1,PRD,_xll.ArrayDIM($BB38:$BE38))</f>
        <v>16449.64</v>
      </c>
      <c r="S38" s="237">
        <f t="shared" si="23"/>
        <v>3.5279893855167481</v>
      </c>
      <c r="T38" s="295"/>
      <c r="U38" s="295"/>
      <c r="V38" s="295"/>
      <c r="W38" s="295"/>
      <c r="X38" s="295"/>
      <c r="Y38" s="295"/>
      <c r="Z38" s="295"/>
      <c r="AA38" s="95" t="s">
        <v>1057</v>
      </c>
      <c r="AB38" s="96"/>
      <c r="AC38" s="96"/>
      <c r="AD38" s="96"/>
      <c r="AE38" s="96"/>
      <c r="AF38" s="454"/>
      <c r="AG38" s="95" t="s">
        <v>1113</v>
      </c>
      <c r="AH38" s="96" t="s">
        <v>1113</v>
      </c>
      <c r="AI38" s="95"/>
      <c r="AJ38" s="96"/>
      <c r="AK38" s="95"/>
      <c r="AL38" s="96"/>
      <c r="AM38" s="95"/>
      <c r="AN38" s="98"/>
      <c r="AO38" s="96"/>
      <c r="AP38" s="96"/>
      <c r="AQ38" s="95"/>
      <c r="AR38" s="98"/>
      <c r="AS38" s="96"/>
      <c r="AT38" s="96"/>
      <c r="AU38" s="95"/>
      <c r="AV38" s="98"/>
      <c r="AW38" s="96"/>
      <c r="AX38" s="96"/>
      <c r="AY38" s="95"/>
      <c r="AZ38" s="98"/>
      <c r="BA38" s="99"/>
      <c r="BB38" s="95"/>
      <c r="BC38" s="96"/>
      <c r="BD38" s="96"/>
      <c r="BE38" s="98"/>
    </row>
    <row r="39" spans="1:57" ht="12" customHeight="1">
      <c r="A39" s="254">
        <f t="array" ref="A39">_xll.AC(DB,_xll.ArrayDPT($AA39:$AE39),_xll.ArrayCOA($AG39:$AZ39),YR-1,PRD,_xll.ArrayDIM($BB39:$BE39))</f>
        <v>0</v>
      </c>
      <c r="B39" s="237">
        <f t="shared" si="14"/>
        <v>0</v>
      </c>
      <c r="C39" s="237">
        <f t="shared" si="15"/>
        <v>-9863.83</v>
      </c>
      <c r="D39" s="237">
        <f t="shared" si="16"/>
        <v>2.1863340154440651</v>
      </c>
      <c r="E39" s="254">
        <f t="array" ref="E39">_xll.BC(DB,_xll.ArrayDPT($AA39:$AE39),_xll.ArrayCOA($AG39:$AZ39),YR,PRD,RV,_xll.ArrayDIM($BB39:$BE39))</f>
        <v>0</v>
      </c>
      <c r="F39" s="237">
        <f t="shared" si="17"/>
        <v>0</v>
      </c>
      <c r="G39" s="254">
        <f t="array" ref="G39">_xll.AC(DB,_xll.ArrayDPT($AA39:$AE39),_xll.ArrayCOA($AG39:$AZ39),YR,PRD,_xll.ArrayDIM($BB39:$BE39))</f>
        <v>9863.83</v>
      </c>
      <c r="H39" s="237">
        <f t="shared" si="18"/>
        <v>2.1863340154440651</v>
      </c>
      <c r="I39" s="237"/>
      <c r="J39" s="328" t="s">
        <v>1114</v>
      </c>
      <c r="K39" s="237"/>
      <c r="L39" s="254">
        <f t="array" ref="L39">_xll.ACC(DB,_xll.ArrayDPT($AA39:$AE39),_xll.ArrayCOA($AG39:$AZ39),YR,PRD,_xll.ArrayDIM($BB39:$BE39))</f>
        <v>9863.83</v>
      </c>
      <c r="M39" s="237">
        <f t="shared" si="19"/>
        <v>2.1863340154440651</v>
      </c>
      <c r="N39" s="254">
        <f t="array" ref="N39">_xll.BCC(DB,_xll.ArrayDPT($AA39:$AE39),_xll.ArrayCOA($AG39:$AZ39),YR,PRD,RV,_xll.ArrayDIM($BB39:$BE39))</f>
        <v>0</v>
      </c>
      <c r="O39" s="237">
        <f t="shared" si="20"/>
        <v>0</v>
      </c>
      <c r="P39" s="237">
        <f t="shared" si="21"/>
        <v>-9863.83</v>
      </c>
      <c r="Q39" s="237">
        <f t="shared" si="22"/>
        <v>2.1863340154440651</v>
      </c>
      <c r="R39" s="254">
        <f t="array" ref="R39">_xll.ACC(DB,_xll.ArrayDPT($AA39:$AE39),_xll.ArrayCOA($AG39:$AZ39),YR-1,PRD,_xll.ArrayDIM($BB39:$BE39))</f>
        <v>0</v>
      </c>
      <c r="S39" s="237">
        <f t="shared" si="23"/>
        <v>0</v>
      </c>
      <c r="T39" s="295"/>
      <c r="U39" s="295"/>
      <c r="V39" s="295"/>
      <c r="W39" s="295"/>
      <c r="X39" s="295"/>
      <c r="Y39" s="295"/>
      <c r="Z39" s="295"/>
      <c r="AA39" s="95"/>
      <c r="AB39" s="96"/>
      <c r="AC39" s="96"/>
      <c r="AD39" s="96"/>
      <c r="AE39" s="96"/>
      <c r="AF39" s="454"/>
      <c r="AG39" s="95" t="s">
        <v>1115</v>
      </c>
      <c r="AH39" s="96" t="s">
        <v>1115</v>
      </c>
      <c r="AI39" s="95"/>
      <c r="AJ39" s="96"/>
      <c r="AK39" s="95"/>
      <c r="AL39" s="96"/>
      <c r="AM39" s="95"/>
      <c r="AN39" s="98"/>
      <c r="AO39" s="96"/>
      <c r="AP39" s="96"/>
      <c r="AQ39" s="95"/>
      <c r="AR39" s="98"/>
      <c r="AS39" s="96"/>
      <c r="AT39" s="96"/>
      <c r="AU39" s="95"/>
      <c r="AV39" s="98"/>
      <c r="AW39" s="96"/>
      <c r="AX39" s="96"/>
      <c r="AY39" s="95"/>
      <c r="AZ39" s="98"/>
      <c r="BA39" s="99"/>
      <c r="BB39" s="95"/>
      <c r="BC39" s="96"/>
      <c r="BD39" s="96"/>
      <c r="BE39" s="98"/>
    </row>
    <row r="40" spans="1:57" ht="12" customHeight="1">
      <c r="A40" s="254">
        <f t="array" ref="A40">_xll.AC(DB,_xll.ArrayDPT($AA40:$AE40),_xll.ArrayCOA($AG40:$AZ40),YR-1,PRD,_xll.ArrayDIM($BB40:$BE40))</f>
        <v>0</v>
      </c>
      <c r="B40" s="237">
        <f t="shared" si="14"/>
        <v>0</v>
      </c>
      <c r="C40" s="237">
        <f t="shared" si="15"/>
        <v>0</v>
      </c>
      <c r="D40" s="237">
        <f t="shared" si="16"/>
        <v>0</v>
      </c>
      <c r="E40" s="254">
        <f t="array" ref="E40">_xll.BC(DB,_xll.ArrayDPT($AA40:$AE40),_xll.ArrayCOA($AG40:$AZ40),YR,PRD,RV,_xll.ArrayDIM($BB40:$BE40))</f>
        <v>0</v>
      </c>
      <c r="F40" s="237">
        <f t="shared" si="17"/>
        <v>0</v>
      </c>
      <c r="G40" s="254">
        <f t="array" ref="G40">_xll.AC(DB,_xll.ArrayDPT($AA40:$AE40),_xll.ArrayCOA($AG40:$AZ40),YR,PRD,_xll.ArrayDIM($BB40:$BE40))</f>
        <v>0</v>
      </c>
      <c r="H40" s="237">
        <f t="shared" si="18"/>
        <v>0</v>
      </c>
      <c r="I40" s="237"/>
      <c r="J40" s="328" t="s">
        <v>1116</v>
      </c>
      <c r="K40" s="237"/>
      <c r="L40" s="254">
        <f t="array" ref="L40">_xll.ACC(DB,_xll.ArrayDPT($AA40:$AE40),_xll.ArrayCOA($AG40:$AZ40),YR,PRD,_xll.ArrayDIM($BB40:$BE40))</f>
        <v>0</v>
      </c>
      <c r="M40" s="237">
        <f t="shared" si="19"/>
        <v>0</v>
      </c>
      <c r="N40" s="254">
        <f t="array" ref="N40">_xll.BCC(DB,_xll.ArrayDPT($AA40:$AE40),_xll.ArrayCOA($AG40:$AZ40),YR,PRD,RV,_xll.ArrayDIM($BB40:$BE40))</f>
        <v>0</v>
      </c>
      <c r="O40" s="237">
        <f t="shared" si="20"/>
        <v>0</v>
      </c>
      <c r="P40" s="237">
        <f t="shared" si="21"/>
        <v>0</v>
      </c>
      <c r="Q40" s="237">
        <f t="shared" si="22"/>
        <v>0</v>
      </c>
      <c r="R40" s="254">
        <f t="array" ref="R40">_xll.ACC(DB,_xll.ArrayDPT($AA40:$AE40),_xll.ArrayCOA($AG40:$AZ40),YR-1,PRD,_xll.ArrayDIM($BB40:$BE40))</f>
        <v>0</v>
      </c>
      <c r="S40" s="237">
        <f t="shared" si="23"/>
        <v>0</v>
      </c>
      <c r="T40" s="295"/>
      <c r="U40" s="295"/>
      <c r="V40" s="295"/>
      <c r="W40" s="295"/>
      <c r="X40" s="295"/>
      <c r="Y40" s="295"/>
      <c r="Z40" s="295"/>
      <c r="AA40" s="95" t="s">
        <v>1057</v>
      </c>
      <c r="AB40" s="96"/>
      <c r="AC40" s="96"/>
      <c r="AD40" s="96"/>
      <c r="AE40" s="96"/>
      <c r="AF40" s="454"/>
      <c r="AG40" s="95" t="s">
        <v>1117</v>
      </c>
      <c r="AH40" s="96" t="s">
        <v>1117</v>
      </c>
      <c r="AI40" s="95"/>
      <c r="AJ40" s="96"/>
      <c r="AK40" s="95"/>
      <c r="AL40" s="96"/>
      <c r="AM40" s="95"/>
      <c r="AN40" s="98"/>
      <c r="AO40" s="96"/>
      <c r="AP40" s="96"/>
      <c r="AQ40" s="95"/>
      <c r="AR40" s="98"/>
      <c r="AS40" s="96"/>
      <c r="AT40" s="96"/>
      <c r="AU40" s="95"/>
      <c r="AV40" s="98"/>
      <c r="AW40" s="96"/>
      <c r="AX40" s="96"/>
      <c r="AY40" s="95"/>
      <c r="AZ40" s="98"/>
      <c r="BA40" s="99"/>
      <c r="BB40" s="95"/>
      <c r="BC40" s="96"/>
      <c r="BD40" s="96"/>
      <c r="BE40" s="98"/>
    </row>
    <row r="41" spans="1:57" ht="12" customHeight="1">
      <c r="A41" s="254">
        <f t="array" ref="A41">_xll.AC(DB,_xll.ArrayDPT($AA41:$AE41),_xll.ArrayCOA($AG41:$AZ41),YR-1,PRD,_xll.ArrayDIM($BB41:$BE41))</f>
        <v>0</v>
      </c>
      <c r="B41" s="237">
        <f t="shared" si="14"/>
        <v>0</v>
      </c>
      <c r="C41" s="237">
        <f t="shared" si="15"/>
        <v>0</v>
      </c>
      <c r="D41" s="237">
        <f t="shared" si="16"/>
        <v>0</v>
      </c>
      <c r="E41" s="254">
        <f t="array" ref="E41">_xll.BC(DB,_xll.ArrayDPT($AA41:$AE41),_xll.ArrayCOA($AG41:$AZ41),YR,PRD,RV,_xll.ArrayDIM($BB41:$BE41))</f>
        <v>0</v>
      </c>
      <c r="F41" s="237">
        <f t="shared" si="17"/>
        <v>0</v>
      </c>
      <c r="G41" s="254">
        <f t="array" ref="G41">_xll.AC(DB,_xll.ArrayDPT($AA41:$AE41),_xll.ArrayCOA($AG41:$AZ41),YR,PRD,_xll.ArrayDIM($BB41:$BE41))</f>
        <v>0</v>
      </c>
      <c r="H41" s="237">
        <f t="shared" si="18"/>
        <v>0</v>
      </c>
      <c r="I41" s="237"/>
      <c r="J41" s="328" t="s">
        <v>1118</v>
      </c>
      <c r="K41" s="237"/>
      <c r="L41" s="254">
        <f t="array" ref="L41">_xll.ACC(DB,_xll.ArrayDPT($AA41:$AE41),_xll.ArrayCOA($AG41:$AZ41),YR,PRD,_xll.ArrayDIM($BB41:$BE41))</f>
        <v>0</v>
      </c>
      <c r="M41" s="237">
        <f t="shared" si="19"/>
        <v>0</v>
      </c>
      <c r="N41" s="254">
        <f t="array" ref="N41">_xll.BCC(DB,_xll.ArrayDPT($AA41:$AE41),_xll.ArrayCOA($AG41:$AZ41),YR,PRD,RV,_xll.ArrayDIM($BB41:$BE41))</f>
        <v>0</v>
      </c>
      <c r="O41" s="237">
        <f t="shared" si="20"/>
        <v>0</v>
      </c>
      <c r="P41" s="237">
        <f t="shared" si="21"/>
        <v>0</v>
      </c>
      <c r="Q41" s="237">
        <f t="shared" si="22"/>
        <v>0</v>
      </c>
      <c r="R41" s="254">
        <f t="array" ref="R41">_xll.ACC(DB,_xll.ArrayDPT($AA41:$AE41),_xll.ArrayCOA($AG41:$AZ41),YR-1,PRD,_xll.ArrayDIM($BB41:$BE41))</f>
        <v>0</v>
      </c>
      <c r="S41" s="237">
        <f t="shared" si="23"/>
        <v>0</v>
      </c>
      <c r="T41" s="295"/>
      <c r="U41" s="295"/>
      <c r="V41" s="295"/>
      <c r="W41" s="295"/>
      <c r="X41" s="295"/>
      <c r="Y41" s="295"/>
      <c r="Z41" s="295"/>
      <c r="AA41" s="95" t="s">
        <v>1057</v>
      </c>
      <c r="AB41" s="96"/>
      <c r="AC41" s="96"/>
      <c r="AD41" s="96"/>
      <c r="AE41" s="96"/>
      <c r="AF41" s="454"/>
      <c r="AG41" s="95" t="s">
        <v>1119</v>
      </c>
      <c r="AH41" s="96" t="s">
        <v>1119</v>
      </c>
      <c r="AI41" s="95"/>
      <c r="AJ41" s="96"/>
      <c r="AK41" s="95"/>
      <c r="AL41" s="96"/>
      <c r="AM41" s="95"/>
      <c r="AN41" s="98"/>
      <c r="AO41" s="96"/>
      <c r="AP41" s="96"/>
      <c r="AQ41" s="95"/>
      <c r="AR41" s="98"/>
      <c r="AS41" s="96"/>
      <c r="AT41" s="96"/>
      <c r="AU41" s="95"/>
      <c r="AV41" s="98"/>
      <c r="AW41" s="96"/>
      <c r="AX41" s="96"/>
      <c r="AY41" s="95"/>
      <c r="AZ41" s="98"/>
      <c r="BA41" s="99"/>
      <c r="BB41" s="95"/>
      <c r="BC41" s="96"/>
      <c r="BD41" s="96"/>
      <c r="BE41" s="98"/>
    </row>
    <row r="42" spans="1:57" ht="12" customHeight="1">
      <c r="A42" s="254">
        <f t="array" ref="A42">_xll.AC(DB,_xll.ArrayDPT($AA42:$AE42),_xll.ArrayCOA($AG42:$AZ42),YR-1,PRD,_xll.ArrayDIM($BB42:$BE42))</f>
        <v>0</v>
      </c>
      <c r="B42" s="237">
        <f t="shared" si="14"/>
        <v>0</v>
      </c>
      <c r="C42" s="237">
        <f t="shared" si="15"/>
        <v>0</v>
      </c>
      <c r="D42" s="237">
        <f t="shared" si="16"/>
        <v>0</v>
      </c>
      <c r="E42" s="254">
        <f t="array" ref="E42">_xll.BC(DB,_xll.ArrayDPT($AA42:$AE42),_xll.ArrayCOA($AG42:$AZ42),YR,PRD,RV,_xll.ArrayDIM($BB42:$BE42))</f>
        <v>0</v>
      </c>
      <c r="F42" s="237">
        <f t="shared" si="17"/>
        <v>0</v>
      </c>
      <c r="G42" s="254">
        <f t="array" ref="G42">_xll.AC(DB,_xll.ArrayDPT($AA42:$AE42),_xll.ArrayCOA($AG42:$AZ42),YR,PRD,_xll.ArrayDIM($BB42:$BE42))</f>
        <v>0</v>
      </c>
      <c r="H42" s="237">
        <f t="shared" si="18"/>
        <v>0</v>
      </c>
      <c r="I42" s="237"/>
      <c r="J42" s="328" t="s">
        <v>1120</v>
      </c>
      <c r="K42" s="237"/>
      <c r="L42" s="254">
        <f t="array" ref="L42">_xll.ACC(DB,_xll.ArrayDPT($AA42:$AE42),_xll.ArrayCOA($AG42:$AZ42),YR,PRD,_xll.ArrayDIM($BB42:$BE42))</f>
        <v>0</v>
      </c>
      <c r="M42" s="237">
        <f t="shared" si="19"/>
        <v>0</v>
      </c>
      <c r="N42" s="254">
        <f t="array" ref="N42">_xll.BCC(DB,_xll.ArrayDPT($AA42:$AE42),_xll.ArrayCOA($AG42:$AZ42),YR,PRD,RV,_xll.ArrayDIM($BB42:$BE42))</f>
        <v>0</v>
      </c>
      <c r="O42" s="237">
        <f t="shared" si="20"/>
        <v>0</v>
      </c>
      <c r="P42" s="237">
        <f t="shared" si="21"/>
        <v>0</v>
      </c>
      <c r="Q42" s="237">
        <f t="shared" si="22"/>
        <v>0</v>
      </c>
      <c r="R42" s="254">
        <f t="array" ref="R42">_xll.ACC(DB,_xll.ArrayDPT($AA42:$AE42),_xll.ArrayCOA($AG42:$AZ42),YR-1,PRD,_xll.ArrayDIM($BB42:$BE42))</f>
        <v>0</v>
      </c>
      <c r="S42" s="237">
        <f t="shared" si="23"/>
        <v>0</v>
      </c>
      <c r="T42" s="295"/>
      <c r="U42" s="295"/>
      <c r="V42" s="295"/>
      <c r="W42" s="295"/>
      <c r="X42" s="295"/>
      <c r="Y42" s="295"/>
      <c r="Z42" s="295"/>
      <c r="AA42" s="95" t="s">
        <v>1057</v>
      </c>
      <c r="AB42" s="96"/>
      <c r="AC42" s="96"/>
      <c r="AD42" s="96"/>
      <c r="AE42" s="96"/>
      <c r="AF42" s="454"/>
      <c r="AG42" s="95" t="s">
        <v>1121</v>
      </c>
      <c r="AH42" s="96" t="s">
        <v>1121</v>
      </c>
      <c r="AI42" s="95"/>
      <c r="AJ42" s="96"/>
      <c r="AK42" s="95"/>
      <c r="AL42" s="96"/>
      <c r="AM42" s="95"/>
      <c r="AN42" s="98"/>
      <c r="AO42" s="96"/>
      <c r="AP42" s="96"/>
      <c r="AQ42" s="95"/>
      <c r="AR42" s="98"/>
      <c r="AS42" s="96"/>
      <c r="AT42" s="96"/>
      <c r="AU42" s="95"/>
      <c r="AV42" s="98"/>
      <c r="AW42" s="96"/>
      <c r="AX42" s="96"/>
      <c r="AY42" s="95"/>
      <c r="AZ42" s="98"/>
      <c r="BA42" s="99"/>
      <c r="BB42" s="95"/>
      <c r="BC42" s="96"/>
      <c r="BD42" s="96"/>
      <c r="BE42" s="98"/>
    </row>
    <row r="43" spans="1:57" ht="12" customHeight="1">
      <c r="A43" s="254">
        <f t="array" ref="A43">_xll.AC(DB,_xll.ArrayDPT($AA43:$AE43),_xll.ArrayCOA($AG43:$AZ43),YR-1,PRD,_xll.ArrayDIM($BB43:$BE43))</f>
        <v>0</v>
      </c>
      <c r="B43" s="237">
        <f t="shared" si="14"/>
        <v>0</v>
      </c>
      <c r="C43" s="237">
        <f t="shared" si="15"/>
        <v>0</v>
      </c>
      <c r="D43" s="237">
        <f t="shared" si="16"/>
        <v>0</v>
      </c>
      <c r="E43" s="254">
        <f t="array" ref="E43">_xll.BC(DB,_xll.ArrayDPT($AA43:$AE43),_xll.ArrayCOA($AG43:$AZ43),YR,PRD,RV,_xll.ArrayDIM($BB43:$BE43))</f>
        <v>0</v>
      </c>
      <c r="F43" s="237">
        <f t="shared" si="17"/>
        <v>0</v>
      </c>
      <c r="G43" s="254">
        <f t="array" ref="G43">_xll.AC(DB,_xll.ArrayDPT($AA43:$AE43),_xll.ArrayCOA($AG43:$AZ43),YR,PRD,_xll.ArrayDIM($BB43:$BE43))</f>
        <v>0</v>
      </c>
      <c r="H43" s="237">
        <f t="shared" si="18"/>
        <v>0</v>
      </c>
      <c r="I43" s="237"/>
      <c r="J43" s="328" t="s">
        <v>1122</v>
      </c>
      <c r="K43" s="237"/>
      <c r="L43" s="254">
        <f t="array" ref="L43">_xll.ACC(DB,_xll.ArrayDPT($AA43:$AE43),_xll.ArrayCOA($AG43:$AZ43),YR,PRD,_xll.ArrayDIM($BB43:$BE43))</f>
        <v>0</v>
      </c>
      <c r="M43" s="237">
        <f t="shared" si="19"/>
        <v>0</v>
      </c>
      <c r="N43" s="254">
        <f t="array" ref="N43">_xll.BCC(DB,_xll.ArrayDPT($AA43:$AE43),_xll.ArrayCOA($AG43:$AZ43),YR,PRD,RV,_xll.ArrayDIM($BB43:$BE43))</f>
        <v>0</v>
      </c>
      <c r="O43" s="237">
        <f t="shared" si="20"/>
        <v>0</v>
      </c>
      <c r="P43" s="237">
        <f t="shared" si="21"/>
        <v>0</v>
      </c>
      <c r="Q43" s="237">
        <f t="shared" si="22"/>
        <v>0</v>
      </c>
      <c r="R43" s="254">
        <f t="array" ref="R43">_xll.ACC(DB,_xll.ArrayDPT($AA43:$AE43),_xll.ArrayCOA($AG43:$AZ43),YR-1,PRD,_xll.ArrayDIM($BB43:$BE43))</f>
        <v>0</v>
      </c>
      <c r="S43" s="237">
        <f t="shared" si="23"/>
        <v>0</v>
      </c>
      <c r="T43" s="295"/>
      <c r="U43" s="295"/>
      <c r="V43" s="295"/>
      <c r="W43" s="295"/>
      <c r="X43" s="295"/>
      <c r="Y43" s="295"/>
      <c r="Z43" s="295"/>
      <c r="AA43" s="95" t="s">
        <v>1057</v>
      </c>
      <c r="AB43" s="96"/>
      <c r="AC43" s="96"/>
      <c r="AD43" s="96"/>
      <c r="AE43" s="96"/>
      <c r="AF43" s="454"/>
      <c r="AG43" s="95" t="s">
        <v>1123</v>
      </c>
      <c r="AH43" s="96" t="s">
        <v>1123</v>
      </c>
      <c r="AI43" s="95"/>
      <c r="AJ43" s="96"/>
      <c r="AK43" s="95"/>
      <c r="AL43" s="96"/>
      <c r="AM43" s="95"/>
      <c r="AN43" s="98"/>
      <c r="AO43" s="96"/>
      <c r="AP43" s="96"/>
      <c r="AQ43" s="95"/>
      <c r="AR43" s="98"/>
      <c r="AS43" s="96"/>
      <c r="AT43" s="96"/>
      <c r="AU43" s="95"/>
      <c r="AV43" s="98"/>
      <c r="AW43" s="96"/>
      <c r="AX43" s="96"/>
      <c r="AY43" s="95"/>
      <c r="AZ43" s="98"/>
      <c r="BA43" s="99"/>
      <c r="BB43" s="95"/>
      <c r="BC43" s="96"/>
      <c r="BD43" s="96"/>
      <c r="BE43" s="98"/>
    </row>
    <row r="44" spans="1:57" ht="12" customHeight="1">
      <c r="A44" s="254">
        <f t="array" ref="A44">_xll.AC(DB,_xll.ArrayDPT($AA44:$AE44),_xll.ArrayCOA($AG44:$AZ44),YR-1,PRD,_xll.ArrayDIM($BB44:$BE44))</f>
        <v>0</v>
      </c>
      <c r="B44" s="237">
        <f t="shared" si="14"/>
        <v>0</v>
      </c>
      <c r="C44" s="237">
        <f t="shared" si="15"/>
        <v>-120.74</v>
      </c>
      <c r="D44" s="237">
        <f t="shared" si="16"/>
        <v>2.676221802532246E-2</v>
      </c>
      <c r="E44" s="254">
        <f t="array" ref="E44">_xll.BC(DB,_xll.ArrayDPT($AA44:$AE44),_xll.ArrayCOA($AG44:$AZ44),YR,PRD,RV,_xll.ArrayDIM($BB44:$BE44))</f>
        <v>0</v>
      </c>
      <c r="F44" s="237">
        <f t="shared" si="17"/>
        <v>0</v>
      </c>
      <c r="G44" s="254">
        <f t="array" ref="G44">_xll.AC(DB,_xll.ArrayDPT($AA44:$AE44),_xll.ArrayCOA($AG44:$AZ44),YR,PRD,_xll.ArrayDIM($BB44:$BE44))</f>
        <v>120.74</v>
      </c>
      <c r="H44" s="237">
        <f t="shared" si="18"/>
        <v>2.676221802532246E-2</v>
      </c>
      <c r="I44" s="237"/>
      <c r="J44" s="328" t="s">
        <v>717</v>
      </c>
      <c r="K44" s="237"/>
      <c r="L44" s="254">
        <f t="array" ref="L44">_xll.ACC(DB,_xll.ArrayDPT($AA44:$AE44),_xll.ArrayCOA($AG44:$AZ44),YR,PRD,_xll.ArrayDIM($BB44:$BE44))</f>
        <v>120.74</v>
      </c>
      <c r="M44" s="237">
        <f t="shared" si="19"/>
        <v>2.676221802532246E-2</v>
      </c>
      <c r="N44" s="254">
        <f t="array" ref="N44">_xll.BCC(DB,_xll.ArrayDPT($AA44:$AE44),_xll.ArrayCOA($AG44:$AZ44),YR,PRD,RV,_xll.ArrayDIM($BB44:$BE44))</f>
        <v>0</v>
      </c>
      <c r="O44" s="237">
        <f t="shared" si="20"/>
        <v>0</v>
      </c>
      <c r="P44" s="237">
        <f t="shared" si="21"/>
        <v>-120.74</v>
      </c>
      <c r="Q44" s="237">
        <f t="shared" si="22"/>
        <v>2.676221802532246E-2</v>
      </c>
      <c r="R44" s="254">
        <f t="array" ref="R44">_xll.ACC(DB,_xll.ArrayDPT($AA44:$AE44),_xll.ArrayCOA($AG44:$AZ44),YR-1,PRD,_xll.ArrayDIM($BB44:$BE44))</f>
        <v>0</v>
      </c>
      <c r="S44" s="237">
        <f t="shared" si="23"/>
        <v>0</v>
      </c>
      <c r="T44" s="295"/>
      <c r="U44" s="295"/>
      <c r="V44" s="295"/>
      <c r="W44" s="295"/>
      <c r="X44" s="295"/>
      <c r="Y44" s="295"/>
      <c r="Z44" s="295"/>
      <c r="AA44" s="95" t="s">
        <v>1057</v>
      </c>
      <c r="AB44" s="96"/>
      <c r="AC44" s="96"/>
      <c r="AD44" s="96"/>
      <c r="AE44" s="96"/>
      <c r="AF44" s="454"/>
      <c r="AG44" s="95" t="s">
        <v>718</v>
      </c>
      <c r="AH44" s="96" t="s">
        <v>718</v>
      </c>
      <c r="AI44" s="95"/>
      <c r="AJ44" s="96"/>
      <c r="AK44" s="95"/>
      <c r="AL44" s="96"/>
      <c r="AM44" s="95"/>
      <c r="AN44" s="98"/>
      <c r="AO44" s="96"/>
      <c r="AP44" s="96"/>
      <c r="AQ44" s="95"/>
      <c r="AR44" s="98"/>
      <c r="AS44" s="96"/>
      <c r="AT44" s="96"/>
      <c r="AU44" s="95"/>
      <c r="AV44" s="98"/>
      <c r="AW44" s="96"/>
      <c r="AX44" s="96"/>
      <c r="AY44" s="95"/>
      <c r="AZ44" s="98"/>
      <c r="BA44" s="99"/>
      <c r="BB44" s="95"/>
      <c r="BC44" s="96"/>
      <c r="BD44" s="96"/>
      <c r="BE44" s="98"/>
    </row>
    <row r="45" spans="1:57" ht="12" customHeight="1">
      <c r="A45" s="254">
        <f t="array" ref="A45">_xll.AC(DB,_xll.ArrayDPT($AA45:$AE45),_xll.ArrayCOA($AG45:$AZ45),YR-1,PRD,_xll.ArrayDIM($BB45:$BE45))</f>
        <v>0</v>
      </c>
      <c r="B45" s="237">
        <f t="shared" si="14"/>
        <v>0</v>
      </c>
      <c r="C45" s="237">
        <f t="shared" si="15"/>
        <v>0</v>
      </c>
      <c r="D45" s="237">
        <f t="shared" si="16"/>
        <v>0</v>
      </c>
      <c r="E45" s="254">
        <f t="array" ref="E45">_xll.BC(DB,_xll.ArrayDPT($AA45:$AE45),_xll.ArrayCOA($AG45:$AZ45),YR,PRD,RV,_xll.ArrayDIM($BB45:$BE45))</f>
        <v>0</v>
      </c>
      <c r="F45" s="237">
        <f t="shared" si="17"/>
        <v>0</v>
      </c>
      <c r="G45" s="254">
        <f t="array" ref="G45">_xll.AC(DB,_xll.ArrayDPT($AA45:$AE45),_xll.ArrayCOA($AG45:$AZ45),YR,PRD,_xll.ArrayDIM($BB45:$BE45))</f>
        <v>0</v>
      </c>
      <c r="H45" s="237">
        <f t="shared" si="18"/>
        <v>0</v>
      </c>
      <c r="I45" s="237"/>
      <c r="J45" s="328" t="s">
        <v>1124</v>
      </c>
      <c r="K45" s="237"/>
      <c r="L45" s="254">
        <f t="array" ref="L45">_xll.ACC(DB,_xll.ArrayDPT($AA45:$AE45),_xll.ArrayCOA($AG45:$AZ45),YR,PRD,_xll.ArrayDIM($BB45:$BE45))</f>
        <v>0</v>
      </c>
      <c r="M45" s="237">
        <f t="shared" si="19"/>
        <v>0</v>
      </c>
      <c r="N45" s="254">
        <f t="array" ref="N45">_xll.BCC(DB,_xll.ArrayDPT($AA45:$AE45),_xll.ArrayCOA($AG45:$AZ45),YR,PRD,RV,_xll.ArrayDIM($BB45:$BE45))</f>
        <v>0</v>
      </c>
      <c r="O45" s="237">
        <f t="shared" si="20"/>
        <v>0</v>
      </c>
      <c r="P45" s="237">
        <f t="shared" si="21"/>
        <v>0</v>
      </c>
      <c r="Q45" s="237">
        <f t="shared" si="22"/>
        <v>0</v>
      </c>
      <c r="R45" s="254">
        <f t="array" ref="R45">_xll.ACC(DB,_xll.ArrayDPT($AA45:$AE45),_xll.ArrayCOA($AG45:$AZ45),YR-1,PRD,_xll.ArrayDIM($BB45:$BE45))</f>
        <v>0</v>
      </c>
      <c r="S45" s="237">
        <f t="shared" si="23"/>
        <v>0</v>
      </c>
      <c r="T45" s="295"/>
      <c r="U45" s="295"/>
      <c r="V45" s="295"/>
      <c r="W45" s="295"/>
      <c r="X45" s="295"/>
      <c r="Y45" s="295"/>
      <c r="Z45" s="295"/>
      <c r="AA45" s="95" t="s">
        <v>1057</v>
      </c>
      <c r="AB45" s="96"/>
      <c r="AC45" s="96"/>
      <c r="AD45" s="96"/>
      <c r="AE45" s="96"/>
      <c r="AF45" s="454"/>
      <c r="AG45" s="95" t="s">
        <v>786</v>
      </c>
      <c r="AH45" s="96" t="s">
        <v>786</v>
      </c>
      <c r="AI45" s="95"/>
      <c r="AJ45" s="96"/>
      <c r="AK45" s="95"/>
      <c r="AL45" s="96"/>
      <c r="AM45" s="95"/>
      <c r="AN45" s="98"/>
      <c r="AO45" s="96"/>
      <c r="AP45" s="96"/>
      <c r="AQ45" s="95"/>
      <c r="AR45" s="98"/>
      <c r="AS45" s="96"/>
      <c r="AT45" s="96"/>
      <c r="AU45" s="95"/>
      <c r="AV45" s="98"/>
      <c r="AW45" s="96"/>
      <c r="AX45" s="96"/>
      <c r="AY45" s="95"/>
      <c r="AZ45" s="98"/>
      <c r="BA45" s="99"/>
      <c r="BB45" s="95"/>
      <c r="BC45" s="96"/>
      <c r="BD45" s="96"/>
      <c r="BE45" s="98"/>
    </row>
    <row r="46" spans="1:57" ht="12" customHeight="1">
      <c r="A46" s="254">
        <f t="array" ref="A46">_xll.AC(DB,_xll.ArrayDPT($AA46:$AE46),_xll.ArrayCOA($AG46:$AZ46),YR-1,PRD,_xll.ArrayDIM($BB46:$BE46))</f>
        <v>0</v>
      </c>
      <c r="B46" s="237">
        <f t="shared" si="14"/>
        <v>0</v>
      </c>
      <c r="C46" s="237">
        <f t="shared" si="15"/>
        <v>0</v>
      </c>
      <c r="D46" s="237">
        <f t="shared" si="16"/>
        <v>0</v>
      </c>
      <c r="E46" s="254">
        <f t="array" ref="E46">_xll.BC(DB,_xll.ArrayDPT($AA46:$AE46),_xll.ArrayCOA($AG46:$AZ46),YR,PRD,RV,_xll.ArrayDIM($BB46:$BE46))</f>
        <v>0</v>
      </c>
      <c r="F46" s="237">
        <f t="shared" si="17"/>
        <v>0</v>
      </c>
      <c r="G46" s="254">
        <f t="array" ref="G46">_xll.AC(DB,_xll.ArrayDPT($AA46:$AE46),_xll.ArrayCOA($AG46:$AZ46),YR,PRD,_xll.ArrayDIM($BB46:$BE46))</f>
        <v>0</v>
      </c>
      <c r="H46" s="237">
        <f t="shared" si="18"/>
        <v>0</v>
      </c>
      <c r="I46" s="237"/>
      <c r="J46" s="328" t="s">
        <v>1125</v>
      </c>
      <c r="K46" s="237"/>
      <c r="L46" s="254">
        <f t="array" ref="L46">_xll.ACC(DB,_xll.ArrayDPT($AA46:$AE46),_xll.ArrayCOA($AG46:$AZ46),YR,PRD,_xll.ArrayDIM($BB46:$BE46))</f>
        <v>0</v>
      </c>
      <c r="M46" s="237">
        <f t="shared" si="19"/>
        <v>0</v>
      </c>
      <c r="N46" s="254">
        <f t="array" ref="N46">_xll.BCC(DB,_xll.ArrayDPT($AA46:$AE46),_xll.ArrayCOA($AG46:$AZ46),YR,PRD,RV,_xll.ArrayDIM($BB46:$BE46))</f>
        <v>0</v>
      </c>
      <c r="O46" s="237">
        <f t="shared" si="20"/>
        <v>0</v>
      </c>
      <c r="P46" s="237">
        <f t="shared" si="21"/>
        <v>0</v>
      </c>
      <c r="Q46" s="237">
        <f t="shared" si="22"/>
        <v>0</v>
      </c>
      <c r="R46" s="254">
        <f t="array" ref="R46">_xll.ACC(DB,_xll.ArrayDPT($AA46:$AE46),_xll.ArrayCOA($AG46:$AZ46),YR-1,PRD,_xll.ArrayDIM($BB46:$BE46))</f>
        <v>0</v>
      </c>
      <c r="S46" s="237">
        <f t="shared" si="23"/>
        <v>0</v>
      </c>
      <c r="T46" s="295"/>
      <c r="U46" s="295"/>
      <c r="V46" s="295"/>
      <c r="W46" s="295"/>
      <c r="X46" s="295"/>
      <c r="Y46" s="295"/>
      <c r="Z46" s="295"/>
      <c r="AA46" s="95" t="s">
        <v>1057</v>
      </c>
      <c r="AB46" s="96"/>
      <c r="AC46" s="96"/>
      <c r="AD46" s="96"/>
      <c r="AE46" s="96"/>
      <c r="AF46" s="454"/>
      <c r="AG46" s="95" t="s">
        <v>1126</v>
      </c>
      <c r="AH46" s="96" t="s">
        <v>1126</v>
      </c>
      <c r="AI46" s="95"/>
      <c r="AJ46" s="96"/>
      <c r="AK46" s="95"/>
      <c r="AL46" s="96"/>
      <c r="AM46" s="95"/>
      <c r="AN46" s="98"/>
      <c r="AO46" s="96"/>
      <c r="AP46" s="96"/>
      <c r="AQ46" s="95"/>
      <c r="AR46" s="98"/>
      <c r="AS46" s="96"/>
      <c r="AT46" s="96"/>
      <c r="AU46" s="95"/>
      <c r="AV46" s="98"/>
      <c r="AW46" s="96"/>
      <c r="AX46" s="96"/>
      <c r="AY46" s="95"/>
      <c r="AZ46" s="98"/>
      <c r="BA46" s="99"/>
      <c r="BB46" s="95"/>
      <c r="BC46" s="96"/>
      <c r="BD46" s="96"/>
      <c r="BE46" s="98"/>
    </row>
    <row r="47" spans="1:57" ht="12" customHeight="1">
      <c r="A47" s="254">
        <f t="array" ref="A47">_xll.AC(DB,_xll.ArrayDPT($AA47:$AE47),_xll.ArrayCOA($AG47:$AZ47),YR-1,PRD,_xll.ArrayDIM($BB47:$BE47))</f>
        <v>0</v>
      </c>
      <c r="B47" s="237">
        <f t="shared" si="14"/>
        <v>0</v>
      </c>
      <c r="C47" s="237">
        <f t="shared" si="15"/>
        <v>0</v>
      </c>
      <c r="D47" s="237">
        <f t="shared" si="16"/>
        <v>0</v>
      </c>
      <c r="E47" s="254">
        <f t="array" ref="E47">_xll.BC(DB,_xll.ArrayDPT($AA47:$AE47),_xll.ArrayCOA($AG47:$AZ47),YR,PRD,RV,_xll.ArrayDIM($BB47:$BE47))</f>
        <v>0</v>
      </c>
      <c r="F47" s="237">
        <f t="shared" si="17"/>
        <v>0</v>
      </c>
      <c r="G47" s="254">
        <f t="array" ref="G47">_xll.AC(DB,_xll.ArrayDPT($AA47:$AE47),_xll.ArrayCOA($AG47:$AZ47),YR,PRD,_xll.ArrayDIM($BB47:$BE47))</f>
        <v>0</v>
      </c>
      <c r="H47" s="237">
        <f t="shared" si="18"/>
        <v>0</v>
      </c>
      <c r="I47" s="237"/>
      <c r="J47" s="328" t="s">
        <v>1127</v>
      </c>
      <c r="K47" s="237"/>
      <c r="L47" s="254">
        <f t="array" ref="L47">_xll.ACC(DB,_xll.ArrayDPT($AA47:$AE47),_xll.ArrayCOA($AG47:$AZ47),YR,PRD,_xll.ArrayDIM($BB47:$BE47))</f>
        <v>0</v>
      </c>
      <c r="M47" s="237">
        <f t="shared" si="19"/>
        <v>0</v>
      </c>
      <c r="N47" s="254">
        <f t="array" ref="N47">_xll.BCC(DB,_xll.ArrayDPT($AA47:$AE47),_xll.ArrayCOA($AG47:$AZ47),YR,PRD,RV,_xll.ArrayDIM($BB47:$BE47))</f>
        <v>0</v>
      </c>
      <c r="O47" s="237">
        <f t="shared" si="20"/>
        <v>0</v>
      </c>
      <c r="P47" s="237">
        <f t="shared" si="21"/>
        <v>0</v>
      </c>
      <c r="Q47" s="237">
        <f t="shared" si="22"/>
        <v>0</v>
      </c>
      <c r="R47" s="254">
        <f t="array" ref="R47">_xll.ACC(DB,_xll.ArrayDPT($AA47:$AE47),_xll.ArrayCOA($AG47:$AZ47),YR-1,PRD,_xll.ArrayDIM($BB47:$BE47))</f>
        <v>0</v>
      </c>
      <c r="S47" s="237">
        <f t="shared" si="23"/>
        <v>0</v>
      </c>
      <c r="T47" s="295"/>
      <c r="U47" s="295"/>
      <c r="V47" s="295"/>
      <c r="W47" s="295"/>
      <c r="X47" s="295"/>
      <c r="Y47" s="295"/>
      <c r="Z47" s="295"/>
      <c r="AA47" s="95" t="s">
        <v>1057</v>
      </c>
      <c r="AB47" s="96"/>
      <c r="AC47" s="96"/>
      <c r="AD47" s="96"/>
      <c r="AE47" s="96"/>
      <c r="AF47" s="454"/>
      <c r="AG47" s="95" t="s">
        <v>716</v>
      </c>
      <c r="AH47" s="96" t="s">
        <v>716</v>
      </c>
      <c r="AI47" s="95"/>
      <c r="AJ47" s="96"/>
      <c r="AK47" s="95"/>
      <c r="AL47" s="96"/>
      <c r="AM47" s="95"/>
      <c r="AN47" s="98"/>
      <c r="AO47" s="96"/>
      <c r="AP47" s="96"/>
      <c r="AQ47" s="95"/>
      <c r="AR47" s="98"/>
      <c r="AS47" s="96"/>
      <c r="AT47" s="96"/>
      <c r="AU47" s="95"/>
      <c r="AV47" s="98"/>
      <c r="AW47" s="96"/>
      <c r="AX47" s="96"/>
      <c r="AY47" s="95"/>
      <c r="AZ47" s="98"/>
      <c r="BA47" s="99"/>
      <c r="BB47" s="95"/>
      <c r="BC47" s="96"/>
      <c r="BD47" s="96"/>
      <c r="BE47" s="98"/>
    </row>
    <row r="48" spans="1:57" ht="12" customHeight="1">
      <c r="A48" s="254">
        <f t="array" ref="A48">_xll.AC(DB,_xll.ArrayDPT($AA48:$AE48),_xll.ArrayCOA($AG48:$AZ48),YR-1,PRD,_xll.ArrayDIM($BB48:$BE48))</f>
        <v>0</v>
      </c>
      <c r="B48" s="237">
        <f t="shared" si="14"/>
        <v>0</v>
      </c>
      <c r="C48" s="237">
        <f t="shared" si="15"/>
        <v>0</v>
      </c>
      <c r="D48" s="237">
        <f t="shared" si="16"/>
        <v>0</v>
      </c>
      <c r="E48" s="254">
        <f t="array" ref="E48">_xll.BC(DB,_xll.ArrayDPT($AA48:$AE48),_xll.ArrayCOA($AG48:$AZ48),YR,PRD,RV,_xll.ArrayDIM($BB48:$BE48))</f>
        <v>0</v>
      </c>
      <c r="F48" s="237">
        <f t="shared" si="17"/>
        <v>0</v>
      </c>
      <c r="G48" s="254">
        <f t="array" ref="G48">_xll.AC(DB,_xll.ArrayDPT($AA48:$AE48),_xll.ArrayCOA($AG48:$AZ48),YR,PRD,_xll.ArrayDIM($BB48:$BE48))</f>
        <v>0</v>
      </c>
      <c r="H48" s="237">
        <f t="shared" si="18"/>
        <v>0</v>
      </c>
      <c r="I48" s="237"/>
      <c r="J48" s="328" t="s">
        <v>1128</v>
      </c>
      <c r="K48" s="237"/>
      <c r="L48" s="254">
        <f t="array" ref="L48">_xll.ACC(DB,_xll.ArrayDPT($AA48:$AE48),_xll.ArrayCOA($AG48:$AZ48),YR,PRD,_xll.ArrayDIM($BB48:$BE48))</f>
        <v>0</v>
      </c>
      <c r="M48" s="237">
        <f t="shared" si="19"/>
        <v>0</v>
      </c>
      <c r="N48" s="254">
        <f t="array" ref="N48">_xll.BCC(DB,_xll.ArrayDPT($AA48:$AE48),_xll.ArrayCOA($AG48:$AZ48),YR,PRD,RV,_xll.ArrayDIM($BB48:$BE48))</f>
        <v>0</v>
      </c>
      <c r="O48" s="237">
        <f t="shared" si="20"/>
        <v>0</v>
      </c>
      <c r="P48" s="237">
        <f t="shared" si="21"/>
        <v>0</v>
      </c>
      <c r="Q48" s="237">
        <f t="shared" si="22"/>
        <v>0</v>
      </c>
      <c r="R48" s="254">
        <f t="array" ref="R48">_xll.ACC(DB,_xll.ArrayDPT($AA48:$AE48),_xll.ArrayCOA($AG48:$AZ48),YR-1,PRD,_xll.ArrayDIM($BB48:$BE48))</f>
        <v>0</v>
      </c>
      <c r="S48" s="237">
        <f t="shared" si="23"/>
        <v>0</v>
      </c>
      <c r="T48" s="295"/>
      <c r="U48" s="295"/>
      <c r="V48" s="295"/>
      <c r="W48" s="295"/>
      <c r="X48" s="295"/>
      <c r="Y48" s="295"/>
      <c r="Z48" s="295"/>
      <c r="AA48" s="95" t="s">
        <v>1057</v>
      </c>
      <c r="AB48" s="96"/>
      <c r="AC48" s="96"/>
      <c r="AD48" s="96"/>
      <c r="AE48" s="96"/>
      <c r="AF48" s="454"/>
      <c r="AG48" s="95" t="s">
        <v>1129</v>
      </c>
      <c r="AH48" s="96" t="s">
        <v>1129</v>
      </c>
      <c r="AI48" s="95"/>
      <c r="AJ48" s="96"/>
      <c r="AK48" s="95"/>
      <c r="AL48" s="96"/>
      <c r="AM48" s="95"/>
      <c r="AN48" s="98"/>
      <c r="AO48" s="96"/>
      <c r="AP48" s="96"/>
      <c r="AQ48" s="95"/>
      <c r="AR48" s="98"/>
      <c r="AS48" s="96"/>
      <c r="AT48" s="96"/>
      <c r="AU48" s="95"/>
      <c r="AV48" s="98"/>
      <c r="AW48" s="96"/>
      <c r="AX48" s="96"/>
      <c r="AY48" s="95"/>
      <c r="AZ48" s="98"/>
      <c r="BA48" s="99"/>
      <c r="BB48" s="95"/>
      <c r="BC48" s="96"/>
      <c r="BD48" s="96"/>
      <c r="BE48" s="98"/>
    </row>
    <row r="49" spans="1:57" ht="12" customHeight="1">
      <c r="A49" s="254">
        <f t="array" ref="A49">_xll.AC(DB,_xll.ArrayDPT($AA49:$AE49),_xll.ArrayCOA($AG49:$AZ49),YR-1,PRD,_xll.ArrayDIM($BB49:$BE49))</f>
        <v>0</v>
      </c>
      <c r="B49" s="237">
        <f t="shared" si="14"/>
        <v>0</v>
      </c>
      <c r="C49" s="237">
        <f t="shared" si="15"/>
        <v>0</v>
      </c>
      <c r="D49" s="237">
        <f t="shared" si="16"/>
        <v>0</v>
      </c>
      <c r="E49" s="254">
        <f t="array" ref="E49">_xll.BC(DB,_xll.ArrayDPT($AA49:$AE49),_xll.ArrayCOA($AG49:$AZ49),YR,PRD,RV,_xll.ArrayDIM($BB49:$BE49))</f>
        <v>0</v>
      </c>
      <c r="F49" s="237">
        <f t="shared" si="17"/>
        <v>0</v>
      </c>
      <c r="G49" s="254">
        <f t="array" ref="G49">_xll.AC(DB,_xll.ArrayDPT($AA49:$AE49),_xll.ArrayCOA($AG49:$AZ49),YR,PRD,_xll.ArrayDIM($BB49:$BE49))</f>
        <v>0</v>
      </c>
      <c r="H49" s="237">
        <f t="shared" si="18"/>
        <v>0</v>
      </c>
      <c r="I49" s="237"/>
      <c r="J49" s="328" t="s">
        <v>1130</v>
      </c>
      <c r="K49" s="237"/>
      <c r="L49" s="254">
        <f t="array" ref="L49">_xll.ACC(DB,_xll.ArrayDPT($AA49:$AE49),_xll.ArrayCOA($AG49:$AZ49),YR,PRD,_xll.ArrayDIM($BB49:$BE49))</f>
        <v>0</v>
      </c>
      <c r="M49" s="237">
        <f t="shared" si="19"/>
        <v>0</v>
      </c>
      <c r="N49" s="254">
        <f t="array" ref="N49">_xll.BCC(DB,_xll.ArrayDPT($AA49:$AE49),_xll.ArrayCOA($AG49:$AZ49),YR,PRD,RV,_xll.ArrayDIM($BB49:$BE49))</f>
        <v>0</v>
      </c>
      <c r="O49" s="237">
        <f t="shared" si="20"/>
        <v>0</v>
      </c>
      <c r="P49" s="237">
        <f t="shared" si="21"/>
        <v>0</v>
      </c>
      <c r="Q49" s="237">
        <f t="shared" si="22"/>
        <v>0</v>
      </c>
      <c r="R49" s="254">
        <f t="array" ref="R49">_xll.ACC(DB,_xll.ArrayDPT($AA49:$AE49),_xll.ArrayCOA($AG49:$AZ49),YR-1,PRD,_xll.ArrayDIM($BB49:$BE49))</f>
        <v>0</v>
      </c>
      <c r="S49" s="237">
        <f t="shared" si="23"/>
        <v>0</v>
      </c>
      <c r="T49" s="295"/>
      <c r="U49" s="295"/>
      <c r="V49" s="295"/>
      <c r="W49" s="295"/>
      <c r="X49" s="295"/>
      <c r="Y49" s="295"/>
      <c r="Z49" s="295"/>
      <c r="AA49" s="95" t="s">
        <v>1057</v>
      </c>
      <c r="AB49" s="96"/>
      <c r="AC49" s="96"/>
      <c r="AD49" s="96"/>
      <c r="AE49" s="96"/>
      <c r="AF49" s="454"/>
      <c r="AG49" s="95" t="s">
        <v>1131</v>
      </c>
      <c r="AH49" s="96" t="s">
        <v>1131</v>
      </c>
      <c r="AI49" s="95"/>
      <c r="AJ49" s="96"/>
      <c r="AK49" s="95"/>
      <c r="AL49" s="96"/>
      <c r="AM49" s="95"/>
      <c r="AN49" s="98"/>
      <c r="AO49" s="96"/>
      <c r="AP49" s="96"/>
      <c r="AQ49" s="95"/>
      <c r="AR49" s="98"/>
      <c r="AS49" s="96"/>
      <c r="AT49" s="96"/>
      <c r="AU49" s="95"/>
      <c r="AV49" s="98"/>
      <c r="AW49" s="96"/>
      <c r="AX49" s="96"/>
      <c r="AY49" s="95"/>
      <c r="AZ49" s="98"/>
      <c r="BA49" s="99"/>
      <c r="BB49" s="95"/>
      <c r="BC49" s="96"/>
      <c r="BD49" s="96"/>
      <c r="BE49" s="98"/>
    </row>
    <row r="50" spans="1:57" ht="12" customHeight="1">
      <c r="A50" s="254">
        <f t="array" ref="A50">_xll.AC(DB,_xll.ArrayDPT($AA50:$AE50),_xll.ArrayCOA($AG50:$AZ50),YR-1,PRD,_xll.ArrayDIM($BB50:$BE50))</f>
        <v>0</v>
      </c>
      <c r="B50" s="237">
        <f t="shared" si="14"/>
        <v>0</v>
      </c>
      <c r="C50" s="237">
        <f t="shared" si="15"/>
        <v>-8000</v>
      </c>
      <c r="D50" s="237">
        <f t="shared" si="16"/>
        <v>1.7732130545186324</v>
      </c>
      <c r="E50" s="254">
        <f t="array" ref="E50">_xll.BC(DB,_xll.ArrayDPT($AA50:$AE50),_xll.ArrayCOA($AG50:$AZ50),YR,PRD,RV,_xll.ArrayDIM($BB50:$BE50))</f>
        <v>0</v>
      </c>
      <c r="F50" s="237">
        <f t="shared" si="17"/>
        <v>0</v>
      </c>
      <c r="G50" s="254">
        <f t="array" ref="G50">_xll.AC(DB,_xll.ArrayDPT($AA50:$AE50),_xll.ArrayCOA($AG50:$AZ50),YR,PRD,_xll.ArrayDIM($BB50:$BE50))</f>
        <v>8000</v>
      </c>
      <c r="H50" s="237">
        <f t="shared" si="18"/>
        <v>1.7732130545186324</v>
      </c>
      <c r="I50" s="237"/>
      <c r="J50" s="328" t="s">
        <v>1132</v>
      </c>
      <c r="K50" s="237"/>
      <c r="L50" s="254">
        <f t="array" ref="L50">_xll.ACC(DB,_xll.ArrayDPT($AA50:$AE50),_xll.ArrayCOA($AG50:$AZ50),YR,PRD,_xll.ArrayDIM($BB50:$BE50))</f>
        <v>8000</v>
      </c>
      <c r="M50" s="237">
        <f t="shared" si="19"/>
        <v>1.7732130545186324</v>
      </c>
      <c r="N50" s="254">
        <f t="array" ref="N50">_xll.BCC(DB,_xll.ArrayDPT($AA50:$AE50),_xll.ArrayCOA($AG50:$AZ50),YR,PRD,RV,_xll.ArrayDIM($BB50:$BE50))</f>
        <v>0</v>
      </c>
      <c r="O50" s="237">
        <f t="shared" si="20"/>
        <v>0</v>
      </c>
      <c r="P50" s="237">
        <f t="shared" si="21"/>
        <v>-8000</v>
      </c>
      <c r="Q50" s="237">
        <f t="shared" si="22"/>
        <v>1.7732130545186324</v>
      </c>
      <c r="R50" s="254">
        <f t="array" ref="R50">_xll.ACC(DB,_xll.ArrayDPT($AA50:$AE50),_xll.ArrayCOA($AG50:$AZ50),YR-1,PRD,_xll.ArrayDIM($BB50:$BE50))</f>
        <v>0</v>
      </c>
      <c r="S50" s="237">
        <f t="shared" si="23"/>
        <v>0</v>
      </c>
      <c r="T50" s="295"/>
      <c r="U50" s="295"/>
      <c r="V50" s="295"/>
      <c r="W50" s="295"/>
      <c r="X50" s="295"/>
      <c r="Y50" s="295"/>
      <c r="Z50" s="295"/>
      <c r="AA50" s="95" t="s">
        <v>1057</v>
      </c>
      <c r="AB50" s="96"/>
      <c r="AC50" s="96"/>
      <c r="AD50" s="96"/>
      <c r="AE50" s="96"/>
      <c r="AF50" s="454"/>
      <c r="AG50" s="95" t="s">
        <v>1133</v>
      </c>
      <c r="AH50" s="96" t="s">
        <v>1133</v>
      </c>
      <c r="AI50" s="95"/>
      <c r="AJ50" s="96"/>
      <c r="AK50" s="95"/>
      <c r="AL50" s="96"/>
      <c r="AM50" s="95"/>
      <c r="AN50" s="98"/>
      <c r="AO50" s="96"/>
      <c r="AP50" s="96"/>
      <c r="AQ50" s="95"/>
      <c r="AR50" s="98"/>
      <c r="AS50" s="96"/>
      <c r="AT50" s="96"/>
      <c r="AU50" s="95"/>
      <c r="AV50" s="98"/>
      <c r="AW50" s="96"/>
      <c r="AX50" s="96"/>
      <c r="AY50" s="95"/>
      <c r="AZ50" s="98"/>
      <c r="BA50" s="99"/>
      <c r="BB50" s="95"/>
      <c r="BC50" s="96"/>
      <c r="BD50" s="96"/>
      <c r="BE50" s="98"/>
    </row>
    <row r="51" spans="1:57" ht="12" customHeight="1">
      <c r="A51" s="254">
        <f t="array" ref="A51">_xll.AC(DB,_xll.ArrayDPT($AA51:$AE51),_xll.ArrayCOA($AG51:$AZ51),YR-1,PRD,_xll.ArrayDIM($BB51:$BE51))</f>
        <v>0</v>
      </c>
      <c r="B51" s="237">
        <f t="shared" si="14"/>
        <v>0</v>
      </c>
      <c r="C51" s="237">
        <f t="shared" si="15"/>
        <v>0</v>
      </c>
      <c r="D51" s="237">
        <f t="shared" si="16"/>
        <v>0</v>
      </c>
      <c r="E51" s="254">
        <f t="array" ref="E51">_xll.BC(DB,_xll.ArrayDPT($AA51:$AE51),_xll.ArrayCOA($AG51:$AZ51),YR,PRD,RV,_xll.ArrayDIM($BB51:$BE51))</f>
        <v>0</v>
      </c>
      <c r="F51" s="237">
        <f t="shared" si="17"/>
        <v>0</v>
      </c>
      <c r="G51" s="254">
        <f t="array" ref="G51">_xll.AC(DB,_xll.ArrayDPT($AA51:$AE51),_xll.ArrayCOA($AG51:$AZ51),YR,PRD,_xll.ArrayDIM($BB51:$BE51))</f>
        <v>0</v>
      </c>
      <c r="H51" s="237">
        <f t="shared" si="18"/>
        <v>0</v>
      </c>
      <c r="I51" s="237"/>
      <c r="J51" s="328" t="s">
        <v>1134</v>
      </c>
      <c r="K51" s="237"/>
      <c r="L51" s="254">
        <f t="array" ref="L51">_xll.ACC(DB,_xll.ArrayDPT($AA51:$AE51),_xll.ArrayCOA($AG51:$AZ51),YR,PRD,_xll.ArrayDIM($BB51:$BE51))</f>
        <v>0</v>
      </c>
      <c r="M51" s="237">
        <f t="shared" si="19"/>
        <v>0</v>
      </c>
      <c r="N51" s="254">
        <f t="array" ref="N51">_xll.BCC(DB,_xll.ArrayDPT($AA51:$AE51),_xll.ArrayCOA($AG51:$AZ51),YR,PRD,RV,_xll.ArrayDIM($BB51:$BE51))</f>
        <v>0</v>
      </c>
      <c r="O51" s="237">
        <f t="shared" si="20"/>
        <v>0</v>
      </c>
      <c r="P51" s="237">
        <f t="shared" si="21"/>
        <v>0</v>
      </c>
      <c r="Q51" s="237">
        <f t="shared" si="22"/>
        <v>0</v>
      </c>
      <c r="R51" s="254">
        <f t="array" ref="R51">_xll.ACC(DB,_xll.ArrayDPT($AA51:$AE51),_xll.ArrayCOA($AG51:$AZ51),YR-1,PRD,_xll.ArrayDIM($BB51:$BE51))</f>
        <v>0</v>
      </c>
      <c r="S51" s="237">
        <f t="shared" si="23"/>
        <v>0</v>
      </c>
      <c r="T51" s="295"/>
      <c r="U51" s="295"/>
      <c r="V51" s="295"/>
      <c r="W51" s="295"/>
      <c r="X51" s="295"/>
      <c r="Y51" s="295"/>
      <c r="Z51" s="295"/>
      <c r="AA51" s="95" t="s">
        <v>1057</v>
      </c>
      <c r="AB51" s="96"/>
      <c r="AC51" s="96"/>
      <c r="AD51" s="96"/>
      <c r="AE51" s="96"/>
      <c r="AF51" s="454"/>
      <c r="AG51" s="95" t="s">
        <v>1135</v>
      </c>
      <c r="AH51" s="96" t="s">
        <v>1135</v>
      </c>
      <c r="AI51" s="95"/>
      <c r="AJ51" s="96"/>
      <c r="AK51" s="95"/>
      <c r="AL51" s="96"/>
      <c r="AM51" s="95"/>
      <c r="AN51" s="98"/>
      <c r="AO51" s="96"/>
      <c r="AP51" s="96"/>
      <c r="AQ51" s="95"/>
      <c r="AR51" s="98"/>
      <c r="AS51" s="96"/>
      <c r="AT51" s="96"/>
      <c r="AU51" s="95"/>
      <c r="AV51" s="98"/>
      <c r="AW51" s="96"/>
      <c r="AX51" s="96"/>
      <c r="AY51" s="95"/>
      <c r="AZ51" s="98"/>
      <c r="BA51" s="99"/>
      <c r="BB51" s="95"/>
      <c r="BC51" s="96"/>
      <c r="BD51" s="96"/>
      <c r="BE51" s="98"/>
    </row>
    <row r="52" spans="1:57" ht="12" customHeight="1">
      <c r="A52" s="254">
        <f t="array" ref="A52">_xll.AC(DB,_xll.ArrayDPT($AA52:$AE52),_xll.ArrayCOA($AG52:$AZ52),YR-1,PRD,_xll.ArrayDIM($BB52:$BE52))</f>
        <v>0</v>
      </c>
      <c r="B52" s="237">
        <f t="shared" si="14"/>
        <v>0</v>
      </c>
      <c r="C52" s="237">
        <f t="shared" si="15"/>
        <v>0</v>
      </c>
      <c r="D52" s="237">
        <f t="shared" si="16"/>
        <v>0</v>
      </c>
      <c r="E52" s="254">
        <f t="array" ref="E52">_xll.BC(DB,_xll.ArrayDPT($AA52:$AE52),_xll.ArrayCOA($AG52:$AZ52),YR,PRD,RV,_xll.ArrayDIM($BB52:$BE52))</f>
        <v>0</v>
      </c>
      <c r="F52" s="237">
        <f t="shared" si="17"/>
        <v>0</v>
      </c>
      <c r="G52" s="254">
        <f t="array" ref="G52">_xll.AC(DB,_xll.ArrayDPT($AA52:$AE52),_xll.ArrayCOA($AG52:$AZ52),YR,PRD,_xll.ArrayDIM($BB52:$BE52))</f>
        <v>0</v>
      </c>
      <c r="H52" s="237">
        <f t="shared" si="18"/>
        <v>0</v>
      </c>
      <c r="I52" s="237"/>
      <c r="J52" s="328" t="s">
        <v>1136</v>
      </c>
      <c r="K52" s="237"/>
      <c r="L52" s="254">
        <f t="array" ref="L52">_xll.ACC(DB,_xll.ArrayDPT($AA52:$AE52),_xll.ArrayCOA($AG52:$AZ52),YR,PRD,_xll.ArrayDIM($BB52:$BE52))</f>
        <v>0</v>
      </c>
      <c r="M52" s="237">
        <f t="shared" si="19"/>
        <v>0</v>
      </c>
      <c r="N52" s="254">
        <f t="array" ref="N52">_xll.BCC(DB,_xll.ArrayDPT($AA52:$AE52),_xll.ArrayCOA($AG52:$AZ52),YR,PRD,RV,_xll.ArrayDIM($BB52:$BE52))</f>
        <v>0</v>
      </c>
      <c r="O52" s="237">
        <f t="shared" si="20"/>
        <v>0</v>
      </c>
      <c r="P52" s="237">
        <f t="shared" si="21"/>
        <v>0</v>
      </c>
      <c r="Q52" s="237">
        <f t="shared" si="22"/>
        <v>0</v>
      </c>
      <c r="R52" s="254">
        <f t="array" ref="R52">_xll.ACC(DB,_xll.ArrayDPT($AA52:$AE52),_xll.ArrayCOA($AG52:$AZ52),YR-1,PRD,_xll.ArrayDIM($BB52:$BE52))</f>
        <v>0</v>
      </c>
      <c r="S52" s="237">
        <f t="shared" si="23"/>
        <v>0</v>
      </c>
      <c r="T52" s="295"/>
      <c r="U52" s="295"/>
      <c r="V52" s="295"/>
      <c r="W52" s="295"/>
      <c r="X52" s="295"/>
      <c r="Y52" s="295"/>
      <c r="Z52" s="295"/>
      <c r="AA52" s="95" t="s">
        <v>1057</v>
      </c>
      <c r="AB52" s="96"/>
      <c r="AC52" s="96"/>
      <c r="AD52" s="96"/>
      <c r="AE52" s="96"/>
      <c r="AF52" s="454"/>
      <c r="AG52" s="95" t="s">
        <v>685</v>
      </c>
      <c r="AH52" s="96" t="s">
        <v>685</v>
      </c>
      <c r="AI52" s="95"/>
      <c r="AJ52" s="96"/>
      <c r="AK52" s="95"/>
      <c r="AL52" s="96"/>
      <c r="AM52" s="95"/>
      <c r="AN52" s="98"/>
      <c r="AO52" s="96"/>
      <c r="AP52" s="96"/>
      <c r="AQ52" s="95"/>
      <c r="AR52" s="98"/>
      <c r="AS52" s="96"/>
      <c r="AT52" s="96"/>
      <c r="AU52" s="95"/>
      <c r="AV52" s="98"/>
      <c r="AW52" s="96"/>
      <c r="AX52" s="96"/>
      <c r="AY52" s="95"/>
      <c r="AZ52" s="98"/>
      <c r="BA52" s="99"/>
      <c r="BB52" s="95"/>
      <c r="BC52" s="96"/>
      <c r="BD52" s="96"/>
      <c r="BE52" s="98"/>
    </row>
    <row r="53" spans="1:57" ht="12" hidden="1" customHeight="1">
      <c r="A53" s="254">
        <f t="array" ref="A53">_xll.AC(DB,_xll.ArrayDPT($AA53:$AE53),_xll.ArrayCOA($AG53:$AZ53),YR-1,PRD,_xll.ArrayDIM($BB53:$BE53))</f>
        <v>0</v>
      </c>
      <c r="B53" s="237">
        <f t="shared" si="14"/>
        <v>0</v>
      </c>
      <c r="C53" s="237">
        <f t="shared" si="15"/>
        <v>0</v>
      </c>
      <c r="D53" s="237">
        <f t="shared" si="16"/>
        <v>0</v>
      </c>
      <c r="E53" s="254">
        <f t="array" ref="E53">_xll.BC(DB,_xll.ArrayDPT($AA53:$AE53),_xll.ArrayCOA($AG53:$AZ53),YR,PRD,RV,_xll.ArrayDIM($BB53:$BE53))</f>
        <v>0</v>
      </c>
      <c r="F53" s="237">
        <f t="shared" si="17"/>
        <v>0</v>
      </c>
      <c r="G53" s="254">
        <f t="array" ref="G53">_xll.AC(DB,_xll.ArrayDPT($AA53:$AE53),_xll.ArrayCOA($AG53:$AZ53),YR,PRD,_xll.ArrayDIM($BB53:$BE53))</f>
        <v>0</v>
      </c>
      <c r="H53" s="237">
        <f t="shared" si="18"/>
        <v>0</v>
      </c>
      <c r="I53" s="237"/>
      <c r="J53" s="328" t="s">
        <v>878</v>
      </c>
      <c r="K53" s="237"/>
      <c r="L53" s="254">
        <f t="array" ref="L53">_xll.ACC(DB,_xll.ArrayDPT($AA53:$AE53),_xll.ArrayCOA($AG53:$AZ53),YR,PRD,_xll.ArrayDIM($BB53:$BE53))</f>
        <v>0</v>
      </c>
      <c r="M53" s="237">
        <f t="shared" si="19"/>
        <v>0</v>
      </c>
      <c r="N53" s="254">
        <f t="array" ref="N53">_xll.BCC(DB,_xll.ArrayDPT($AA53:$AE53),_xll.ArrayCOA($AG53:$AZ53),YR,PRD,RV,_xll.ArrayDIM($BB53:$BE53))</f>
        <v>0</v>
      </c>
      <c r="O53" s="237">
        <f t="shared" si="20"/>
        <v>0</v>
      </c>
      <c r="P53" s="237">
        <f t="shared" si="21"/>
        <v>0</v>
      </c>
      <c r="Q53" s="237">
        <f t="shared" si="22"/>
        <v>0</v>
      </c>
      <c r="R53" s="254">
        <f t="array" ref="R53">_xll.ACC(DB,_xll.ArrayDPT($AA53:$AE53),_xll.ArrayCOA($AG53:$AZ53),YR-1,PRD,_xll.ArrayDIM($BB53:$BE53))</f>
        <v>0</v>
      </c>
      <c r="S53" s="237">
        <f t="shared" si="23"/>
        <v>0</v>
      </c>
      <c r="T53" s="397"/>
      <c r="U53" s="397"/>
      <c r="V53" s="397"/>
      <c r="W53" s="397"/>
      <c r="X53" s="397"/>
      <c r="Y53" s="397"/>
      <c r="Z53" s="397"/>
      <c r="AA53" s="95"/>
      <c r="AB53" s="96"/>
      <c r="AC53" s="96"/>
      <c r="AD53" s="96"/>
      <c r="AE53" s="96"/>
      <c r="AF53" s="454"/>
      <c r="AG53" s="95"/>
      <c r="AH53" s="96"/>
      <c r="AI53" s="95"/>
      <c r="AJ53" s="96"/>
      <c r="AK53" s="95"/>
      <c r="AL53" s="96"/>
      <c r="AM53" s="95"/>
      <c r="AN53" s="98"/>
      <c r="AO53" s="96"/>
      <c r="AP53" s="96"/>
      <c r="AQ53" s="95"/>
      <c r="AR53" s="98"/>
      <c r="AS53" s="96"/>
      <c r="AT53" s="96"/>
      <c r="AU53" s="95"/>
      <c r="AV53" s="98"/>
      <c r="AW53" s="96"/>
      <c r="AX53" s="96"/>
      <c r="AY53" s="95"/>
      <c r="AZ53" s="98"/>
      <c r="BA53" s="99"/>
      <c r="BB53" s="95"/>
      <c r="BC53" s="96"/>
      <c r="BD53" s="96"/>
      <c r="BE53" s="98"/>
    </row>
    <row r="54" spans="1:57" ht="12" customHeight="1">
      <c r="A54" s="254">
        <f t="array" ref="A54">_xll.AC(DB,_xll.ArrayDPT($AA54:$AE54),_xll.ArrayCOA($AG54:$AZ54),YR-1,PRD,_xll.ArrayDIM($BB54:$BE54))</f>
        <v>0</v>
      </c>
      <c r="B54" s="237">
        <f t="shared" si="14"/>
        <v>0</v>
      </c>
      <c r="C54" s="237">
        <f t="shared" si="15"/>
        <v>0</v>
      </c>
      <c r="D54" s="237">
        <f t="shared" si="16"/>
        <v>0</v>
      </c>
      <c r="E54" s="254">
        <f t="array" ref="E54">_xll.BC(DB,_xll.ArrayDPT($AA54:$AE54),_xll.ArrayCOA($AG54:$AZ54),YR,PRD,RV,_xll.ArrayDIM($BB54:$BE54))</f>
        <v>0</v>
      </c>
      <c r="F54" s="237">
        <f t="shared" si="17"/>
        <v>0</v>
      </c>
      <c r="G54" s="254">
        <f t="array" ref="G54">_xll.AC(DB,_xll.ArrayDPT($AA54:$AE54),_xll.ArrayCOA($AG54:$AZ54),YR,PRD,_xll.ArrayDIM($BB54:$BE54))</f>
        <v>0</v>
      </c>
      <c r="H54" s="237">
        <f t="shared" si="18"/>
        <v>0</v>
      </c>
      <c r="I54" s="237"/>
      <c r="J54" s="328" t="s">
        <v>879</v>
      </c>
      <c r="K54" s="237"/>
      <c r="L54" s="254">
        <f t="array" ref="L54">_xll.ACC(DB,_xll.ArrayDPT($AA54:$AE54),_xll.ArrayCOA($AG54:$AZ54),YR,PRD,_xll.ArrayDIM($BB54:$BE54))</f>
        <v>0</v>
      </c>
      <c r="M54" s="237">
        <f t="shared" si="19"/>
        <v>0</v>
      </c>
      <c r="N54" s="254">
        <f t="array" ref="N54">_xll.BCC(DB,_xll.ArrayDPT($AA54:$AE54),_xll.ArrayCOA($AG54:$AZ54),YR,PRD,RV,_xll.ArrayDIM($BB54:$BE54))</f>
        <v>0</v>
      </c>
      <c r="O54" s="237">
        <f t="shared" si="20"/>
        <v>0</v>
      </c>
      <c r="P54" s="237">
        <f t="shared" si="21"/>
        <v>0</v>
      </c>
      <c r="Q54" s="237">
        <f t="shared" si="22"/>
        <v>0</v>
      </c>
      <c r="R54" s="254">
        <f t="array" ref="R54">_xll.ACC(DB,_xll.ArrayDPT($AA54:$AE54),_xll.ArrayCOA($AG54:$AZ54),YR-1,PRD,_xll.ArrayDIM($BB54:$BE54))</f>
        <v>0</v>
      </c>
      <c r="S54" s="237">
        <f t="shared" si="23"/>
        <v>0</v>
      </c>
      <c r="T54" s="295"/>
      <c r="U54" s="295"/>
      <c r="V54" s="295"/>
      <c r="W54" s="295"/>
      <c r="X54" s="295"/>
      <c r="Y54" s="295"/>
      <c r="Z54" s="295"/>
      <c r="AA54" s="95" t="s">
        <v>1057</v>
      </c>
      <c r="AB54" s="96"/>
      <c r="AC54" s="96"/>
      <c r="AD54" s="96"/>
      <c r="AE54" s="96"/>
      <c r="AF54" s="454"/>
      <c r="AG54" s="95" t="s">
        <v>578</v>
      </c>
      <c r="AH54" s="96" t="s">
        <v>578</v>
      </c>
      <c r="AI54" s="95"/>
      <c r="AJ54" s="96"/>
      <c r="AK54" s="95"/>
      <c r="AL54" s="96"/>
      <c r="AM54" s="95"/>
      <c r="AN54" s="98"/>
      <c r="AO54" s="96"/>
      <c r="AP54" s="96"/>
      <c r="AQ54" s="95"/>
      <c r="AR54" s="98"/>
      <c r="AS54" s="96"/>
      <c r="AT54" s="96"/>
      <c r="AU54" s="95"/>
      <c r="AV54" s="98"/>
      <c r="AW54" s="96"/>
      <c r="AX54" s="96"/>
      <c r="AY54" s="95"/>
      <c r="AZ54" s="98"/>
      <c r="BA54" s="99"/>
      <c r="BB54" s="95"/>
      <c r="BC54" s="96"/>
      <c r="BD54" s="96"/>
      <c r="BE54" s="98"/>
    </row>
    <row r="55" spans="1:57" ht="12" hidden="1" customHeight="1">
      <c r="A55" s="254">
        <f t="array" ref="A55">_xll.AC(DB,_xll.ArrayDPT($AA55:$AE55),_xll.ArrayCOA($AG55:$AZ55),YR-1,PRD,_xll.ArrayDIM($BB55:$BE55))</f>
        <v>0</v>
      </c>
      <c r="B55" s="237">
        <f t="shared" si="14"/>
        <v>0</v>
      </c>
      <c r="C55" s="237">
        <f t="shared" si="15"/>
        <v>0</v>
      </c>
      <c r="D55" s="237">
        <f t="shared" si="16"/>
        <v>0</v>
      </c>
      <c r="E55" s="254">
        <f t="array" ref="E55">_xll.BC(DB,_xll.ArrayDPT($AA55:$AE55),_xll.ArrayCOA($AG55:$AZ55),YR,PRD,RV,_xll.ArrayDIM($BB55:$BE55))</f>
        <v>0</v>
      </c>
      <c r="F55" s="237">
        <f t="shared" si="17"/>
        <v>0</v>
      </c>
      <c r="G55" s="254">
        <f t="array" ref="G55">_xll.AC(DB,_xll.ArrayDPT($AA55:$AE55),_xll.ArrayCOA($AG55:$AZ55),YR,PRD,_xll.ArrayDIM($BB55:$BE55))</f>
        <v>0</v>
      </c>
      <c r="H55" s="237">
        <f t="shared" si="18"/>
        <v>0</v>
      </c>
      <c r="I55" s="237"/>
      <c r="J55" s="328" t="s">
        <v>711</v>
      </c>
      <c r="K55" s="237"/>
      <c r="L55" s="254">
        <f t="array" ref="L55">_xll.ACC(DB,_xll.ArrayDPT($AA55:$AE55),_xll.ArrayCOA($AG55:$AZ55),YR,PRD,_xll.ArrayDIM($BB55:$BE55))</f>
        <v>0</v>
      </c>
      <c r="M55" s="237">
        <f t="shared" si="19"/>
        <v>0</v>
      </c>
      <c r="N55" s="254">
        <f t="array" ref="N55">_xll.BCC(DB,_xll.ArrayDPT($AA55:$AE55),_xll.ArrayCOA($AG55:$AZ55),YR,PRD,RV,_xll.ArrayDIM($BB55:$BE55))</f>
        <v>0</v>
      </c>
      <c r="O55" s="237">
        <f t="shared" si="20"/>
        <v>0</v>
      </c>
      <c r="P55" s="237">
        <f t="shared" si="21"/>
        <v>0</v>
      </c>
      <c r="Q55" s="237">
        <f t="shared" si="22"/>
        <v>0</v>
      </c>
      <c r="R55" s="254">
        <f t="array" ref="R55">_xll.ACC(DB,_xll.ArrayDPT($AA55:$AE55),_xll.ArrayCOA($AG55:$AZ55),YR-1,PRD,_xll.ArrayDIM($BB55:$BE55))</f>
        <v>0</v>
      </c>
      <c r="S55" s="237">
        <f t="shared" si="23"/>
        <v>0</v>
      </c>
      <c r="T55" s="295"/>
      <c r="U55" s="295"/>
      <c r="V55" s="295"/>
      <c r="W55" s="295"/>
      <c r="X55" s="295"/>
      <c r="Y55" s="295"/>
      <c r="Z55" s="295"/>
      <c r="AA55" s="95"/>
      <c r="AB55" s="96"/>
      <c r="AC55" s="96"/>
      <c r="AD55" s="96"/>
      <c r="AE55" s="96"/>
      <c r="AF55" s="454"/>
      <c r="AG55" s="95"/>
      <c r="AH55" s="96"/>
      <c r="AI55" s="95"/>
      <c r="AJ55" s="96"/>
      <c r="AK55" s="95"/>
      <c r="AL55" s="96"/>
      <c r="AM55" s="95"/>
      <c r="AN55" s="98"/>
      <c r="AO55" s="96"/>
      <c r="AP55" s="96"/>
      <c r="AQ55" s="95"/>
      <c r="AR55" s="98"/>
      <c r="AS55" s="96"/>
      <c r="AT55" s="96"/>
      <c r="AU55" s="95"/>
      <c r="AV55" s="98"/>
      <c r="AW55" s="96"/>
      <c r="AX55" s="96"/>
      <c r="AY55" s="95"/>
      <c r="AZ55" s="98"/>
      <c r="BA55" s="99"/>
      <c r="BB55" s="95"/>
      <c r="BC55" s="96"/>
      <c r="BD55" s="96"/>
      <c r="BE55" s="98"/>
    </row>
    <row r="56" spans="1:57" ht="12" customHeight="1">
      <c r="A56" s="254">
        <f t="array" ref="A56">_xll.AC(DB,_xll.ArrayDPT($AA56:$AE56),_xll.ArrayCOA($AG56:$AZ56),YR-1,PRD,_xll.ArrayDIM($BB56:$BE56))</f>
        <v>3130</v>
      </c>
      <c r="B56" s="237">
        <f t="shared" si="14"/>
        <v>0.67129777774269961</v>
      </c>
      <c r="C56" s="237">
        <f t="shared" si="15"/>
        <v>0</v>
      </c>
      <c r="D56" s="237">
        <f t="shared" si="16"/>
        <v>0</v>
      </c>
      <c r="E56" s="254">
        <f t="array" ref="E56">_xll.BC(DB,_xll.ArrayDPT($AA56:$AE56),_xll.ArrayCOA($AG56:$AZ56),YR,PRD,RV,_xll.ArrayDIM($BB56:$BE56))</f>
        <v>0</v>
      </c>
      <c r="F56" s="237">
        <f t="shared" si="17"/>
        <v>0</v>
      </c>
      <c r="G56" s="254">
        <f t="array" ref="G56">_xll.AC(DB,_xll.ArrayDPT($AA56:$AE56),_xll.ArrayCOA($AG56:$AZ56),YR,PRD,_xll.ArrayDIM($BB56:$BE56))</f>
        <v>0</v>
      </c>
      <c r="H56" s="237">
        <f t="shared" si="18"/>
        <v>0</v>
      </c>
      <c r="I56" s="237"/>
      <c r="J56" s="328" t="s">
        <v>829</v>
      </c>
      <c r="K56" s="237"/>
      <c r="L56" s="254">
        <f t="array" ref="L56">_xll.ACC(DB,_xll.ArrayDPT($AA56:$AE56),_xll.ArrayCOA($AG56:$AZ56),YR,PRD,_xll.ArrayDIM($BB56:$BE56))</f>
        <v>0</v>
      </c>
      <c r="M56" s="237">
        <f t="shared" si="19"/>
        <v>0</v>
      </c>
      <c r="N56" s="254">
        <f t="array" ref="N56">_xll.BCC(DB,_xll.ArrayDPT($AA56:$AE56),_xll.ArrayCOA($AG56:$AZ56),YR,PRD,RV,_xll.ArrayDIM($BB56:$BE56))</f>
        <v>0</v>
      </c>
      <c r="O56" s="237">
        <f t="shared" si="20"/>
        <v>0</v>
      </c>
      <c r="P56" s="237">
        <f t="shared" si="21"/>
        <v>0</v>
      </c>
      <c r="Q56" s="237">
        <f t="shared" si="22"/>
        <v>0</v>
      </c>
      <c r="R56" s="254">
        <f t="array" ref="R56">_xll.ACC(DB,_xll.ArrayDPT($AA56:$AE56),_xll.ArrayCOA($AG56:$AZ56),YR-1,PRD,_xll.ArrayDIM($BB56:$BE56))</f>
        <v>3130</v>
      </c>
      <c r="S56" s="237">
        <f t="shared" si="23"/>
        <v>0.67129777774269961</v>
      </c>
      <c r="T56" s="295"/>
      <c r="U56" s="295"/>
      <c r="V56" s="295"/>
      <c r="W56" s="295"/>
      <c r="X56" s="295"/>
      <c r="Y56" s="295"/>
      <c r="Z56" s="295"/>
      <c r="AA56" s="95" t="s">
        <v>1057</v>
      </c>
      <c r="AB56" s="96"/>
      <c r="AC56" s="96"/>
      <c r="AD56" s="96"/>
      <c r="AE56" s="96"/>
      <c r="AF56" s="454"/>
      <c r="AG56" s="95" t="s">
        <v>720</v>
      </c>
      <c r="AH56" s="96" t="s">
        <v>720</v>
      </c>
      <c r="AI56" s="95"/>
      <c r="AJ56" s="96"/>
      <c r="AK56" s="95"/>
      <c r="AL56" s="96"/>
      <c r="AM56" s="95"/>
      <c r="AN56" s="98"/>
      <c r="AO56" s="96"/>
      <c r="AP56" s="96"/>
      <c r="AQ56" s="95"/>
      <c r="AR56" s="98"/>
      <c r="AS56" s="96"/>
      <c r="AT56" s="96"/>
      <c r="AU56" s="95"/>
      <c r="AV56" s="98"/>
      <c r="AW56" s="96"/>
      <c r="AX56" s="96"/>
      <c r="AY56" s="95"/>
      <c r="AZ56" s="98"/>
      <c r="BA56" s="99"/>
      <c r="BB56" s="95"/>
      <c r="BC56" s="96"/>
      <c r="BD56" s="96"/>
      <c r="BE56" s="98"/>
    </row>
    <row r="57" spans="1:57" ht="12" customHeight="1">
      <c r="A57" s="254">
        <f t="array" ref="A57">_xll.AC(DB,_xll.ArrayDPT($AA57:$AE57),_xll.ArrayCOA($AG57:$AZ57),YR-1,PRD,_xll.ArrayDIM($BB57:$BE57))</f>
        <v>0</v>
      </c>
      <c r="B57" s="237">
        <f t="shared" si="14"/>
        <v>0</v>
      </c>
      <c r="C57" s="237">
        <f t="shared" si="15"/>
        <v>-224.3</v>
      </c>
      <c r="D57" s="237">
        <f t="shared" si="16"/>
        <v>4.9716461016066152E-2</v>
      </c>
      <c r="E57" s="254">
        <f t="array" ref="E57">_xll.BC(DB,_xll.ArrayDPT($AA57:$AE57),_xll.ArrayCOA($AG57:$AZ57),YR,PRD,RV,_xll.ArrayDIM($BB57:$BE57))</f>
        <v>0</v>
      </c>
      <c r="F57" s="237">
        <f t="shared" si="17"/>
        <v>0</v>
      </c>
      <c r="G57" s="254">
        <f t="array" ref="G57">_xll.AC(DB,_xll.ArrayDPT($AA57:$AE57),_xll.ArrayCOA($AG57:$AZ57),YR,PRD,_xll.ArrayDIM($BB57:$BE57))</f>
        <v>224.3</v>
      </c>
      <c r="H57" s="237">
        <f t="shared" si="18"/>
        <v>4.9716461016066152E-2</v>
      </c>
      <c r="I57" s="237"/>
      <c r="J57" s="328" t="s">
        <v>721</v>
      </c>
      <c r="K57" s="237"/>
      <c r="L57" s="254">
        <f t="array" ref="L57">_xll.ACC(DB,_xll.ArrayDPT($AA57:$AE57),_xll.ArrayCOA($AG57:$AZ57),YR,PRD,_xll.ArrayDIM($BB57:$BE57))</f>
        <v>224.3</v>
      </c>
      <c r="M57" s="237">
        <f t="shared" si="19"/>
        <v>4.9716461016066152E-2</v>
      </c>
      <c r="N57" s="254">
        <f t="array" ref="N57">_xll.BCC(DB,_xll.ArrayDPT($AA57:$AE57),_xll.ArrayCOA($AG57:$AZ57),YR,PRD,RV,_xll.ArrayDIM($BB57:$BE57))</f>
        <v>0</v>
      </c>
      <c r="O57" s="237">
        <f t="shared" si="20"/>
        <v>0</v>
      </c>
      <c r="P57" s="237">
        <f t="shared" si="21"/>
        <v>-224.3</v>
      </c>
      <c r="Q57" s="237">
        <f t="shared" si="22"/>
        <v>4.9716461016066152E-2</v>
      </c>
      <c r="R57" s="254">
        <f t="array" ref="R57">_xll.ACC(DB,_xll.ArrayDPT($AA57:$AE57),_xll.ArrayCOA($AG57:$AZ57),YR-1,PRD,_xll.ArrayDIM($BB57:$BE57))</f>
        <v>0</v>
      </c>
      <c r="S57" s="237">
        <f t="shared" si="23"/>
        <v>0</v>
      </c>
      <c r="T57" s="295"/>
      <c r="U57" s="295"/>
      <c r="V57" s="295"/>
      <c r="W57" s="295"/>
      <c r="X57" s="295"/>
      <c r="Y57" s="295"/>
      <c r="Z57" s="295"/>
      <c r="AA57" s="95" t="s">
        <v>1057</v>
      </c>
      <c r="AB57" s="96"/>
      <c r="AC57" s="96"/>
      <c r="AD57" s="96"/>
      <c r="AE57" s="96"/>
      <c r="AF57" s="454"/>
      <c r="AG57" s="95" t="s">
        <v>722</v>
      </c>
      <c r="AH57" s="96" t="s">
        <v>722</v>
      </c>
      <c r="AI57" s="95"/>
      <c r="AJ57" s="96"/>
      <c r="AK57" s="95"/>
      <c r="AL57" s="96"/>
      <c r="AM57" s="95"/>
      <c r="AN57" s="98"/>
      <c r="AO57" s="96"/>
      <c r="AP57" s="96"/>
      <c r="AQ57" s="95"/>
      <c r="AR57" s="98"/>
      <c r="AS57" s="96"/>
      <c r="AT57" s="96"/>
      <c r="AU57" s="95"/>
      <c r="AV57" s="98"/>
      <c r="AW57" s="96"/>
      <c r="AX57" s="96"/>
      <c r="AY57" s="95"/>
      <c r="AZ57" s="98"/>
      <c r="BA57" s="99"/>
      <c r="BB57" s="95"/>
      <c r="BC57" s="96"/>
      <c r="BD57" s="96"/>
      <c r="BE57" s="98"/>
    </row>
    <row r="58" spans="1:57" ht="6" customHeight="1">
      <c r="A58" s="329"/>
      <c r="B58" s="392"/>
      <c r="C58" s="329"/>
      <c r="D58" s="392"/>
      <c r="E58" s="329"/>
      <c r="F58" s="392"/>
      <c r="G58" s="329"/>
      <c r="H58" s="392"/>
      <c r="I58" s="398"/>
      <c r="J58" s="392"/>
      <c r="K58" s="399"/>
      <c r="L58" s="393"/>
      <c r="M58" s="333"/>
      <c r="N58" s="393"/>
      <c r="O58" s="333"/>
      <c r="P58" s="393"/>
      <c r="Q58" s="333"/>
      <c r="R58" s="393"/>
      <c r="S58" s="341"/>
      <c r="T58" s="328"/>
      <c r="U58" s="328"/>
      <c r="V58" s="328"/>
      <c r="W58" s="328"/>
      <c r="X58" s="328"/>
      <c r="Y58" s="328"/>
      <c r="Z58" s="328"/>
      <c r="AA58" s="95"/>
      <c r="AB58" s="96"/>
      <c r="AC58" s="96"/>
      <c r="AD58" s="96"/>
      <c r="AE58" s="96"/>
      <c r="AF58" s="454"/>
      <c r="AG58" s="95"/>
      <c r="AH58" s="96"/>
      <c r="AI58" s="95"/>
      <c r="AJ58" s="96"/>
      <c r="AK58" s="95"/>
      <c r="AL58" s="96"/>
      <c r="AM58" s="95"/>
      <c r="AN58" s="98"/>
      <c r="AO58" s="96"/>
      <c r="AP58" s="96"/>
      <c r="AQ58" s="95"/>
      <c r="AR58" s="98"/>
      <c r="AS58" s="96"/>
      <c r="AT58" s="96"/>
      <c r="AU58" s="95"/>
      <c r="AV58" s="98"/>
      <c r="AW58" s="96"/>
      <c r="AX58" s="96"/>
      <c r="AY58" s="95"/>
      <c r="AZ58" s="98"/>
      <c r="BA58" s="99"/>
      <c r="BB58" s="95"/>
      <c r="BC58" s="96"/>
      <c r="BD58" s="96"/>
      <c r="BE58" s="98"/>
    </row>
    <row r="59" spans="1:57" ht="12" customHeight="1">
      <c r="A59" s="338">
        <f>SUM(A18:A57)</f>
        <v>34304.639999999999</v>
      </c>
      <c r="B59" s="455">
        <f>IF(A59=0,0,(A59*100)/A$70)</f>
        <v>7.3573893285186331</v>
      </c>
      <c r="C59" s="338">
        <f>SUM(C18:C57)</f>
        <v>-23013.31</v>
      </c>
      <c r="D59" s="455">
        <f>IF(C59=0,0,(C59*100)/C$70)</f>
        <v>5.1009377149605237</v>
      </c>
      <c r="E59" s="338">
        <f>SUM(E18:E57)</f>
        <v>0</v>
      </c>
      <c r="F59" s="455">
        <f>IF(E59=0,0,(E59*100)/E$70)</f>
        <v>0</v>
      </c>
      <c r="G59" s="338">
        <f>SUM(G18:G57)</f>
        <v>23013.31</v>
      </c>
      <c r="H59" s="455">
        <f>IF(G59=0,0,(G59*100)/G$70)</f>
        <v>5.1009377149605237</v>
      </c>
      <c r="I59" s="404"/>
      <c r="J59" s="396" t="s">
        <v>554</v>
      </c>
      <c r="K59" s="405"/>
      <c r="L59" s="395">
        <f>SUM(L18:L57)</f>
        <v>23013.31</v>
      </c>
      <c r="M59" s="456">
        <f>IF(L59=0,0,(L59*100)/L$70)</f>
        <v>5.1009377149605237</v>
      </c>
      <c r="N59" s="395">
        <f>SUM(N18:N57)</f>
        <v>0</v>
      </c>
      <c r="O59" s="456">
        <f>IF(N59=0,0,(N59*100)/N$70)</f>
        <v>0</v>
      </c>
      <c r="P59" s="395">
        <f>SUM(P18:P57)</f>
        <v>-23013.31</v>
      </c>
      <c r="Q59" s="456">
        <f>IF(P59=0,0,(P59*100)/P$70)</f>
        <v>5.1009377149605237</v>
      </c>
      <c r="R59" s="395">
        <f>SUM(R18:R57)</f>
        <v>34304.639999999999</v>
      </c>
      <c r="S59" s="456">
        <f>IF(R59=0,0,(R59*100)/R$70)</f>
        <v>7.3573893285186331</v>
      </c>
      <c r="T59" s="295"/>
      <c r="U59" s="295"/>
      <c r="V59" s="295"/>
      <c r="W59" s="295"/>
      <c r="X59" s="295"/>
      <c r="Y59" s="295"/>
      <c r="Z59" s="295"/>
      <c r="AA59" s="95"/>
      <c r="AB59" s="96"/>
      <c r="AC59" s="96"/>
      <c r="AD59" s="96"/>
      <c r="AE59" s="96"/>
      <c r="AF59" s="454"/>
      <c r="AG59" s="95"/>
      <c r="AH59" s="96"/>
      <c r="AI59" s="95"/>
      <c r="AJ59" s="96"/>
      <c r="AK59" s="95"/>
      <c r="AL59" s="96"/>
      <c r="AM59" s="95"/>
      <c r="AN59" s="98"/>
      <c r="AO59" s="96"/>
      <c r="AP59" s="96"/>
      <c r="AQ59" s="95"/>
      <c r="AR59" s="98"/>
      <c r="AS59" s="96"/>
      <c r="AT59" s="96"/>
      <c r="AU59" s="95"/>
      <c r="AV59" s="98"/>
      <c r="AW59" s="96"/>
      <c r="AX59" s="96"/>
      <c r="AY59" s="95"/>
      <c r="AZ59" s="98"/>
      <c r="BA59" s="99"/>
      <c r="BB59" s="95"/>
      <c r="BC59" s="96"/>
      <c r="BD59" s="96"/>
      <c r="BE59" s="98"/>
    </row>
    <row r="60" spans="1:57" ht="6" customHeight="1">
      <c r="A60" s="329"/>
      <c r="B60" s="392"/>
      <c r="C60" s="329"/>
      <c r="D60" s="392"/>
      <c r="E60" s="329"/>
      <c r="F60" s="392"/>
      <c r="G60" s="329"/>
      <c r="H60" s="392"/>
      <c r="I60" s="398"/>
      <c r="J60" s="392"/>
      <c r="K60" s="399"/>
      <c r="L60" s="393"/>
      <c r="M60" s="333"/>
      <c r="N60" s="393"/>
      <c r="O60" s="333"/>
      <c r="P60" s="393"/>
      <c r="Q60" s="333"/>
      <c r="R60" s="393"/>
      <c r="S60" s="341"/>
      <c r="T60" s="328"/>
      <c r="U60" s="328"/>
      <c r="V60" s="328"/>
      <c r="W60" s="328"/>
      <c r="X60" s="328"/>
      <c r="Y60" s="328"/>
      <c r="Z60" s="328"/>
      <c r="AA60" s="95"/>
      <c r="AB60" s="96"/>
      <c r="AC60" s="96"/>
      <c r="AD60" s="96"/>
      <c r="AE60" s="96"/>
      <c r="AF60" s="454"/>
      <c r="AG60" s="95"/>
      <c r="AH60" s="96"/>
      <c r="AI60" s="95"/>
      <c r="AJ60" s="96"/>
      <c r="AK60" s="95"/>
      <c r="AL60" s="96"/>
      <c r="AM60" s="95"/>
      <c r="AN60" s="98"/>
      <c r="AO60" s="96"/>
      <c r="AP60" s="96"/>
      <c r="AQ60" s="95"/>
      <c r="AR60" s="98"/>
      <c r="AS60" s="96"/>
      <c r="AT60" s="96"/>
      <c r="AU60" s="95"/>
      <c r="AV60" s="98"/>
      <c r="AW60" s="96"/>
      <c r="AX60" s="96"/>
      <c r="AY60" s="95"/>
      <c r="AZ60" s="98"/>
      <c r="BA60" s="99"/>
      <c r="BB60" s="95"/>
      <c r="BC60" s="96"/>
      <c r="BD60" s="96"/>
      <c r="BE60" s="98"/>
    </row>
    <row r="61" spans="1:57" ht="12" customHeight="1">
      <c r="A61" s="338">
        <f>+A16+A59</f>
        <v>105854.64</v>
      </c>
      <c r="B61" s="395">
        <f>IF(A61=0,0,(A61*100)/A$70)</f>
        <v>22.702870477876512</v>
      </c>
      <c r="C61" s="338">
        <f>+C16+C59</f>
        <v>-71788.31</v>
      </c>
      <c r="D61" s="395">
        <f>IF(C61=0,0,(C61*100)/C$70)</f>
        <v>15.91199605672881</v>
      </c>
      <c r="E61" s="338">
        <f>+E16+E59</f>
        <v>0</v>
      </c>
      <c r="F61" s="395">
        <f>IF(E61=0,0,(E61*100)/E$70)</f>
        <v>0</v>
      </c>
      <c r="G61" s="338">
        <f>+G16+G59</f>
        <v>71788.31</v>
      </c>
      <c r="H61" s="395">
        <f>IF(G61=0,0,(G61*100)/G$70)</f>
        <v>15.91199605672881</v>
      </c>
      <c r="I61" s="394"/>
      <c r="J61" s="396" t="s">
        <v>1137</v>
      </c>
      <c r="K61" s="400"/>
      <c r="L61" s="395">
        <f>+L16+L59</f>
        <v>71788.31</v>
      </c>
      <c r="M61" s="338">
        <f>IF(L61=0,0,(L61*100)/L$70)</f>
        <v>15.91199605672881</v>
      </c>
      <c r="N61" s="395">
        <f>+N16+N59</f>
        <v>0</v>
      </c>
      <c r="O61" s="338">
        <f>IF(N61=0,0,(N61*100)/N$70)</f>
        <v>0</v>
      </c>
      <c r="P61" s="395">
        <f>+P16+P59</f>
        <v>-71788.31</v>
      </c>
      <c r="Q61" s="338">
        <f>IF(P61=0,0,(P61*100)/P$70)</f>
        <v>15.91199605672881</v>
      </c>
      <c r="R61" s="395">
        <f>+R16+R59</f>
        <v>105854.64</v>
      </c>
      <c r="S61" s="338">
        <f>IF(R61=0,0,(R61*100)/R$70)</f>
        <v>22.702870477876512</v>
      </c>
      <c r="T61" s="397"/>
      <c r="U61" s="397"/>
      <c r="V61" s="397"/>
      <c r="W61" s="397"/>
      <c r="X61" s="397"/>
      <c r="Y61" s="397"/>
      <c r="Z61" s="397"/>
      <c r="AA61" s="95"/>
      <c r="AB61" s="96"/>
      <c r="AC61" s="96"/>
      <c r="AD61" s="96"/>
      <c r="AE61" s="96"/>
      <c r="AF61" s="454"/>
      <c r="AG61" s="95"/>
      <c r="AH61" s="96"/>
      <c r="AI61" s="95"/>
      <c r="AJ61" s="96"/>
      <c r="AK61" s="95"/>
      <c r="AL61" s="96"/>
      <c r="AM61" s="95"/>
      <c r="AN61" s="98"/>
      <c r="AO61" s="96"/>
      <c r="AP61" s="96"/>
      <c r="AQ61" s="95"/>
      <c r="AR61" s="98"/>
      <c r="AS61" s="96"/>
      <c r="AT61" s="96"/>
      <c r="AU61" s="95"/>
      <c r="AV61" s="98"/>
      <c r="AW61" s="96"/>
      <c r="AX61" s="96"/>
      <c r="AY61" s="95"/>
      <c r="AZ61" s="98"/>
      <c r="BA61" s="99"/>
      <c r="BB61" s="95"/>
      <c r="BC61" s="96"/>
      <c r="BD61" s="96"/>
      <c r="BE61" s="98"/>
    </row>
    <row r="62" spans="1:57" ht="12" customHeight="1">
      <c r="A62" s="237"/>
      <c r="B62" s="237"/>
      <c r="C62" s="237"/>
      <c r="D62" s="237"/>
      <c r="E62" s="237"/>
      <c r="F62" s="237"/>
      <c r="G62" s="237"/>
      <c r="H62" s="237"/>
      <c r="I62" s="237"/>
      <c r="J62" s="415" t="s">
        <v>1138</v>
      </c>
      <c r="K62" s="237"/>
      <c r="L62" s="237"/>
      <c r="M62" s="237"/>
      <c r="N62" s="237"/>
      <c r="O62" s="237"/>
      <c r="P62" s="237"/>
      <c r="Q62" s="237"/>
      <c r="R62" s="237"/>
      <c r="S62" s="237"/>
      <c r="T62" s="295"/>
      <c r="U62" s="295"/>
      <c r="V62" s="295"/>
      <c r="W62" s="295"/>
      <c r="X62" s="295"/>
      <c r="Y62" s="295"/>
      <c r="Z62" s="295"/>
      <c r="AA62" s="95"/>
      <c r="AB62" s="96"/>
      <c r="AC62" s="96"/>
      <c r="AD62" s="96"/>
      <c r="AE62" s="96"/>
      <c r="AF62" s="454"/>
      <c r="AG62" s="95"/>
      <c r="AH62" s="96"/>
      <c r="AI62" s="95"/>
      <c r="AJ62" s="96"/>
      <c r="AK62" s="95"/>
      <c r="AL62" s="96"/>
      <c r="AM62" s="95"/>
      <c r="AN62" s="98"/>
      <c r="AO62" s="96"/>
      <c r="AP62" s="96"/>
      <c r="AQ62" s="95"/>
      <c r="AR62" s="98"/>
      <c r="AS62" s="96"/>
      <c r="AT62" s="96"/>
      <c r="AU62" s="95"/>
      <c r="AV62" s="98"/>
      <c r="AW62" s="96"/>
      <c r="AX62" s="96"/>
      <c r="AY62" s="95"/>
      <c r="AZ62" s="98"/>
      <c r="BA62" s="99"/>
      <c r="BB62" s="95"/>
      <c r="BC62" s="96"/>
      <c r="BD62" s="96"/>
      <c r="BE62" s="98"/>
    </row>
    <row r="63" spans="1:57" ht="12" customHeight="1">
      <c r="A63" s="254">
        <f t="array" ref="A63">_xll.AC(DB,_xll.ArrayDPT($AA63:$AE63),_xll.ArrayCOA($AG63:$AZ63),YR-1,PRD,_xll.ArrayDIM($BB63:$BE63))</f>
        <v>360406.4</v>
      </c>
      <c r="B63" s="237">
        <f t="shared" ref="B63:B66" si="24">IF(A63=0,0,(A63*100)/A$70)</f>
        <v>77.297129522123484</v>
      </c>
      <c r="C63" s="237">
        <f t="shared" ref="C63:C66" si="25">+E63-G63</f>
        <v>-355860.75</v>
      </c>
      <c r="D63" s="237">
        <f t="shared" ref="D63:D66" si="26">IF(C63=0,0,(C63*100)/C$70)</f>
        <v>78.877115936348929</v>
      </c>
      <c r="E63" s="254">
        <f t="array" ref="E63">_xll.BC(DB,_xll.ArrayDPT($AA63:$AE63),_xll.ArrayCOA($AG63:$AZ63),YR,PRD,RV,_xll.ArrayDIM($BB63:$BE63))</f>
        <v>0</v>
      </c>
      <c r="F63" s="237">
        <f t="shared" ref="F63:F66" si="27">IF(E63=0,0,(E63*100)/E$70)</f>
        <v>0</v>
      </c>
      <c r="G63" s="254">
        <f>_xll.AC(DB,_xll.ArrayDPT($AA63:$AE63),_xll.ArrayCOA($AG63:$AZ63),YR,PRD,_xll.ArrayDIM($BB63:$BE63))</f>
        <v>355860.75</v>
      </c>
      <c r="H63" s="237">
        <f t="shared" ref="H63:H66" si="28">IF(G63=0,0,(G63*100)/G$70)</f>
        <v>78.877115936348929</v>
      </c>
      <c r="I63" s="237"/>
      <c r="J63" s="328" t="s">
        <v>1139</v>
      </c>
      <c r="K63" s="237"/>
      <c r="L63" s="254">
        <f t="array" ref="L63">_xll.ACC(DB,_xll.ArrayDPT($AA63:$AE63),_xll.ArrayCOA($AG63:$AZ63),YR,PRD,_xll.ArrayDIM($BB63:$BE63))</f>
        <v>355860.75</v>
      </c>
      <c r="M63" s="237">
        <f t="shared" ref="M63:M66" si="29">IF(L63=0,0,(L63*100)/L$70)</f>
        <v>78.877115936348929</v>
      </c>
      <c r="N63" s="254">
        <f t="array" ref="N63">_xll.BCC(DB,_xll.ArrayDPT($AA63:$AE63),_xll.ArrayCOA($AG63:$AZ63),YR,PRD,RV,_xll.ArrayDIM($BB63:$BE63))</f>
        <v>0</v>
      </c>
      <c r="O63" s="237">
        <f t="shared" ref="O63:O66" si="30">IF(N63=0,0,(N63*100)/N$70)</f>
        <v>0</v>
      </c>
      <c r="P63" s="237">
        <f t="shared" ref="P63:P66" si="31">+N63-L63</f>
        <v>-355860.75</v>
      </c>
      <c r="Q63" s="237">
        <f t="shared" ref="Q63:Q66" si="32">IF(P63=0,0,(P63*100)/P$70)</f>
        <v>78.877115936348929</v>
      </c>
      <c r="R63" s="254">
        <f t="array" ref="R63">_xll.ACC(DB,_xll.ArrayDPT($AA63:$AE63),_xll.ArrayCOA($AG63:$AZ63),YR-1,PRD,_xll.ArrayDIM($BB63:$BE63))</f>
        <v>360406.4</v>
      </c>
      <c r="S63" s="237">
        <f t="shared" ref="S63:S66" si="33">IF(R63=0,0,(R63*100)/R$70)</f>
        <v>77.297129522123484</v>
      </c>
      <c r="T63" s="295"/>
      <c r="U63" s="295"/>
      <c r="V63" s="295"/>
      <c r="W63" s="295"/>
      <c r="X63" s="295"/>
      <c r="Y63" s="295"/>
      <c r="Z63" s="295"/>
      <c r="AA63" s="95" t="s">
        <v>1057</v>
      </c>
      <c r="AB63" s="96" t="s">
        <v>1058</v>
      </c>
      <c r="AC63" s="96"/>
      <c r="AD63" s="96"/>
      <c r="AE63" s="96"/>
      <c r="AF63" s="454"/>
      <c r="AG63" s="95" t="s">
        <v>1140</v>
      </c>
      <c r="AH63" s="96" t="s">
        <v>1140</v>
      </c>
      <c r="AI63" s="95"/>
      <c r="AJ63" s="96"/>
      <c r="AK63" s="95"/>
      <c r="AL63" s="96"/>
      <c r="AM63" s="95"/>
      <c r="AN63" s="98"/>
      <c r="AO63" s="96"/>
      <c r="AP63" s="96"/>
      <c r="AQ63" s="95"/>
      <c r="AR63" s="98"/>
      <c r="AS63" s="96"/>
      <c r="AT63" s="96"/>
      <c r="AU63" s="95"/>
      <c r="AV63" s="98"/>
      <c r="AW63" s="96"/>
      <c r="AX63" s="96"/>
      <c r="AY63" s="95"/>
      <c r="AZ63" s="98"/>
      <c r="BA63" s="99"/>
      <c r="BB63" s="95"/>
      <c r="BC63" s="96"/>
      <c r="BD63" s="96"/>
      <c r="BE63" s="98"/>
    </row>
    <row r="64" spans="1:57" ht="12" customHeight="1">
      <c r="A64" s="254">
        <f t="array" ref="A64">_xll.AC(DB,_xll.ArrayDPT($AA64:$AE64),_xll.ArrayCOA($AG64:$AZ64),YR-1,PRD,_xll.ArrayDIM($BB64:$BE64))</f>
        <v>0</v>
      </c>
      <c r="B64" s="237">
        <f t="shared" si="24"/>
        <v>0</v>
      </c>
      <c r="C64" s="237">
        <f t="shared" si="25"/>
        <v>0</v>
      </c>
      <c r="D64" s="237">
        <f t="shared" si="26"/>
        <v>0</v>
      </c>
      <c r="E64" s="254">
        <f t="array" ref="E64">_xll.BC(DB,_xll.ArrayDPT($AA64:$AE64),_xll.ArrayCOA($AG64:$AZ64),YR,PRD,RV,_xll.ArrayDIM($BB64:$BE64))</f>
        <v>0</v>
      </c>
      <c r="F64" s="237">
        <f t="shared" si="27"/>
        <v>0</v>
      </c>
      <c r="G64" s="254">
        <f t="array" ref="G64">_xll.AC(DB,_xll.ArrayDPT($AA64:$AE64),_xll.ArrayCOA($AG64:$AZ64),YR,PRD,_xll.ArrayDIM($BB64:$BE64))</f>
        <v>0</v>
      </c>
      <c r="H64" s="237">
        <f t="shared" si="28"/>
        <v>0</v>
      </c>
      <c r="I64" s="237"/>
      <c r="J64" s="328" t="s">
        <v>1141</v>
      </c>
      <c r="K64" s="237"/>
      <c r="L64" s="254">
        <f t="array" ref="L64">_xll.ACC(DB,_xll.ArrayDPT($AA64:$AE64),_xll.ArrayCOA($AG64:$AZ64),YR,PRD,_xll.ArrayDIM($BB64:$BE64))</f>
        <v>0</v>
      </c>
      <c r="M64" s="237">
        <f t="shared" si="29"/>
        <v>0</v>
      </c>
      <c r="N64" s="254">
        <f t="array" ref="N64">_xll.BCC(DB,_xll.ArrayDPT($AA64:$AE64),_xll.ArrayCOA($AG64:$AZ64),YR,PRD,RV,_xll.ArrayDIM($BB64:$BE64))</f>
        <v>0</v>
      </c>
      <c r="O64" s="237">
        <f t="shared" si="30"/>
        <v>0</v>
      </c>
      <c r="P64" s="237">
        <f t="shared" si="31"/>
        <v>0</v>
      </c>
      <c r="Q64" s="237">
        <f t="shared" si="32"/>
        <v>0</v>
      </c>
      <c r="R64" s="254">
        <f t="array" ref="R64">_xll.ACC(DB,_xll.ArrayDPT($AA64:$AE64),_xll.ArrayCOA($AG64:$AZ64),YR-1,PRD,_xll.ArrayDIM($BB64:$BE64))</f>
        <v>0</v>
      </c>
      <c r="S64" s="237">
        <f t="shared" si="33"/>
        <v>0</v>
      </c>
      <c r="T64" s="295"/>
      <c r="U64" s="295"/>
      <c r="V64" s="295"/>
      <c r="W64" s="295"/>
      <c r="X64" s="295"/>
      <c r="Y64" s="295"/>
      <c r="Z64" s="295"/>
      <c r="AA64" s="95" t="s">
        <v>1057</v>
      </c>
      <c r="AB64" s="96" t="s">
        <v>1058</v>
      </c>
      <c r="AC64" s="96"/>
      <c r="AD64" s="96"/>
      <c r="AE64" s="96"/>
      <c r="AF64" s="454"/>
      <c r="AG64" s="95" t="s">
        <v>1142</v>
      </c>
      <c r="AH64" s="96" t="s">
        <v>1142</v>
      </c>
      <c r="AI64" s="95"/>
      <c r="AJ64" s="96"/>
      <c r="AK64" s="95"/>
      <c r="AL64" s="96"/>
      <c r="AM64" s="95"/>
      <c r="AN64" s="98"/>
      <c r="AO64" s="96"/>
      <c r="AP64" s="96"/>
      <c r="AQ64" s="95"/>
      <c r="AR64" s="98"/>
      <c r="AS64" s="96"/>
      <c r="AT64" s="96"/>
      <c r="AU64" s="95"/>
      <c r="AV64" s="98"/>
      <c r="AW64" s="96"/>
      <c r="AX64" s="96"/>
      <c r="AY64" s="95"/>
      <c r="AZ64" s="98"/>
      <c r="BA64" s="99"/>
      <c r="BB64" s="95"/>
      <c r="BC64" s="96"/>
      <c r="BD64" s="96"/>
      <c r="BE64" s="98"/>
    </row>
    <row r="65" spans="1:57" ht="12" customHeight="1">
      <c r="A65" s="254">
        <f t="array" ref="A65">_xll.AC(DB,_xll.ArrayDPT($AA65:$AE65),_xll.ArrayCOA($AG65:$AZ65),YR-1,PRD,_xll.ArrayDIM($BB65:$BE65))</f>
        <v>0</v>
      </c>
      <c r="B65" s="237">
        <f t="shared" si="24"/>
        <v>0</v>
      </c>
      <c r="C65" s="237">
        <f t="shared" si="25"/>
        <v>0</v>
      </c>
      <c r="D65" s="237">
        <f t="shared" si="26"/>
        <v>0</v>
      </c>
      <c r="E65" s="254">
        <f t="array" ref="E65">_xll.BC(DB,_xll.ArrayDPT($AA65:$AE65),_xll.ArrayCOA($AG65:$AZ65),YR,PRD,RV,_xll.ArrayDIM($BB65:$BE65))</f>
        <v>0</v>
      </c>
      <c r="F65" s="237">
        <f t="shared" si="27"/>
        <v>0</v>
      </c>
      <c r="G65" s="254">
        <f t="array" ref="G65">_xll.AC(DB,_xll.ArrayDPT($AA65:$AE65),_xll.ArrayCOA($AG65:$AZ65),YR,PRD,_xll.ArrayDIM($BB65:$BE65))</f>
        <v>0</v>
      </c>
      <c r="H65" s="237">
        <f t="shared" si="28"/>
        <v>0</v>
      </c>
      <c r="I65" s="237"/>
      <c r="J65" s="328" t="s">
        <v>1143</v>
      </c>
      <c r="K65" s="237"/>
      <c r="L65" s="254">
        <f t="array" ref="L65">_xll.ACC(DB,_xll.ArrayDPT($AA65:$AE65),_xll.ArrayCOA($AG65:$AZ65),YR,PRD,_xll.ArrayDIM($BB65:$BE65))</f>
        <v>0</v>
      </c>
      <c r="M65" s="237">
        <f t="shared" si="29"/>
        <v>0</v>
      </c>
      <c r="N65" s="254">
        <f t="array" ref="N65">_xll.BCC(DB,_xll.ArrayDPT($AA65:$AE65),_xll.ArrayCOA($AG65:$AZ65),YR,PRD,RV,_xll.ArrayDIM($BB65:$BE65))</f>
        <v>0</v>
      </c>
      <c r="O65" s="237">
        <f t="shared" si="30"/>
        <v>0</v>
      </c>
      <c r="P65" s="237">
        <f t="shared" si="31"/>
        <v>0</v>
      </c>
      <c r="Q65" s="237">
        <f t="shared" si="32"/>
        <v>0</v>
      </c>
      <c r="R65" s="254">
        <f t="array" ref="R65">_xll.ACC(DB,_xll.ArrayDPT($AA65:$AE65),_xll.ArrayCOA($AG65:$AZ65),YR-1,PRD,_xll.ArrayDIM($BB65:$BE65))</f>
        <v>0</v>
      </c>
      <c r="S65" s="237">
        <f t="shared" si="33"/>
        <v>0</v>
      </c>
      <c r="T65" s="295"/>
      <c r="U65" s="295"/>
      <c r="V65" s="295"/>
      <c r="W65" s="295"/>
      <c r="X65" s="295"/>
      <c r="Y65" s="295"/>
      <c r="Z65" s="295"/>
      <c r="AA65" s="95" t="s">
        <v>1057</v>
      </c>
      <c r="AB65" s="96" t="s">
        <v>1058</v>
      </c>
      <c r="AC65" s="96"/>
      <c r="AD65" s="96"/>
      <c r="AE65" s="96"/>
      <c r="AF65" s="454"/>
      <c r="AG65" s="95" t="s">
        <v>1144</v>
      </c>
      <c r="AH65" s="96" t="s">
        <v>1144</v>
      </c>
      <c r="AI65" s="95"/>
      <c r="AJ65" s="96"/>
      <c r="AK65" s="95"/>
      <c r="AL65" s="96"/>
      <c r="AM65" s="95"/>
      <c r="AN65" s="98"/>
      <c r="AO65" s="96"/>
      <c r="AP65" s="96"/>
      <c r="AQ65" s="95"/>
      <c r="AR65" s="98"/>
      <c r="AS65" s="96"/>
      <c r="AT65" s="96"/>
      <c r="AU65" s="95"/>
      <c r="AV65" s="98"/>
      <c r="AW65" s="96"/>
      <c r="AX65" s="96"/>
      <c r="AY65" s="95"/>
      <c r="AZ65" s="98"/>
      <c r="BA65" s="99"/>
      <c r="BB65" s="95"/>
      <c r="BC65" s="96"/>
      <c r="BD65" s="96"/>
      <c r="BE65" s="98"/>
    </row>
    <row r="66" spans="1:57" ht="12" customHeight="1">
      <c r="A66" s="254">
        <f t="array" ref="A66">_xll.AC(DB,_xll.ArrayDPT($AA66:$AE66),_xll.ArrayCOA($AG66:$AZ66),YR-1,PRD,_xll.ArrayDIM($BB66:$BE66))</f>
        <v>0</v>
      </c>
      <c r="B66" s="237">
        <f t="shared" si="24"/>
        <v>0</v>
      </c>
      <c r="C66" s="237">
        <f t="shared" si="25"/>
        <v>-23509.360000000001</v>
      </c>
      <c r="D66" s="237">
        <f t="shared" si="26"/>
        <v>5.2108880069222696</v>
      </c>
      <c r="E66" s="254">
        <f t="array" ref="E66">_xll.BC(DB,_xll.ArrayDPT($AA66:$AE66),_xll.ArrayCOA($AG66:$AZ66),YR,PRD,RV,_xll.ArrayDIM($BB66:$BE66))</f>
        <v>0</v>
      </c>
      <c r="F66" s="237">
        <f t="shared" si="27"/>
        <v>0</v>
      </c>
      <c r="G66" s="254">
        <f t="array" ref="G66">_xll.AC(DB,_xll.ArrayDPT($AA66:$AE66),_xll.ArrayCOA($AG66:$AZ66),YR,PRD,_xll.ArrayDIM($BB66:$BE66))</f>
        <v>23509.360000000001</v>
      </c>
      <c r="H66" s="237">
        <f t="shared" si="28"/>
        <v>5.2108880069222696</v>
      </c>
      <c r="I66" s="237"/>
      <c r="J66" s="328" t="s">
        <v>1145</v>
      </c>
      <c r="K66" s="237"/>
      <c r="L66" s="254">
        <f t="array" ref="L66">_xll.ACC(DB,_xll.ArrayDPT($AA66:$AE66),_xll.ArrayCOA($AG66:$AZ66),YR,PRD,_xll.ArrayDIM($BB66:$BE66))</f>
        <v>23509.360000000001</v>
      </c>
      <c r="M66" s="237">
        <f t="shared" si="29"/>
        <v>5.2108880069222696</v>
      </c>
      <c r="N66" s="254">
        <f t="array" ref="N66">_xll.BCC(DB,_xll.ArrayDPT($AA66:$AE66),_xll.ArrayCOA($AG66:$AZ66),YR,PRD,RV,_xll.ArrayDIM($BB66:$BE66))</f>
        <v>0</v>
      </c>
      <c r="O66" s="237">
        <f t="shared" si="30"/>
        <v>0</v>
      </c>
      <c r="P66" s="237">
        <f t="shared" si="31"/>
        <v>-23509.360000000001</v>
      </c>
      <c r="Q66" s="237">
        <f t="shared" si="32"/>
        <v>5.2108880069222696</v>
      </c>
      <c r="R66" s="254">
        <f t="array" ref="R66">_xll.ACC(DB,_xll.ArrayDPT($AA66:$AE66),_xll.ArrayCOA($AG66:$AZ66),YR-1,PRD,_xll.ArrayDIM($BB66:$BE66))</f>
        <v>0</v>
      </c>
      <c r="S66" s="237">
        <f t="shared" si="33"/>
        <v>0</v>
      </c>
      <c r="T66" s="295"/>
      <c r="U66" s="295"/>
      <c r="V66" s="295"/>
      <c r="W66" s="295"/>
      <c r="X66" s="295"/>
      <c r="Y66" s="295"/>
      <c r="Z66" s="295"/>
      <c r="AA66" s="95" t="s">
        <v>1057</v>
      </c>
      <c r="AB66" s="96" t="s">
        <v>1058</v>
      </c>
      <c r="AC66" s="96"/>
      <c r="AD66" s="96"/>
      <c r="AE66" s="96"/>
      <c r="AF66" s="454"/>
      <c r="AG66" s="95" t="s">
        <v>1146</v>
      </c>
      <c r="AH66" s="96" t="s">
        <v>1146</v>
      </c>
      <c r="AI66" s="95"/>
      <c r="AJ66" s="96"/>
      <c r="AK66" s="95"/>
      <c r="AL66" s="96"/>
      <c r="AM66" s="95"/>
      <c r="AN66" s="98"/>
      <c r="AO66" s="96"/>
      <c r="AP66" s="96"/>
      <c r="AQ66" s="95"/>
      <c r="AR66" s="98"/>
      <c r="AS66" s="96"/>
      <c r="AT66" s="96"/>
      <c r="AU66" s="95"/>
      <c r="AV66" s="98"/>
      <c r="AW66" s="96"/>
      <c r="AX66" s="96"/>
      <c r="AY66" s="95"/>
      <c r="AZ66" s="98"/>
      <c r="BA66" s="99"/>
      <c r="BB66" s="95"/>
      <c r="BC66" s="96"/>
      <c r="BD66" s="96"/>
      <c r="BE66" s="98"/>
    </row>
    <row r="67" spans="1:57" ht="6" customHeight="1">
      <c r="A67" s="330"/>
      <c r="B67" s="329"/>
      <c r="C67" s="392"/>
      <c r="D67" s="329"/>
      <c r="E67" s="392"/>
      <c r="F67" s="329"/>
      <c r="G67" s="392"/>
      <c r="H67" s="329"/>
      <c r="I67" s="331"/>
      <c r="J67" s="392"/>
      <c r="K67" s="393"/>
      <c r="L67" s="333"/>
      <c r="M67" s="333"/>
      <c r="N67" s="393"/>
      <c r="O67" s="333"/>
      <c r="P67" s="393"/>
      <c r="Q67" s="333"/>
      <c r="R67" s="393"/>
      <c r="S67" s="341"/>
      <c r="T67" s="328"/>
      <c r="U67" s="328"/>
      <c r="V67" s="328"/>
      <c r="W67" s="328"/>
      <c r="X67" s="328"/>
      <c r="Y67" s="328"/>
      <c r="Z67" s="328"/>
      <c r="AA67" s="95"/>
      <c r="AB67" s="96"/>
      <c r="AC67" s="96"/>
      <c r="AD67" s="96"/>
      <c r="AE67" s="96"/>
      <c r="AF67" s="454"/>
      <c r="AG67" s="95"/>
      <c r="AH67" s="96"/>
      <c r="AI67" s="95"/>
      <c r="AJ67" s="96"/>
      <c r="AK67" s="95"/>
      <c r="AL67" s="96"/>
      <c r="AM67" s="95"/>
      <c r="AN67" s="98"/>
      <c r="AO67" s="96"/>
      <c r="AP67" s="96"/>
      <c r="AQ67" s="95"/>
      <c r="AR67" s="98"/>
      <c r="AS67" s="96"/>
      <c r="AT67" s="96"/>
      <c r="AU67" s="95"/>
      <c r="AV67" s="98"/>
      <c r="AW67" s="96"/>
      <c r="AX67" s="96"/>
      <c r="AY67" s="95"/>
      <c r="AZ67" s="98"/>
      <c r="BA67" s="99"/>
      <c r="BB67" s="95"/>
      <c r="BC67" s="96"/>
      <c r="BD67" s="96"/>
      <c r="BE67" s="98"/>
    </row>
    <row r="68" spans="1:57" ht="12" customHeight="1">
      <c r="A68" s="406">
        <f>SUM(A63:A66)</f>
        <v>360406.4</v>
      </c>
      <c r="B68" s="407">
        <f>IF(A68=0,0,(A68*100)/A$70)</f>
        <v>77.297129522123484</v>
      </c>
      <c r="C68" s="262">
        <f>SUM(C63:C66)</f>
        <v>-379370.11</v>
      </c>
      <c r="D68" s="407">
        <f>IF(C68=0,0,(C68*100)/C$70)</f>
        <v>84.08800394327119</v>
      </c>
      <c r="E68" s="262">
        <f>SUM(E63:E66)</f>
        <v>0</v>
      </c>
      <c r="F68" s="407">
        <f>IF(E68=0,0,(E68*100)/E$70)</f>
        <v>0</v>
      </c>
      <c r="G68" s="262">
        <f>SUM(G63:G66)</f>
        <v>379370.11</v>
      </c>
      <c r="H68" s="407">
        <f>IF(G68=0,0,(G68*100)/G$70)</f>
        <v>84.08800394327119</v>
      </c>
      <c r="I68" s="262"/>
      <c r="J68" s="424" t="s">
        <v>1147</v>
      </c>
      <c r="K68" s="262"/>
      <c r="L68" s="407">
        <f>SUM(L63:L66)</f>
        <v>379370.11</v>
      </c>
      <c r="M68" s="407">
        <f>IF(L68=0,0,(L68*100)/L$70)</f>
        <v>84.08800394327119</v>
      </c>
      <c r="N68" s="262">
        <f>SUM(N63:N66)</f>
        <v>0</v>
      </c>
      <c r="O68" s="407">
        <f>IF(N68=0,0,(N68*100)/N$70)</f>
        <v>0</v>
      </c>
      <c r="P68" s="262">
        <f>SUM(P63:P66)</f>
        <v>-379370.11</v>
      </c>
      <c r="Q68" s="407">
        <f>IF(P68=0,0,(P68*100)/P$70)</f>
        <v>84.08800394327119</v>
      </c>
      <c r="R68" s="262">
        <f>SUM(R63:R66)</f>
        <v>360406.4</v>
      </c>
      <c r="S68" s="407">
        <f>IF(R68=0,0,(R68*100)/R$70)</f>
        <v>77.297129522123484</v>
      </c>
      <c r="T68" s="397"/>
      <c r="U68" s="397"/>
      <c r="V68" s="397"/>
      <c r="W68" s="397"/>
      <c r="X68" s="397"/>
      <c r="Y68" s="397"/>
      <c r="Z68" s="397"/>
      <c r="AA68" s="95"/>
      <c r="AB68" s="96"/>
      <c r="AC68" s="96"/>
      <c r="AD68" s="96"/>
      <c r="AE68" s="96"/>
      <c r="AF68" s="454"/>
      <c r="AG68" s="95"/>
      <c r="AH68" s="96"/>
      <c r="AI68" s="95"/>
      <c r="AJ68" s="96"/>
      <c r="AK68" s="95"/>
      <c r="AL68" s="96"/>
      <c r="AM68" s="95"/>
      <c r="AN68" s="98"/>
      <c r="AO68" s="96"/>
      <c r="AP68" s="96"/>
      <c r="AQ68" s="95"/>
      <c r="AR68" s="98"/>
      <c r="AS68" s="96"/>
      <c r="AT68" s="96"/>
      <c r="AU68" s="95"/>
      <c r="AV68" s="98"/>
      <c r="AW68" s="96"/>
      <c r="AX68" s="96"/>
      <c r="AY68" s="95"/>
      <c r="AZ68" s="98"/>
      <c r="BA68" s="99"/>
      <c r="BB68" s="95"/>
      <c r="BC68" s="96"/>
      <c r="BD68" s="96"/>
      <c r="BE68" s="98"/>
    </row>
    <row r="69" spans="1:57" ht="6" customHeight="1">
      <c r="A69" s="330"/>
      <c r="B69" s="329"/>
      <c r="C69" s="392"/>
      <c r="D69" s="329"/>
      <c r="E69" s="392"/>
      <c r="F69" s="329"/>
      <c r="G69" s="392"/>
      <c r="H69" s="329"/>
      <c r="I69" s="331"/>
      <c r="J69" s="392"/>
      <c r="K69" s="393"/>
      <c r="L69" s="333"/>
      <c r="M69" s="333"/>
      <c r="N69" s="393"/>
      <c r="O69" s="333"/>
      <c r="P69" s="393"/>
      <c r="Q69" s="333"/>
      <c r="R69" s="393"/>
      <c r="S69" s="341"/>
      <c r="T69" s="328"/>
      <c r="U69" s="328"/>
      <c r="V69" s="328"/>
      <c r="W69" s="328"/>
      <c r="X69" s="328"/>
      <c r="Y69" s="328"/>
      <c r="Z69" s="328"/>
      <c r="AA69" s="95"/>
      <c r="AB69" s="96"/>
      <c r="AC69" s="96"/>
      <c r="AD69" s="96"/>
      <c r="AE69" s="96"/>
      <c r="AF69" s="454"/>
      <c r="AG69" s="95"/>
      <c r="AH69" s="96"/>
      <c r="AI69" s="95"/>
      <c r="AJ69" s="96"/>
      <c r="AK69" s="95"/>
      <c r="AL69" s="96"/>
      <c r="AM69" s="95"/>
      <c r="AN69" s="98"/>
      <c r="AO69" s="96"/>
      <c r="AP69" s="96"/>
      <c r="AQ69" s="95"/>
      <c r="AR69" s="98"/>
      <c r="AS69" s="96"/>
      <c r="AT69" s="96"/>
      <c r="AU69" s="95"/>
      <c r="AV69" s="98"/>
      <c r="AW69" s="96"/>
      <c r="AX69" s="96"/>
      <c r="AY69" s="95"/>
      <c r="AZ69" s="98"/>
      <c r="BA69" s="99"/>
      <c r="BB69" s="95"/>
      <c r="BC69" s="96"/>
      <c r="BD69" s="96"/>
      <c r="BE69" s="98"/>
    </row>
    <row r="70" spans="1:57" ht="12" customHeight="1">
      <c r="A70" s="394">
        <f>+A61+A68</f>
        <v>466261.04000000004</v>
      </c>
      <c r="B70" s="338">
        <f>IF(A70=0,0,(A70*100)/A$70)</f>
        <v>99.999999999999986</v>
      </c>
      <c r="C70" s="395">
        <f>+C61+C68</f>
        <v>-451158.42</v>
      </c>
      <c r="D70" s="338">
        <f>IF(C70=0,0,(C70*100)/C$70)</f>
        <v>100</v>
      </c>
      <c r="E70" s="395">
        <f>+E61+E68</f>
        <v>0</v>
      </c>
      <c r="F70" s="338">
        <f>IF(E70=0,0,(E70*100)/E$70)</f>
        <v>0</v>
      </c>
      <c r="G70" s="395">
        <f>+G61+G68</f>
        <v>451158.42</v>
      </c>
      <c r="H70" s="338">
        <f>IF(G70=0,0,(G70*100)/G$70)</f>
        <v>100</v>
      </c>
      <c r="I70" s="395"/>
      <c r="J70" s="396" t="s">
        <v>1148</v>
      </c>
      <c r="K70" s="395"/>
      <c r="L70" s="338">
        <f>+L61+L68</f>
        <v>451158.42</v>
      </c>
      <c r="M70" s="338">
        <f>IF(L70=0,0,(L70*100)/L$70)</f>
        <v>100</v>
      </c>
      <c r="N70" s="395">
        <f>+N61+N68</f>
        <v>0</v>
      </c>
      <c r="O70" s="338">
        <f>IF(N70=0,0,(N70*100)/N$70)</f>
        <v>0</v>
      </c>
      <c r="P70" s="395">
        <f>+P61+P68</f>
        <v>-451158.42</v>
      </c>
      <c r="Q70" s="338">
        <f>IF(P70=0,0,(P70*100)/P$70)</f>
        <v>100</v>
      </c>
      <c r="R70" s="395">
        <f>+R61+R68</f>
        <v>466261.04000000004</v>
      </c>
      <c r="S70" s="338">
        <f>IF(R70=0,0,(R70*100)/R$70)</f>
        <v>99.999999999999986</v>
      </c>
      <c r="T70" s="397"/>
      <c r="U70" s="397"/>
      <c r="V70" s="397"/>
      <c r="W70" s="397"/>
      <c r="X70" s="397"/>
      <c r="Y70" s="397"/>
      <c r="Z70" s="397"/>
      <c r="AA70" s="95"/>
      <c r="AB70" s="96"/>
      <c r="AC70" s="96"/>
      <c r="AD70" s="96"/>
      <c r="AE70" s="96"/>
      <c r="AF70" s="454"/>
      <c r="AG70" s="95"/>
      <c r="AH70" s="96"/>
      <c r="AI70" s="95"/>
      <c r="AJ70" s="96"/>
      <c r="AK70" s="95"/>
      <c r="AL70" s="96"/>
      <c r="AM70" s="95"/>
      <c r="AN70" s="98"/>
      <c r="AO70" s="96"/>
      <c r="AP70" s="96"/>
      <c r="AQ70" s="95"/>
      <c r="AR70" s="98"/>
      <c r="AS70" s="96"/>
      <c r="AT70" s="96"/>
      <c r="AU70" s="95"/>
      <c r="AV70" s="98"/>
      <c r="AW70" s="96"/>
      <c r="AX70" s="96"/>
      <c r="AY70" s="95"/>
      <c r="AZ70" s="98"/>
      <c r="BA70" s="99"/>
      <c r="BB70" s="95"/>
      <c r="BC70" s="96"/>
      <c r="BD70" s="96"/>
      <c r="BE70" s="98"/>
    </row>
    <row r="71" spans="1:57" ht="12" customHeight="1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369"/>
      <c r="M71" s="125"/>
      <c r="N71" s="125"/>
      <c r="O71" s="125"/>
      <c r="P71" s="125"/>
      <c r="Q71" s="125"/>
      <c r="R71" s="125"/>
      <c r="S71" s="125"/>
      <c r="T71" s="60"/>
      <c r="U71" s="60"/>
      <c r="V71" s="137"/>
      <c r="W71" s="137"/>
      <c r="X71" s="137"/>
      <c r="Y71" s="137"/>
      <c r="Z71" s="137"/>
    </row>
    <row r="72" spans="1:57" ht="12" customHeight="1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60"/>
      <c r="U72" s="60"/>
      <c r="V72" s="137"/>
      <c r="W72" s="137"/>
      <c r="X72" s="137"/>
      <c r="Y72" s="137"/>
      <c r="Z72" s="137"/>
    </row>
    <row r="73" spans="1:57" ht="12" customHeight="1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60"/>
      <c r="U73" s="60"/>
      <c r="V73" s="137"/>
      <c r="W73" s="137"/>
      <c r="X73" s="137"/>
      <c r="Y73" s="137"/>
      <c r="Z73" s="137"/>
    </row>
    <row r="74" spans="1:57" ht="12" customHeight="1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60"/>
      <c r="U74" s="60"/>
      <c r="V74" s="137"/>
      <c r="W74" s="137"/>
      <c r="X74" s="137"/>
      <c r="Y74" s="137"/>
      <c r="Z74" s="137"/>
    </row>
    <row r="75" spans="1:57" ht="12" customHeight="1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60"/>
      <c r="U75" s="60"/>
      <c r="V75" s="137"/>
      <c r="W75" s="137"/>
      <c r="X75" s="137"/>
      <c r="Y75" s="137"/>
      <c r="Z75" s="137"/>
    </row>
    <row r="76" spans="1:57" ht="12" customHeight="1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60"/>
      <c r="U76" s="60"/>
      <c r="V76" s="137"/>
      <c r="W76" s="137"/>
      <c r="X76" s="137"/>
      <c r="Y76" s="137"/>
      <c r="Z76" s="137"/>
    </row>
    <row r="77" spans="1:57" ht="12" customHeight="1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60"/>
      <c r="U77" s="60"/>
      <c r="V77" s="137"/>
      <c r="W77" s="137"/>
      <c r="X77" s="137"/>
      <c r="Y77" s="137"/>
      <c r="Z77" s="137"/>
    </row>
    <row r="78" spans="1:57" ht="12" customHeight="1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60"/>
      <c r="U78" s="60"/>
      <c r="V78" s="137"/>
      <c r="W78" s="137"/>
      <c r="X78" s="137"/>
      <c r="Y78" s="137"/>
      <c r="Z78" s="137"/>
    </row>
    <row r="79" spans="1:57" ht="12" customHeight="1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60"/>
      <c r="U79" s="60"/>
      <c r="V79" s="137"/>
      <c r="W79" s="137"/>
      <c r="X79" s="137"/>
      <c r="Y79" s="137"/>
      <c r="Z79" s="137"/>
    </row>
    <row r="80" spans="1:57" ht="12" customHeight="1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60"/>
      <c r="U80" s="60"/>
      <c r="V80" s="137"/>
      <c r="W80" s="137"/>
      <c r="X80" s="137"/>
      <c r="Y80" s="137"/>
      <c r="Z80" s="137"/>
    </row>
    <row r="81" spans="1:26" ht="12" customHeight="1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60"/>
      <c r="U81" s="60"/>
      <c r="V81" s="137"/>
      <c r="W81" s="137"/>
      <c r="X81" s="137"/>
      <c r="Y81" s="137"/>
      <c r="Z81" s="137"/>
    </row>
    <row r="82" spans="1:26" ht="12" customHeight="1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60"/>
      <c r="U82" s="60"/>
      <c r="V82" s="137"/>
      <c r="W82" s="137"/>
      <c r="X82" s="137"/>
      <c r="Y82" s="137"/>
      <c r="Z82" s="137"/>
    </row>
    <row r="83" spans="1:26" ht="12" customHeight="1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60"/>
      <c r="U83" s="60"/>
      <c r="V83" s="137"/>
      <c r="W83" s="137"/>
      <c r="X83" s="137"/>
      <c r="Y83" s="137"/>
      <c r="Z83" s="137"/>
    </row>
    <row r="84" spans="1:26" ht="12" customHeight="1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60"/>
      <c r="U84" s="60"/>
      <c r="V84" s="137"/>
      <c r="W84" s="137"/>
      <c r="X84" s="137"/>
      <c r="Y84" s="137"/>
      <c r="Z84" s="137"/>
    </row>
    <row r="85" spans="1:26" ht="12" customHeight="1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60"/>
      <c r="U85" s="60"/>
      <c r="V85" s="137"/>
      <c r="W85" s="137"/>
      <c r="X85" s="137"/>
      <c r="Y85" s="137"/>
      <c r="Z85" s="137"/>
    </row>
    <row r="86" spans="1:26" ht="12" customHeight="1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60"/>
      <c r="U86" s="60"/>
      <c r="V86" s="137"/>
      <c r="W86" s="137"/>
      <c r="X86" s="137"/>
      <c r="Y86" s="137"/>
      <c r="Z86" s="137"/>
    </row>
    <row r="87" spans="1:26" ht="12" customHeight="1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60"/>
      <c r="U87" s="60"/>
      <c r="V87" s="137"/>
      <c r="W87" s="137"/>
      <c r="X87" s="137"/>
      <c r="Y87" s="137"/>
      <c r="Z87" s="137"/>
    </row>
    <row r="88" spans="1:26" ht="12" customHeight="1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60"/>
      <c r="U88" s="60"/>
      <c r="V88" s="137"/>
      <c r="W88" s="137"/>
      <c r="X88" s="137"/>
      <c r="Y88" s="137"/>
      <c r="Z88" s="137"/>
    </row>
    <row r="89" spans="1:26" ht="12" customHeight="1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60"/>
      <c r="U89" s="60"/>
      <c r="V89" s="137"/>
      <c r="W89" s="137"/>
      <c r="X89" s="137"/>
      <c r="Y89" s="137"/>
      <c r="Z89" s="137"/>
    </row>
    <row r="90" spans="1:26" ht="12" customHeight="1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60"/>
      <c r="U90" s="60"/>
      <c r="V90" s="137"/>
      <c r="W90" s="137"/>
      <c r="X90" s="137"/>
      <c r="Y90" s="137"/>
      <c r="Z90" s="137"/>
    </row>
    <row r="91" spans="1:26" ht="12" customHeight="1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60"/>
      <c r="U91" s="60"/>
      <c r="V91" s="137"/>
      <c r="W91" s="137"/>
      <c r="X91" s="137"/>
      <c r="Y91" s="137"/>
      <c r="Z91" s="137"/>
    </row>
    <row r="92" spans="1:26" ht="12" customHeight="1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60"/>
      <c r="U92" s="60"/>
      <c r="V92" s="137"/>
      <c r="W92" s="137"/>
      <c r="X92" s="137"/>
      <c r="Y92" s="137"/>
      <c r="Z92" s="137"/>
    </row>
    <row r="93" spans="1:26" ht="12" customHeight="1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60"/>
      <c r="U93" s="60"/>
      <c r="V93" s="137"/>
      <c r="W93" s="137"/>
      <c r="X93" s="137"/>
      <c r="Y93" s="137"/>
      <c r="Z93" s="137"/>
    </row>
    <row r="94" spans="1:26" ht="12" customHeight="1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60"/>
      <c r="U94" s="60"/>
      <c r="V94" s="137"/>
      <c r="W94" s="137"/>
      <c r="X94" s="137"/>
      <c r="Y94" s="137"/>
      <c r="Z94" s="137"/>
    </row>
    <row r="95" spans="1:26" ht="12" customHeight="1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60"/>
      <c r="U95" s="60"/>
      <c r="V95" s="137"/>
      <c r="W95" s="137"/>
      <c r="X95" s="137"/>
      <c r="Y95" s="137"/>
      <c r="Z95" s="137"/>
    </row>
    <row r="96" spans="1:26" ht="12" customHeight="1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60"/>
      <c r="U96" s="60"/>
      <c r="V96" s="137"/>
      <c r="W96" s="137"/>
      <c r="X96" s="137"/>
      <c r="Y96" s="137"/>
      <c r="Z96" s="137"/>
    </row>
    <row r="97" spans="1:26" ht="12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</row>
    <row r="98" spans="1:26" ht="12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</row>
    <row r="99" spans="1:26" ht="12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</row>
    <row r="100" spans="1:26" ht="12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</row>
    <row r="101" spans="1:26" ht="12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</row>
    <row r="102" spans="1:26" ht="12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</row>
    <row r="103" spans="1:26" ht="12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</row>
    <row r="104" spans="1:26" ht="12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</row>
    <row r="105" spans="1:26" ht="12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</row>
    <row r="106" spans="1:26" ht="12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</row>
    <row r="107" spans="1:26" ht="12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</row>
    <row r="108" spans="1:26" ht="12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</row>
    <row r="109" spans="1:26" ht="12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</row>
    <row r="110" spans="1:26" ht="12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</row>
    <row r="111" spans="1:26" ht="12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</row>
    <row r="112" spans="1:26" ht="12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</row>
    <row r="113" spans="1:26" ht="12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</row>
    <row r="114" spans="1:26" ht="12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</row>
    <row r="115" spans="1:26" ht="12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</row>
    <row r="116" spans="1:26" ht="12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</row>
    <row r="117" spans="1:26" ht="12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</row>
    <row r="118" spans="1:26" ht="12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</row>
    <row r="119" spans="1:26" ht="12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</row>
    <row r="120" spans="1:26" ht="12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</row>
    <row r="121" spans="1:26" ht="12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</row>
    <row r="122" spans="1:26" ht="12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</row>
    <row r="123" spans="1:26" ht="12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</row>
    <row r="124" spans="1:26" ht="12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</row>
    <row r="125" spans="1:26" ht="12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</row>
    <row r="126" spans="1:26" ht="12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</row>
    <row r="127" spans="1:26" ht="12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</row>
    <row r="128" spans="1:26" ht="12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</row>
    <row r="129" spans="1:26" ht="12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</row>
    <row r="130" spans="1:26" ht="12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</row>
    <row r="131" spans="1:26" ht="12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</row>
    <row r="132" spans="1:26" ht="12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</row>
    <row r="133" spans="1:26" ht="12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</row>
    <row r="134" spans="1:26" ht="12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</row>
    <row r="135" spans="1:26" ht="12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</row>
    <row r="136" spans="1:26" ht="12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</row>
    <row r="137" spans="1:26" ht="12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</row>
    <row r="138" spans="1:26" ht="12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</row>
    <row r="139" spans="1:26" ht="12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</row>
    <row r="140" spans="1:26" ht="12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</row>
    <row r="141" spans="1:26" ht="12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</row>
    <row r="142" spans="1:26" ht="12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</row>
    <row r="143" spans="1:26" ht="12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</row>
    <row r="144" spans="1:26" ht="12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</row>
    <row r="145" spans="1:26" ht="12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</row>
    <row r="146" spans="1:26" ht="12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</row>
    <row r="147" spans="1:26" ht="12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</row>
    <row r="148" spans="1:26" ht="12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</row>
    <row r="149" spans="1:26" ht="12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</row>
    <row r="150" spans="1:26" ht="12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</row>
    <row r="151" spans="1:26" ht="12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</row>
    <row r="152" spans="1:26" ht="12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</row>
    <row r="153" spans="1:26" ht="12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</row>
    <row r="154" spans="1:26" ht="12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</row>
    <row r="155" spans="1:26" ht="12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</row>
    <row r="156" spans="1:26" ht="12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</row>
    <row r="157" spans="1:26" ht="12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</row>
    <row r="158" spans="1:26" ht="12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</row>
    <row r="159" spans="1:26" ht="12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</row>
    <row r="160" spans="1:26" ht="12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</row>
    <row r="161" spans="1:26" ht="12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</row>
    <row r="162" spans="1:26" ht="12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</row>
    <row r="163" spans="1:26" ht="12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</row>
    <row r="164" spans="1:26" ht="12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</row>
    <row r="165" spans="1:26" ht="12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</row>
    <row r="166" spans="1:26" ht="12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</row>
    <row r="167" spans="1:26" ht="12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</row>
    <row r="168" spans="1:26" ht="12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</row>
    <row r="169" spans="1:26" ht="12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</row>
    <row r="170" spans="1:26" ht="12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</row>
    <row r="171" spans="1:26" ht="12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</row>
    <row r="172" spans="1:26" ht="12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</row>
    <row r="173" spans="1:26" ht="12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</row>
    <row r="174" spans="1:26" ht="12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</row>
    <row r="175" spans="1:26" ht="12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</row>
    <row r="176" spans="1:26" ht="12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</row>
    <row r="177" spans="1:26" ht="12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</row>
    <row r="178" spans="1:26" ht="12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</row>
    <row r="179" spans="1:26" ht="12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</row>
    <row r="180" spans="1:26" ht="12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</row>
    <row r="181" spans="1:26" ht="12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</row>
    <row r="182" spans="1:26" ht="12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</row>
    <row r="183" spans="1:26" ht="12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</row>
    <row r="184" spans="1:26" ht="12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</row>
    <row r="185" spans="1:26" ht="12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</row>
    <row r="186" spans="1:26" ht="12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</row>
    <row r="187" spans="1:26" ht="12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</row>
    <row r="188" spans="1:26" ht="12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</row>
    <row r="189" spans="1:26" ht="12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</row>
    <row r="190" spans="1:26" ht="12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</row>
    <row r="191" spans="1:26" ht="12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</row>
    <row r="192" spans="1:26" ht="12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</row>
    <row r="193" spans="1:26" ht="12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</row>
    <row r="194" spans="1:26" ht="12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</row>
    <row r="195" spans="1:26" ht="12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</row>
    <row r="196" spans="1:26" ht="12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</row>
    <row r="197" spans="1:26" ht="12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</row>
    <row r="198" spans="1:26" ht="12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</row>
    <row r="199" spans="1:26" ht="12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</row>
    <row r="200" spans="1:26" ht="12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</row>
    <row r="201" spans="1:26" ht="12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</row>
    <row r="202" spans="1:26" ht="12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</row>
    <row r="203" spans="1:26" ht="12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</row>
    <row r="204" spans="1:26" ht="12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</row>
    <row r="205" spans="1:26" ht="12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</row>
    <row r="206" spans="1:26" ht="12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</row>
    <row r="207" spans="1:26" ht="12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</row>
    <row r="208" spans="1:26" ht="12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</row>
    <row r="209" spans="1:26" ht="12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</row>
    <row r="210" spans="1:26" ht="12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</row>
    <row r="211" spans="1:26" ht="12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</row>
    <row r="212" spans="1:26" ht="12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</row>
    <row r="213" spans="1:26" ht="12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</row>
    <row r="214" spans="1:26" ht="12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</row>
    <row r="215" spans="1:26" ht="12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</row>
    <row r="216" spans="1:26" ht="12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</row>
    <row r="217" spans="1:26" ht="12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</row>
    <row r="218" spans="1:26" ht="12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</row>
    <row r="219" spans="1:26" ht="12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</row>
    <row r="220" spans="1:26" ht="12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</row>
    <row r="221" spans="1:26" ht="12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</row>
    <row r="222" spans="1:26" ht="12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</row>
    <row r="223" spans="1:26" ht="12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</row>
    <row r="224" spans="1:26" ht="12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</row>
    <row r="225" spans="1:26" ht="12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</row>
    <row r="226" spans="1:26" ht="12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</row>
    <row r="227" spans="1:26" ht="12" customHeight="1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</row>
    <row r="228" spans="1:26" ht="12" customHeight="1">
      <c r="A228" s="137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</row>
    <row r="229" spans="1:26" ht="12" customHeight="1">
      <c r="A229" s="137"/>
      <c r="B229" s="137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</row>
    <row r="230" spans="1:26" ht="12" customHeight="1">
      <c r="A230" s="137"/>
      <c r="B230" s="137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</row>
    <row r="231" spans="1:26" ht="12" customHeight="1">
      <c r="A231" s="137"/>
      <c r="B231" s="137"/>
      <c r="C231" s="137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</row>
    <row r="232" spans="1:26" ht="12" customHeight="1">
      <c r="A232" s="137"/>
      <c r="B232" s="137"/>
      <c r="C232" s="137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</row>
    <row r="233" spans="1:26" ht="12" customHeight="1">
      <c r="A233" s="137"/>
      <c r="B233" s="137"/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</row>
    <row r="234" spans="1:26" ht="12" customHeight="1">
      <c r="A234" s="137"/>
      <c r="B234" s="137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</row>
    <row r="235" spans="1:26" ht="12" customHeight="1">
      <c r="A235" s="137"/>
      <c r="B235" s="137"/>
      <c r="C235" s="137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</row>
    <row r="236" spans="1:26" ht="12" customHeight="1">
      <c r="A236" s="137"/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</row>
    <row r="237" spans="1:26" ht="12" customHeight="1">
      <c r="A237" s="137"/>
      <c r="B237" s="137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</row>
    <row r="238" spans="1:26" ht="12" customHeight="1">
      <c r="A238" s="137"/>
      <c r="B238" s="137"/>
      <c r="C238" s="137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</row>
    <row r="239" spans="1:26" ht="12" customHeight="1">
      <c r="A239" s="137"/>
      <c r="B239" s="137"/>
      <c r="C239" s="137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</row>
    <row r="240" spans="1:26" ht="12" customHeight="1">
      <c r="A240" s="137"/>
      <c r="B240" s="137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</row>
    <row r="241" spans="1:26" ht="12" customHeight="1">
      <c r="A241" s="137"/>
      <c r="B241" s="137"/>
      <c r="C241" s="137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</row>
    <row r="242" spans="1:26" ht="12" customHeight="1">
      <c r="A242" s="137"/>
      <c r="B242" s="137"/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</row>
    <row r="243" spans="1:26" ht="12" customHeight="1">
      <c r="A243" s="137"/>
      <c r="B243" s="137"/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</row>
    <row r="244" spans="1:26" ht="12" customHeight="1">
      <c r="A244" s="137"/>
      <c r="B244" s="137"/>
      <c r="C244" s="137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</row>
    <row r="245" spans="1:26" ht="12" customHeight="1">
      <c r="A245" s="137"/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</row>
    <row r="246" spans="1:26" ht="12" customHeight="1">
      <c r="A246" s="137"/>
      <c r="B246" s="137"/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</row>
    <row r="247" spans="1:26" ht="12" customHeight="1">
      <c r="A247" s="137"/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</row>
    <row r="248" spans="1:26" ht="12" customHeight="1">
      <c r="A248" s="137"/>
      <c r="B248" s="137"/>
      <c r="C248" s="137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</row>
    <row r="249" spans="1:26" ht="12" customHeight="1">
      <c r="A249" s="137"/>
      <c r="B249" s="137"/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</row>
    <row r="250" spans="1:26" ht="12" customHeight="1">
      <c r="A250" s="137"/>
      <c r="B250" s="137"/>
      <c r="C250" s="137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</row>
    <row r="251" spans="1:26" ht="12" customHeight="1">
      <c r="A251" s="137"/>
      <c r="B251" s="137"/>
      <c r="C251" s="137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</row>
    <row r="252" spans="1:26" ht="12" customHeight="1">
      <c r="A252" s="137"/>
      <c r="B252" s="137"/>
      <c r="C252" s="137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</row>
    <row r="253" spans="1:26" ht="12" customHeight="1">
      <c r="A253" s="137"/>
      <c r="B253" s="137"/>
      <c r="C253" s="137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</row>
    <row r="254" spans="1:26" ht="12" customHeight="1">
      <c r="A254" s="137"/>
      <c r="B254" s="137"/>
      <c r="C254" s="137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</row>
    <row r="255" spans="1:26" ht="12" customHeight="1">
      <c r="A255" s="137"/>
      <c r="B255" s="137"/>
      <c r="C255" s="137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</row>
    <row r="256" spans="1:26" ht="12" customHeight="1">
      <c r="A256" s="137"/>
      <c r="B256" s="137"/>
      <c r="C256" s="137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</row>
    <row r="257" spans="1:26" ht="12" customHeight="1">
      <c r="A257" s="137"/>
      <c r="B257" s="137"/>
      <c r="C257" s="137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</row>
    <row r="258" spans="1:26" ht="12" customHeight="1">
      <c r="A258" s="137"/>
      <c r="B258" s="137"/>
      <c r="C258" s="137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</row>
    <row r="259" spans="1:26" ht="12" customHeight="1">
      <c r="A259" s="137"/>
      <c r="B259" s="137"/>
      <c r="C259" s="137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</row>
    <row r="260" spans="1:26" ht="12" customHeight="1">
      <c r="A260" s="137"/>
      <c r="B260" s="137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</row>
    <row r="261" spans="1:26" ht="12" customHeight="1">
      <c r="A261" s="137"/>
      <c r="B261" s="137"/>
      <c r="C261" s="137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</row>
    <row r="262" spans="1:26" ht="12" customHeight="1">
      <c r="A262" s="137"/>
      <c r="B262" s="137"/>
      <c r="C262" s="137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</row>
    <row r="263" spans="1:26" ht="12" customHeight="1">
      <c r="A263" s="137"/>
      <c r="B263" s="137"/>
      <c r="C263" s="137"/>
      <c r="D263" s="137"/>
      <c r="E263" s="137"/>
      <c r="F263" s="137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</row>
    <row r="264" spans="1:26" ht="12" customHeight="1">
      <c r="A264" s="137"/>
      <c r="B264" s="137"/>
      <c r="C264" s="137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</row>
    <row r="265" spans="1:26" ht="12" customHeight="1">
      <c r="A265" s="137"/>
      <c r="B265" s="137"/>
      <c r="C265" s="137"/>
      <c r="D265" s="137"/>
      <c r="E265" s="137"/>
      <c r="F265" s="137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</row>
    <row r="266" spans="1:26" ht="12" customHeight="1">
      <c r="A266" s="137"/>
      <c r="B266" s="137"/>
      <c r="C266" s="137"/>
      <c r="D266" s="137"/>
      <c r="E266" s="137"/>
      <c r="F266" s="137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</row>
    <row r="267" spans="1:26" ht="12" customHeight="1">
      <c r="A267" s="137"/>
      <c r="B267" s="137"/>
      <c r="C267" s="137"/>
      <c r="D267" s="137"/>
      <c r="E267" s="137"/>
      <c r="F267" s="137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</row>
    <row r="268" spans="1:26" ht="12" customHeight="1">
      <c r="A268" s="137"/>
      <c r="B268" s="137"/>
      <c r="C268" s="137"/>
      <c r="D268" s="137"/>
      <c r="E268" s="137"/>
      <c r="F268" s="137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</row>
    <row r="269" spans="1:26" ht="12" customHeight="1">
      <c r="A269" s="137"/>
      <c r="B269" s="137"/>
      <c r="C269" s="137"/>
      <c r="D269" s="137"/>
      <c r="E269" s="137"/>
      <c r="F269" s="137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</row>
    <row r="270" spans="1:26" ht="12" customHeight="1">
      <c r="A270" s="137"/>
      <c r="B270" s="137"/>
      <c r="C270" s="137"/>
      <c r="D270" s="137"/>
      <c r="E270" s="137"/>
      <c r="F270" s="137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</row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S5:AT5"/>
    <mergeCell ref="AU5:AV5"/>
    <mergeCell ref="AW5:AX5"/>
    <mergeCell ref="AY5:AZ5"/>
    <mergeCell ref="A2:S2"/>
    <mergeCell ref="AA3:BE3"/>
    <mergeCell ref="A4:H4"/>
    <mergeCell ref="L4:S4"/>
    <mergeCell ref="AA4:AE4"/>
    <mergeCell ref="AG4:AZ4"/>
    <mergeCell ref="BB4:BE5"/>
    <mergeCell ref="A5:B5"/>
    <mergeCell ref="C5:D5"/>
    <mergeCell ref="E5:F5"/>
    <mergeCell ref="G5:H5"/>
    <mergeCell ref="L5:M5"/>
    <mergeCell ref="N5:O5"/>
    <mergeCell ref="P5:Q5"/>
    <mergeCell ref="R5:S5"/>
    <mergeCell ref="AA5:AA6"/>
    <mergeCell ref="AB5:AB6"/>
    <mergeCell ref="AK5:AL5"/>
    <mergeCell ref="AM5:AN5"/>
    <mergeCell ref="AO5:AP5"/>
    <mergeCell ref="AQ5:AR5"/>
    <mergeCell ref="AC5:AC6"/>
    <mergeCell ref="AD5:AD6"/>
    <mergeCell ref="AE5:AE6"/>
    <mergeCell ref="AG5:AH5"/>
    <mergeCell ref="AI5:AJ5"/>
  </mergeCells>
  <dataValidations count="1">
    <dataValidation type="list" allowBlank="1" showErrorMessage="1" sqref="BB7:BB70" xr:uid="{00000000-0002-0000-0F00-000000000000}">
      <formula1>"A,O"</formula1>
    </dataValidation>
  </dataValidations>
  <printOptions horizontalCentered="1"/>
  <pageMargins left="7.8740157480314977E-3" right="7.8740157480314977E-3" top="0.44" bottom="0.15748031496062992" header="0" footer="0"/>
  <pageSetup paperSize="9" scale="90" orientation="landscape"/>
  <headerFooter>
    <oddFooter>&amp;L&amp;F; &amp;A&amp;CPage &amp;P of &amp;RPrint on &amp;D, &amp;T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35" customWidth="1"/>
    <col min="2" max="2" width="17.85546875" customWidth="1"/>
    <col min="3" max="3" width="8.28515625" customWidth="1"/>
    <col min="4" max="4" width="17.85546875" customWidth="1"/>
    <col min="5" max="5" width="7.5703125" customWidth="1"/>
    <col min="6" max="6" width="17.85546875" customWidth="1"/>
    <col min="7" max="7" width="7.5703125" customWidth="1"/>
    <col min="8" max="9" width="17.85546875" customWidth="1"/>
    <col min="10" max="10" width="7.5703125" customWidth="1"/>
    <col min="11" max="11" width="3.42578125" customWidth="1"/>
    <col min="12" max="26" width="10.28515625" hidden="1" customWidth="1"/>
  </cols>
  <sheetData>
    <row r="1" spans="1:57" ht="13.5" customHeight="1">
      <c r="A1" s="457" t="str">
        <f>HName</f>
        <v xml:space="preserve">Example </v>
      </c>
      <c r="B1" s="458">
        <f t="array" ref="B1">YR</f>
        <v>2026</v>
      </c>
      <c r="C1" s="459"/>
      <c r="D1" s="458"/>
      <c r="E1" s="459"/>
      <c r="F1" s="458"/>
      <c r="G1" s="459"/>
      <c r="H1" s="458"/>
      <c r="I1" s="458"/>
      <c r="J1" s="459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8"/>
    </row>
    <row r="2" spans="1:57" ht="13.5" customHeight="1">
      <c r="A2" s="460" t="s">
        <v>1149</v>
      </c>
      <c r="B2" s="460"/>
      <c r="C2" s="459"/>
      <c r="D2" s="458"/>
      <c r="E2" s="459"/>
      <c r="F2" s="458"/>
      <c r="G2" s="459"/>
      <c r="H2" s="461"/>
      <c r="I2" s="462"/>
      <c r="J2" s="459"/>
      <c r="K2" s="458"/>
      <c r="L2" s="458"/>
      <c r="M2" s="458"/>
      <c r="N2" s="458"/>
      <c r="O2" s="458"/>
      <c r="P2" s="458"/>
      <c r="Q2" s="458"/>
      <c r="R2" s="458"/>
      <c r="S2" s="458"/>
      <c r="T2" s="458"/>
      <c r="U2" s="458"/>
      <c r="V2" s="458"/>
      <c r="W2" s="458"/>
      <c r="X2" s="458"/>
      <c r="Y2" s="458"/>
      <c r="Z2" s="458"/>
      <c r="AA2" s="656" t="s">
        <v>29</v>
      </c>
      <c r="AB2" s="660"/>
      <c r="AC2" s="660"/>
      <c r="AD2" s="660"/>
      <c r="AE2" s="660"/>
      <c r="AF2" s="660"/>
      <c r="AG2" s="660"/>
      <c r="AH2" s="660"/>
      <c r="AI2" s="660"/>
      <c r="AJ2" s="660"/>
      <c r="AK2" s="660"/>
      <c r="AL2" s="660"/>
      <c r="AM2" s="660"/>
      <c r="AN2" s="660"/>
      <c r="AO2" s="660"/>
      <c r="AP2" s="660"/>
      <c r="AQ2" s="660"/>
      <c r="AR2" s="660"/>
      <c r="AS2" s="660"/>
      <c r="AT2" s="660"/>
      <c r="AU2" s="660"/>
      <c r="AV2" s="660"/>
      <c r="AW2" s="660"/>
      <c r="AX2" s="660"/>
      <c r="AY2" s="660"/>
      <c r="AZ2" s="660"/>
      <c r="BA2" s="660"/>
      <c r="BB2" s="660"/>
      <c r="BC2" s="660"/>
      <c r="BD2" s="660"/>
      <c r="BE2" s="657"/>
    </row>
    <row r="3" spans="1:57" ht="13.5" customHeight="1">
      <c r="A3" s="702">
        <f>DATE(YR,PRD,DD)</f>
        <v>46022</v>
      </c>
      <c r="B3" s="687"/>
      <c r="C3" s="459"/>
      <c r="D3" s="458"/>
      <c r="E3" s="459"/>
      <c r="F3" s="463"/>
      <c r="G3" s="459"/>
      <c r="H3" s="458"/>
      <c r="I3" s="464"/>
      <c r="J3" s="459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8"/>
      <c r="AA3" s="671" t="s">
        <v>30</v>
      </c>
      <c r="AB3" s="665"/>
      <c r="AC3" s="665"/>
      <c r="AD3" s="665"/>
      <c r="AE3" s="665"/>
      <c r="AF3" s="74"/>
      <c r="AG3" s="671" t="s">
        <v>31</v>
      </c>
      <c r="AH3" s="665"/>
      <c r="AI3" s="665"/>
      <c r="AJ3" s="665"/>
      <c r="AK3" s="665"/>
      <c r="AL3" s="665"/>
      <c r="AM3" s="665"/>
      <c r="AN3" s="665"/>
      <c r="AO3" s="665"/>
      <c r="AP3" s="665"/>
      <c r="AQ3" s="665"/>
      <c r="AR3" s="665"/>
      <c r="AS3" s="665"/>
      <c r="AT3" s="665"/>
      <c r="AU3" s="665"/>
      <c r="AV3" s="665"/>
      <c r="AW3" s="665"/>
      <c r="AX3" s="665"/>
      <c r="AY3" s="665"/>
      <c r="AZ3" s="672"/>
      <c r="BA3" s="74"/>
      <c r="BB3" s="673" t="s">
        <v>32</v>
      </c>
      <c r="BC3" s="674"/>
      <c r="BD3" s="674"/>
      <c r="BE3" s="675"/>
    </row>
    <row r="4" spans="1:57" ht="13.5" customHeight="1">
      <c r="A4" s="465" t="s">
        <v>515</v>
      </c>
      <c r="B4" s="466" t="s">
        <v>1150</v>
      </c>
      <c r="C4" s="467" t="s">
        <v>37</v>
      </c>
      <c r="D4" s="468" t="s">
        <v>1151</v>
      </c>
      <c r="E4" s="467" t="s">
        <v>37</v>
      </c>
      <c r="F4" s="468" t="s">
        <v>513</v>
      </c>
      <c r="G4" s="467" t="s">
        <v>37</v>
      </c>
      <c r="H4" s="468" t="s">
        <v>512</v>
      </c>
      <c r="I4" s="466" t="s">
        <v>1152</v>
      </c>
      <c r="J4" s="467" t="s">
        <v>37</v>
      </c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658" t="s">
        <v>38</v>
      </c>
      <c r="AB4" s="658" t="s">
        <v>39</v>
      </c>
      <c r="AC4" s="673" t="s">
        <v>40</v>
      </c>
      <c r="AD4" s="658" t="s">
        <v>41</v>
      </c>
      <c r="AE4" s="673" t="s">
        <v>42</v>
      </c>
      <c r="AF4" s="80"/>
      <c r="AG4" s="656" t="s">
        <v>43</v>
      </c>
      <c r="AH4" s="660"/>
      <c r="AI4" s="656" t="s">
        <v>44</v>
      </c>
      <c r="AJ4" s="660"/>
      <c r="AK4" s="656" t="s">
        <v>45</v>
      </c>
      <c r="AL4" s="660"/>
      <c r="AM4" s="656" t="s">
        <v>46</v>
      </c>
      <c r="AN4" s="657"/>
      <c r="AO4" s="680" t="s">
        <v>47</v>
      </c>
      <c r="AP4" s="660"/>
      <c r="AQ4" s="656" t="s">
        <v>48</v>
      </c>
      <c r="AR4" s="657"/>
      <c r="AS4" s="680" t="s">
        <v>49</v>
      </c>
      <c r="AT4" s="660"/>
      <c r="AU4" s="656" t="s">
        <v>50</v>
      </c>
      <c r="AV4" s="657"/>
      <c r="AW4" s="680" t="s">
        <v>51</v>
      </c>
      <c r="AX4" s="657"/>
      <c r="AY4" s="656" t="s">
        <v>52</v>
      </c>
      <c r="AZ4" s="657"/>
      <c r="BA4" s="81"/>
      <c r="BB4" s="676"/>
      <c r="BC4" s="677"/>
      <c r="BD4" s="677"/>
      <c r="BE4" s="678"/>
    </row>
    <row r="5" spans="1:57" ht="13.5" customHeight="1">
      <c r="A5" s="469"/>
      <c r="B5" s="470"/>
      <c r="C5" s="471"/>
      <c r="D5" s="472"/>
      <c r="E5" s="471"/>
      <c r="F5" s="472" t="s">
        <v>1151</v>
      </c>
      <c r="G5" s="471"/>
      <c r="H5" s="472" t="s">
        <v>1153</v>
      </c>
      <c r="I5" s="473" t="s">
        <v>1154</v>
      </c>
      <c r="J5" s="471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659"/>
      <c r="AB5" s="659"/>
      <c r="AC5" s="676"/>
      <c r="AD5" s="659"/>
      <c r="AE5" s="676"/>
      <c r="AF5" s="84"/>
      <c r="AG5" s="85" t="s">
        <v>56</v>
      </c>
      <c r="AH5" s="86" t="s">
        <v>57</v>
      </c>
      <c r="AI5" s="85" t="s">
        <v>56</v>
      </c>
      <c r="AJ5" s="86" t="s">
        <v>57</v>
      </c>
      <c r="AK5" s="85" t="s">
        <v>56</v>
      </c>
      <c r="AL5" s="86" t="s">
        <v>57</v>
      </c>
      <c r="AM5" s="64" t="s">
        <v>56</v>
      </c>
      <c r="AN5" s="87" t="s">
        <v>57</v>
      </c>
      <c r="AO5" s="88" t="s">
        <v>56</v>
      </c>
      <c r="AP5" s="86" t="s">
        <v>57</v>
      </c>
      <c r="AQ5" s="85" t="s">
        <v>56</v>
      </c>
      <c r="AR5" s="89" t="s">
        <v>57</v>
      </c>
      <c r="AS5" s="88" t="s">
        <v>56</v>
      </c>
      <c r="AT5" s="86" t="s">
        <v>57</v>
      </c>
      <c r="AU5" s="85" t="s">
        <v>56</v>
      </c>
      <c r="AV5" s="89" t="s">
        <v>57</v>
      </c>
      <c r="AW5" s="88" t="s">
        <v>56</v>
      </c>
      <c r="AX5" s="89" t="s">
        <v>57</v>
      </c>
      <c r="AY5" s="85" t="s">
        <v>56</v>
      </c>
      <c r="AZ5" s="89" t="s">
        <v>57</v>
      </c>
      <c r="BA5" s="90"/>
      <c r="BB5" s="64" t="s">
        <v>58</v>
      </c>
      <c r="BC5" s="64" t="s">
        <v>59</v>
      </c>
      <c r="BD5" s="64" t="s">
        <v>60</v>
      </c>
      <c r="BE5" s="91" t="s">
        <v>61</v>
      </c>
    </row>
    <row r="6" spans="1:57" ht="13.5" customHeight="1">
      <c r="A6" s="474" t="s">
        <v>622</v>
      </c>
      <c r="B6" s="475"/>
      <c r="C6" s="476"/>
      <c r="D6" s="477"/>
      <c r="E6" s="476"/>
      <c r="F6" s="477"/>
      <c r="G6" s="476"/>
      <c r="H6" s="477"/>
      <c r="I6" s="475"/>
      <c r="J6" s="476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95"/>
      <c r="AB6" s="96"/>
      <c r="AC6" s="96"/>
      <c r="AD6" s="96"/>
      <c r="AE6" s="96"/>
      <c r="AF6" s="97"/>
      <c r="AG6" s="95"/>
      <c r="AH6" s="96"/>
      <c r="AI6" s="95"/>
      <c r="AJ6" s="96"/>
      <c r="AK6" s="95"/>
      <c r="AL6" s="96"/>
      <c r="AM6" s="95"/>
      <c r="AN6" s="98"/>
      <c r="AO6" s="96"/>
      <c r="AP6" s="96"/>
      <c r="AQ6" s="95"/>
      <c r="AR6" s="98"/>
      <c r="AS6" s="96"/>
      <c r="AT6" s="96"/>
      <c r="AU6" s="95"/>
      <c r="AV6" s="98"/>
      <c r="AW6" s="96"/>
      <c r="AX6" s="96"/>
      <c r="AY6" s="95"/>
      <c r="AZ6" s="98"/>
      <c r="BA6" s="99"/>
      <c r="BB6" s="95"/>
      <c r="BC6" s="100"/>
      <c r="BD6" s="100"/>
      <c r="BE6" s="98"/>
    </row>
    <row r="7" spans="1:57" ht="13.5" customHeight="1">
      <c r="A7" s="478" t="s">
        <v>1155</v>
      </c>
      <c r="B7" s="479">
        <f t="array" ref="B7">_xll.DAC(DB,_xll.ArrayDPT($AA7:$AE7),_xll.ArrayCOA($AG7:$AZ7),YR,PRD,DD,_xll.ArrayDIM($BB7:$BE7))</f>
        <v>0</v>
      </c>
      <c r="C7" s="480">
        <f t="shared" ref="C7:C14" si="0">IF(B7&lt;=0,0,B7/B$48)</f>
        <v>0</v>
      </c>
      <c r="D7" s="481">
        <f t="array" ref="D7">_xll.PTD(DB,_xll.ArrayDPT($AA7:$AE7),_xll.ArrayCOA($AG7:$AZ7),YR,PRD,DD,_xll.ArrayDIM($BB7:$BE7))</f>
        <v>0</v>
      </c>
      <c r="E7" s="480">
        <f t="shared" ref="E7:E14" si="1">IF(D7&lt;=0,0,D7/D$48)</f>
        <v>0</v>
      </c>
      <c r="F7" s="481">
        <f t="array" ref="F7">_xll.PTDBG(DB,_xll.ArrayDPT($AA7:$AE7),_xll.ArrayCOA($AG7:$AZ7),YR,PRD,DD,RV,_xll.ArrayDIM($BB7:$BE7))</f>
        <v>0</v>
      </c>
      <c r="G7" s="480">
        <f t="shared" ref="G7:G14" si="2">IF(F7&lt;=0,0,F7/F$48)</f>
        <v>0</v>
      </c>
      <c r="H7" s="481">
        <f t="shared" ref="H7:H14" si="3">D7-F7</f>
        <v>0</v>
      </c>
      <c r="I7" s="482">
        <f t="array" ref="I7">_xll.DAC(DB,_xll.ArrayDPT($AA7:$AE7),_xll.ArrayCOA($AG7:$AZ7),YR-1,PRD,DD,_xll.ArrayDIM($BB7:$BE7))</f>
        <v>0</v>
      </c>
      <c r="J7" s="480">
        <f t="shared" ref="J7:J14" si="4">IF(I7=0,0,(I7/I$48))</f>
        <v>0</v>
      </c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95"/>
      <c r="AB7" s="96"/>
      <c r="AC7" s="96"/>
      <c r="AD7" s="96"/>
      <c r="AE7" s="96"/>
      <c r="AF7" s="97"/>
      <c r="AG7" s="95"/>
      <c r="AH7" s="96"/>
      <c r="AI7" s="95"/>
      <c r="AJ7" s="96"/>
      <c r="AK7" s="95"/>
      <c r="AL7" s="96"/>
      <c r="AM7" s="95"/>
      <c r="AN7" s="98"/>
      <c r="AO7" s="96"/>
      <c r="AP7" s="96"/>
      <c r="AQ7" s="95"/>
      <c r="AR7" s="98"/>
      <c r="AS7" s="96"/>
      <c r="AT7" s="96"/>
      <c r="AU7" s="95"/>
      <c r="AV7" s="98"/>
      <c r="AW7" s="96"/>
      <c r="AX7" s="96"/>
      <c r="AY7" s="95"/>
      <c r="AZ7" s="98"/>
      <c r="BA7" s="99"/>
      <c r="BB7" s="95"/>
      <c r="BC7" s="96"/>
      <c r="BD7" s="96"/>
      <c r="BE7" s="98"/>
    </row>
    <row r="8" spans="1:57" ht="13.5" customHeight="1">
      <c r="A8" s="478" t="s">
        <v>1156</v>
      </c>
      <c r="B8" s="479">
        <f t="array" ref="B8">_xll.DAC(DB,_xll.ArrayDPT($AA8:$AE8),_xll.ArrayCOA($AG8:$AZ8),YR,PRD,DD,_xll.ArrayDIM($BB8:$BE8))</f>
        <v>0</v>
      </c>
      <c r="C8" s="480">
        <f t="shared" si="0"/>
        <v>0</v>
      </c>
      <c r="D8" s="481">
        <f t="array" ref="D8">_xll.PTD(DB,_xll.ArrayDPT($AA8:$AE8),_xll.ArrayCOA($AG8:$AZ8),YR,PRD,DD,_xll.ArrayDIM($BB8:$BE8))</f>
        <v>0</v>
      </c>
      <c r="E8" s="480">
        <f t="shared" si="1"/>
        <v>0</v>
      </c>
      <c r="F8" s="481">
        <f t="array" ref="F8">_xll.PTDBG(DB,_xll.ArrayDPT($AA8:$AE8),_xll.ArrayCOA($AG8:$AZ8),YR,PRD,DD,RV,_xll.ArrayDIM($BB8:$BE8))</f>
        <v>0</v>
      </c>
      <c r="G8" s="480">
        <f t="shared" si="2"/>
        <v>0</v>
      </c>
      <c r="H8" s="481">
        <f t="shared" si="3"/>
        <v>0</v>
      </c>
      <c r="I8" s="482">
        <f t="array" ref="I8">_xll.DAC(DB,_xll.ArrayDPT($AA8:$AE8),_xll.ArrayCOA($AG8:$AZ8),YR-1,PRD,DD,_xll.ArrayDIM($BB8:$BE8))</f>
        <v>0</v>
      </c>
      <c r="J8" s="480">
        <f t="shared" si="4"/>
        <v>0</v>
      </c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  <c r="AA8" s="95"/>
      <c r="AB8" s="96"/>
      <c r="AC8" s="96"/>
      <c r="AD8" s="96"/>
      <c r="AE8" s="96"/>
      <c r="AF8" s="97"/>
      <c r="AG8" s="95"/>
      <c r="AH8" s="96"/>
      <c r="AI8" s="95"/>
      <c r="AJ8" s="96"/>
      <c r="AK8" s="95"/>
      <c r="AL8" s="96"/>
      <c r="AM8" s="95"/>
      <c r="AN8" s="98"/>
      <c r="AO8" s="96"/>
      <c r="AP8" s="96"/>
      <c r="AQ8" s="95"/>
      <c r="AR8" s="98"/>
      <c r="AS8" s="96"/>
      <c r="AT8" s="96"/>
      <c r="AU8" s="95"/>
      <c r="AV8" s="98"/>
      <c r="AW8" s="96"/>
      <c r="AX8" s="96"/>
      <c r="AY8" s="95"/>
      <c r="AZ8" s="98"/>
      <c r="BA8" s="99"/>
      <c r="BB8" s="95"/>
      <c r="BC8" s="96"/>
      <c r="BD8" s="96"/>
      <c r="BE8" s="98"/>
    </row>
    <row r="9" spans="1:57" ht="13.5" customHeight="1">
      <c r="A9" s="478" t="s">
        <v>1157</v>
      </c>
      <c r="B9" s="479">
        <f t="array" ref="B9">_xll.DAC(DB,_xll.ArrayDPT($AA9:$AE9),_xll.ArrayCOA($AG9:$AZ9),YR,PRD,DD,_xll.ArrayDIM($BB9:$BE9))</f>
        <v>0</v>
      </c>
      <c r="C9" s="480">
        <f t="shared" si="0"/>
        <v>0</v>
      </c>
      <c r="D9" s="481">
        <f t="array" ref="D9">_xll.PTD(DB,_xll.ArrayDPT($AA9:$AE9),_xll.ArrayCOA($AG9:$AZ9),YR,PRD,DD,_xll.ArrayDIM($BB9:$BE9))</f>
        <v>0</v>
      </c>
      <c r="E9" s="480">
        <f t="shared" si="1"/>
        <v>0</v>
      </c>
      <c r="F9" s="481">
        <f t="array" ref="F9">_xll.PTDBG(DB,_xll.ArrayDPT($AA9:$AE9),_xll.ArrayCOA($AG9:$AZ9),YR,PRD,DD,RV,_xll.ArrayDIM($BB9:$BE9))</f>
        <v>0</v>
      </c>
      <c r="G9" s="480">
        <f t="shared" si="2"/>
        <v>0</v>
      </c>
      <c r="H9" s="481">
        <f t="shared" si="3"/>
        <v>0</v>
      </c>
      <c r="I9" s="482">
        <f t="array" ref="I9">_xll.DAC(DB,_xll.ArrayDPT($AA9:$AE9),_xll.ArrayCOA($AG9:$AZ9),YR-1,PRD,DD,_xll.ArrayDIM($BB9:$BE9))</f>
        <v>0</v>
      </c>
      <c r="J9" s="480">
        <f t="shared" si="4"/>
        <v>0</v>
      </c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  <c r="AA9" s="95"/>
      <c r="AB9" s="96"/>
      <c r="AC9" s="96"/>
      <c r="AD9" s="96"/>
      <c r="AE9" s="96"/>
      <c r="AF9" s="97"/>
      <c r="AG9" s="95"/>
      <c r="AH9" s="96"/>
      <c r="AI9" s="95"/>
      <c r="AJ9" s="96"/>
      <c r="AK9" s="95"/>
      <c r="AL9" s="96"/>
      <c r="AM9" s="95"/>
      <c r="AN9" s="98"/>
      <c r="AO9" s="96"/>
      <c r="AP9" s="96"/>
      <c r="AQ9" s="95"/>
      <c r="AR9" s="98"/>
      <c r="AS9" s="96"/>
      <c r="AT9" s="96"/>
      <c r="AU9" s="95"/>
      <c r="AV9" s="98"/>
      <c r="AW9" s="96"/>
      <c r="AX9" s="96"/>
      <c r="AY9" s="95"/>
      <c r="AZ9" s="98"/>
      <c r="BA9" s="99"/>
      <c r="BB9" s="95"/>
      <c r="BC9" s="96"/>
      <c r="BD9" s="96"/>
      <c r="BE9" s="98"/>
    </row>
    <row r="10" spans="1:57" ht="13.5" customHeight="1">
      <c r="A10" s="478" t="s">
        <v>1158</v>
      </c>
      <c r="B10" s="479">
        <f t="array" ref="B10">_xll.DAC(DB,_xll.ArrayDPT($AA10:$AE10),_xll.ArrayCOA($AG10:$AZ10),YR,PRD,DD,_xll.ArrayDIM($BB10:$BE10))</f>
        <v>0</v>
      </c>
      <c r="C10" s="480">
        <f t="shared" si="0"/>
        <v>0</v>
      </c>
      <c r="D10" s="481">
        <f t="array" ref="D10">_xll.PTD(DB,_xll.ArrayDPT($AA10:$AE10),_xll.ArrayCOA($AG10:$AZ10),YR,PRD,DD,_xll.ArrayDIM($BB10:$BE10))</f>
        <v>0</v>
      </c>
      <c r="E10" s="480">
        <f t="shared" si="1"/>
        <v>0</v>
      </c>
      <c r="F10" s="481">
        <f t="array" ref="F10">_xll.PTDBG(DB,_xll.ArrayDPT($AA10:$AE10),_xll.ArrayCOA($AG10:$AZ10),YR,PRD,DD,RV,_xll.ArrayDIM($BB10:$BE10))</f>
        <v>0</v>
      </c>
      <c r="G10" s="480">
        <f t="shared" si="2"/>
        <v>0</v>
      </c>
      <c r="H10" s="481">
        <f t="shared" si="3"/>
        <v>0</v>
      </c>
      <c r="I10" s="482">
        <f t="array" ref="I10">_xll.DAC(DB,_xll.ArrayDPT($AA10:$AE10),_xll.ArrayCOA($AG10:$AZ10),YR-1,PRD,DD,_xll.ArrayDIM($BB10:$BE10))</f>
        <v>0</v>
      </c>
      <c r="J10" s="480">
        <f t="shared" si="4"/>
        <v>0</v>
      </c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  <c r="AA10" s="95"/>
      <c r="AB10" s="96"/>
      <c r="AC10" s="96"/>
      <c r="AD10" s="96"/>
      <c r="AE10" s="96"/>
      <c r="AF10" s="97"/>
      <c r="AG10" s="95"/>
      <c r="AH10" s="96"/>
      <c r="AI10" s="95"/>
      <c r="AJ10" s="96"/>
      <c r="AK10" s="95"/>
      <c r="AL10" s="96"/>
      <c r="AM10" s="95"/>
      <c r="AN10" s="98"/>
      <c r="AO10" s="96"/>
      <c r="AP10" s="96"/>
      <c r="AQ10" s="95"/>
      <c r="AR10" s="98"/>
      <c r="AS10" s="96"/>
      <c r="AT10" s="96"/>
      <c r="AU10" s="95"/>
      <c r="AV10" s="98"/>
      <c r="AW10" s="96"/>
      <c r="AX10" s="96"/>
      <c r="AY10" s="95"/>
      <c r="AZ10" s="98"/>
      <c r="BA10" s="99"/>
      <c r="BB10" s="95"/>
      <c r="BC10" s="96"/>
      <c r="BD10" s="96"/>
      <c r="BE10" s="98"/>
    </row>
    <row r="11" spans="1:57" ht="13.5" customHeight="1">
      <c r="A11" s="478" t="s">
        <v>1159</v>
      </c>
      <c r="B11" s="479">
        <f t="array" ref="B11">_xll.DAC(DB,_xll.ArrayDPT($AA11:$AE11),_xll.ArrayCOA($AG11:$AZ11),YR,PRD,DD,_xll.ArrayDIM($BB11:$BE11))</f>
        <v>0</v>
      </c>
      <c r="C11" s="480">
        <f t="shared" si="0"/>
        <v>0</v>
      </c>
      <c r="D11" s="481">
        <f t="array" ref="D11">_xll.PTD(DB,_xll.ArrayDPT($AA11:$AE11),_xll.ArrayCOA($AG11:$AZ11),YR,PRD,DD,_xll.ArrayDIM($BB11:$BE11))</f>
        <v>0</v>
      </c>
      <c r="E11" s="480">
        <f t="shared" si="1"/>
        <v>0</v>
      </c>
      <c r="F11" s="481">
        <f t="array" ref="F11">_xll.PTDBG(DB,_xll.ArrayDPT($AA11:$AE11),_xll.ArrayCOA($AG11:$AZ11),YR,PRD,DD,RV,_xll.ArrayDIM($BB11:$BE11))</f>
        <v>0</v>
      </c>
      <c r="G11" s="480">
        <f t="shared" si="2"/>
        <v>0</v>
      </c>
      <c r="H11" s="481">
        <f t="shared" si="3"/>
        <v>0</v>
      </c>
      <c r="I11" s="482">
        <f t="array" ref="I11">_xll.DAC(DB,_xll.ArrayDPT($AA11:$AE11),_xll.ArrayCOA($AG11:$AZ11),YR-1,PRD,DD,_xll.ArrayDIM($BB11:$BE11))</f>
        <v>0</v>
      </c>
      <c r="J11" s="480">
        <f t="shared" si="4"/>
        <v>0</v>
      </c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95"/>
      <c r="AB11" s="96"/>
      <c r="AC11" s="96"/>
      <c r="AD11" s="96"/>
      <c r="AE11" s="96"/>
      <c r="AF11" s="97"/>
      <c r="AG11" s="95"/>
      <c r="AH11" s="96"/>
      <c r="AI11" s="95"/>
      <c r="AJ11" s="96"/>
      <c r="AK11" s="95"/>
      <c r="AL11" s="96"/>
      <c r="AM11" s="95"/>
      <c r="AN11" s="98"/>
      <c r="AO11" s="96"/>
      <c r="AP11" s="96"/>
      <c r="AQ11" s="95"/>
      <c r="AR11" s="98"/>
      <c r="AS11" s="96"/>
      <c r="AT11" s="96"/>
      <c r="AU11" s="95"/>
      <c r="AV11" s="98"/>
      <c r="AW11" s="96"/>
      <c r="AX11" s="96"/>
      <c r="AY11" s="95"/>
      <c r="AZ11" s="98"/>
      <c r="BA11" s="99"/>
      <c r="BB11" s="95"/>
      <c r="BC11" s="96"/>
      <c r="BD11" s="96"/>
      <c r="BE11" s="98"/>
    </row>
    <row r="12" spans="1:57" ht="13.5" customHeight="1">
      <c r="A12" s="478" t="s">
        <v>1160</v>
      </c>
      <c r="B12" s="479">
        <f t="array" ref="B12">_xll.DAC(DB,_xll.ArrayDPT($AA12:$AE12),_xll.ArrayCOA($AG12:$AZ12),YR,PRD,DD,_xll.ArrayDIM($BB12:$BE12))</f>
        <v>0</v>
      </c>
      <c r="C12" s="480">
        <f t="shared" si="0"/>
        <v>0</v>
      </c>
      <c r="D12" s="481">
        <f t="array" ref="D12">_xll.PTD(DB,_xll.ArrayDPT($AA12:$AE12),_xll.ArrayCOA($AG12:$AZ12),YR,PRD,DD,_xll.ArrayDIM($BB12:$BE12))</f>
        <v>0</v>
      </c>
      <c r="E12" s="480">
        <f t="shared" si="1"/>
        <v>0</v>
      </c>
      <c r="F12" s="481">
        <f t="array" ref="F12">_xll.PTDBG(DB,_xll.ArrayDPT($AA12:$AE12),_xll.ArrayCOA($AG12:$AZ12),YR,PRD,DD,RV,_xll.ArrayDIM($BB12:$BE12))</f>
        <v>0</v>
      </c>
      <c r="G12" s="480">
        <f t="shared" si="2"/>
        <v>0</v>
      </c>
      <c r="H12" s="481">
        <f t="shared" si="3"/>
        <v>0</v>
      </c>
      <c r="I12" s="482">
        <f t="array" ref="I12">_xll.DAC(DB,_xll.ArrayDPT($AA12:$AE12),_xll.ArrayCOA($AG12:$AZ12),YR-1,PRD,DD,_xll.ArrayDIM($BB12:$BE12))</f>
        <v>0</v>
      </c>
      <c r="J12" s="480">
        <f t="shared" si="4"/>
        <v>0</v>
      </c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95"/>
      <c r="AB12" s="96"/>
      <c r="AC12" s="96"/>
      <c r="AD12" s="96"/>
      <c r="AE12" s="96"/>
      <c r="AF12" s="97"/>
      <c r="AG12" s="95"/>
      <c r="AH12" s="96"/>
      <c r="AI12" s="95"/>
      <c r="AJ12" s="96"/>
      <c r="AK12" s="95"/>
      <c r="AL12" s="96"/>
      <c r="AM12" s="95"/>
      <c r="AN12" s="98"/>
      <c r="AO12" s="96"/>
      <c r="AP12" s="96"/>
      <c r="AQ12" s="95"/>
      <c r="AR12" s="98"/>
      <c r="AS12" s="96"/>
      <c r="AT12" s="96"/>
      <c r="AU12" s="95"/>
      <c r="AV12" s="98"/>
      <c r="AW12" s="96"/>
      <c r="AX12" s="96"/>
      <c r="AY12" s="95"/>
      <c r="AZ12" s="98"/>
      <c r="BA12" s="99"/>
      <c r="BB12" s="95"/>
      <c r="BC12" s="96"/>
      <c r="BD12" s="96"/>
      <c r="BE12" s="98"/>
    </row>
    <row r="13" spans="1:57" ht="13.5" customHeight="1">
      <c r="A13" s="483" t="s">
        <v>1161</v>
      </c>
      <c r="B13" s="479">
        <f t="array" ref="B13">_xll.DAC(DB,_xll.ArrayDPT($AA13:$AE13),_xll.ArrayCOA($AG13:$AZ13),YR,PRD,DD,_xll.ArrayDIM($BB13:$BE13))</f>
        <v>0</v>
      </c>
      <c r="C13" s="484">
        <f t="shared" si="0"/>
        <v>0</v>
      </c>
      <c r="D13" s="485">
        <f t="array" ref="D13">_xll.PTD(DB,_xll.ArrayDPT($AA13:$AE13),_xll.ArrayCOA($AG13:$AZ13),YR,PRD,DD,_xll.ArrayDIM($BB13:$BE13))</f>
        <v>0</v>
      </c>
      <c r="E13" s="480">
        <f t="shared" si="1"/>
        <v>0</v>
      </c>
      <c r="F13" s="485">
        <f t="array" ref="F13">_xll.PTDBG(DB,_xll.ArrayDPT($AA13:$AE13),_xll.ArrayCOA($AG13:$AZ13),YR,PRD,DD,RV,_xll.ArrayDIM($BB13:$BE13))</f>
        <v>0</v>
      </c>
      <c r="G13" s="486">
        <f t="shared" si="2"/>
        <v>0</v>
      </c>
      <c r="H13" s="487">
        <f t="shared" si="3"/>
        <v>0</v>
      </c>
      <c r="I13" s="488">
        <f t="array" ref="I13">_xll.DAC(DB,_xll.ArrayDPT($AA13:$AE13),_xll.ArrayCOA($AG13:$AZ13),YR-1,PRD,DD,_xll.ArrayDIM($BB13:$BE13))</f>
        <v>0</v>
      </c>
      <c r="J13" s="484">
        <f t="shared" si="4"/>
        <v>0</v>
      </c>
      <c r="K13" s="489"/>
      <c r="L13" s="489"/>
      <c r="M13" s="489"/>
      <c r="N13" s="489"/>
      <c r="O13" s="489"/>
      <c r="P13" s="489"/>
      <c r="Q13" s="489"/>
      <c r="R13" s="489"/>
      <c r="S13" s="489"/>
      <c r="T13" s="489"/>
      <c r="U13" s="489"/>
      <c r="V13" s="489"/>
      <c r="W13" s="489"/>
      <c r="X13" s="489"/>
      <c r="Y13" s="489"/>
      <c r="Z13" s="489"/>
      <c r="AA13" s="95"/>
      <c r="AB13" s="96"/>
      <c r="AC13" s="96"/>
      <c r="AD13" s="96"/>
      <c r="AE13" s="96"/>
      <c r="AF13" s="97"/>
      <c r="AG13" s="95"/>
      <c r="AH13" s="96"/>
      <c r="AI13" s="95"/>
      <c r="AJ13" s="96"/>
      <c r="AK13" s="95"/>
      <c r="AL13" s="96"/>
      <c r="AM13" s="95"/>
      <c r="AN13" s="98"/>
      <c r="AO13" s="96"/>
      <c r="AP13" s="96"/>
      <c r="AQ13" s="95"/>
      <c r="AR13" s="98"/>
      <c r="AS13" s="96"/>
      <c r="AT13" s="96"/>
      <c r="AU13" s="95"/>
      <c r="AV13" s="98"/>
      <c r="AW13" s="96"/>
      <c r="AX13" s="96"/>
      <c r="AY13" s="95"/>
      <c r="AZ13" s="98"/>
      <c r="BA13" s="99"/>
      <c r="BB13" s="95"/>
      <c r="BC13" s="96"/>
      <c r="BD13" s="96"/>
      <c r="BE13" s="98"/>
    </row>
    <row r="14" spans="1:57" ht="13.5" customHeight="1">
      <c r="A14" s="490" t="s">
        <v>1162</v>
      </c>
      <c r="B14" s="491">
        <f>SUM(B7:B13)</f>
        <v>0</v>
      </c>
      <c r="C14" s="492">
        <f t="shared" si="0"/>
        <v>0</v>
      </c>
      <c r="D14" s="493">
        <f>SUM(D7:D13)</f>
        <v>0</v>
      </c>
      <c r="E14" s="492">
        <f t="shared" si="1"/>
        <v>0</v>
      </c>
      <c r="F14" s="493">
        <f>SUM(F7:F13)</f>
        <v>0</v>
      </c>
      <c r="G14" s="492">
        <f t="shared" si="2"/>
        <v>0</v>
      </c>
      <c r="H14" s="494">
        <f t="shared" si="3"/>
        <v>0</v>
      </c>
      <c r="I14" s="493">
        <f>SUM(I7:I13)</f>
        <v>0</v>
      </c>
      <c r="J14" s="492">
        <f t="shared" si="4"/>
        <v>0</v>
      </c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95"/>
      <c r="AB14" s="96"/>
      <c r="AC14" s="96"/>
      <c r="AD14" s="96"/>
      <c r="AE14" s="96"/>
      <c r="AF14" s="97"/>
      <c r="AG14" s="95"/>
      <c r="AH14" s="96"/>
      <c r="AI14" s="95"/>
      <c r="AJ14" s="96"/>
      <c r="AK14" s="95"/>
      <c r="AL14" s="96"/>
      <c r="AM14" s="95"/>
      <c r="AN14" s="98"/>
      <c r="AO14" s="96"/>
      <c r="AP14" s="96"/>
      <c r="AQ14" s="95"/>
      <c r="AR14" s="98"/>
      <c r="AS14" s="96"/>
      <c r="AT14" s="96"/>
      <c r="AU14" s="95"/>
      <c r="AV14" s="98"/>
      <c r="AW14" s="96"/>
      <c r="AX14" s="96"/>
      <c r="AY14" s="95"/>
      <c r="AZ14" s="98"/>
      <c r="BA14" s="99"/>
      <c r="BB14" s="95"/>
      <c r="BC14" s="96"/>
      <c r="BD14" s="96"/>
      <c r="BE14" s="98"/>
    </row>
    <row r="15" spans="1:57" ht="13.5" customHeight="1">
      <c r="A15" s="245"/>
      <c r="B15" s="493"/>
      <c r="C15" s="495"/>
      <c r="D15" s="496"/>
      <c r="E15" s="495"/>
      <c r="F15" s="497"/>
      <c r="G15" s="495"/>
      <c r="H15" s="496"/>
      <c r="I15" s="496"/>
      <c r="J15" s="498"/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95"/>
      <c r="AB15" s="96"/>
      <c r="AC15" s="96"/>
      <c r="AD15" s="96"/>
      <c r="AE15" s="96"/>
      <c r="AF15" s="97"/>
      <c r="AG15" s="95"/>
      <c r="AH15" s="96"/>
      <c r="AI15" s="95"/>
      <c r="AJ15" s="96"/>
      <c r="AK15" s="95"/>
      <c r="AL15" s="96"/>
      <c r="AM15" s="95"/>
      <c r="AN15" s="98"/>
      <c r="AO15" s="96"/>
      <c r="AP15" s="96"/>
      <c r="AQ15" s="95"/>
      <c r="AR15" s="98"/>
      <c r="AS15" s="96"/>
      <c r="AT15" s="96"/>
      <c r="AU15" s="95"/>
      <c r="AV15" s="98"/>
      <c r="AW15" s="96"/>
      <c r="AX15" s="96"/>
      <c r="AY15" s="95"/>
      <c r="AZ15" s="98"/>
      <c r="BA15" s="99"/>
      <c r="BB15" s="95"/>
      <c r="BC15" s="96"/>
      <c r="BD15" s="96"/>
      <c r="BE15" s="98"/>
    </row>
    <row r="16" spans="1:57" ht="13.5" customHeight="1">
      <c r="A16" s="474" t="s">
        <v>1163</v>
      </c>
      <c r="B16" s="499"/>
      <c r="C16" s="500"/>
      <c r="D16" s="501"/>
      <c r="E16" s="500"/>
      <c r="F16" s="501"/>
      <c r="G16" s="500"/>
      <c r="H16" s="501"/>
      <c r="I16" s="499"/>
      <c r="J16" s="500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95"/>
      <c r="AB16" s="96"/>
      <c r="AC16" s="96"/>
      <c r="AD16" s="96"/>
      <c r="AE16" s="96"/>
      <c r="AF16" s="97"/>
      <c r="AG16" s="95"/>
      <c r="AH16" s="96"/>
      <c r="AI16" s="95"/>
      <c r="AJ16" s="96"/>
      <c r="AK16" s="95"/>
      <c r="AL16" s="96"/>
      <c r="AM16" s="95"/>
      <c r="AN16" s="98"/>
      <c r="AO16" s="96"/>
      <c r="AP16" s="96"/>
      <c r="AQ16" s="95"/>
      <c r="AR16" s="98"/>
      <c r="AS16" s="96"/>
      <c r="AT16" s="96"/>
      <c r="AU16" s="95"/>
      <c r="AV16" s="98"/>
      <c r="AW16" s="96"/>
      <c r="AX16" s="96"/>
      <c r="AY16" s="95"/>
      <c r="AZ16" s="98"/>
      <c r="BA16" s="99"/>
      <c r="BB16" s="95"/>
      <c r="BC16" s="96"/>
      <c r="BD16" s="96"/>
      <c r="BE16" s="98"/>
    </row>
    <row r="17" spans="1:57" ht="13.5" customHeight="1">
      <c r="A17" s="478" t="s">
        <v>1164</v>
      </c>
      <c r="B17" s="479">
        <f t="array" ref="B17">_xll.DAC(DB,_xll.ArrayDPT($AA17:$AE17),_xll.ArrayCOA($AG17:$AZ17),YR,PRD,DD,_xll.ArrayDIM($BB17:$BE17))</f>
        <v>0</v>
      </c>
      <c r="C17" s="480">
        <f t="shared" ref="C17:C25" si="5">IF(B17&lt;=0,0,B17/B$48)</f>
        <v>0</v>
      </c>
      <c r="D17" s="481">
        <f t="array" ref="D17">_xll.PTD(DB,_xll.ArrayDPT($AA17:$AE17),_xll.ArrayCOA($AG17:$AZ17),YR,PRD,DD,_xll.ArrayDIM($BB17:$BE17))</f>
        <v>0</v>
      </c>
      <c r="E17" s="480">
        <f t="shared" ref="E17:E25" si="6">IF(D17&lt;=0,0,D17/D$48)</f>
        <v>0</v>
      </c>
      <c r="F17" s="479">
        <f t="array" ref="F17">_xll.PTDBG(DB,_xll.ArrayDPT($AA17:$AE17),_xll.ArrayCOA($AG17:$AZ17),YR,PRD,DD,RV,_xll.ArrayDIM($BB17:$BE17))</f>
        <v>0</v>
      </c>
      <c r="G17" s="480">
        <f t="shared" ref="G17:G25" si="7">IF(F17&lt;=0,0,F17/F$48)</f>
        <v>0</v>
      </c>
      <c r="H17" s="481">
        <f t="shared" ref="H17:H25" si="8">D17-F17</f>
        <v>0</v>
      </c>
      <c r="I17" s="479">
        <f t="array" ref="I17">_xll.DAC(DB,_xll.ArrayDPT($AA17:$AE17),_xll.ArrayCOA($AG17:$AZ17),YR-1,PRD,DD,_xll.ArrayDIM($BB17:$BE17))</f>
        <v>0</v>
      </c>
      <c r="J17" s="480">
        <f t="shared" ref="J17:J25" si="9">IF(I17&lt;=0,0,I17/I$48)</f>
        <v>0</v>
      </c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  <c r="AA17" s="95"/>
      <c r="AB17" s="96"/>
      <c r="AC17" s="96"/>
      <c r="AD17" s="96"/>
      <c r="AE17" s="96"/>
      <c r="AF17" s="97"/>
      <c r="AG17" s="95"/>
      <c r="AH17" s="96"/>
      <c r="AI17" s="95"/>
      <c r="AJ17" s="96"/>
      <c r="AK17" s="95"/>
      <c r="AL17" s="96"/>
      <c r="AM17" s="95"/>
      <c r="AN17" s="98"/>
      <c r="AO17" s="96"/>
      <c r="AP17" s="96"/>
      <c r="AQ17" s="95"/>
      <c r="AR17" s="98"/>
      <c r="AS17" s="96"/>
      <c r="AT17" s="96"/>
      <c r="AU17" s="95"/>
      <c r="AV17" s="98"/>
      <c r="AW17" s="96"/>
      <c r="AX17" s="96"/>
      <c r="AY17" s="95"/>
      <c r="AZ17" s="98"/>
      <c r="BA17" s="99"/>
      <c r="BB17" s="95"/>
      <c r="BC17" s="96"/>
      <c r="BD17" s="96"/>
      <c r="BE17" s="98"/>
    </row>
    <row r="18" spans="1:57" ht="13.5" customHeight="1">
      <c r="A18" s="478" t="s">
        <v>1165</v>
      </c>
      <c r="B18" s="479">
        <f t="array" ref="B18">_xll.DAC(DB,_xll.ArrayDPT($AA18:$AE18),_xll.ArrayCOA($AG18:$AZ18),YR,PRD,DD,_xll.ArrayDIM($BB18:$BE18))</f>
        <v>0</v>
      </c>
      <c r="C18" s="480">
        <f t="shared" si="5"/>
        <v>0</v>
      </c>
      <c r="D18" s="481">
        <f t="array" ref="D18">_xll.PTD(DB,_xll.ArrayDPT($AA18:$AE18),_xll.ArrayCOA($AG18:$AZ18),YR,PRD,DD,_xll.ArrayDIM($BB18:$BE18))</f>
        <v>0</v>
      </c>
      <c r="E18" s="480">
        <f t="shared" si="6"/>
        <v>0</v>
      </c>
      <c r="F18" s="479">
        <f t="array" ref="F18">_xll.PTDBG(DB,_xll.ArrayDPT($AA18:$AE18),_xll.ArrayCOA($AG18:$AZ18),YR,PRD,DD,RV,_xll.ArrayDIM($BB18:$BE18))</f>
        <v>0</v>
      </c>
      <c r="G18" s="480">
        <f t="shared" si="7"/>
        <v>0</v>
      </c>
      <c r="H18" s="481">
        <f t="shared" si="8"/>
        <v>0</v>
      </c>
      <c r="I18" s="479">
        <f t="array" ref="I18">_xll.DAC(DB,_xll.ArrayDPT($AA18:$AE18),_xll.ArrayCOA($AG18:$AZ18),YR-1,PRD,DD,_xll.ArrayDIM($BB18:$BE18))</f>
        <v>0</v>
      </c>
      <c r="J18" s="480">
        <f t="shared" si="9"/>
        <v>0</v>
      </c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  <c r="AA18" s="95"/>
      <c r="AB18" s="96"/>
      <c r="AC18" s="96"/>
      <c r="AD18" s="96"/>
      <c r="AE18" s="96"/>
      <c r="AF18" s="97"/>
      <c r="AG18" s="95"/>
      <c r="AH18" s="96"/>
      <c r="AI18" s="95"/>
      <c r="AJ18" s="96"/>
      <c r="AK18" s="95"/>
      <c r="AL18" s="96"/>
      <c r="AM18" s="95"/>
      <c r="AN18" s="98"/>
      <c r="AO18" s="96"/>
      <c r="AP18" s="96"/>
      <c r="AQ18" s="95"/>
      <c r="AR18" s="98"/>
      <c r="AS18" s="96"/>
      <c r="AT18" s="96"/>
      <c r="AU18" s="95"/>
      <c r="AV18" s="98"/>
      <c r="AW18" s="96"/>
      <c r="AX18" s="96"/>
      <c r="AY18" s="95"/>
      <c r="AZ18" s="98"/>
      <c r="BA18" s="99"/>
      <c r="BB18" s="95"/>
      <c r="BC18" s="96"/>
      <c r="BD18" s="96"/>
      <c r="BE18" s="98"/>
    </row>
    <row r="19" spans="1:57" ht="13.5" customHeight="1">
      <c r="A19" s="478" t="s">
        <v>1166</v>
      </c>
      <c r="B19" s="479">
        <f t="array" ref="B19">_xll.DAC(DB,_xll.ArrayDPT($AA19:$AE19),_xll.ArrayCOA($AG19:$AZ19),YR,PRD,DD,_xll.ArrayDIM($BB19:$BE19))</f>
        <v>0</v>
      </c>
      <c r="C19" s="480">
        <f t="shared" si="5"/>
        <v>0</v>
      </c>
      <c r="D19" s="481">
        <f t="array" ref="D19">_xll.PTD(DB,_xll.ArrayDPT($AA19:$AE19),_xll.ArrayCOA($AG19:$AZ19),YR,PRD,DD,_xll.ArrayDIM($BB19:$BE19))</f>
        <v>0</v>
      </c>
      <c r="E19" s="480">
        <f t="shared" si="6"/>
        <v>0</v>
      </c>
      <c r="F19" s="479">
        <f t="array" ref="F19">_xll.PTDBG(DB,_xll.ArrayDPT($AA19:$AE19),_xll.ArrayCOA($AG19:$AZ19),YR,PRD,DD,RV,_xll.ArrayDIM($BB19:$BE19))</f>
        <v>0</v>
      </c>
      <c r="G19" s="480">
        <f t="shared" si="7"/>
        <v>0</v>
      </c>
      <c r="H19" s="481">
        <f t="shared" si="8"/>
        <v>0</v>
      </c>
      <c r="I19" s="479">
        <f t="array" ref="I19">_xll.DAC(DB,_xll.ArrayDPT($AA19:$AE19),_xll.ArrayCOA($AG19:$AZ19),YR-1,PRD,DD,_xll.ArrayDIM($BB19:$BE19))</f>
        <v>0</v>
      </c>
      <c r="J19" s="480">
        <f t="shared" si="9"/>
        <v>0</v>
      </c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  <c r="AA19" s="95"/>
      <c r="AB19" s="96"/>
      <c r="AC19" s="96"/>
      <c r="AD19" s="96"/>
      <c r="AE19" s="96"/>
      <c r="AF19" s="97"/>
      <c r="AG19" s="95"/>
      <c r="AH19" s="96"/>
      <c r="AI19" s="95"/>
      <c r="AJ19" s="96"/>
      <c r="AK19" s="95"/>
      <c r="AL19" s="96"/>
      <c r="AM19" s="95"/>
      <c r="AN19" s="98"/>
      <c r="AO19" s="96"/>
      <c r="AP19" s="96"/>
      <c r="AQ19" s="95"/>
      <c r="AR19" s="98"/>
      <c r="AS19" s="96"/>
      <c r="AT19" s="96"/>
      <c r="AU19" s="95"/>
      <c r="AV19" s="98"/>
      <c r="AW19" s="96"/>
      <c r="AX19" s="96"/>
      <c r="AY19" s="95"/>
      <c r="AZ19" s="98"/>
      <c r="BA19" s="99"/>
      <c r="BB19" s="95"/>
      <c r="BC19" s="96"/>
      <c r="BD19" s="96"/>
      <c r="BE19" s="98"/>
    </row>
    <row r="20" spans="1:57" ht="13.5" customHeight="1">
      <c r="A20" s="478" t="s">
        <v>1167</v>
      </c>
      <c r="B20" s="479">
        <f t="array" ref="B20">_xll.DAC(DB,_xll.ArrayDPT($AA20:$AE20),_xll.ArrayCOA($AG20:$AZ20),YR,PRD,DD,_xll.ArrayDIM($BB20:$BE20))</f>
        <v>0</v>
      </c>
      <c r="C20" s="480">
        <f t="shared" si="5"/>
        <v>0</v>
      </c>
      <c r="D20" s="481">
        <f t="array" ref="D20">_xll.PTD(DB,_xll.ArrayDPT($AA20:$AE20),_xll.ArrayCOA($AG20:$AZ20),YR,PRD,DD,_xll.ArrayDIM($BB20:$BE20))</f>
        <v>0</v>
      </c>
      <c r="E20" s="480">
        <f t="shared" si="6"/>
        <v>0</v>
      </c>
      <c r="F20" s="479">
        <f t="array" ref="F20">_xll.PTDBG(DB,_xll.ArrayDPT($AA20:$AE20),_xll.ArrayCOA($AG20:$AZ20),YR,PRD,DD,RV,_xll.ArrayDIM($BB20:$BE20))</f>
        <v>0</v>
      </c>
      <c r="G20" s="480">
        <f t="shared" si="7"/>
        <v>0</v>
      </c>
      <c r="H20" s="481">
        <f t="shared" si="8"/>
        <v>0</v>
      </c>
      <c r="I20" s="479">
        <f t="array" ref="I20">_xll.DAC(DB,_xll.ArrayDPT($AA20:$AE20),_xll.ArrayCOA($AG20:$AZ20),YR-1,PRD,DD,_xll.ArrayDIM($BB20:$BE20))</f>
        <v>0</v>
      </c>
      <c r="J20" s="480">
        <f t="shared" si="9"/>
        <v>0</v>
      </c>
      <c r="K20" s="245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  <c r="AA20" s="95"/>
      <c r="AB20" s="96"/>
      <c r="AC20" s="96"/>
      <c r="AD20" s="96"/>
      <c r="AE20" s="96"/>
      <c r="AF20" s="97"/>
      <c r="AG20" s="95"/>
      <c r="AH20" s="96"/>
      <c r="AI20" s="95"/>
      <c r="AJ20" s="96"/>
      <c r="AK20" s="95"/>
      <c r="AL20" s="96"/>
      <c r="AM20" s="95"/>
      <c r="AN20" s="98"/>
      <c r="AO20" s="96"/>
      <c r="AP20" s="96"/>
      <c r="AQ20" s="95"/>
      <c r="AR20" s="98"/>
      <c r="AS20" s="96"/>
      <c r="AT20" s="96"/>
      <c r="AU20" s="95"/>
      <c r="AV20" s="98"/>
      <c r="AW20" s="96"/>
      <c r="AX20" s="96"/>
      <c r="AY20" s="95"/>
      <c r="AZ20" s="98"/>
      <c r="BA20" s="99"/>
      <c r="BB20" s="95"/>
      <c r="BC20" s="96"/>
      <c r="BD20" s="96"/>
      <c r="BE20" s="98"/>
    </row>
    <row r="21" spans="1:57" ht="13.5" customHeight="1">
      <c r="A21" s="478" t="s">
        <v>1168</v>
      </c>
      <c r="B21" s="479">
        <f t="array" ref="B21">_xll.DAC(DB,_xll.ArrayDPT($AA21:$AE21),_xll.ArrayCOA($AG21:$AZ21),YR,PRD,DD,_xll.ArrayDIM($BB21:$BE21))</f>
        <v>0</v>
      </c>
      <c r="C21" s="480">
        <f t="shared" si="5"/>
        <v>0</v>
      </c>
      <c r="D21" s="481">
        <f t="array" ref="D21">_xll.PTD(DB,_xll.ArrayDPT($AA21:$AE21),_xll.ArrayCOA($AG21:$AZ21),YR,PRD,DD,_xll.ArrayDIM($BB21:$BE21))</f>
        <v>0</v>
      </c>
      <c r="E21" s="480">
        <f t="shared" si="6"/>
        <v>0</v>
      </c>
      <c r="F21" s="479">
        <f t="array" ref="F21">_xll.PTDBG(DB,_xll.ArrayDPT($AA21:$AE21),_xll.ArrayCOA($AG21:$AZ21),YR,PRD,DD,RV,_xll.ArrayDIM($BB21:$BE21))</f>
        <v>0</v>
      </c>
      <c r="G21" s="480">
        <f t="shared" si="7"/>
        <v>0</v>
      </c>
      <c r="H21" s="481">
        <f t="shared" si="8"/>
        <v>0</v>
      </c>
      <c r="I21" s="479">
        <f t="array" ref="I21">_xll.DAC(DB,_xll.ArrayDPT($AA21:$AE21),_xll.ArrayCOA($AG21:$AZ21),YR-1,PRD,DD,_xll.ArrayDIM($BB21:$BE21))</f>
        <v>0</v>
      </c>
      <c r="J21" s="480">
        <f t="shared" si="9"/>
        <v>0</v>
      </c>
      <c r="K21" s="24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  <c r="AA21" s="95"/>
      <c r="AB21" s="96"/>
      <c r="AC21" s="96"/>
      <c r="AD21" s="96"/>
      <c r="AE21" s="96"/>
      <c r="AF21" s="97"/>
      <c r="AG21" s="95"/>
      <c r="AH21" s="96"/>
      <c r="AI21" s="95"/>
      <c r="AJ21" s="96"/>
      <c r="AK21" s="95"/>
      <c r="AL21" s="96"/>
      <c r="AM21" s="95"/>
      <c r="AN21" s="98"/>
      <c r="AO21" s="96"/>
      <c r="AP21" s="96"/>
      <c r="AQ21" s="95"/>
      <c r="AR21" s="98"/>
      <c r="AS21" s="96"/>
      <c r="AT21" s="96"/>
      <c r="AU21" s="95"/>
      <c r="AV21" s="98"/>
      <c r="AW21" s="96"/>
      <c r="AX21" s="96"/>
      <c r="AY21" s="95"/>
      <c r="AZ21" s="98"/>
      <c r="BA21" s="99"/>
      <c r="BB21" s="95"/>
      <c r="BC21" s="96"/>
      <c r="BD21" s="96"/>
      <c r="BE21" s="98"/>
    </row>
    <row r="22" spans="1:57" ht="13.5" customHeight="1">
      <c r="A22" s="478" t="s">
        <v>1169</v>
      </c>
      <c r="B22" s="479">
        <f t="array" ref="B22">_xll.DAC(DB,_xll.ArrayDPT($AA22:$AE22),_xll.ArrayCOA($AG22:$AZ22),YR,PRD,DD,_xll.ArrayDIM($BB22:$BE22))</f>
        <v>0</v>
      </c>
      <c r="C22" s="480">
        <f t="shared" si="5"/>
        <v>0</v>
      </c>
      <c r="D22" s="481">
        <f t="array" ref="D22">_xll.PTD(DB,_xll.ArrayDPT($AA22:$AE22),_xll.ArrayCOA($AG22:$AZ22),YR,PRD,DD,_xll.ArrayDIM($BB22:$BE22))</f>
        <v>0</v>
      </c>
      <c r="E22" s="480">
        <f t="shared" si="6"/>
        <v>0</v>
      </c>
      <c r="F22" s="479">
        <f t="array" ref="F22">_xll.PTDBG(DB,_xll.ArrayDPT($AA22:$AE22),_xll.ArrayCOA($AG22:$AZ22),YR,PRD,DD,RV,_xll.ArrayDIM($BB22:$BE22))</f>
        <v>0</v>
      </c>
      <c r="G22" s="480">
        <f t="shared" si="7"/>
        <v>0</v>
      </c>
      <c r="H22" s="481">
        <f t="shared" si="8"/>
        <v>0</v>
      </c>
      <c r="I22" s="479">
        <f t="array" ref="I22">_xll.DAC(DB,_xll.ArrayDPT($AA22:$AE22),_xll.ArrayCOA($AG22:$AZ22),YR-1,PRD,DD,_xll.ArrayDIM($BB22:$BE22))</f>
        <v>0</v>
      </c>
      <c r="J22" s="480">
        <f t="shared" si="9"/>
        <v>0</v>
      </c>
      <c r="K22" s="24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  <c r="AA22" s="95"/>
      <c r="AB22" s="96"/>
      <c r="AC22" s="96"/>
      <c r="AD22" s="96"/>
      <c r="AE22" s="96"/>
      <c r="AF22" s="97"/>
      <c r="AG22" s="95"/>
      <c r="AH22" s="96"/>
      <c r="AI22" s="95"/>
      <c r="AJ22" s="96"/>
      <c r="AK22" s="95"/>
      <c r="AL22" s="96"/>
      <c r="AM22" s="95"/>
      <c r="AN22" s="98"/>
      <c r="AO22" s="96"/>
      <c r="AP22" s="96"/>
      <c r="AQ22" s="95"/>
      <c r="AR22" s="98"/>
      <c r="AS22" s="96"/>
      <c r="AT22" s="96"/>
      <c r="AU22" s="95"/>
      <c r="AV22" s="98"/>
      <c r="AW22" s="96"/>
      <c r="AX22" s="96"/>
      <c r="AY22" s="95"/>
      <c r="AZ22" s="98"/>
      <c r="BA22" s="99"/>
      <c r="BB22" s="95"/>
      <c r="BC22" s="96"/>
      <c r="BD22" s="96"/>
      <c r="BE22" s="98"/>
    </row>
    <row r="23" spans="1:57" ht="13.5" customHeight="1">
      <c r="A23" s="478" t="s">
        <v>1170</v>
      </c>
      <c r="B23" s="479">
        <f t="array" ref="B23">_xll.DAC(DB,_xll.ArrayDPT($AA23:$AE23),_xll.ArrayCOA($AG23:$AZ23),YR,PRD,DD,_xll.ArrayDIM($BB23:$BE23))</f>
        <v>0</v>
      </c>
      <c r="C23" s="480">
        <f t="shared" si="5"/>
        <v>0</v>
      </c>
      <c r="D23" s="481">
        <f t="array" ref="D23">_xll.PTD(DB,_xll.ArrayDPT($AA23:$AE23),_xll.ArrayCOA($AG23:$AZ23),YR,PRD,DD,_xll.ArrayDIM($BB23:$BE23))</f>
        <v>0</v>
      </c>
      <c r="E23" s="480">
        <f t="shared" si="6"/>
        <v>0</v>
      </c>
      <c r="F23" s="479">
        <f t="array" ref="F23">_xll.PTDBG(DB,_xll.ArrayDPT($AA23:$AE23),_xll.ArrayCOA($AG23:$AZ23),YR,PRD,DD,RV,_xll.ArrayDIM($BB23:$BE23))</f>
        <v>0</v>
      </c>
      <c r="G23" s="480">
        <f t="shared" si="7"/>
        <v>0</v>
      </c>
      <c r="H23" s="481">
        <f t="shared" si="8"/>
        <v>0</v>
      </c>
      <c r="I23" s="479">
        <f t="array" ref="I23">_xll.DAC(DB,_xll.ArrayDPT($AA23:$AE23),_xll.ArrayCOA($AG23:$AZ23),YR-1,PRD,DD,_xll.ArrayDIM($BB23:$BE23))</f>
        <v>0</v>
      </c>
      <c r="J23" s="480">
        <f t="shared" si="9"/>
        <v>0</v>
      </c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  <c r="AA23" s="95"/>
      <c r="AB23" s="96"/>
      <c r="AC23" s="96"/>
      <c r="AD23" s="96"/>
      <c r="AE23" s="96"/>
      <c r="AF23" s="97"/>
      <c r="AG23" s="95"/>
      <c r="AH23" s="96"/>
      <c r="AI23" s="95"/>
      <c r="AJ23" s="96"/>
      <c r="AK23" s="95"/>
      <c r="AL23" s="96"/>
      <c r="AM23" s="95"/>
      <c r="AN23" s="98"/>
      <c r="AO23" s="96"/>
      <c r="AP23" s="96"/>
      <c r="AQ23" s="95"/>
      <c r="AR23" s="98"/>
      <c r="AS23" s="96"/>
      <c r="AT23" s="96"/>
      <c r="AU23" s="95"/>
      <c r="AV23" s="98"/>
      <c r="AW23" s="96"/>
      <c r="AX23" s="96"/>
      <c r="AY23" s="95"/>
      <c r="AZ23" s="98"/>
      <c r="BA23" s="99"/>
      <c r="BB23" s="95"/>
      <c r="BC23" s="96"/>
      <c r="BD23" s="96"/>
      <c r="BE23" s="98"/>
    </row>
    <row r="24" spans="1:57" ht="13.5" customHeight="1">
      <c r="A24" s="483" t="s">
        <v>1161</v>
      </c>
      <c r="B24" s="487">
        <f t="array" ref="B24">_xll.DAC(DB,_xll.ArrayDPT($AA24:$AE24),_xll.ArrayCOA($AG24:$AZ24),YR,PRD,DD,_xll.ArrayDIM($BB24:$BE24))</f>
        <v>0</v>
      </c>
      <c r="C24" s="486">
        <f t="shared" si="5"/>
        <v>0</v>
      </c>
      <c r="D24" s="481">
        <f t="array" ref="D24">_xll.PTD(DB,_xll.ArrayDPT($AA24:$AE24),_xll.ArrayCOA($AG24:$AZ24),YR,PRD,DD,_xll.ArrayDIM($BB24:$BE24))</f>
        <v>0</v>
      </c>
      <c r="E24" s="486">
        <f t="shared" si="6"/>
        <v>0</v>
      </c>
      <c r="F24" s="487">
        <f t="array" ref="F24">_xll.PTDBG(DB,_xll.ArrayDPT($AA24:$AE24),_xll.ArrayCOA($AG24:$AZ24),YR,PRD,DD,RV,_xll.ArrayDIM($BB24:$BE24))</f>
        <v>0</v>
      </c>
      <c r="G24" s="486">
        <f t="shared" si="7"/>
        <v>0</v>
      </c>
      <c r="H24" s="502">
        <f t="shared" si="8"/>
        <v>0</v>
      </c>
      <c r="I24" s="487">
        <f t="array" ref="I24">_xll.DAC(DB,_xll.ArrayDPT($AA24:$AE24),_xll.ArrayCOA($AG24:$AZ24),YR-1,PRD,DD,_xll.ArrayDIM($BB24:$BE24))</f>
        <v>0</v>
      </c>
      <c r="J24" s="486">
        <f t="shared" si="9"/>
        <v>0</v>
      </c>
      <c r="K24" s="489"/>
      <c r="L24" s="489"/>
      <c r="M24" s="489"/>
      <c r="N24" s="489"/>
      <c r="O24" s="489"/>
      <c r="P24" s="489"/>
      <c r="Q24" s="489"/>
      <c r="R24" s="489"/>
      <c r="S24" s="489"/>
      <c r="T24" s="489"/>
      <c r="U24" s="489"/>
      <c r="V24" s="489"/>
      <c r="W24" s="489"/>
      <c r="X24" s="489"/>
      <c r="Y24" s="489"/>
      <c r="Z24" s="489"/>
      <c r="AA24" s="95"/>
      <c r="AB24" s="96"/>
      <c r="AC24" s="96"/>
      <c r="AD24" s="96"/>
      <c r="AE24" s="96"/>
      <c r="AF24" s="97"/>
      <c r="AG24" s="95"/>
      <c r="AH24" s="96"/>
      <c r="AI24" s="95"/>
      <c r="AJ24" s="96"/>
      <c r="AK24" s="95"/>
      <c r="AL24" s="96"/>
      <c r="AM24" s="95"/>
      <c r="AN24" s="98"/>
      <c r="AO24" s="96"/>
      <c r="AP24" s="96"/>
      <c r="AQ24" s="95"/>
      <c r="AR24" s="98"/>
      <c r="AS24" s="96"/>
      <c r="AT24" s="96"/>
      <c r="AU24" s="95"/>
      <c r="AV24" s="98"/>
      <c r="AW24" s="96"/>
      <c r="AX24" s="96"/>
      <c r="AY24" s="95"/>
      <c r="AZ24" s="98"/>
      <c r="BA24" s="99"/>
      <c r="BB24" s="95"/>
      <c r="BC24" s="96"/>
      <c r="BD24" s="96"/>
      <c r="BE24" s="98"/>
    </row>
    <row r="25" spans="1:57" ht="13.5" customHeight="1">
      <c r="A25" s="490" t="s">
        <v>1171</v>
      </c>
      <c r="B25" s="491">
        <f>SUM(B17:B24)</f>
        <v>0</v>
      </c>
      <c r="C25" s="492">
        <f t="shared" si="5"/>
        <v>0</v>
      </c>
      <c r="D25" s="503">
        <f>SUM(D17:D24)</f>
        <v>0</v>
      </c>
      <c r="E25" s="492">
        <f t="shared" si="6"/>
        <v>0</v>
      </c>
      <c r="F25" s="491">
        <f>SUM(F17:F24)</f>
        <v>0</v>
      </c>
      <c r="G25" s="492">
        <f t="shared" si="7"/>
        <v>0</v>
      </c>
      <c r="H25" s="493">
        <f t="shared" si="8"/>
        <v>0</v>
      </c>
      <c r="I25" s="491">
        <f>SUM(I17:I24)</f>
        <v>0</v>
      </c>
      <c r="J25" s="492">
        <f t="shared" si="9"/>
        <v>0</v>
      </c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  <c r="AA25" s="95"/>
      <c r="AB25" s="96"/>
      <c r="AC25" s="96"/>
      <c r="AD25" s="96"/>
      <c r="AE25" s="96"/>
      <c r="AF25" s="97"/>
      <c r="AG25" s="95"/>
      <c r="AH25" s="96"/>
      <c r="AI25" s="95"/>
      <c r="AJ25" s="96"/>
      <c r="AK25" s="95"/>
      <c r="AL25" s="96"/>
      <c r="AM25" s="95"/>
      <c r="AN25" s="98"/>
      <c r="AO25" s="96"/>
      <c r="AP25" s="96"/>
      <c r="AQ25" s="95"/>
      <c r="AR25" s="98"/>
      <c r="AS25" s="96"/>
      <c r="AT25" s="96"/>
      <c r="AU25" s="95"/>
      <c r="AV25" s="98"/>
      <c r="AW25" s="96"/>
      <c r="AX25" s="96"/>
      <c r="AY25" s="95"/>
      <c r="AZ25" s="98"/>
      <c r="BA25" s="99"/>
      <c r="BB25" s="95"/>
      <c r="BC25" s="96"/>
      <c r="BD25" s="96"/>
      <c r="BE25" s="98"/>
    </row>
    <row r="26" spans="1:57" ht="13.5" customHeight="1">
      <c r="A26" s="245"/>
      <c r="B26" s="245"/>
      <c r="C26" s="504"/>
      <c r="D26" s="505"/>
      <c r="E26" s="504"/>
      <c r="F26" s="501"/>
      <c r="G26" s="504"/>
      <c r="H26" s="245"/>
      <c r="I26" s="245"/>
      <c r="J26" s="498"/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  <c r="AA26" s="95"/>
      <c r="AB26" s="96"/>
      <c r="AC26" s="96"/>
      <c r="AD26" s="96"/>
      <c r="AE26" s="96"/>
      <c r="AF26" s="97"/>
      <c r="AG26" s="95"/>
      <c r="AH26" s="96"/>
      <c r="AI26" s="95"/>
      <c r="AJ26" s="96"/>
      <c r="AK26" s="95"/>
      <c r="AL26" s="96"/>
      <c r="AM26" s="95"/>
      <c r="AN26" s="98"/>
      <c r="AO26" s="96"/>
      <c r="AP26" s="96"/>
      <c r="AQ26" s="95"/>
      <c r="AR26" s="98"/>
      <c r="AS26" s="96"/>
      <c r="AT26" s="96"/>
      <c r="AU26" s="95"/>
      <c r="AV26" s="98"/>
      <c r="AW26" s="96"/>
      <c r="AX26" s="96"/>
      <c r="AY26" s="95"/>
      <c r="AZ26" s="98"/>
      <c r="BA26" s="99"/>
      <c r="BB26" s="95"/>
      <c r="BC26" s="96"/>
      <c r="BD26" s="96"/>
      <c r="BE26" s="98"/>
    </row>
    <row r="27" spans="1:57" ht="13.5" customHeight="1">
      <c r="A27" s="474" t="s">
        <v>1172</v>
      </c>
      <c r="B27" s="506"/>
      <c r="C27" s="476"/>
      <c r="D27" s="506"/>
      <c r="E27" s="476"/>
      <c r="F27" s="506"/>
      <c r="G27" s="476"/>
      <c r="H27" s="506">
        <f t="shared" ref="H27:H32" si="10">D27-F27</f>
        <v>0</v>
      </c>
      <c r="I27" s="475"/>
      <c r="J27" s="476"/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  <c r="AA27" s="95"/>
      <c r="AB27" s="96"/>
      <c r="AC27" s="96"/>
      <c r="AD27" s="96"/>
      <c r="AE27" s="96"/>
      <c r="AF27" s="97"/>
      <c r="AG27" s="95"/>
      <c r="AH27" s="96"/>
      <c r="AI27" s="95"/>
      <c r="AJ27" s="96"/>
      <c r="AK27" s="95"/>
      <c r="AL27" s="96"/>
      <c r="AM27" s="95"/>
      <c r="AN27" s="98"/>
      <c r="AO27" s="96"/>
      <c r="AP27" s="96"/>
      <c r="AQ27" s="95"/>
      <c r="AR27" s="98"/>
      <c r="AS27" s="96"/>
      <c r="AT27" s="96"/>
      <c r="AU27" s="95"/>
      <c r="AV27" s="98"/>
      <c r="AW27" s="96"/>
      <c r="AX27" s="96"/>
      <c r="AY27" s="95"/>
      <c r="AZ27" s="98"/>
      <c r="BA27" s="99"/>
      <c r="BB27" s="95"/>
      <c r="BC27" s="96"/>
      <c r="BD27" s="96"/>
      <c r="BE27" s="98"/>
    </row>
    <row r="28" spans="1:57" ht="13.5" customHeight="1">
      <c r="A28" s="478" t="s">
        <v>1173</v>
      </c>
      <c r="B28" s="507">
        <f t="array" ref="B28">_xll.DAC(DB,_xll.ArrayDPT($AA28:$AE28),_xll.ArrayCOA($AG28:$AZ28),YR,PRD,DD,_xll.ArrayDIM($BB28:$BE28))</f>
        <v>0</v>
      </c>
      <c r="C28" s="480">
        <f t="shared" ref="C28:C32" si="11">IF(B28&lt;=0,0,B28/B$48)</f>
        <v>0</v>
      </c>
      <c r="D28" s="481">
        <f t="array" ref="D28">_xll.PTD(DB,_xll.ArrayDPT($AA28:$AE28),_xll.ArrayCOA($AG28:$AZ28),YR,PRD,DD,_xll.ArrayDIM($BB28:$BE28))</f>
        <v>0</v>
      </c>
      <c r="E28" s="480">
        <f t="shared" ref="E28:E32" si="12">IF(D28&lt;=0,0,D28/D$48)</f>
        <v>0</v>
      </c>
      <c r="F28" s="481">
        <f t="array" ref="F28">_xll.PTDBG(DB,_xll.ArrayDPT($AA28:$AE28),_xll.ArrayCOA($AG28:$AZ28),YR,PRD,DD,RV,_xll.ArrayDIM($BB28:$BE28))</f>
        <v>0</v>
      </c>
      <c r="G28" s="480">
        <f t="shared" ref="G28:G32" si="13">IF(F28&lt;=0,0,F28/F$48)</f>
        <v>0</v>
      </c>
      <c r="H28" s="481">
        <f t="shared" si="10"/>
        <v>0</v>
      </c>
      <c r="I28" s="482">
        <f t="array" ref="I28">_xll.DAC(DB,_xll.ArrayDPT($AA28:$AE28),_xll.ArrayCOA($AG28:$AZ28),YR-1,PRD,DD,_xll.ArrayDIM($BB28:$BE28))</f>
        <v>0</v>
      </c>
      <c r="J28" s="480">
        <f t="shared" ref="J28:J32" si="14">IF(I28=0,0,(I28/I$48))</f>
        <v>0</v>
      </c>
      <c r="K28" s="24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  <c r="AA28" s="95"/>
      <c r="AB28" s="96"/>
      <c r="AC28" s="96"/>
      <c r="AD28" s="96"/>
      <c r="AE28" s="96"/>
      <c r="AF28" s="97"/>
      <c r="AG28" s="95"/>
      <c r="AH28" s="96"/>
      <c r="AI28" s="95"/>
      <c r="AJ28" s="96"/>
      <c r="AK28" s="95"/>
      <c r="AL28" s="96"/>
      <c r="AM28" s="95"/>
      <c r="AN28" s="98"/>
      <c r="AO28" s="96"/>
      <c r="AP28" s="96"/>
      <c r="AQ28" s="95"/>
      <c r="AR28" s="98"/>
      <c r="AS28" s="96"/>
      <c r="AT28" s="96"/>
      <c r="AU28" s="95"/>
      <c r="AV28" s="98"/>
      <c r="AW28" s="96"/>
      <c r="AX28" s="96"/>
      <c r="AY28" s="95"/>
      <c r="AZ28" s="98"/>
      <c r="BA28" s="99"/>
      <c r="BB28" s="95"/>
      <c r="BC28" s="96"/>
      <c r="BD28" s="96"/>
      <c r="BE28" s="98"/>
    </row>
    <row r="29" spans="1:57" ht="13.5" customHeight="1">
      <c r="A29" s="478" t="s">
        <v>1174</v>
      </c>
      <c r="B29" s="507">
        <f t="array" ref="B29">_xll.DAC(DB,_xll.ArrayDPT($AA29:$AE29),_xll.ArrayCOA($AG29:$AZ29),YR,PRD,DD,_xll.ArrayDIM($BB29:$BE29))</f>
        <v>0</v>
      </c>
      <c r="C29" s="480">
        <f t="shared" si="11"/>
        <v>0</v>
      </c>
      <c r="D29" s="481">
        <f t="array" ref="D29">_xll.PTD(DB,_xll.ArrayDPT($AA29:$AE29),_xll.ArrayCOA($AG29:$AZ29),YR,PRD,DD,_xll.ArrayDIM($BB29:$BE29))</f>
        <v>0</v>
      </c>
      <c r="E29" s="480">
        <f t="shared" si="12"/>
        <v>0</v>
      </c>
      <c r="F29" s="481">
        <f t="array" ref="F29">_xll.PTDBG(DB,_xll.ArrayDPT($AA29:$AE29),_xll.ArrayCOA($AG29:$AZ29),YR,PRD,DD,RV,_xll.ArrayDIM($BB29:$BE29))</f>
        <v>0</v>
      </c>
      <c r="G29" s="480">
        <f t="shared" si="13"/>
        <v>0</v>
      </c>
      <c r="H29" s="481">
        <f t="shared" si="10"/>
        <v>0</v>
      </c>
      <c r="I29" s="482">
        <f t="array" ref="I29">_xll.DAC(DB,_xll.ArrayDPT($AA29:$AE29),_xll.ArrayCOA($AG29:$AZ29),YR-1,PRD,DD,_xll.ArrayDIM($BB29:$BE29))</f>
        <v>0</v>
      </c>
      <c r="J29" s="480">
        <f t="shared" si="14"/>
        <v>0</v>
      </c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  <c r="AA29" s="95"/>
      <c r="AB29" s="96"/>
      <c r="AC29" s="96"/>
      <c r="AD29" s="96"/>
      <c r="AE29" s="96"/>
      <c r="AF29" s="97"/>
      <c r="AG29" s="95"/>
      <c r="AH29" s="96"/>
      <c r="AI29" s="95"/>
      <c r="AJ29" s="96"/>
      <c r="AK29" s="95"/>
      <c r="AL29" s="96"/>
      <c r="AM29" s="95"/>
      <c r="AN29" s="98"/>
      <c r="AO29" s="96"/>
      <c r="AP29" s="96"/>
      <c r="AQ29" s="95"/>
      <c r="AR29" s="98"/>
      <c r="AS29" s="96"/>
      <c r="AT29" s="96"/>
      <c r="AU29" s="95"/>
      <c r="AV29" s="98"/>
      <c r="AW29" s="96"/>
      <c r="AX29" s="96"/>
      <c r="AY29" s="95"/>
      <c r="AZ29" s="98"/>
      <c r="BA29" s="99"/>
      <c r="BB29" s="95"/>
      <c r="BC29" s="96"/>
      <c r="BD29" s="96"/>
      <c r="BE29" s="98"/>
    </row>
    <row r="30" spans="1:57" ht="13.5" customHeight="1">
      <c r="A30" s="478" t="s">
        <v>1175</v>
      </c>
      <c r="B30" s="507">
        <f t="array" ref="B30">_xll.DAC(DB,_xll.ArrayDPT($AA30:$AE30),_xll.ArrayCOA($AG30:$AZ30),YR,PRD,DD,_xll.ArrayDIM($BB30:$BE30))</f>
        <v>0</v>
      </c>
      <c r="C30" s="480">
        <f t="shared" si="11"/>
        <v>0</v>
      </c>
      <c r="D30" s="481">
        <f t="array" ref="D30">_xll.PTD(DB,_xll.ArrayDPT($AA30:$AE30),_xll.ArrayCOA($AG30:$AZ30),YR,PRD,DD,_xll.ArrayDIM($BB30:$BE30))</f>
        <v>0</v>
      </c>
      <c r="E30" s="480">
        <f t="shared" si="12"/>
        <v>0</v>
      </c>
      <c r="F30" s="481">
        <f t="array" ref="F30">_xll.PTDBG(DB,_xll.ArrayDPT($AA30:$AE30),_xll.ArrayCOA($AG30:$AZ30),YR,PRD,DD,RV,_xll.ArrayDIM($BB30:$BE30))</f>
        <v>0</v>
      </c>
      <c r="G30" s="480">
        <f t="shared" si="13"/>
        <v>0</v>
      </c>
      <c r="H30" s="481">
        <f t="shared" si="10"/>
        <v>0</v>
      </c>
      <c r="I30" s="482">
        <f t="array" ref="I30">_xll.DAC(DB,_xll.ArrayDPT($AA30:$AE30),_xll.ArrayCOA($AG30:$AZ30),YR-1,PRD,DD,_xll.ArrayDIM($BB30:$BE30))</f>
        <v>0</v>
      </c>
      <c r="J30" s="480">
        <f t="shared" si="14"/>
        <v>0</v>
      </c>
      <c r="K30" s="245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  <c r="AA30" s="95"/>
      <c r="AB30" s="96"/>
      <c r="AC30" s="96"/>
      <c r="AD30" s="96"/>
      <c r="AE30" s="96"/>
      <c r="AF30" s="97"/>
      <c r="AG30" s="95"/>
      <c r="AH30" s="96"/>
      <c r="AI30" s="95"/>
      <c r="AJ30" s="96"/>
      <c r="AK30" s="95"/>
      <c r="AL30" s="96"/>
      <c r="AM30" s="95"/>
      <c r="AN30" s="98"/>
      <c r="AO30" s="96"/>
      <c r="AP30" s="96"/>
      <c r="AQ30" s="95"/>
      <c r="AR30" s="98"/>
      <c r="AS30" s="96"/>
      <c r="AT30" s="96"/>
      <c r="AU30" s="95"/>
      <c r="AV30" s="98"/>
      <c r="AW30" s="96"/>
      <c r="AX30" s="96"/>
      <c r="AY30" s="95"/>
      <c r="AZ30" s="98"/>
      <c r="BA30" s="99"/>
      <c r="BB30" s="95"/>
      <c r="BC30" s="96"/>
      <c r="BD30" s="96"/>
      <c r="BE30" s="98"/>
    </row>
    <row r="31" spans="1:57" ht="13.5" customHeight="1">
      <c r="A31" s="483" t="s">
        <v>1161</v>
      </c>
      <c r="B31" s="508">
        <f t="array" ref="B31">_xll.DAC(DB,_xll.ArrayDPT($AA31:$AE31),_xll.ArrayCOA($AG31:$AZ31),YR,PRD,DD,_xll.ArrayDIM($BB31:$BE31))</f>
        <v>0</v>
      </c>
      <c r="C31" s="486">
        <f t="shared" si="11"/>
        <v>0</v>
      </c>
      <c r="D31" s="481">
        <f t="array" ref="D31">_xll.PTD(DB,_xll.ArrayDPT($AA31:$AE31),_xll.ArrayCOA($AG31:$AZ31),YR,PRD,DD,_xll.ArrayDIM($BB31:$BE31))</f>
        <v>0</v>
      </c>
      <c r="E31" s="486">
        <f t="shared" si="12"/>
        <v>0</v>
      </c>
      <c r="F31" s="481">
        <f t="array" ref="F31">_xll.PTDBG(DB,_xll.ArrayDPT($AA31:$AE31),_xll.ArrayCOA($AG31:$AZ31),YR,PRD,DD,RV,_xll.ArrayDIM($BB31:$BE31))</f>
        <v>0</v>
      </c>
      <c r="G31" s="486">
        <f t="shared" si="13"/>
        <v>0</v>
      </c>
      <c r="H31" s="485">
        <f t="shared" si="10"/>
        <v>0</v>
      </c>
      <c r="I31" s="488">
        <f t="array" ref="I31">_xll.DAC(DB,_xll.ArrayDPT($AA31:$AE31),_xll.ArrayCOA($AG31:$AZ31),YR-1,PRD,DD,_xll.ArrayDIM($BB31:$BE31))</f>
        <v>0</v>
      </c>
      <c r="J31" s="484">
        <f t="shared" si="14"/>
        <v>0</v>
      </c>
      <c r="K31" s="489"/>
      <c r="L31" s="489"/>
      <c r="M31" s="489"/>
      <c r="N31" s="489"/>
      <c r="O31" s="489"/>
      <c r="P31" s="489"/>
      <c r="Q31" s="489"/>
      <c r="R31" s="489"/>
      <c r="S31" s="489"/>
      <c r="T31" s="489"/>
      <c r="U31" s="489"/>
      <c r="V31" s="489"/>
      <c r="W31" s="489"/>
      <c r="X31" s="489"/>
      <c r="Y31" s="489"/>
      <c r="Z31" s="489"/>
      <c r="AA31" s="95"/>
      <c r="AB31" s="96"/>
      <c r="AC31" s="96"/>
      <c r="AD31" s="96"/>
      <c r="AE31" s="96"/>
      <c r="AF31" s="97"/>
      <c r="AG31" s="95"/>
      <c r="AH31" s="96"/>
      <c r="AI31" s="95"/>
      <c r="AJ31" s="96"/>
      <c r="AK31" s="95"/>
      <c r="AL31" s="96"/>
      <c r="AM31" s="95"/>
      <c r="AN31" s="98"/>
      <c r="AO31" s="96"/>
      <c r="AP31" s="96"/>
      <c r="AQ31" s="95"/>
      <c r="AR31" s="98"/>
      <c r="AS31" s="96"/>
      <c r="AT31" s="96"/>
      <c r="AU31" s="95"/>
      <c r="AV31" s="98"/>
      <c r="AW31" s="96"/>
      <c r="AX31" s="96"/>
      <c r="AY31" s="95"/>
      <c r="AZ31" s="98"/>
      <c r="BA31" s="99"/>
      <c r="BB31" s="95"/>
      <c r="BC31" s="96"/>
      <c r="BD31" s="96"/>
      <c r="BE31" s="98"/>
    </row>
    <row r="32" spans="1:57" ht="13.5" customHeight="1">
      <c r="A32" s="490" t="s">
        <v>1176</v>
      </c>
      <c r="B32" s="491">
        <f>SUM(B28:B31)</f>
        <v>0</v>
      </c>
      <c r="C32" s="492">
        <f t="shared" si="11"/>
        <v>0</v>
      </c>
      <c r="D32" s="503">
        <f>SUM(D28:D31)</f>
        <v>0</v>
      </c>
      <c r="E32" s="492">
        <f t="shared" si="12"/>
        <v>0</v>
      </c>
      <c r="F32" s="493">
        <f>SUM(F28:F31)</f>
        <v>0</v>
      </c>
      <c r="G32" s="492">
        <f t="shared" si="13"/>
        <v>0</v>
      </c>
      <c r="H32" s="493">
        <f t="shared" si="10"/>
        <v>0</v>
      </c>
      <c r="I32" s="503">
        <f>SUM(I28:I31)</f>
        <v>0</v>
      </c>
      <c r="J32" s="492">
        <f t="shared" si="14"/>
        <v>0</v>
      </c>
      <c r="K32" s="24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  <c r="AA32" s="95"/>
      <c r="AB32" s="96"/>
      <c r="AC32" s="96"/>
      <c r="AD32" s="96"/>
      <c r="AE32" s="96"/>
      <c r="AF32" s="97"/>
      <c r="AG32" s="95"/>
      <c r="AH32" s="96"/>
      <c r="AI32" s="95"/>
      <c r="AJ32" s="96"/>
      <c r="AK32" s="95"/>
      <c r="AL32" s="96"/>
      <c r="AM32" s="95"/>
      <c r="AN32" s="98"/>
      <c r="AO32" s="96"/>
      <c r="AP32" s="96"/>
      <c r="AQ32" s="95"/>
      <c r="AR32" s="98"/>
      <c r="AS32" s="96"/>
      <c r="AT32" s="96"/>
      <c r="AU32" s="95"/>
      <c r="AV32" s="98"/>
      <c r="AW32" s="96"/>
      <c r="AX32" s="96"/>
      <c r="AY32" s="95"/>
      <c r="AZ32" s="98"/>
      <c r="BA32" s="99"/>
      <c r="BB32" s="95"/>
      <c r="BC32" s="96"/>
      <c r="BD32" s="96"/>
      <c r="BE32" s="98"/>
    </row>
    <row r="33" spans="1:57" ht="13.5" customHeight="1">
      <c r="A33" s="245"/>
      <c r="B33" s="496"/>
      <c r="C33" s="495"/>
      <c r="D33" s="496"/>
      <c r="E33" s="495"/>
      <c r="F33" s="497"/>
      <c r="G33" s="495"/>
      <c r="H33" s="496"/>
      <c r="I33" s="496"/>
      <c r="J33" s="498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  <c r="AA33" s="95"/>
      <c r="AB33" s="96"/>
      <c r="AC33" s="96"/>
      <c r="AD33" s="96"/>
      <c r="AE33" s="96"/>
      <c r="AF33" s="97"/>
      <c r="AG33" s="95"/>
      <c r="AH33" s="96"/>
      <c r="AI33" s="95"/>
      <c r="AJ33" s="96"/>
      <c r="AK33" s="95"/>
      <c r="AL33" s="96"/>
      <c r="AM33" s="95"/>
      <c r="AN33" s="98"/>
      <c r="AO33" s="96"/>
      <c r="AP33" s="96"/>
      <c r="AQ33" s="95"/>
      <c r="AR33" s="98"/>
      <c r="AS33" s="96"/>
      <c r="AT33" s="96"/>
      <c r="AU33" s="95"/>
      <c r="AV33" s="98"/>
      <c r="AW33" s="96"/>
      <c r="AX33" s="96"/>
      <c r="AY33" s="95"/>
      <c r="AZ33" s="98"/>
      <c r="BA33" s="99"/>
      <c r="BB33" s="95"/>
      <c r="BC33" s="96"/>
      <c r="BD33" s="96"/>
      <c r="BE33" s="98"/>
    </row>
    <row r="34" spans="1:57" ht="13.5" customHeight="1">
      <c r="A34" s="474" t="s">
        <v>1177</v>
      </c>
      <c r="B34" s="475"/>
      <c r="C34" s="476"/>
      <c r="D34" s="477"/>
      <c r="E34" s="476"/>
      <c r="F34" s="477"/>
      <c r="G34" s="476"/>
      <c r="H34" s="477">
        <f t="shared" ref="H34:H48" si="15">D34-F34</f>
        <v>0</v>
      </c>
      <c r="I34" s="475"/>
      <c r="J34" s="476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95"/>
      <c r="AB34" s="96"/>
      <c r="AC34" s="96"/>
      <c r="AD34" s="96"/>
      <c r="AE34" s="96"/>
      <c r="AF34" s="97"/>
      <c r="AG34" s="95"/>
      <c r="AH34" s="96"/>
      <c r="AI34" s="95"/>
      <c r="AJ34" s="96"/>
      <c r="AK34" s="95"/>
      <c r="AL34" s="96"/>
      <c r="AM34" s="95"/>
      <c r="AN34" s="98"/>
      <c r="AO34" s="96"/>
      <c r="AP34" s="96"/>
      <c r="AQ34" s="95"/>
      <c r="AR34" s="98"/>
      <c r="AS34" s="96"/>
      <c r="AT34" s="96"/>
      <c r="AU34" s="95"/>
      <c r="AV34" s="98"/>
      <c r="AW34" s="96"/>
      <c r="AX34" s="96"/>
      <c r="AY34" s="95"/>
      <c r="AZ34" s="98"/>
      <c r="BA34" s="99"/>
      <c r="BB34" s="95"/>
      <c r="BC34" s="96"/>
      <c r="BD34" s="96"/>
      <c r="BE34" s="98"/>
    </row>
    <row r="35" spans="1:57" ht="13.5" customHeight="1">
      <c r="A35" s="478" t="s">
        <v>1178</v>
      </c>
      <c r="B35" s="479">
        <f t="array" ref="B35">_xll.DAC(DB,_xll.ArrayDPT($AA35:$AE35),_xll.ArrayCOA($AG35:$AZ35),YR,PRD,DD,_xll.ArrayDIM($BB35:$BE35))</f>
        <v>0</v>
      </c>
      <c r="C35" s="480">
        <f t="shared" ref="C35:C48" si="16">IF(B35&lt;=0,0,B35/B$48)</f>
        <v>0</v>
      </c>
      <c r="D35" s="481">
        <f t="array" ref="D35">_xll.PTD(DB,_xll.ArrayDPT($AA35:$AE35),_xll.ArrayCOA($AG35:$AZ35),YR,PRD,DD,_xll.ArrayDIM($BB35:$BE35))</f>
        <v>0</v>
      </c>
      <c r="E35" s="480">
        <f t="shared" ref="E35:E48" si="17">IF(D35&lt;=0,0,D35/D$48)</f>
        <v>0</v>
      </c>
      <c r="F35" s="481">
        <f t="array" ref="F35">_xll.PTDBG(DB,_xll.ArrayDPT($AA35:$AE35),_xll.ArrayCOA($AG35:$AZ35),YR,PRD,DD,RV,_xll.ArrayDIM($BB35:$BE35))</f>
        <v>0</v>
      </c>
      <c r="G35" s="480">
        <f t="shared" ref="G35:G48" si="18">IF(F35&lt;=0,0,F35/F$48)</f>
        <v>0</v>
      </c>
      <c r="H35" s="481">
        <f t="shared" si="15"/>
        <v>0</v>
      </c>
      <c r="I35" s="482">
        <f t="array" ref="I35">_xll.DAC(DB,_xll.ArrayDPT($AA35:$AE35),_xll.ArrayCOA($AG35:$AZ35),YR-1,PRD,DD,_xll.ArrayDIM($BB35:$BE35))</f>
        <v>0</v>
      </c>
      <c r="J35" s="480">
        <f t="shared" ref="J35:J41" si="19">IF(I35=0,0,(I35/I$48))</f>
        <v>0</v>
      </c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95"/>
      <c r="AB35" s="96"/>
      <c r="AC35" s="96"/>
      <c r="AD35" s="96"/>
      <c r="AE35" s="96"/>
      <c r="AF35" s="97"/>
      <c r="AG35" s="95"/>
      <c r="AH35" s="96"/>
      <c r="AI35" s="95"/>
      <c r="AJ35" s="96"/>
      <c r="AK35" s="95"/>
      <c r="AL35" s="96"/>
      <c r="AM35" s="95"/>
      <c r="AN35" s="98"/>
      <c r="AO35" s="96"/>
      <c r="AP35" s="96"/>
      <c r="AQ35" s="95"/>
      <c r="AR35" s="98"/>
      <c r="AS35" s="96"/>
      <c r="AT35" s="96"/>
      <c r="AU35" s="95"/>
      <c r="AV35" s="98"/>
      <c r="AW35" s="96"/>
      <c r="AX35" s="96"/>
      <c r="AY35" s="95"/>
      <c r="AZ35" s="98"/>
      <c r="BA35" s="99"/>
      <c r="BB35" s="95"/>
      <c r="BC35" s="96"/>
      <c r="BD35" s="96"/>
      <c r="BE35" s="98"/>
    </row>
    <row r="36" spans="1:57" ht="13.5" customHeight="1">
      <c r="A36" s="478" t="s">
        <v>1179</v>
      </c>
      <c r="B36" s="479">
        <f t="array" ref="B36">_xll.DAC(DB,_xll.ArrayDPT($AA36:$AE36),_xll.ArrayCOA($AG36:$AZ36),YR,PRD,DD,_xll.ArrayDIM($BB36:$BE36))</f>
        <v>0</v>
      </c>
      <c r="C36" s="480">
        <f t="shared" si="16"/>
        <v>0</v>
      </c>
      <c r="D36" s="481">
        <f t="array" ref="D36">_xll.PTD(DB,_xll.ArrayDPT($AA36:$AE36),_xll.ArrayCOA($AG36:$AZ36),YR,PRD,DD,_xll.ArrayDIM($BB36:$BE36))</f>
        <v>0</v>
      </c>
      <c r="E36" s="480">
        <f t="shared" si="17"/>
        <v>0</v>
      </c>
      <c r="F36" s="481">
        <f t="array" ref="F36">_xll.PTDBG(DB,_xll.ArrayDPT($AA36:$AE36),_xll.ArrayCOA($AG36:$AZ36),YR,PRD,DD,RV,_xll.ArrayDIM($BB36:$BE36))</f>
        <v>0</v>
      </c>
      <c r="G36" s="480">
        <f t="shared" si="18"/>
        <v>0</v>
      </c>
      <c r="H36" s="481">
        <f t="shared" si="15"/>
        <v>0</v>
      </c>
      <c r="I36" s="482">
        <f t="array" ref="I36">_xll.DAC(DB,_xll.ArrayDPT($AA36:$AE36),_xll.ArrayCOA($AG36:$AZ36),YR-1,PRD,DD,_xll.ArrayDIM($BB36:$BE36))</f>
        <v>0</v>
      </c>
      <c r="J36" s="480">
        <f t="shared" si="19"/>
        <v>0</v>
      </c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95"/>
      <c r="AB36" s="96"/>
      <c r="AC36" s="96"/>
      <c r="AD36" s="96"/>
      <c r="AE36" s="96"/>
      <c r="AF36" s="97"/>
      <c r="AG36" s="95"/>
      <c r="AH36" s="96"/>
      <c r="AI36" s="95"/>
      <c r="AJ36" s="96"/>
      <c r="AK36" s="95"/>
      <c r="AL36" s="96"/>
      <c r="AM36" s="95"/>
      <c r="AN36" s="98"/>
      <c r="AO36" s="96"/>
      <c r="AP36" s="96"/>
      <c r="AQ36" s="95"/>
      <c r="AR36" s="98"/>
      <c r="AS36" s="96"/>
      <c r="AT36" s="96"/>
      <c r="AU36" s="95"/>
      <c r="AV36" s="98"/>
      <c r="AW36" s="96"/>
      <c r="AX36" s="96"/>
      <c r="AY36" s="95"/>
      <c r="AZ36" s="98"/>
      <c r="BA36" s="99"/>
      <c r="BB36" s="95"/>
      <c r="BC36" s="96"/>
      <c r="BD36" s="96"/>
      <c r="BE36" s="98"/>
    </row>
    <row r="37" spans="1:57" ht="13.5" customHeight="1">
      <c r="A37" s="478" t="s">
        <v>1180</v>
      </c>
      <c r="B37" s="479">
        <f t="array" ref="B37">_xll.DAC(DB,_xll.ArrayDPT($AA37:$AE37),_xll.ArrayCOA($AG37:$AZ37),YR,PRD,DD,_xll.ArrayDIM($BB37:$BE37))</f>
        <v>0</v>
      </c>
      <c r="C37" s="480">
        <f t="shared" si="16"/>
        <v>0</v>
      </c>
      <c r="D37" s="481">
        <f t="array" ref="D37">_xll.PTD(DB,_xll.ArrayDPT($AA37:$AE37),_xll.ArrayCOA($AG37:$AZ37),YR,PRD,DD,_xll.ArrayDIM($BB37:$BE37))</f>
        <v>0</v>
      </c>
      <c r="E37" s="480">
        <f t="shared" si="17"/>
        <v>0</v>
      </c>
      <c r="F37" s="481">
        <f t="array" ref="F37">_xll.PTDBG(DB,_xll.ArrayDPT($AA37:$AE37),_xll.ArrayCOA($AG37:$AZ37),YR,PRD,DD,RV,_xll.ArrayDIM($BB37:$BE37))</f>
        <v>0</v>
      </c>
      <c r="G37" s="480">
        <f t="shared" si="18"/>
        <v>0</v>
      </c>
      <c r="H37" s="481">
        <f t="shared" si="15"/>
        <v>0</v>
      </c>
      <c r="I37" s="482">
        <f t="array" ref="I37">_xll.DAC(DB,_xll.ArrayDPT($AA37:$AE37),_xll.ArrayCOA($AG37:$AZ37),YR-1,PRD,DD,_xll.ArrayDIM($BB37:$BE37))</f>
        <v>0</v>
      </c>
      <c r="J37" s="480">
        <f t="shared" si="19"/>
        <v>0</v>
      </c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95"/>
      <c r="AB37" s="96"/>
      <c r="AC37" s="96"/>
      <c r="AD37" s="96"/>
      <c r="AE37" s="96"/>
      <c r="AF37" s="97"/>
      <c r="AG37" s="95"/>
      <c r="AH37" s="96"/>
      <c r="AI37" s="95"/>
      <c r="AJ37" s="96"/>
      <c r="AK37" s="95"/>
      <c r="AL37" s="96"/>
      <c r="AM37" s="95"/>
      <c r="AN37" s="98"/>
      <c r="AO37" s="96"/>
      <c r="AP37" s="96"/>
      <c r="AQ37" s="95"/>
      <c r="AR37" s="98"/>
      <c r="AS37" s="96"/>
      <c r="AT37" s="96"/>
      <c r="AU37" s="95"/>
      <c r="AV37" s="98"/>
      <c r="AW37" s="96"/>
      <c r="AX37" s="96"/>
      <c r="AY37" s="95"/>
      <c r="AZ37" s="98"/>
      <c r="BA37" s="99"/>
      <c r="BB37" s="95"/>
      <c r="BC37" s="96"/>
      <c r="BD37" s="96"/>
      <c r="BE37" s="98"/>
    </row>
    <row r="38" spans="1:57" ht="13.5" customHeight="1">
      <c r="A38" s="478" t="s">
        <v>1181</v>
      </c>
      <c r="B38" s="479">
        <f t="array" ref="B38">_xll.DAC(DB,_xll.ArrayDPT($AA38:$AE38),_xll.ArrayCOA($AG38:$AZ38),YR,PRD,DD,_xll.ArrayDIM($BB38:$BE38))</f>
        <v>0</v>
      </c>
      <c r="C38" s="480">
        <f t="shared" si="16"/>
        <v>0</v>
      </c>
      <c r="D38" s="481">
        <f t="array" ref="D38">_xll.PTD(DB,_xll.ArrayDPT($AA38:$AE38),_xll.ArrayCOA($AG38:$AZ38),YR,PRD,DD,_xll.ArrayDIM($BB38:$BE38))</f>
        <v>0</v>
      </c>
      <c r="E38" s="480">
        <f t="shared" si="17"/>
        <v>0</v>
      </c>
      <c r="F38" s="481">
        <f t="array" ref="F38">_xll.PTDBG(DB,_xll.ArrayDPT($AA38:$AE38),_xll.ArrayCOA($AG38:$AZ38),YR,PRD,DD,RV,_xll.ArrayDIM($BB38:$BE38))</f>
        <v>0</v>
      </c>
      <c r="G38" s="480">
        <f t="shared" si="18"/>
        <v>0</v>
      </c>
      <c r="H38" s="481">
        <f t="shared" si="15"/>
        <v>0</v>
      </c>
      <c r="I38" s="482">
        <f t="array" ref="I38">_xll.DAC(DB,_xll.ArrayDPT($AA38:$AE38),_xll.ArrayCOA($AG38:$AZ38),YR-1,PRD,DD,_xll.ArrayDIM($BB38:$BE38))</f>
        <v>0</v>
      </c>
      <c r="J38" s="480">
        <f t="shared" si="19"/>
        <v>0</v>
      </c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  <c r="AA38" s="95"/>
      <c r="AB38" s="96"/>
      <c r="AC38" s="96"/>
      <c r="AD38" s="96"/>
      <c r="AE38" s="96"/>
      <c r="AF38" s="97"/>
      <c r="AG38" s="95"/>
      <c r="AH38" s="96"/>
      <c r="AI38" s="95"/>
      <c r="AJ38" s="96"/>
      <c r="AK38" s="95"/>
      <c r="AL38" s="96"/>
      <c r="AM38" s="95"/>
      <c r="AN38" s="98"/>
      <c r="AO38" s="96"/>
      <c r="AP38" s="96"/>
      <c r="AQ38" s="95"/>
      <c r="AR38" s="98"/>
      <c r="AS38" s="96"/>
      <c r="AT38" s="96"/>
      <c r="AU38" s="95"/>
      <c r="AV38" s="98"/>
      <c r="AW38" s="96"/>
      <c r="AX38" s="96"/>
      <c r="AY38" s="95"/>
      <c r="AZ38" s="98"/>
      <c r="BA38" s="99"/>
      <c r="BB38" s="95"/>
      <c r="BC38" s="96"/>
      <c r="BD38" s="96"/>
      <c r="BE38" s="98"/>
    </row>
    <row r="39" spans="1:57" ht="13.5" customHeight="1">
      <c r="A39" s="478" t="s">
        <v>1182</v>
      </c>
      <c r="B39" s="479">
        <f t="array" ref="B39">_xll.DAC(DB,_xll.ArrayDPT($AA39:$AE39),_xll.ArrayCOA($AG39:$AZ39),YR,PRD,DD,_xll.ArrayDIM($BB39:$BE39))</f>
        <v>0</v>
      </c>
      <c r="C39" s="480">
        <f t="shared" si="16"/>
        <v>0</v>
      </c>
      <c r="D39" s="481">
        <f t="array" ref="D39">_xll.PTD(DB,_xll.ArrayDPT($AA39:$AE39),_xll.ArrayCOA($AG39:$AZ39),YR,PRD,DD,_xll.ArrayDIM($BB39:$BE39))</f>
        <v>0</v>
      </c>
      <c r="E39" s="480">
        <f t="shared" si="17"/>
        <v>0</v>
      </c>
      <c r="F39" s="481">
        <f t="array" ref="F39">_xll.PTDBG(DB,_xll.ArrayDPT($AA39:$AE39),_xll.ArrayCOA($AG39:$AZ39),YR,PRD,DD,RV,_xll.ArrayDIM($BB39:$BE39))</f>
        <v>0</v>
      </c>
      <c r="G39" s="480">
        <f t="shared" si="18"/>
        <v>0</v>
      </c>
      <c r="H39" s="481">
        <f t="shared" si="15"/>
        <v>0</v>
      </c>
      <c r="I39" s="482">
        <f t="array" ref="I39">_xll.DAC(DB,_xll.ArrayDPT($AA39:$AE39),_xll.ArrayCOA($AG39:$AZ39),YR-1,PRD,DD,_xll.ArrayDIM($BB39:$BE39))</f>
        <v>0</v>
      </c>
      <c r="J39" s="480">
        <f t="shared" si="19"/>
        <v>0</v>
      </c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  <c r="AA39" s="95"/>
      <c r="AB39" s="96"/>
      <c r="AC39" s="96"/>
      <c r="AD39" s="96"/>
      <c r="AE39" s="96"/>
      <c r="AF39" s="97"/>
      <c r="AG39" s="95"/>
      <c r="AH39" s="96"/>
      <c r="AI39" s="95"/>
      <c r="AJ39" s="96"/>
      <c r="AK39" s="95"/>
      <c r="AL39" s="96"/>
      <c r="AM39" s="95"/>
      <c r="AN39" s="98"/>
      <c r="AO39" s="96"/>
      <c r="AP39" s="96"/>
      <c r="AQ39" s="95"/>
      <c r="AR39" s="98"/>
      <c r="AS39" s="96"/>
      <c r="AT39" s="96"/>
      <c r="AU39" s="95"/>
      <c r="AV39" s="98"/>
      <c r="AW39" s="96"/>
      <c r="AX39" s="96"/>
      <c r="AY39" s="95"/>
      <c r="AZ39" s="98"/>
      <c r="BA39" s="99"/>
      <c r="BB39" s="95"/>
      <c r="BC39" s="96"/>
      <c r="BD39" s="96"/>
      <c r="BE39" s="98"/>
    </row>
    <row r="40" spans="1:57" ht="13.5" customHeight="1">
      <c r="A40" s="478" t="s">
        <v>1183</v>
      </c>
      <c r="B40" s="479">
        <f t="array" ref="B40">_xll.DAC(DB,_xll.ArrayDPT($AA40:$AE40),_xll.ArrayCOA($AG40:$AZ40),YR,PRD,DD,_xll.ArrayDIM($BB40:$BE40))</f>
        <v>0</v>
      </c>
      <c r="C40" s="480">
        <f t="shared" si="16"/>
        <v>0</v>
      </c>
      <c r="D40" s="481">
        <f t="array" ref="D40">_xll.PTD(DB,_xll.ArrayDPT($AA40:$AE40),_xll.ArrayCOA($AG40:$AZ40),YR,PRD,DD,_xll.ArrayDIM($BB40:$BE40))</f>
        <v>0</v>
      </c>
      <c r="E40" s="480">
        <f t="shared" si="17"/>
        <v>0</v>
      </c>
      <c r="F40" s="481">
        <f t="array" ref="F40">_xll.PTDBG(DB,_xll.ArrayDPT($AA40:$AE40),_xll.ArrayCOA($AG40:$AZ40),YR,PRD,DD,RV,_xll.ArrayDIM($BB40:$BE40))</f>
        <v>0</v>
      </c>
      <c r="G40" s="480">
        <f t="shared" si="18"/>
        <v>0</v>
      </c>
      <c r="H40" s="481">
        <f t="shared" si="15"/>
        <v>0</v>
      </c>
      <c r="I40" s="482">
        <f t="array" ref="I40">_xll.DAC(DB,_xll.ArrayDPT($AA40:$AE40),_xll.ArrayCOA($AG40:$AZ40),YR-1,PRD,DD,_xll.ArrayDIM($BB40:$BE40))</f>
        <v>0</v>
      </c>
      <c r="J40" s="480">
        <f t="shared" si="19"/>
        <v>0</v>
      </c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95"/>
      <c r="AB40" s="96"/>
      <c r="AC40" s="96"/>
      <c r="AD40" s="96"/>
      <c r="AE40" s="96"/>
      <c r="AF40" s="97"/>
      <c r="AG40" s="95"/>
      <c r="AH40" s="96"/>
      <c r="AI40" s="95"/>
      <c r="AJ40" s="96"/>
      <c r="AK40" s="95"/>
      <c r="AL40" s="96"/>
      <c r="AM40" s="95"/>
      <c r="AN40" s="98"/>
      <c r="AO40" s="96"/>
      <c r="AP40" s="96"/>
      <c r="AQ40" s="95"/>
      <c r="AR40" s="98"/>
      <c r="AS40" s="96"/>
      <c r="AT40" s="96"/>
      <c r="AU40" s="95"/>
      <c r="AV40" s="98"/>
      <c r="AW40" s="96"/>
      <c r="AX40" s="96"/>
      <c r="AY40" s="95"/>
      <c r="AZ40" s="98"/>
      <c r="BA40" s="99"/>
      <c r="BB40" s="95"/>
      <c r="BC40" s="96"/>
      <c r="BD40" s="96"/>
      <c r="BE40" s="98"/>
    </row>
    <row r="41" spans="1:57" ht="13.5" customHeight="1">
      <c r="A41" s="509" t="s">
        <v>1184</v>
      </c>
      <c r="B41" s="510">
        <f t="array" ref="B41">_xll.DAC(DB,_xll.ArrayDPT($AA41:$AE41),_xll.ArrayCOA($AG41:$AZ41),YR,PRD,DD,_xll.ArrayDIM($BB41:$BE41))</f>
        <v>0</v>
      </c>
      <c r="C41" s="484">
        <f t="shared" si="16"/>
        <v>0</v>
      </c>
      <c r="D41" s="481">
        <f t="array" ref="D41">_xll.PTD(DB,_xll.ArrayDPT($AA41:$AE41),_xll.ArrayCOA($AG41:$AZ41),YR,PRD,DD,_xll.ArrayDIM($BB41:$BE41))</f>
        <v>0</v>
      </c>
      <c r="E41" s="484">
        <f t="shared" si="17"/>
        <v>0</v>
      </c>
      <c r="F41" s="481">
        <f t="array" ref="F41">_xll.PTDBG(DB,_xll.ArrayDPT($AA41:$AE41),_xll.ArrayCOA($AG41:$AZ41),YR,PRD,DD,RV,_xll.ArrayDIM($BB41:$BE41))</f>
        <v>0</v>
      </c>
      <c r="G41" s="484">
        <f t="shared" si="18"/>
        <v>0</v>
      </c>
      <c r="H41" s="511">
        <f t="shared" si="15"/>
        <v>0</v>
      </c>
      <c r="I41" s="512">
        <f t="array" ref="I41">_xll.DAC(DB,_xll.ArrayDPT($AA41:$AE41),_xll.ArrayCOA($AG41:$AZ41),YR-1,PRD,DD,_xll.ArrayDIM($BB41:$BE41))</f>
        <v>0</v>
      </c>
      <c r="J41" s="480">
        <f t="shared" si="19"/>
        <v>0</v>
      </c>
      <c r="K41" s="513"/>
      <c r="L41" s="513"/>
      <c r="M41" s="513"/>
      <c r="N41" s="513"/>
      <c r="O41" s="513"/>
      <c r="P41" s="513"/>
      <c r="Q41" s="513"/>
      <c r="R41" s="513"/>
      <c r="S41" s="513"/>
      <c r="T41" s="513"/>
      <c r="U41" s="513"/>
      <c r="V41" s="513"/>
      <c r="W41" s="513"/>
      <c r="X41" s="513"/>
      <c r="Y41" s="513"/>
      <c r="Z41" s="513"/>
      <c r="AA41" s="95"/>
      <c r="AB41" s="96"/>
      <c r="AC41" s="96"/>
      <c r="AD41" s="96"/>
      <c r="AE41" s="96"/>
      <c r="AF41" s="97"/>
      <c r="AG41" s="95"/>
      <c r="AH41" s="96"/>
      <c r="AI41" s="95"/>
      <c r="AJ41" s="96"/>
      <c r="AK41" s="95"/>
      <c r="AL41" s="96"/>
      <c r="AM41" s="95"/>
      <c r="AN41" s="98"/>
      <c r="AO41" s="96"/>
      <c r="AP41" s="96"/>
      <c r="AQ41" s="95"/>
      <c r="AR41" s="98"/>
      <c r="AS41" s="96"/>
      <c r="AT41" s="96"/>
      <c r="AU41" s="95"/>
      <c r="AV41" s="98"/>
      <c r="AW41" s="96"/>
      <c r="AX41" s="96"/>
      <c r="AY41" s="95"/>
      <c r="AZ41" s="98"/>
      <c r="BA41" s="99"/>
      <c r="BB41" s="95"/>
      <c r="BC41" s="96"/>
      <c r="BD41" s="96"/>
      <c r="BE41" s="98"/>
    </row>
    <row r="42" spans="1:57" ht="13.5" customHeight="1">
      <c r="A42" s="514" t="s">
        <v>1185</v>
      </c>
      <c r="B42" s="515">
        <f>SUM(B34:B41)</f>
        <v>0</v>
      </c>
      <c r="C42" s="492">
        <f t="shared" si="16"/>
        <v>0</v>
      </c>
      <c r="D42" s="515">
        <f>SUM(D34:D41)</f>
        <v>0</v>
      </c>
      <c r="E42" s="492">
        <f t="shared" si="17"/>
        <v>0</v>
      </c>
      <c r="F42" s="515">
        <f>SUM(F34:F41)</f>
        <v>0</v>
      </c>
      <c r="G42" s="492">
        <f t="shared" si="18"/>
        <v>0</v>
      </c>
      <c r="H42" s="515">
        <f t="shared" si="15"/>
        <v>0</v>
      </c>
      <c r="I42" s="515">
        <f t="shared" ref="I42:J42" si="20">SUM(I34:I41)</f>
        <v>0</v>
      </c>
      <c r="J42" s="516">
        <f t="shared" si="20"/>
        <v>0</v>
      </c>
      <c r="K42" s="245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  <c r="AA42" s="95"/>
      <c r="AB42" s="96"/>
      <c r="AC42" s="96"/>
      <c r="AD42" s="96"/>
      <c r="AE42" s="96"/>
      <c r="AF42" s="97"/>
      <c r="AG42" s="95"/>
      <c r="AH42" s="96"/>
      <c r="AI42" s="95"/>
      <c r="AJ42" s="96"/>
      <c r="AK42" s="95"/>
      <c r="AL42" s="96"/>
      <c r="AM42" s="95"/>
      <c r="AN42" s="98"/>
      <c r="AO42" s="96"/>
      <c r="AP42" s="96"/>
      <c r="AQ42" s="95"/>
      <c r="AR42" s="98"/>
      <c r="AS42" s="96"/>
      <c r="AT42" s="96"/>
      <c r="AU42" s="95"/>
      <c r="AV42" s="98"/>
      <c r="AW42" s="96"/>
      <c r="AX42" s="96"/>
      <c r="AY42" s="95"/>
      <c r="AZ42" s="98"/>
      <c r="BA42" s="99"/>
      <c r="BB42" s="95"/>
      <c r="BC42" s="96"/>
      <c r="BD42" s="96"/>
      <c r="BE42" s="98"/>
    </row>
    <row r="43" spans="1:57" ht="13.5" customHeight="1">
      <c r="A43" s="514" t="s">
        <v>1186</v>
      </c>
      <c r="B43" s="494">
        <f>+B14+B25+B32+B42</f>
        <v>0</v>
      </c>
      <c r="C43" s="517">
        <f t="shared" si="16"/>
        <v>0</v>
      </c>
      <c r="D43" s="494">
        <f>+D14+D25+D32+D42</f>
        <v>0</v>
      </c>
      <c r="E43" s="517">
        <f t="shared" si="17"/>
        <v>0</v>
      </c>
      <c r="F43" s="494">
        <f>+F14+F25+F32+F42</f>
        <v>0</v>
      </c>
      <c r="G43" s="517">
        <f t="shared" si="18"/>
        <v>0</v>
      </c>
      <c r="H43" s="494">
        <f t="shared" si="15"/>
        <v>0</v>
      </c>
      <c r="I43" s="494">
        <f>+I14+I25+I32+I42</f>
        <v>0</v>
      </c>
      <c r="J43" s="518">
        <f>SUM(J31:J42)</f>
        <v>0</v>
      </c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95"/>
      <c r="AB43" s="96"/>
      <c r="AC43" s="96"/>
      <c r="AD43" s="96"/>
      <c r="AE43" s="96"/>
      <c r="AF43" s="97"/>
      <c r="AG43" s="95"/>
      <c r="AH43" s="96"/>
      <c r="AI43" s="95"/>
      <c r="AJ43" s="96"/>
      <c r="AK43" s="95"/>
      <c r="AL43" s="96"/>
      <c r="AM43" s="95"/>
      <c r="AN43" s="98"/>
      <c r="AO43" s="96"/>
      <c r="AP43" s="96"/>
      <c r="AQ43" s="95"/>
      <c r="AR43" s="98"/>
      <c r="AS43" s="96"/>
      <c r="AT43" s="96"/>
      <c r="AU43" s="95"/>
      <c r="AV43" s="98"/>
      <c r="AW43" s="96"/>
      <c r="AX43" s="96"/>
      <c r="AY43" s="95"/>
      <c r="AZ43" s="98"/>
      <c r="BA43" s="99"/>
      <c r="BB43" s="95"/>
      <c r="BC43" s="96"/>
      <c r="BD43" s="96"/>
      <c r="BE43" s="98"/>
    </row>
    <row r="44" spans="1:57" ht="13.5" customHeight="1">
      <c r="A44" s="519" t="s">
        <v>1187</v>
      </c>
      <c r="B44" s="520">
        <f t="array" ref="B44">_xll.DAC(DB,_xll.ArrayDPT($AA44:$AE44),_xll.ArrayCOA($AG44:$AZ44),YR,PRD,DD,_xll.ArrayDIM($BB44:$BE44))</f>
        <v>0</v>
      </c>
      <c r="C44" s="521">
        <f t="shared" si="16"/>
        <v>0</v>
      </c>
      <c r="D44" s="481">
        <f t="array" ref="D44">_xll.PTD(DB,_xll.ArrayDPT($AA44:$AE44),_xll.ArrayCOA($AG44:$AZ44),YR,PRD,DD,_xll.ArrayDIM($BB44:$BE44))</f>
        <v>0</v>
      </c>
      <c r="E44" s="521">
        <f t="shared" si="17"/>
        <v>0</v>
      </c>
      <c r="F44" s="481">
        <f t="array" ref="F44">_xll.PTDBG(DB,_xll.ArrayDPT($AA44:$AE44),_xll.ArrayCOA($AG44:$AZ44),YR,PRD,DD,RV,_xll.ArrayDIM($BB44:$BE44))</f>
        <v>0</v>
      </c>
      <c r="G44" s="521">
        <f t="shared" si="18"/>
        <v>0</v>
      </c>
      <c r="H44" s="522">
        <f t="shared" si="15"/>
        <v>0</v>
      </c>
      <c r="I44" s="520">
        <f t="array" ref="I44">_xll.DAC(DB,_xll.ArrayDPT($AA44:$AE44),_xll.ArrayCOA($AG44:$AZ44),YR-1,PRD,DD,_xll.ArrayDIM($BB44:$BE44))</f>
        <v>0</v>
      </c>
      <c r="J44" s="521">
        <f t="shared" ref="J44:J48" si="21">IF(I44&lt;=0,0,I44/I$48)</f>
        <v>0</v>
      </c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95"/>
      <c r="AB44" s="96"/>
      <c r="AC44" s="96"/>
      <c r="AD44" s="96"/>
      <c r="AE44" s="96"/>
      <c r="AF44" s="97"/>
      <c r="AG44" s="95"/>
      <c r="AH44" s="96"/>
      <c r="AI44" s="95"/>
      <c r="AJ44" s="96"/>
      <c r="AK44" s="95"/>
      <c r="AL44" s="96"/>
      <c r="AM44" s="95"/>
      <c r="AN44" s="98"/>
      <c r="AO44" s="96"/>
      <c r="AP44" s="96"/>
      <c r="AQ44" s="95"/>
      <c r="AR44" s="98"/>
      <c r="AS44" s="96"/>
      <c r="AT44" s="96"/>
      <c r="AU44" s="95"/>
      <c r="AV44" s="98"/>
      <c r="AW44" s="96"/>
      <c r="AX44" s="96"/>
      <c r="AY44" s="95"/>
      <c r="AZ44" s="98"/>
      <c r="BA44" s="99"/>
      <c r="BB44" s="95"/>
      <c r="BC44" s="96"/>
      <c r="BD44" s="96"/>
      <c r="BE44" s="98"/>
    </row>
    <row r="45" spans="1:57" ht="13.5" customHeight="1">
      <c r="A45" s="478" t="s">
        <v>1188</v>
      </c>
      <c r="B45" s="479">
        <f t="array" ref="B45">_xll.DAC(DB,_xll.ArrayDPT($AA45:$AE45),_xll.ArrayCOA($AG45:$AZ45),YR,PRD,DD,_xll.ArrayDIM($BB45:$BE45))</f>
        <v>0</v>
      </c>
      <c r="C45" s="480">
        <f t="shared" si="16"/>
        <v>0</v>
      </c>
      <c r="D45" s="481">
        <f t="array" ref="D45">_xll.PTD(DB,_xll.ArrayDPT($AA45:$AE45),_xll.ArrayCOA($AG45:$AZ45),YR,PRD,DD,_xll.ArrayDIM($BB45:$BE45))</f>
        <v>0</v>
      </c>
      <c r="E45" s="480">
        <f t="shared" si="17"/>
        <v>0</v>
      </c>
      <c r="F45" s="481">
        <f t="array" ref="F45">_xll.PTDBG(DB,_xll.ArrayDPT($AA45:$AE45),_xll.ArrayCOA($AG45:$AZ45),YR,PRD,DD,RV,_xll.ArrayDIM($BB45:$BE45))</f>
        <v>0</v>
      </c>
      <c r="G45" s="480">
        <f t="shared" si="18"/>
        <v>0</v>
      </c>
      <c r="H45" s="481">
        <f t="shared" si="15"/>
        <v>0</v>
      </c>
      <c r="I45" s="479">
        <f t="array" ref="I45">_xll.DAC(DB,_xll.ArrayDPT($AA45:$AE45),_xll.ArrayCOA($AG45:$AZ45),YR-1,PRD,DD,_xll.ArrayDIM($BB45:$BE45))</f>
        <v>0</v>
      </c>
      <c r="J45" s="480">
        <f t="shared" si="21"/>
        <v>0</v>
      </c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  <c r="AA45" s="95"/>
      <c r="AB45" s="96"/>
      <c r="AC45" s="96"/>
      <c r="AD45" s="96"/>
      <c r="AE45" s="96"/>
      <c r="AF45" s="97"/>
      <c r="AG45" s="95"/>
      <c r="AH45" s="96"/>
      <c r="AI45" s="95"/>
      <c r="AJ45" s="96"/>
      <c r="AK45" s="95"/>
      <c r="AL45" s="96"/>
      <c r="AM45" s="95"/>
      <c r="AN45" s="98"/>
      <c r="AO45" s="96"/>
      <c r="AP45" s="96"/>
      <c r="AQ45" s="95"/>
      <c r="AR45" s="98"/>
      <c r="AS45" s="96"/>
      <c r="AT45" s="96"/>
      <c r="AU45" s="95"/>
      <c r="AV45" s="98"/>
      <c r="AW45" s="96"/>
      <c r="AX45" s="96"/>
      <c r="AY45" s="95"/>
      <c r="AZ45" s="98"/>
      <c r="BA45" s="99"/>
      <c r="BB45" s="95"/>
      <c r="BC45" s="96"/>
      <c r="BD45" s="96"/>
      <c r="BE45" s="98"/>
    </row>
    <row r="46" spans="1:57" ht="13.5" customHeight="1">
      <c r="A46" s="478" t="s">
        <v>1189</v>
      </c>
      <c r="B46" s="479">
        <f t="array" ref="B46">_xll.DAC(DB,_xll.ArrayDPT($AA46:$AE46),_xll.ArrayCOA($AG46:$AZ46),YR,PRD,DD,_xll.ArrayDIM($BB46:$BE46))</f>
        <v>0</v>
      </c>
      <c r="C46" s="480">
        <f t="shared" si="16"/>
        <v>0</v>
      </c>
      <c r="D46" s="481">
        <f t="array" ref="D46">_xll.PTD(DB,_xll.ArrayDPT($AA46:$AE46),_xll.ArrayCOA($AG46:$AZ46),YR,PRD,DD,_xll.ArrayDIM($BB46:$BE46))</f>
        <v>0</v>
      </c>
      <c r="E46" s="480">
        <f t="shared" si="17"/>
        <v>0</v>
      </c>
      <c r="F46" s="481">
        <f t="array" ref="F46">_xll.PTDBG(DB,_xll.ArrayDPT($AA46:$AE46),_xll.ArrayCOA($AG46:$AZ46),YR,PRD,DD,RV,_xll.ArrayDIM($BB46:$BE46))</f>
        <v>0</v>
      </c>
      <c r="G46" s="480">
        <f t="shared" si="18"/>
        <v>0</v>
      </c>
      <c r="H46" s="481">
        <f t="shared" si="15"/>
        <v>0</v>
      </c>
      <c r="I46" s="479">
        <f t="array" ref="I46">_xll.DAC(DB,_xll.ArrayDPT($AA46:$AE46),_xll.ArrayCOA($AG46:$AZ46),YR-1,PRD,DD,_xll.ArrayDIM($BB46:$BE46))</f>
        <v>0</v>
      </c>
      <c r="J46" s="480">
        <f t="shared" si="21"/>
        <v>0</v>
      </c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95"/>
      <c r="AB46" s="96"/>
      <c r="AC46" s="96"/>
      <c r="AD46" s="96"/>
      <c r="AE46" s="96"/>
      <c r="AF46" s="97"/>
      <c r="AG46" s="95"/>
      <c r="AH46" s="96"/>
      <c r="AI46" s="95"/>
      <c r="AJ46" s="96"/>
      <c r="AK46" s="95"/>
      <c r="AL46" s="96"/>
      <c r="AM46" s="95"/>
      <c r="AN46" s="98"/>
      <c r="AO46" s="96"/>
      <c r="AP46" s="96"/>
      <c r="AQ46" s="95"/>
      <c r="AR46" s="98"/>
      <c r="AS46" s="96"/>
      <c r="AT46" s="96"/>
      <c r="AU46" s="95"/>
      <c r="AV46" s="98"/>
      <c r="AW46" s="96"/>
      <c r="AX46" s="96"/>
      <c r="AY46" s="95"/>
      <c r="AZ46" s="98"/>
      <c r="BA46" s="99"/>
      <c r="BB46" s="95"/>
      <c r="BC46" s="96"/>
      <c r="BD46" s="96"/>
      <c r="BE46" s="98"/>
    </row>
    <row r="47" spans="1:57" ht="13.5" customHeight="1">
      <c r="A47" s="483" t="s">
        <v>1190</v>
      </c>
      <c r="B47" s="523">
        <f t="array" ref="B47">_xll.DAC(DB,_xll.ArrayDPT($AA47:$AE47),_xll.ArrayCOA($AG47:$AZ47),YR,PRD,DD,_xll.ArrayDIM($BB47:$BE47))</f>
        <v>0</v>
      </c>
      <c r="C47" s="486">
        <f t="shared" si="16"/>
        <v>0</v>
      </c>
      <c r="D47" s="502">
        <f t="array" ref="D47">_xll.PTD(DB,_xll.ArrayDPT($AA47:$AE47),_xll.ArrayCOA($AG47:$AZ47),YR,PRD,DD,_xll.ArrayDIM($BB47:$BE47))</f>
        <v>0</v>
      </c>
      <c r="E47" s="486">
        <f t="shared" si="17"/>
        <v>0</v>
      </c>
      <c r="F47" s="524">
        <f t="array" ref="F47">_xll.PTDBG(DB,_xll.ArrayDPT($AA47:$AE47),_xll.ArrayCOA($AG47:$AZ47),YR,PRD,DD,RV,_xll.ArrayDIM($BB47:$BE47))</f>
        <v>0</v>
      </c>
      <c r="G47" s="486">
        <f t="shared" si="18"/>
        <v>0</v>
      </c>
      <c r="H47" s="524">
        <f t="shared" si="15"/>
        <v>0</v>
      </c>
      <c r="I47" s="488">
        <f t="array" ref="I47">_xll.DAC(DB,_xll.ArrayDPT($AA47:$AE47),_xll.ArrayCOA($AG47:$AZ47),YR-1,PRD,DD,_xll.ArrayDIM($BB47:$BE47))</f>
        <v>0</v>
      </c>
      <c r="J47" s="486">
        <f t="shared" si="21"/>
        <v>0</v>
      </c>
      <c r="K47" s="489"/>
      <c r="L47" s="489"/>
      <c r="M47" s="489"/>
      <c r="N47" s="489"/>
      <c r="O47" s="489"/>
      <c r="P47" s="489"/>
      <c r="Q47" s="489"/>
      <c r="R47" s="489"/>
      <c r="S47" s="489"/>
      <c r="T47" s="489"/>
      <c r="U47" s="489"/>
      <c r="V47" s="489"/>
      <c r="W47" s="489"/>
      <c r="X47" s="489"/>
      <c r="Y47" s="489"/>
      <c r="Z47" s="489"/>
      <c r="AA47" s="95"/>
      <c r="AB47" s="96"/>
      <c r="AC47" s="96"/>
      <c r="AD47" s="96"/>
      <c r="AE47" s="96"/>
      <c r="AF47" s="97"/>
      <c r="AG47" s="95"/>
      <c r="AH47" s="96"/>
      <c r="AI47" s="95"/>
      <c r="AJ47" s="96"/>
      <c r="AK47" s="95"/>
      <c r="AL47" s="96"/>
      <c r="AM47" s="95"/>
      <c r="AN47" s="98"/>
      <c r="AO47" s="96"/>
      <c r="AP47" s="96"/>
      <c r="AQ47" s="95"/>
      <c r="AR47" s="98"/>
      <c r="AS47" s="96"/>
      <c r="AT47" s="96"/>
      <c r="AU47" s="95"/>
      <c r="AV47" s="98"/>
      <c r="AW47" s="96"/>
      <c r="AX47" s="96"/>
      <c r="AY47" s="95"/>
      <c r="AZ47" s="98"/>
      <c r="BA47" s="99"/>
      <c r="BB47" s="95"/>
      <c r="BC47" s="96"/>
      <c r="BD47" s="96"/>
      <c r="BE47" s="98"/>
    </row>
    <row r="48" spans="1:57" ht="13.5" customHeight="1">
      <c r="A48" s="525" t="s">
        <v>1191</v>
      </c>
      <c r="B48" s="526">
        <f>SUM(B43:B47)</f>
        <v>0</v>
      </c>
      <c r="C48" s="527">
        <f t="shared" si="16"/>
        <v>0</v>
      </c>
      <c r="D48" s="526">
        <f>SUM(D43:D47)</f>
        <v>0</v>
      </c>
      <c r="E48" s="527">
        <f t="shared" si="17"/>
        <v>0</v>
      </c>
      <c r="F48" s="526">
        <f>SUM(F43:F47)</f>
        <v>0</v>
      </c>
      <c r="G48" s="527">
        <f t="shared" si="18"/>
        <v>0</v>
      </c>
      <c r="H48" s="526">
        <f t="shared" si="15"/>
        <v>0</v>
      </c>
      <c r="I48" s="526">
        <f>SUM(I43:I47)</f>
        <v>0</v>
      </c>
      <c r="J48" s="527">
        <f t="shared" si="21"/>
        <v>0</v>
      </c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  <c r="AA48" s="95"/>
      <c r="AB48" s="96"/>
      <c r="AC48" s="96"/>
      <c r="AD48" s="96"/>
      <c r="AE48" s="96"/>
      <c r="AF48" s="97"/>
      <c r="AG48" s="95"/>
      <c r="AH48" s="96"/>
      <c r="AI48" s="95"/>
      <c r="AJ48" s="96"/>
      <c r="AK48" s="95"/>
      <c r="AL48" s="96"/>
      <c r="AM48" s="95"/>
      <c r="AN48" s="98"/>
      <c r="AO48" s="96"/>
      <c r="AP48" s="96"/>
      <c r="AQ48" s="95"/>
      <c r="AR48" s="98"/>
      <c r="AS48" s="96"/>
      <c r="AT48" s="96"/>
      <c r="AU48" s="95"/>
      <c r="AV48" s="98"/>
      <c r="AW48" s="96"/>
      <c r="AX48" s="96"/>
      <c r="AY48" s="95"/>
      <c r="AZ48" s="98"/>
      <c r="BA48" s="99"/>
      <c r="BB48" s="95"/>
      <c r="BC48" s="96"/>
      <c r="BD48" s="96"/>
      <c r="BE48" s="98"/>
    </row>
    <row r="49" spans="1:57" ht="13.5" customHeight="1">
      <c r="A49" s="528"/>
      <c r="B49" s="529"/>
      <c r="C49" s="529"/>
      <c r="D49" s="528"/>
      <c r="E49" s="529"/>
      <c r="F49" s="528"/>
      <c r="G49" s="530"/>
      <c r="H49" s="528"/>
      <c r="I49" s="528"/>
      <c r="J49" s="531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95"/>
      <c r="AB49" s="96"/>
      <c r="AC49" s="96"/>
      <c r="AD49" s="96"/>
      <c r="AE49" s="96"/>
      <c r="AF49" s="97"/>
      <c r="AG49" s="95"/>
      <c r="AH49" s="96"/>
      <c r="AI49" s="95"/>
      <c r="AJ49" s="96"/>
      <c r="AK49" s="95"/>
      <c r="AL49" s="96"/>
      <c r="AM49" s="95"/>
      <c r="AN49" s="98"/>
      <c r="AO49" s="96"/>
      <c r="AP49" s="96"/>
      <c r="AQ49" s="95"/>
      <c r="AR49" s="98"/>
      <c r="AS49" s="96"/>
      <c r="AT49" s="96"/>
      <c r="AU49" s="95"/>
      <c r="AV49" s="98"/>
      <c r="AW49" s="96"/>
      <c r="AX49" s="96"/>
      <c r="AY49" s="95"/>
      <c r="AZ49" s="98"/>
      <c r="BA49" s="99"/>
      <c r="BB49" s="95"/>
      <c r="BC49" s="96"/>
      <c r="BD49" s="96"/>
      <c r="BE49" s="98"/>
    </row>
    <row r="50" spans="1:57" ht="13.5" customHeight="1">
      <c r="A50" s="532" t="s">
        <v>1192</v>
      </c>
      <c r="B50" s="533"/>
      <c r="C50" s="534"/>
      <c r="D50" s="533"/>
      <c r="E50" s="534"/>
      <c r="F50" s="533"/>
      <c r="G50" s="534"/>
      <c r="H50" s="533"/>
      <c r="I50" s="533"/>
      <c r="J50" s="476"/>
      <c r="K50" s="535"/>
      <c r="L50" s="535"/>
      <c r="M50" s="535"/>
      <c r="N50" s="535"/>
      <c r="O50" s="535"/>
      <c r="P50" s="535"/>
      <c r="Q50" s="535"/>
      <c r="R50" s="535"/>
      <c r="S50" s="535"/>
      <c r="T50" s="535"/>
      <c r="U50" s="535"/>
      <c r="V50" s="535"/>
      <c r="W50" s="535"/>
      <c r="X50" s="535"/>
      <c r="Y50" s="535"/>
      <c r="Z50" s="535"/>
      <c r="AA50" s="95"/>
      <c r="AB50" s="96"/>
      <c r="AC50" s="96"/>
      <c r="AD50" s="96"/>
      <c r="AE50" s="96"/>
      <c r="AF50" s="97"/>
      <c r="AG50" s="95"/>
      <c r="AH50" s="96"/>
      <c r="AI50" s="95"/>
      <c r="AJ50" s="96"/>
      <c r="AK50" s="95"/>
      <c r="AL50" s="96"/>
      <c r="AM50" s="95"/>
      <c r="AN50" s="98"/>
      <c r="AO50" s="96"/>
      <c r="AP50" s="96"/>
      <c r="AQ50" s="95"/>
      <c r="AR50" s="98"/>
      <c r="AS50" s="96"/>
      <c r="AT50" s="96"/>
      <c r="AU50" s="95"/>
      <c r="AV50" s="98"/>
      <c r="AW50" s="96"/>
      <c r="AX50" s="96"/>
      <c r="AY50" s="95"/>
      <c r="AZ50" s="98"/>
      <c r="BA50" s="99"/>
      <c r="BB50" s="95"/>
      <c r="BC50" s="96"/>
      <c r="BD50" s="96"/>
      <c r="BE50" s="98"/>
    </row>
    <row r="51" spans="1:57" ht="13.5" customHeight="1">
      <c r="A51" s="536" t="s">
        <v>1193</v>
      </c>
      <c r="B51" s="537">
        <f t="array" ref="B51">_xll.DAC(DB,_xll.ArrayDPT($AA51:$AE51),_xll.ArrayCOA($AG51:$AZ51),YR,PRD,DD,_xll.ArrayDIM($BB51:$BE51))</f>
        <v>0</v>
      </c>
      <c r="C51" s="538">
        <f t="shared" ref="C51:C67" si="22">+IF(B51&lt;=0,0,B51/B$68)</f>
        <v>0</v>
      </c>
      <c r="D51" s="537">
        <f t="array" ref="D51">_xll.PTD(DB,_xll.ArrayDPT($AA51:$AE51),_xll.ArrayCOA($AG51:$AZ51),YR,PRD,DD,_xll.ArrayDIM($BB51:$BE51))</f>
        <v>0</v>
      </c>
      <c r="E51" s="538">
        <f t="shared" ref="E51:E67" si="23">+IF(D51&lt;=0,0,D51/D$68)</f>
        <v>0</v>
      </c>
      <c r="F51" s="537">
        <f t="array" ref="F51">_xll.PTDBG(DB,_xll.ArrayDPT($AA51:$AE51),_xll.ArrayCOA($AG51:$AZ51),YR,PRD,DD,RV,_xll.ArrayDIM($BB51:$BE51))</f>
        <v>0</v>
      </c>
      <c r="G51" s="538">
        <f t="shared" ref="G51:G67" si="24">+IF(F51&lt;=0,0,F51/F$68)</f>
        <v>0</v>
      </c>
      <c r="H51" s="537">
        <f t="shared" ref="H51:H67" si="25">D51-F51</f>
        <v>0</v>
      </c>
      <c r="I51" s="537">
        <f t="array" ref="I51">_xll.DAC(DB,_xll.ArrayDPT($AA51:$AE51),_xll.ArrayCOA($AG51:$AZ51),YR-1,PRD,DD,_xll.ArrayDIM($BB51:$BE51))</f>
        <v>0</v>
      </c>
      <c r="J51" s="538">
        <f t="shared" ref="J51:J67" si="26">+IF(I51&lt;=0,0,I51/I$68)</f>
        <v>0</v>
      </c>
      <c r="K51" s="535"/>
      <c r="L51" s="535"/>
      <c r="M51" s="535"/>
      <c r="N51" s="535"/>
      <c r="O51" s="535"/>
      <c r="P51" s="535"/>
      <c r="Q51" s="535"/>
      <c r="R51" s="535"/>
      <c r="S51" s="535"/>
      <c r="T51" s="535"/>
      <c r="U51" s="535"/>
      <c r="V51" s="535"/>
      <c r="W51" s="535"/>
      <c r="X51" s="535"/>
      <c r="Y51" s="535"/>
      <c r="Z51" s="535"/>
      <c r="AA51" s="95"/>
      <c r="AB51" s="96"/>
      <c r="AC51" s="96"/>
      <c r="AD51" s="96"/>
      <c r="AE51" s="96"/>
      <c r="AF51" s="97"/>
      <c r="AG51" s="95"/>
      <c r="AH51" s="96"/>
      <c r="AI51" s="95"/>
      <c r="AJ51" s="96"/>
      <c r="AK51" s="95"/>
      <c r="AL51" s="96"/>
      <c r="AM51" s="95"/>
      <c r="AN51" s="98"/>
      <c r="AO51" s="96"/>
      <c r="AP51" s="96"/>
      <c r="AQ51" s="95"/>
      <c r="AR51" s="98"/>
      <c r="AS51" s="96"/>
      <c r="AT51" s="96"/>
      <c r="AU51" s="95"/>
      <c r="AV51" s="98"/>
      <c r="AW51" s="96"/>
      <c r="AX51" s="96"/>
      <c r="AY51" s="95"/>
      <c r="AZ51" s="98"/>
      <c r="BA51" s="99"/>
      <c r="BB51" s="95"/>
      <c r="BC51" s="96"/>
      <c r="BD51" s="96"/>
      <c r="BE51" s="98"/>
    </row>
    <row r="52" spans="1:57" ht="13.5" customHeight="1">
      <c r="A52" s="536" t="s">
        <v>1194</v>
      </c>
      <c r="B52" s="537">
        <f t="array" ref="B52">_xll.DAC(DB,_xll.ArrayDPT($AA52:$AE52),_xll.ArrayCOA($AG52:$AZ52),YR,PRD,DD,_xll.ArrayDIM($BB52:$BE52))</f>
        <v>0</v>
      </c>
      <c r="C52" s="538">
        <f t="shared" si="22"/>
        <v>0</v>
      </c>
      <c r="D52" s="537">
        <f t="array" ref="D52">_xll.PTD(DB,_xll.ArrayDPT($AA52:$AE52),_xll.ArrayCOA($AG52:$AZ52),YR,PRD,DD,_xll.ArrayDIM($BB52:$BE52))</f>
        <v>0</v>
      </c>
      <c r="E52" s="538">
        <f t="shared" si="23"/>
        <v>0</v>
      </c>
      <c r="F52" s="537">
        <f t="array" ref="F52">_xll.PTDBG(DB,_xll.ArrayDPT($AA52:$AE52),_xll.ArrayCOA($AG52:$AZ52),YR,PRD,DD,RV,_xll.ArrayDIM($BB52:$BE52))</f>
        <v>0</v>
      </c>
      <c r="G52" s="538">
        <f t="shared" si="24"/>
        <v>0</v>
      </c>
      <c r="H52" s="537">
        <f t="shared" si="25"/>
        <v>0</v>
      </c>
      <c r="I52" s="537">
        <f t="array" ref="I52">_xll.DAC(DB,_xll.ArrayDPT($AA52:$AE52),_xll.ArrayCOA($AG52:$AZ52),YR-1,PRD,DD,_xll.ArrayDIM($BB52:$BE52))</f>
        <v>0</v>
      </c>
      <c r="J52" s="538">
        <f t="shared" si="26"/>
        <v>0</v>
      </c>
      <c r="K52" s="535"/>
      <c r="L52" s="535"/>
      <c r="M52" s="535"/>
      <c r="N52" s="535"/>
      <c r="O52" s="535"/>
      <c r="P52" s="535"/>
      <c r="Q52" s="535"/>
      <c r="R52" s="535"/>
      <c r="S52" s="535"/>
      <c r="T52" s="535"/>
      <c r="U52" s="535"/>
      <c r="V52" s="535"/>
      <c r="W52" s="535"/>
      <c r="X52" s="535"/>
      <c r="Y52" s="535"/>
      <c r="Z52" s="535"/>
      <c r="AA52" s="95"/>
      <c r="AB52" s="96"/>
      <c r="AC52" s="96"/>
      <c r="AD52" s="96"/>
      <c r="AE52" s="96"/>
      <c r="AF52" s="97"/>
      <c r="AG52" s="95"/>
      <c r="AH52" s="96"/>
      <c r="AI52" s="95"/>
      <c r="AJ52" s="96"/>
      <c r="AK52" s="95"/>
      <c r="AL52" s="96"/>
      <c r="AM52" s="95"/>
      <c r="AN52" s="98"/>
      <c r="AO52" s="96"/>
      <c r="AP52" s="96"/>
      <c r="AQ52" s="95"/>
      <c r="AR52" s="98"/>
      <c r="AS52" s="96"/>
      <c r="AT52" s="96"/>
      <c r="AU52" s="95"/>
      <c r="AV52" s="98"/>
      <c r="AW52" s="96"/>
      <c r="AX52" s="96"/>
      <c r="AY52" s="95"/>
      <c r="AZ52" s="98"/>
      <c r="BA52" s="99"/>
      <c r="BB52" s="95"/>
      <c r="BC52" s="96"/>
      <c r="BD52" s="96"/>
      <c r="BE52" s="98"/>
    </row>
    <row r="53" spans="1:57" ht="13.5" customHeight="1">
      <c r="A53" s="536" t="s">
        <v>1195</v>
      </c>
      <c r="B53" s="537">
        <f t="array" ref="B53">_xll.DAC(DB,_xll.ArrayDPT($AA53:$AE53),_xll.ArrayCOA($AG53:$AZ53),YR,PRD,DD,_xll.ArrayDIM($BB53:$BE53))</f>
        <v>0</v>
      </c>
      <c r="C53" s="538">
        <f t="shared" si="22"/>
        <v>0</v>
      </c>
      <c r="D53" s="537">
        <f t="array" ref="D53">_xll.PTD(DB,_xll.ArrayDPT($AA53:$AE53),_xll.ArrayCOA($AG53:$AZ53),YR,PRD,DD,_xll.ArrayDIM($BB53:$BE53))</f>
        <v>0</v>
      </c>
      <c r="E53" s="538">
        <f t="shared" si="23"/>
        <v>0</v>
      </c>
      <c r="F53" s="537">
        <f t="array" ref="F53">_xll.PTDBG(DB,_xll.ArrayDPT($AA53:$AE53),_xll.ArrayCOA($AG53:$AZ53),YR,PRD,DD,RV,_xll.ArrayDIM($BB53:$BE53))</f>
        <v>0</v>
      </c>
      <c r="G53" s="538">
        <f t="shared" si="24"/>
        <v>0</v>
      </c>
      <c r="H53" s="537">
        <f t="shared" si="25"/>
        <v>0</v>
      </c>
      <c r="I53" s="537">
        <f t="array" ref="I53">_xll.DAC(DB,_xll.ArrayDPT($AA53:$AE53),_xll.ArrayCOA($AG53:$AZ53),YR-1,PRD,DD,_xll.ArrayDIM($BB53:$BE53))</f>
        <v>0</v>
      </c>
      <c r="J53" s="538">
        <f t="shared" si="26"/>
        <v>0</v>
      </c>
      <c r="K53" s="535"/>
      <c r="L53" s="535"/>
      <c r="M53" s="535"/>
      <c r="N53" s="535"/>
      <c r="O53" s="535"/>
      <c r="P53" s="535"/>
      <c r="Q53" s="535"/>
      <c r="R53" s="535"/>
      <c r="S53" s="535"/>
      <c r="T53" s="535"/>
      <c r="U53" s="535"/>
      <c r="V53" s="535"/>
      <c r="W53" s="535"/>
      <c r="X53" s="535"/>
      <c r="Y53" s="535"/>
      <c r="Z53" s="535"/>
      <c r="AA53" s="95"/>
      <c r="AB53" s="96"/>
      <c r="AC53" s="96"/>
      <c r="AD53" s="96"/>
      <c r="AE53" s="96"/>
      <c r="AF53" s="97"/>
      <c r="AG53" s="95"/>
      <c r="AH53" s="96"/>
      <c r="AI53" s="95"/>
      <c r="AJ53" s="96"/>
      <c r="AK53" s="95"/>
      <c r="AL53" s="96"/>
      <c r="AM53" s="95"/>
      <c r="AN53" s="98"/>
      <c r="AO53" s="96"/>
      <c r="AP53" s="96"/>
      <c r="AQ53" s="95"/>
      <c r="AR53" s="98"/>
      <c r="AS53" s="96"/>
      <c r="AT53" s="96"/>
      <c r="AU53" s="95"/>
      <c r="AV53" s="98"/>
      <c r="AW53" s="96"/>
      <c r="AX53" s="96"/>
      <c r="AY53" s="95"/>
      <c r="AZ53" s="98"/>
      <c r="BA53" s="99"/>
      <c r="BB53" s="95"/>
      <c r="BC53" s="96"/>
      <c r="BD53" s="96"/>
      <c r="BE53" s="98"/>
    </row>
    <row r="54" spans="1:57" ht="13.5" customHeight="1">
      <c r="A54" s="536" t="s">
        <v>1196</v>
      </c>
      <c r="B54" s="537">
        <f t="array" ref="B54">_xll.DAC(DB,_xll.ArrayDPT($AA54:$AE54),_xll.ArrayCOA($AG54:$AZ54),YR,PRD,DD,_xll.ArrayDIM($BB54:$BE54))</f>
        <v>0</v>
      </c>
      <c r="C54" s="538">
        <f t="shared" si="22"/>
        <v>0</v>
      </c>
      <c r="D54" s="537">
        <f t="array" ref="D54">_xll.PTD(DB,_xll.ArrayDPT($AA54:$AE54),_xll.ArrayCOA($AG54:$AZ54),YR,PRD,DD,_xll.ArrayDIM($BB54:$BE54))</f>
        <v>0</v>
      </c>
      <c r="E54" s="538">
        <f t="shared" si="23"/>
        <v>0</v>
      </c>
      <c r="F54" s="537">
        <f t="array" ref="F54">_xll.PTDBG(DB,_xll.ArrayDPT($AA54:$AE54),_xll.ArrayCOA($AG54:$AZ54),YR,PRD,DD,RV,_xll.ArrayDIM($BB54:$BE54))</f>
        <v>0</v>
      </c>
      <c r="G54" s="538">
        <f t="shared" si="24"/>
        <v>0</v>
      </c>
      <c r="H54" s="537">
        <f t="shared" si="25"/>
        <v>0</v>
      </c>
      <c r="I54" s="537">
        <f t="array" ref="I54">_xll.DAC(DB,_xll.ArrayDPT($AA54:$AE54),_xll.ArrayCOA($AG54:$AZ54),YR-1,PRD,DD,_xll.ArrayDIM($BB54:$BE54))</f>
        <v>0</v>
      </c>
      <c r="J54" s="538">
        <f t="shared" si="26"/>
        <v>0</v>
      </c>
      <c r="K54" s="535"/>
      <c r="L54" s="535"/>
      <c r="M54" s="535"/>
      <c r="N54" s="535"/>
      <c r="O54" s="535"/>
      <c r="P54" s="535"/>
      <c r="Q54" s="535"/>
      <c r="R54" s="535"/>
      <c r="S54" s="535"/>
      <c r="T54" s="535"/>
      <c r="U54" s="535"/>
      <c r="V54" s="535"/>
      <c r="W54" s="535"/>
      <c r="X54" s="535"/>
      <c r="Y54" s="535"/>
      <c r="Z54" s="535"/>
      <c r="AA54" s="95"/>
      <c r="AB54" s="96"/>
      <c r="AC54" s="96"/>
      <c r="AD54" s="96"/>
      <c r="AE54" s="96"/>
      <c r="AF54" s="97"/>
      <c r="AG54" s="95"/>
      <c r="AH54" s="96"/>
      <c r="AI54" s="95"/>
      <c r="AJ54" s="96"/>
      <c r="AK54" s="95"/>
      <c r="AL54" s="96"/>
      <c r="AM54" s="95"/>
      <c r="AN54" s="98"/>
      <c r="AO54" s="96"/>
      <c r="AP54" s="96"/>
      <c r="AQ54" s="95"/>
      <c r="AR54" s="98"/>
      <c r="AS54" s="96"/>
      <c r="AT54" s="96"/>
      <c r="AU54" s="95"/>
      <c r="AV54" s="98"/>
      <c r="AW54" s="96"/>
      <c r="AX54" s="96"/>
      <c r="AY54" s="95"/>
      <c r="AZ54" s="98"/>
      <c r="BA54" s="99"/>
      <c r="BB54" s="95"/>
      <c r="BC54" s="96"/>
      <c r="BD54" s="96"/>
      <c r="BE54" s="98"/>
    </row>
    <row r="55" spans="1:57" ht="13.5" customHeight="1">
      <c r="A55" s="536" t="s">
        <v>1197</v>
      </c>
      <c r="B55" s="537">
        <f t="array" ref="B55">_xll.DAC(DB,_xll.ArrayDPT($AA55:$AE55),_xll.ArrayCOA($AG55:$AZ55),YR,PRD,DD,_xll.ArrayDIM($BB55:$BE55))</f>
        <v>0</v>
      </c>
      <c r="C55" s="538">
        <f t="shared" si="22"/>
        <v>0</v>
      </c>
      <c r="D55" s="537">
        <f t="array" ref="D55">_xll.PTD(DB,_xll.ArrayDPT($AA55:$AE55),_xll.ArrayCOA($AG55:$AZ55),YR,PRD,DD,_xll.ArrayDIM($BB55:$BE55))</f>
        <v>0</v>
      </c>
      <c r="E55" s="538">
        <f t="shared" si="23"/>
        <v>0</v>
      </c>
      <c r="F55" s="537">
        <f t="array" ref="F55">_xll.PTDBG(DB,_xll.ArrayDPT($AA55:$AE55),_xll.ArrayCOA($AG55:$AZ55),YR,PRD,DD,RV,_xll.ArrayDIM($BB55:$BE55))</f>
        <v>0</v>
      </c>
      <c r="G55" s="538">
        <f t="shared" si="24"/>
        <v>0</v>
      </c>
      <c r="H55" s="537">
        <f t="shared" si="25"/>
        <v>0</v>
      </c>
      <c r="I55" s="537">
        <f t="array" ref="I55">_xll.DAC(DB,_xll.ArrayDPT($AA55:$AE55),_xll.ArrayCOA($AG55:$AZ55),YR-1,PRD,DD,_xll.ArrayDIM($BB55:$BE55))</f>
        <v>0</v>
      </c>
      <c r="J55" s="538">
        <f t="shared" si="26"/>
        <v>0</v>
      </c>
      <c r="K55" s="535"/>
      <c r="L55" s="535"/>
      <c r="M55" s="535"/>
      <c r="N55" s="535"/>
      <c r="O55" s="535"/>
      <c r="P55" s="535"/>
      <c r="Q55" s="535"/>
      <c r="R55" s="535"/>
      <c r="S55" s="535"/>
      <c r="T55" s="535"/>
      <c r="U55" s="535"/>
      <c r="V55" s="535"/>
      <c r="W55" s="535"/>
      <c r="X55" s="535"/>
      <c r="Y55" s="535"/>
      <c r="Z55" s="535"/>
      <c r="AA55" s="95"/>
      <c r="AB55" s="96"/>
      <c r="AC55" s="96"/>
      <c r="AD55" s="96"/>
      <c r="AE55" s="96"/>
      <c r="AF55" s="97"/>
      <c r="AG55" s="95"/>
      <c r="AH55" s="96"/>
      <c r="AI55" s="95"/>
      <c r="AJ55" s="96"/>
      <c r="AK55" s="95"/>
      <c r="AL55" s="96"/>
      <c r="AM55" s="95"/>
      <c r="AN55" s="98"/>
      <c r="AO55" s="96"/>
      <c r="AP55" s="96"/>
      <c r="AQ55" s="95"/>
      <c r="AR55" s="98"/>
      <c r="AS55" s="96"/>
      <c r="AT55" s="96"/>
      <c r="AU55" s="95"/>
      <c r="AV55" s="98"/>
      <c r="AW55" s="96"/>
      <c r="AX55" s="96"/>
      <c r="AY55" s="95"/>
      <c r="AZ55" s="98"/>
      <c r="BA55" s="99"/>
      <c r="BB55" s="95"/>
      <c r="BC55" s="96"/>
      <c r="BD55" s="96"/>
      <c r="BE55" s="98"/>
    </row>
    <row r="56" spans="1:57" ht="13.5" customHeight="1">
      <c r="A56" s="536" t="s">
        <v>1198</v>
      </c>
      <c r="B56" s="537">
        <f t="array" ref="B56">_xll.DAC(DB,_xll.ArrayDPT($AA56:$AE56),_xll.ArrayCOA($AG56:$AZ56),YR,PRD,DD,_xll.ArrayDIM($BB56:$BE56))</f>
        <v>0</v>
      </c>
      <c r="C56" s="538">
        <f t="shared" si="22"/>
        <v>0</v>
      </c>
      <c r="D56" s="537">
        <f t="array" ref="D56">_xll.PTD(DB,_xll.ArrayDPT($AA56:$AE56),_xll.ArrayCOA($AG56:$AZ56),YR,PRD,DD,_xll.ArrayDIM($BB56:$BE56))</f>
        <v>0</v>
      </c>
      <c r="E56" s="538">
        <f t="shared" si="23"/>
        <v>0</v>
      </c>
      <c r="F56" s="537">
        <f t="array" ref="F56">_xll.PTDBG(DB,_xll.ArrayDPT($AA56:$AE56),_xll.ArrayCOA($AG56:$AZ56),YR,PRD,DD,RV,_xll.ArrayDIM($BB56:$BE56))</f>
        <v>0</v>
      </c>
      <c r="G56" s="538">
        <f t="shared" si="24"/>
        <v>0</v>
      </c>
      <c r="H56" s="537">
        <f t="shared" si="25"/>
        <v>0</v>
      </c>
      <c r="I56" s="537">
        <f t="array" ref="I56">_xll.DAC(DB,_xll.ArrayDPT($AA56:$AE56),_xll.ArrayCOA($AG56:$AZ56),YR-1,PRD,DD,_xll.ArrayDIM($BB56:$BE56))</f>
        <v>0</v>
      </c>
      <c r="J56" s="538">
        <f t="shared" si="26"/>
        <v>0</v>
      </c>
      <c r="K56" s="535"/>
      <c r="L56" s="535"/>
      <c r="M56" s="535"/>
      <c r="N56" s="535"/>
      <c r="O56" s="535"/>
      <c r="P56" s="535"/>
      <c r="Q56" s="535"/>
      <c r="R56" s="535"/>
      <c r="S56" s="535"/>
      <c r="T56" s="535"/>
      <c r="U56" s="535"/>
      <c r="V56" s="535"/>
      <c r="W56" s="535"/>
      <c r="X56" s="535"/>
      <c r="Y56" s="535"/>
      <c r="Z56" s="535"/>
      <c r="AA56" s="95"/>
      <c r="AB56" s="96"/>
      <c r="AC56" s="96"/>
      <c r="AD56" s="96"/>
      <c r="AE56" s="96"/>
      <c r="AF56" s="97"/>
      <c r="AG56" s="95"/>
      <c r="AH56" s="96"/>
      <c r="AI56" s="95"/>
      <c r="AJ56" s="96"/>
      <c r="AK56" s="95"/>
      <c r="AL56" s="96"/>
      <c r="AM56" s="95"/>
      <c r="AN56" s="98"/>
      <c r="AO56" s="96"/>
      <c r="AP56" s="96"/>
      <c r="AQ56" s="95"/>
      <c r="AR56" s="98"/>
      <c r="AS56" s="96"/>
      <c r="AT56" s="96"/>
      <c r="AU56" s="95"/>
      <c r="AV56" s="98"/>
      <c r="AW56" s="96"/>
      <c r="AX56" s="96"/>
      <c r="AY56" s="95"/>
      <c r="AZ56" s="98"/>
      <c r="BA56" s="99"/>
      <c r="BB56" s="95"/>
      <c r="BC56" s="96"/>
      <c r="BD56" s="96"/>
      <c r="BE56" s="98"/>
    </row>
    <row r="57" spans="1:57" ht="13.5" customHeight="1">
      <c r="A57" s="536" t="s">
        <v>1199</v>
      </c>
      <c r="B57" s="537">
        <f t="array" ref="B57">_xll.DAC(DB,_xll.ArrayDPT($AA57:$AE57),_xll.ArrayCOA($AG57:$AZ57),YR,PRD,DD,_xll.ArrayDIM($BB57:$BE57))</f>
        <v>0</v>
      </c>
      <c r="C57" s="538">
        <f t="shared" si="22"/>
        <v>0</v>
      </c>
      <c r="D57" s="537">
        <f t="array" ref="D57">_xll.PTD(DB,_xll.ArrayDPT($AA57:$AE57),_xll.ArrayCOA($AG57:$AZ57),YR,PRD,DD,_xll.ArrayDIM($BB57:$BE57))</f>
        <v>0</v>
      </c>
      <c r="E57" s="538">
        <f t="shared" si="23"/>
        <v>0</v>
      </c>
      <c r="F57" s="537">
        <f t="array" ref="F57">_xll.PTDBG(DB,_xll.ArrayDPT($AA57:$AE57),_xll.ArrayCOA($AG57:$AZ57),YR,PRD,DD,RV,_xll.ArrayDIM($BB57:$BE57))</f>
        <v>0</v>
      </c>
      <c r="G57" s="538">
        <f t="shared" si="24"/>
        <v>0</v>
      </c>
      <c r="H57" s="537">
        <f t="shared" si="25"/>
        <v>0</v>
      </c>
      <c r="I57" s="537">
        <f t="array" ref="I57">_xll.DAC(DB,_xll.ArrayDPT($AA57:$AE57),_xll.ArrayCOA($AG57:$AZ57),YR-1,PRD,DD,_xll.ArrayDIM($BB57:$BE57))</f>
        <v>0</v>
      </c>
      <c r="J57" s="538">
        <f t="shared" si="26"/>
        <v>0</v>
      </c>
      <c r="K57" s="535"/>
      <c r="L57" s="535"/>
      <c r="M57" s="535"/>
      <c r="N57" s="535"/>
      <c r="O57" s="535"/>
      <c r="P57" s="535"/>
      <c r="Q57" s="535"/>
      <c r="R57" s="535"/>
      <c r="S57" s="535"/>
      <c r="T57" s="535"/>
      <c r="U57" s="535"/>
      <c r="V57" s="535"/>
      <c r="W57" s="535"/>
      <c r="X57" s="535"/>
      <c r="Y57" s="535"/>
      <c r="Z57" s="535"/>
      <c r="AA57" s="95"/>
      <c r="AB57" s="96"/>
      <c r="AC57" s="96"/>
      <c r="AD57" s="96"/>
      <c r="AE57" s="96"/>
      <c r="AF57" s="97"/>
      <c r="AG57" s="95"/>
      <c r="AH57" s="96"/>
      <c r="AI57" s="95"/>
      <c r="AJ57" s="96"/>
      <c r="AK57" s="95"/>
      <c r="AL57" s="96"/>
      <c r="AM57" s="95"/>
      <c r="AN57" s="98"/>
      <c r="AO57" s="96"/>
      <c r="AP57" s="96"/>
      <c r="AQ57" s="95"/>
      <c r="AR57" s="98"/>
      <c r="AS57" s="96"/>
      <c r="AT57" s="96"/>
      <c r="AU57" s="95"/>
      <c r="AV57" s="98"/>
      <c r="AW57" s="96"/>
      <c r="AX57" s="96"/>
      <c r="AY57" s="95"/>
      <c r="AZ57" s="98"/>
      <c r="BA57" s="99"/>
      <c r="BB57" s="95"/>
      <c r="BC57" s="96"/>
      <c r="BD57" s="96"/>
      <c r="BE57" s="98"/>
    </row>
    <row r="58" spans="1:57" ht="13.5" customHeight="1">
      <c r="A58" s="536" t="s">
        <v>1200</v>
      </c>
      <c r="B58" s="537">
        <f t="array" ref="B58">_xll.DAC(DB,_xll.ArrayDPT($AA58:$AE58),_xll.ArrayCOA($AG58:$AZ58),YR,PRD,DD,_xll.ArrayDIM($BB58:$BE58))</f>
        <v>0</v>
      </c>
      <c r="C58" s="538">
        <f t="shared" si="22"/>
        <v>0</v>
      </c>
      <c r="D58" s="537">
        <f t="array" ref="D58">_xll.PTD(DB,_xll.ArrayDPT($AA58:$AE58),_xll.ArrayCOA($AG58:$AZ58),YR,PRD,DD,_xll.ArrayDIM($BB58:$BE58))</f>
        <v>0</v>
      </c>
      <c r="E58" s="538">
        <f t="shared" si="23"/>
        <v>0</v>
      </c>
      <c r="F58" s="537">
        <f t="array" ref="F58">_xll.PTDBG(DB,_xll.ArrayDPT($AA58:$AE58),_xll.ArrayCOA($AG58:$AZ58),YR,PRD,DD,RV,_xll.ArrayDIM($BB58:$BE58))</f>
        <v>0</v>
      </c>
      <c r="G58" s="538">
        <f t="shared" si="24"/>
        <v>0</v>
      </c>
      <c r="H58" s="537">
        <f t="shared" si="25"/>
        <v>0</v>
      </c>
      <c r="I58" s="537">
        <f t="array" ref="I58">_xll.DAC(DB,_xll.ArrayDPT($AA58:$AE58),_xll.ArrayCOA($AG58:$AZ58),YR-1,PRD,DD,_xll.ArrayDIM($BB58:$BE58))</f>
        <v>0</v>
      </c>
      <c r="J58" s="538">
        <f t="shared" si="26"/>
        <v>0</v>
      </c>
      <c r="K58" s="535"/>
      <c r="L58" s="535"/>
      <c r="M58" s="535"/>
      <c r="N58" s="535"/>
      <c r="O58" s="535"/>
      <c r="P58" s="535"/>
      <c r="Q58" s="535"/>
      <c r="R58" s="535"/>
      <c r="S58" s="535"/>
      <c r="T58" s="535"/>
      <c r="U58" s="535"/>
      <c r="V58" s="535"/>
      <c r="W58" s="535"/>
      <c r="X58" s="535"/>
      <c r="Y58" s="535"/>
      <c r="Z58" s="535"/>
      <c r="AA58" s="95"/>
      <c r="AB58" s="96"/>
      <c r="AC58" s="96"/>
      <c r="AD58" s="96"/>
      <c r="AE58" s="96"/>
      <c r="AF58" s="97"/>
      <c r="AG58" s="95"/>
      <c r="AH58" s="96"/>
      <c r="AI58" s="95"/>
      <c r="AJ58" s="96"/>
      <c r="AK58" s="95"/>
      <c r="AL58" s="96"/>
      <c r="AM58" s="95"/>
      <c r="AN58" s="98"/>
      <c r="AO58" s="96"/>
      <c r="AP58" s="96"/>
      <c r="AQ58" s="95"/>
      <c r="AR58" s="98"/>
      <c r="AS58" s="96"/>
      <c r="AT58" s="96"/>
      <c r="AU58" s="95"/>
      <c r="AV58" s="98"/>
      <c r="AW58" s="96"/>
      <c r="AX58" s="96"/>
      <c r="AY58" s="95"/>
      <c r="AZ58" s="98"/>
      <c r="BA58" s="99"/>
      <c r="BB58" s="95"/>
      <c r="BC58" s="96"/>
      <c r="BD58" s="96"/>
      <c r="BE58" s="98"/>
    </row>
    <row r="59" spans="1:57" ht="13.5" customHeight="1">
      <c r="A59" s="536" t="s">
        <v>1201</v>
      </c>
      <c r="B59" s="537">
        <f t="array" ref="B59">_xll.DAC(DB,_xll.ArrayDPT($AA59:$AE59),_xll.ArrayCOA($AG59:$AZ59),YR,PRD,DD,_xll.ArrayDIM($BB59:$BE59))</f>
        <v>0</v>
      </c>
      <c r="C59" s="538">
        <f t="shared" si="22"/>
        <v>0</v>
      </c>
      <c r="D59" s="537">
        <f t="array" ref="D59">_xll.PTD(DB,_xll.ArrayDPT($AA59:$AE59),_xll.ArrayCOA($AG59:$AZ59),YR,PRD,DD,_xll.ArrayDIM($BB59:$BE59))</f>
        <v>0</v>
      </c>
      <c r="E59" s="538">
        <f t="shared" si="23"/>
        <v>0</v>
      </c>
      <c r="F59" s="537">
        <f t="array" ref="F59">_xll.PTDBG(DB,_xll.ArrayDPT($AA59:$AE59),_xll.ArrayCOA($AG59:$AZ59),YR,PRD,DD,RV,_xll.ArrayDIM($BB59:$BE59))</f>
        <v>0</v>
      </c>
      <c r="G59" s="538">
        <f t="shared" si="24"/>
        <v>0</v>
      </c>
      <c r="H59" s="537">
        <f t="shared" si="25"/>
        <v>0</v>
      </c>
      <c r="I59" s="537">
        <f t="array" ref="I59">_xll.DAC(DB,_xll.ArrayDPT($AA59:$AE59),_xll.ArrayCOA($AG59:$AZ59),YR-1,PRD,DD,_xll.ArrayDIM($BB59:$BE59))</f>
        <v>0</v>
      </c>
      <c r="J59" s="538">
        <f t="shared" si="26"/>
        <v>0</v>
      </c>
      <c r="K59" s="535"/>
      <c r="L59" s="535"/>
      <c r="M59" s="535"/>
      <c r="N59" s="535"/>
      <c r="O59" s="535"/>
      <c r="P59" s="535"/>
      <c r="Q59" s="535"/>
      <c r="R59" s="535"/>
      <c r="S59" s="535"/>
      <c r="T59" s="535"/>
      <c r="U59" s="535"/>
      <c r="V59" s="535"/>
      <c r="W59" s="535"/>
      <c r="X59" s="535"/>
      <c r="Y59" s="535"/>
      <c r="Z59" s="535"/>
      <c r="AA59" s="95"/>
      <c r="AB59" s="96"/>
      <c r="AC59" s="96"/>
      <c r="AD59" s="96"/>
      <c r="AE59" s="96"/>
      <c r="AF59" s="97"/>
      <c r="AG59" s="95"/>
      <c r="AH59" s="96"/>
      <c r="AI59" s="95"/>
      <c r="AJ59" s="96"/>
      <c r="AK59" s="95"/>
      <c r="AL59" s="96"/>
      <c r="AM59" s="95"/>
      <c r="AN59" s="98"/>
      <c r="AO59" s="96"/>
      <c r="AP59" s="96"/>
      <c r="AQ59" s="95"/>
      <c r="AR59" s="98"/>
      <c r="AS59" s="96"/>
      <c r="AT59" s="96"/>
      <c r="AU59" s="95"/>
      <c r="AV59" s="98"/>
      <c r="AW59" s="96"/>
      <c r="AX59" s="96"/>
      <c r="AY59" s="95"/>
      <c r="AZ59" s="98"/>
      <c r="BA59" s="99"/>
      <c r="BB59" s="95"/>
      <c r="BC59" s="96"/>
      <c r="BD59" s="96"/>
      <c r="BE59" s="98"/>
    </row>
    <row r="60" spans="1:57" ht="13.5" customHeight="1">
      <c r="A60" s="536" t="s">
        <v>1202</v>
      </c>
      <c r="B60" s="537">
        <f t="array" ref="B60">_xll.DAC(DB,_xll.ArrayDPT($AA60:$AE60),_xll.ArrayCOA($AG60:$AZ60),YR,PRD,DD,_xll.ArrayDIM($BB60:$BE60))</f>
        <v>0</v>
      </c>
      <c r="C60" s="538">
        <f t="shared" si="22"/>
        <v>0</v>
      </c>
      <c r="D60" s="537">
        <f t="array" ref="D60">_xll.PTD(DB,_xll.ArrayDPT($AA60:$AE60),_xll.ArrayCOA($AG60:$AZ60),YR,PRD,DD,_xll.ArrayDIM($BB60:$BE60))</f>
        <v>0</v>
      </c>
      <c r="E60" s="538">
        <f t="shared" si="23"/>
        <v>0</v>
      </c>
      <c r="F60" s="537">
        <f t="array" ref="F60">_xll.PTDBG(DB,_xll.ArrayDPT($AA60:$AE60),_xll.ArrayCOA($AG60:$AZ60),YR,PRD,DD,RV,_xll.ArrayDIM($BB60:$BE60))</f>
        <v>0</v>
      </c>
      <c r="G60" s="538">
        <f t="shared" si="24"/>
        <v>0</v>
      </c>
      <c r="H60" s="537">
        <f t="shared" si="25"/>
        <v>0</v>
      </c>
      <c r="I60" s="537">
        <f t="array" ref="I60">_xll.DAC(DB,_xll.ArrayDPT($AA60:$AE60),_xll.ArrayCOA($AG60:$AZ60),YR-1,PRD,DD,_xll.ArrayDIM($BB60:$BE60))</f>
        <v>0</v>
      </c>
      <c r="J60" s="538">
        <f t="shared" si="26"/>
        <v>0</v>
      </c>
      <c r="K60" s="535"/>
      <c r="L60" s="535"/>
      <c r="M60" s="535"/>
      <c r="N60" s="535"/>
      <c r="O60" s="535"/>
      <c r="P60" s="535"/>
      <c r="Q60" s="535"/>
      <c r="R60" s="535"/>
      <c r="S60" s="535"/>
      <c r="T60" s="535"/>
      <c r="U60" s="535"/>
      <c r="V60" s="535"/>
      <c r="W60" s="535"/>
      <c r="X60" s="535"/>
      <c r="Y60" s="535"/>
      <c r="Z60" s="535"/>
      <c r="AA60" s="95"/>
      <c r="AB60" s="96"/>
      <c r="AC60" s="96"/>
      <c r="AD60" s="96"/>
      <c r="AE60" s="96"/>
      <c r="AF60" s="97"/>
      <c r="AG60" s="95"/>
      <c r="AH60" s="96"/>
      <c r="AI60" s="95"/>
      <c r="AJ60" s="96"/>
      <c r="AK60" s="95"/>
      <c r="AL60" s="96"/>
      <c r="AM60" s="95"/>
      <c r="AN60" s="98"/>
      <c r="AO60" s="96"/>
      <c r="AP60" s="96"/>
      <c r="AQ60" s="95"/>
      <c r="AR60" s="98"/>
      <c r="AS60" s="96"/>
      <c r="AT60" s="96"/>
      <c r="AU60" s="95"/>
      <c r="AV60" s="98"/>
      <c r="AW60" s="96"/>
      <c r="AX60" s="96"/>
      <c r="AY60" s="95"/>
      <c r="AZ60" s="98"/>
      <c r="BA60" s="99"/>
      <c r="BB60" s="95"/>
      <c r="BC60" s="96"/>
      <c r="BD60" s="96"/>
      <c r="BE60" s="98"/>
    </row>
    <row r="61" spans="1:57" ht="13.5" customHeight="1">
      <c r="A61" s="536" t="s">
        <v>1203</v>
      </c>
      <c r="B61" s="537">
        <f t="array" ref="B61">_xll.DAC(DB,_xll.ArrayDPT($AA61:$AE61),_xll.ArrayCOA($AG61:$AZ61),YR,PRD,DD,_xll.ArrayDIM($BB61:$BE61))</f>
        <v>0</v>
      </c>
      <c r="C61" s="538">
        <f t="shared" si="22"/>
        <v>0</v>
      </c>
      <c r="D61" s="537">
        <f t="array" ref="D61">_xll.PTD(DB,_xll.ArrayDPT($AA61:$AE61),_xll.ArrayCOA($AG61:$AZ61),YR,PRD,DD,_xll.ArrayDIM($BB61:$BE61))</f>
        <v>0</v>
      </c>
      <c r="E61" s="538">
        <f t="shared" si="23"/>
        <v>0</v>
      </c>
      <c r="F61" s="537">
        <f t="array" ref="F61">_xll.PTDBG(DB,_xll.ArrayDPT($AA61:$AE61),_xll.ArrayCOA($AG61:$AZ61),YR,PRD,DD,RV,_xll.ArrayDIM($BB61:$BE61))</f>
        <v>0</v>
      </c>
      <c r="G61" s="538">
        <f t="shared" si="24"/>
        <v>0</v>
      </c>
      <c r="H61" s="537">
        <f t="shared" si="25"/>
        <v>0</v>
      </c>
      <c r="I61" s="537">
        <f t="array" ref="I61">_xll.DAC(DB,_xll.ArrayDPT($AA61:$AE61),_xll.ArrayCOA($AG61:$AZ61),YR-1,PRD,DD,_xll.ArrayDIM($BB61:$BE61))</f>
        <v>0</v>
      </c>
      <c r="J61" s="538">
        <f t="shared" si="26"/>
        <v>0</v>
      </c>
      <c r="K61" s="535"/>
      <c r="L61" s="535"/>
      <c r="M61" s="535"/>
      <c r="N61" s="535"/>
      <c r="O61" s="535"/>
      <c r="P61" s="535"/>
      <c r="Q61" s="535"/>
      <c r="R61" s="535"/>
      <c r="S61" s="535"/>
      <c r="T61" s="535"/>
      <c r="U61" s="535"/>
      <c r="V61" s="535"/>
      <c r="W61" s="535"/>
      <c r="X61" s="535"/>
      <c r="Y61" s="535"/>
      <c r="Z61" s="535"/>
      <c r="AA61" s="95"/>
      <c r="AB61" s="96"/>
      <c r="AC61" s="96"/>
      <c r="AD61" s="96"/>
      <c r="AE61" s="96"/>
      <c r="AF61" s="97"/>
      <c r="AG61" s="95"/>
      <c r="AH61" s="96"/>
      <c r="AI61" s="95"/>
      <c r="AJ61" s="96"/>
      <c r="AK61" s="95"/>
      <c r="AL61" s="96"/>
      <c r="AM61" s="95"/>
      <c r="AN61" s="98"/>
      <c r="AO61" s="96"/>
      <c r="AP61" s="96"/>
      <c r="AQ61" s="95"/>
      <c r="AR61" s="98"/>
      <c r="AS61" s="96"/>
      <c r="AT61" s="96"/>
      <c r="AU61" s="95"/>
      <c r="AV61" s="98"/>
      <c r="AW61" s="96"/>
      <c r="AX61" s="96"/>
      <c r="AY61" s="95"/>
      <c r="AZ61" s="98"/>
      <c r="BA61" s="99"/>
      <c r="BB61" s="95"/>
      <c r="BC61" s="96"/>
      <c r="BD61" s="96"/>
      <c r="BE61" s="98"/>
    </row>
    <row r="62" spans="1:57" ht="13.5" customHeight="1">
      <c r="A62" s="536" t="s">
        <v>1204</v>
      </c>
      <c r="B62" s="537">
        <f t="array" ref="B62">_xll.DAC(DB,_xll.ArrayDPT($AA62:$AE62),_xll.ArrayCOA($AG62:$AZ62),YR,PRD,DD,_xll.ArrayDIM($BB62:$BE62))</f>
        <v>0</v>
      </c>
      <c r="C62" s="538">
        <f t="shared" si="22"/>
        <v>0</v>
      </c>
      <c r="D62" s="537">
        <f t="array" ref="D62">_xll.PTD(DB,_xll.ArrayDPT($AA62:$AE62),_xll.ArrayCOA($AG62:$AZ62),YR,PRD,DD,_xll.ArrayDIM($BB62:$BE62))</f>
        <v>0</v>
      </c>
      <c r="E62" s="538">
        <f t="shared" si="23"/>
        <v>0</v>
      </c>
      <c r="F62" s="537">
        <f t="array" ref="F62">_xll.PTDBG(DB,_xll.ArrayDPT($AA62:$AE62),_xll.ArrayCOA($AG62:$AZ62),YR,PRD,DD,RV,_xll.ArrayDIM($BB62:$BE62))</f>
        <v>0</v>
      </c>
      <c r="G62" s="538">
        <f t="shared" si="24"/>
        <v>0</v>
      </c>
      <c r="H62" s="537">
        <f t="shared" si="25"/>
        <v>0</v>
      </c>
      <c r="I62" s="537">
        <f t="array" ref="I62">_xll.DAC(DB,_xll.ArrayDPT($AA62:$AE62),_xll.ArrayCOA($AG62:$AZ62),YR-1,PRD,DD,_xll.ArrayDIM($BB62:$BE62))</f>
        <v>0</v>
      </c>
      <c r="J62" s="538">
        <f t="shared" si="26"/>
        <v>0</v>
      </c>
      <c r="K62" s="535"/>
      <c r="L62" s="535"/>
      <c r="M62" s="535"/>
      <c r="N62" s="535"/>
      <c r="O62" s="535"/>
      <c r="P62" s="535"/>
      <c r="Q62" s="535"/>
      <c r="R62" s="535"/>
      <c r="S62" s="535"/>
      <c r="T62" s="535"/>
      <c r="U62" s="535"/>
      <c r="V62" s="535"/>
      <c r="W62" s="535"/>
      <c r="X62" s="535"/>
      <c r="Y62" s="535"/>
      <c r="Z62" s="535"/>
      <c r="AA62" s="95"/>
      <c r="AB62" s="96"/>
      <c r="AC62" s="96"/>
      <c r="AD62" s="96"/>
      <c r="AE62" s="96"/>
      <c r="AF62" s="97"/>
      <c r="AG62" s="95"/>
      <c r="AH62" s="96"/>
      <c r="AI62" s="95"/>
      <c r="AJ62" s="96"/>
      <c r="AK62" s="95"/>
      <c r="AL62" s="96"/>
      <c r="AM62" s="95"/>
      <c r="AN62" s="98"/>
      <c r="AO62" s="96"/>
      <c r="AP62" s="96"/>
      <c r="AQ62" s="95"/>
      <c r="AR62" s="98"/>
      <c r="AS62" s="96"/>
      <c r="AT62" s="96"/>
      <c r="AU62" s="95"/>
      <c r="AV62" s="98"/>
      <c r="AW62" s="96"/>
      <c r="AX62" s="96"/>
      <c r="AY62" s="95"/>
      <c r="AZ62" s="98"/>
      <c r="BA62" s="99"/>
      <c r="BB62" s="95"/>
      <c r="BC62" s="96"/>
      <c r="BD62" s="96"/>
      <c r="BE62" s="98"/>
    </row>
    <row r="63" spans="1:57" ht="13.5" customHeight="1">
      <c r="A63" s="536" t="s">
        <v>1205</v>
      </c>
      <c r="B63" s="537">
        <f t="array" ref="B63">_xll.DAC(DB,_xll.ArrayDPT($AA63:$AE63),_xll.ArrayCOA($AG63:$AZ63),YR,PRD,DD,_xll.ArrayDIM($BB63:$BE63))</f>
        <v>0</v>
      </c>
      <c r="C63" s="538">
        <f t="shared" si="22"/>
        <v>0</v>
      </c>
      <c r="D63" s="537">
        <f t="array" ref="D63">_xll.PTD(DB,_xll.ArrayDPT($AA63:$AE63),_xll.ArrayCOA($AG63:$AZ63),YR,PRD,DD,_xll.ArrayDIM($BB63:$BE63))</f>
        <v>0</v>
      </c>
      <c r="E63" s="538">
        <f t="shared" si="23"/>
        <v>0</v>
      </c>
      <c r="F63" s="537">
        <f t="array" ref="F63">_xll.PTDBG(DB,_xll.ArrayDPT($AA63:$AE63),_xll.ArrayCOA($AG63:$AZ63),YR,PRD,DD,RV,_xll.ArrayDIM($BB63:$BE63))</f>
        <v>0</v>
      </c>
      <c r="G63" s="538">
        <f t="shared" si="24"/>
        <v>0</v>
      </c>
      <c r="H63" s="537">
        <f t="shared" si="25"/>
        <v>0</v>
      </c>
      <c r="I63" s="537">
        <f t="array" ref="I63">_xll.DAC(DB,_xll.ArrayDPT($AA63:$AE63),_xll.ArrayCOA($AG63:$AZ63),YR-1,PRD,DD,_xll.ArrayDIM($BB63:$BE63))</f>
        <v>0</v>
      </c>
      <c r="J63" s="538">
        <f t="shared" si="26"/>
        <v>0</v>
      </c>
      <c r="K63" s="535"/>
      <c r="L63" s="535"/>
      <c r="M63" s="535"/>
      <c r="N63" s="535"/>
      <c r="O63" s="535"/>
      <c r="P63" s="535"/>
      <c r="Q63" s="535"/>
      <c r="R63" s="535"/>
      <c r="S63" s="535"/>
      <c r="T63" s="535"/>
      <c r="U63" s="535"/>
      <c r="V63" s="535"/>
      <c r="W63" s="535"/>
      <c r="X63" s="535"/>
      <c r="Y63" s="535"/>
      <c r="Z63" s="535"/>
      <c r="AA63" s="95"/>
      <c r="AB63" s="96"/>
      <c r="AC63" s="96"/>
      <c r="AD63" s="96"/>
      <c r="AE63" s="96"/>
      <c r="AF63" s="97"/>
      <c r="AG63" s="95"/>
      <c r="AH63" s="96"/>
      <c r="AI63" s="95"/>
      <c r="AJ63" s="96"/>
      <c r="AK63" s="95"/>
      <c r="AL63" s="96"/>
      <c r="AM63" s="95"/>
      <c r="AN63" s="98"/>
      <c r="AO63" s="96"/>
      <c r="AP63" s="96"/>
      <c r="AQ63" s="95"/>
      <c r="AR63" s="98"/>
      <c r="AS63" s="96"/>
      <c r="AT63" s="96"/>
      <c r="AU63" s="95"/>
      <c r="AV63" s="98"/>
      <c r="AW63" s="96"/>
      <c r="AX63" s="96"/>
      <c r="AY63" s="95"/>
      <c r="AZ63" s="98"/>
      <c r="BA63" s="99"/>
      <c r="BB63" s="95"/>
      <c r="BC63" s="96"/>
      <c r="BD63" s="96"/>
      <c r="BE63" s="98"/>
    </row>
    <row r="64" spans="1:57" ht="13.5" customHeight="1">
      <c r="A64" s="536" t="s">
        <v>1206</v>
      </c>
      <c r="B64" s="537">
        <f t="array" ref="B64">_xll.DAC(DB,_xll.ArrayDPT($AA64:$AE64),_xll.ArrayCOA($AG64:$AZ64),YR,PRD,DD,_xll.ArrayDIM($BB64:$BE64))</f>
        <v>0</v>
      </c>
      <c r="C64" s="538">
        <f t="shared" si="22"/>
        <v>0</v>
      </c>
      <c r="D64" s="537">
        <f t="array" ref="D64">_xll.PTD(DB,_xll.ArrayDPT($AA64:$AE64),_xll.ArrayCOA($AG64:$AZ64),YR,PRD,DD,_xll.ArrayDIM($BB64:$BE64))</f>
        <v>0</v>
      </c>
      <c r="E64" s="538">
        <f t="shared" si="23"/>
        <v>0</v>
      </c>
      <c r="F64" s="537">
        <f t="array" ref="F64">_xll.PTDBG(DB,_xll.ArrayDPT($AA64:$AE64),_xll.ArrayCOA($AG64:$AZ64),YR,PRD,DD,RV,_xll.ArrayDIM($BB64:$BE64))</f>
        <v>0</v>
      </c>
      <c r="G64" s="538">
        <f t="shared" si="24"/>
        <v>0</v>
      </c>
      <c r="H64" s="537">
        <f t="shared" si="25"/>
        <v>0</v>
      </c>
      <c r="I64" s="537">
        <f t="array" ref="I64">_xll.DAC(DB,_xll.ArrayDPT($AA64:$AE64),_xll.ArrayCOA($AG64:$AZ64),YR-1,PRD,DD,_xll.ArrayDIM($BB64:$BE64))</f>
        <v>0</v>
      </c>
      <c r="J64" s="538">
        <f t="shared" si="26"/>
        <v>0</v>
      </c>
      <c r="K64" s="535"/>
      <c r="L64" s="535"/>
      <c r="M64" s="535"/>
      <c r="N64" s="535"/>
      <c r="O64" s="535"/>
      <c r="P64" s="535"/>
      <c r="Q64" s="535"/>
      <c r="R64" s="535"/>
      <c r="S64" s="535"/>
      <c r="T64" s="535"/>
      <c r="U64" s="535"/>
      <c r="V64" s="535"/>
      <c r="W64" s="535"/>
      <c r="X64" s="535"/>
      <c r="Y64" s="535"/>
      <c r="Z64" s="535"/>
      <c r="AA64" s="95"/>
      <c r="AB64" s="96"/>
      <c r="AC64" s="96"/>
      <c r="AD64" s="96"/>
      <c r="AE64" s="96"/>
      <c r="AF64" s="97"/>
      <c r="AG64" s="95"/>
      <c r="AH64" s="96"/>
      <c r="AI64" s="95"/>
      <c r="AJ64" s="96"/>
      <c r="AK64" s="95"/>
      <c r="AL64" s="96"/>
      <c r="AM64" s="95"/>
      <c r="AN64" s="98"/>
      <c r="AO64" s="96"/>
      <c r="AP64" s="96"/>
      <c r="AQ64" s="95"/>
      <c r="AR64" s="98"/>
      <c r="AS64" s="96"/>
      <c r="AT64" s="96"/>
      <c r="AU64" s="95"/>
      <c r="AV64" s="98"/>
      <c r="AW64" s="96"/>
      <c r="AX64" s="96"/>
      <c r="AY64" s="95"/>
      <c r="AZ64" s="98"/>
      <c r="BA64" s="99"/>
      <c r="BB64" s="95"/>
      <c r="BC64" s="96"/>
      <c r="BD64" s="96"/>
      <c r="BE64" s="98"/>
    </row>
    <row r="65" spans="1:57" ht="13.5" customHeight="1">
      <c r="A65" s="536" t="s">
        <v>1207</v>
      </c>
      <c r="B65" s="537">
        <f t="array" ref="B65">_xll.DAC(DB,_xll.ArrayDPT($AA65:$AE65),_xll.ArrayCOA($AG65:$AZ65),YR,PRD,DD,_xll.ArrayDIM($BB65:$BE65))</f>
        <v>0</v>
      </c>
      <c r="C65" s="538">
        <f t="shared" si="22"/>
        <v>0</v>
      </c>
      <c r="D65" s="537">
        <f t="array" ref="D65">_xll.PTD(DB,_xll.ArrayDPT($AA65:$AE65),_xll.ArrayCOA($AG65:$AZ65),YR,PRD,DD,_xll.ArrayDIM($BB65:$BE65))</f>
        <v>0</v>
      </c>
      <c r="E65" s="538">
        <f t="shared" si="23"/>
        <v>0</v>
      </c>
      <c r="F65" s="537">
        <f t="array" ref="F65">_xll.PTDBG(DB,_xll.ArrayDPT($AA65:$AE65),_xll.ArrayCOA($AG65:$AZ65),YR,PRD,DD,RV,_xll.ArrayDIM($BB65:$BE65))</f>
        <v>0</v>
      </c>
      <c r="G65" s="538">
        <f t="shared" si="24"/>
        <v>0</v>
      </c>
      <c r="H65" s="537">
        <f t="shared" si="25"/>
        <v>0</v>
      </c>
      <c r="I65" s="537">
        <f t="array" ref="I65">_xll.DAC(DB,_xll.ArrayDPT($AA65:$AE65),_xll.ArrayCOA($AG65:$AZ65),YR-1,PRD,DD,_xll.ArrayDIM($BB65:$BE65))</f>
        <v>0</v>
      </c>
      <c r="J65" s="538">
        <f t="shared" si="26"/>
        <v>0</v>
      </c>
      <c r="K65" s="535"/>
      <c r="L65" s="535"/>
      <c r="M65" s="535"/>
      <c r="N65" s="535"/>
      <c r="O65" s="535"/>
      <c r="P65" s="535"/>
      <c r="Q65" s="535"/>
      <c r="R65" s="535"/>
      <c r="S65" s="535"/>
      <c r="T65" s="535"/>
      <c r="U65" s="535"/>
      <c r="V65" s="535"/>
      <c r="W65" s="535"/>
      <c r="X65" s="535"/>
      <c r="Y65" s="535"/>
      <c r="Z65" s="535"/>
      <c r="AA65" s="95"/>
      <c r="AB65" s="96"/>
      <c r="AC65" s="96"/>
      <c r="AD65" s="96"/>
      <c r="AE65" s="96"/>
      <c r="AF65" s="97"/>
      <c r="AG65" s="95"/>
      <c r="AH65" s="96"/>
      <c r="AI65" s="95"/>
      <c r="AJ65" s="96"/>
      <c r="AK65" s="95"/>
      <c r="AL65" s="96"/>
      <c r="AM65" s="95"/>
      <c r="AN65" s="98"/>
      <c r="AO65" s="96"/>
      <c r="AP65" s="96"/>
      <c r="AQ65" s="95"/>
      <c r="AR65" s="98"/>
      <c r="AS65" s="96"/>
      <c r="AT65" s="96"/>
      <c r="AU65" s="95"/>
      <c r="AV65" s="98"/>
      <c r="AW65" s="96"/>
      <c r="AX65" s="96"/>
      <c r="AY65" s="95"/>
      <c r="AZ65" s="98"/>
      <c r="BA65" s="99"/>
      <c r="BB65" s="95"/>
      <c r="BC65" s="96"/>
      <c r="BD65" s="96"/>
      <c r="BE65" s="98"/>
    </row>
    <row r="66" spans="1:57" ht="13.5" customHeight="1">
      <c r="A66" s="536" t="s">
        <v>1208</v>
      </c>
      <c r="B66" s="537">
        <f t="array" ref="B66">_xll.DAC(DB,_xll.ArrayDPT($AA66:$AE66),_xll.ArrayCOA($AG66:$AZ66),YR,PRD,DD,_xll.ArrayDIM($BB66:$BE66))</f>
        <v>0</v>
      </c>
      <c r="C66" s="538">
        <f t="shared" si="22"/>
        <v>0</v>
      </c>
      <c r="D66" s="537">
        <f t="array" ref="D66">_xll.PTD(DB,_xll.ArrayDPT($AA66:$AE66),_xll.ArrayCOA($AG66:$AZ66),YR,PRD,DD,_xll.ArrayDIM($BB66:$BE66))</f>
        <v>0</v>
      </c>
      <c r="E66" s="538">
        <f t="shared" si="23"/>
        <v>0</v>
      </c>
      <c r="F66" s="537">
        <f t="array" ref="F66">_xll.PTDBG(DB,_xll.ArrayDPT($AA66:$AE66),_xll.ArrayCOA($AG66:$AZ66),YR,PRD,DD,RV,_xll.ArrayDIM($BB66:$BE66))</f>
        <v>0</v>
      </c>
      <c r="G66" s="538">
        <f t="shared" si="24"/>
        <v>0</v>
      </c>
      <c r="H66" s="537">
        <f t="shared" si="25"/>
        <v>0</v>
      </c>
      <c r="I66" s="537">
        <f t="array" ref="I66">_xll.DAC(DB,_xll.ArrayDPT($AA66:$AE66),_xll.ArrayCOA($AG66:$AZ66),YR-1,PRD,DD,_xll.ArrayDIM($BB66:$BE66))</f>
        <v>0</v>
      </c>
      <c r="J66" s="538">
        <f t="shared" si="26"/>
        <v>0</v>
      </c>
      <c r="K66" s="535"/>
      <c r="L66" s="535"/>
      <c r="M66" s="535"/>
      <c r="N66" s="535"/>
      <c r="O66" s="535"/>
      <c r="P66" s="535"/>
      <c r="Q66" s="535"/>
      <c r="R66" s="535"/>
      <c r="S66" s="535"/>
      <c r="T66" s="535"/>
      <c r="U66" s="535"/>
      <c r="V66" s="535"/>
      <c r="W66" s="535"/>
      <c r="X66" s="535"/>
      <c r="Y66" s="535"/>
      <c r="Z66" s="535"/>
      <c r="AA66" s="95"/>
      <c r="AB66" s="96"/>
      <c r="AC66" s="96"/>
      <c r="AD66" s="96"/>
      <c r="AE66" s="96"/>
      <c r="AF66" s="97"/>
      <c r="AG66" s="95"/>
      <c r="AH66" s="96"/>
      <c r="AI66" s="95"/>
      <c r="AJ66" s="96"/>
      <c r="AK66" s="95"/>
      <c r="AL66" s="96"/>
      <c r="AM66" s="95"/>
      <c r="AN66" s="98"/>
      <c r="AO66" s="96"/>
      <c r="AP66" s="96"/>
      <c r="AQ66" s="95"/>
      <c r="AR66" s="98"/>
      <c r="AS66" s="96"/>
      <c r="AT66" s="96"/>
      <c r="AU66" s="95"/>
      <c r="AV66" s="98"/>
      <c r="AW66" s="96"/>
      <c r="AX66" s="96"/>
      <c r="AY66" s="95"/>
      <c r="AZ66" s="98"/>
      <c r="BA66" s="99"/>
      <c r="BB66" s="95"/>
      <c r="BC66" s="96"/>
      <c r="BD66" s="96"/>
      <c r="BE66" s="98"/>
    </row>
    <row r="67" spans="1:57" ht="13.5" customHeight="1">
      <c r="A67" s="536" t="s">
        <v>1209</v>
      </c>
      <c r="B67" s="537">
        <f t="array" ref="B67">_xll.DAC(DB,_xll.ArrayDPT($AA67:$AE67),_xll.ArrayCOA($AG67:$AZ67),YR,PRD,DD,_xll.ArrayDIM($BB67:$BE67))</f>
        <v>0</v>
      </c>
      <c r="C67" s="538">
        <f t="shared" si="22"/>
        <v>0</v>
      </c>
      <c r="D67" s="539">
        <f t="array" ref="D67">_xll.PTD(DB,_xll.ArrayDPT($AA67:$AE67),_xll.ArrayCOA($AG67:$AZ67),YR,PRD,DD,_xll.ArrayDIM($BB67:$BE67))</f>
        <v>0</v>
      </c>
      <c r="E67" s="538">
        <f t="shared" si="23"/>
        <v>0</v>
      </c>
      <c r="F67" s="539">
        <f t="array" ref="F67">_xll.PTDBG(DB,_xll.ArrayDPT($AA67:$AE67),_xll.ArrayCOA($AG67:$AZ67),YR,PRD,DD,RV,_xll.ArrayDIM($BB67:$BE67))</f>
        <v>0</v>
      </c>
      <c r="G67" s="538">
        <f t="shared" si="24"/>
        <v>0</v>
      </c>
      <c r="H67" s="539">
        <f t="shared" si="25"/>
        <v>0</v>
      </c>
      <c r="I67" s="539">
        <f t="array" ref="I67">_xll.DAC(DB,_xll.ArrayDPT($AA67:$AE67),_xll.ArrayCOA($AG67:$AZ67),YR-1,PRD,DD,_xll.ArrayDIM($BB67:$BE67))</f>
        <v>0</v>
      </c>
      <c r="J67" s="538">
        <f t="shared" si="26"/>
        <v>0</v>
      </c>
      <c r="K67" s="535"/>
      <c r="L67" s="535"/>
      <c r="M67" s="535"/>
      <c r="N67" s="535"/>
      <c r="O67" s="535"/>
      <c r="P67" s="535"/>
      <c r="Q67" s="535"/>
      <c r="R67" s="535"/>
      <c r="S67" s="535"/>
      <c r="T67" s="535"/>
      <c r="U67" s="535"/>
      <c r="V67" s="535"/>
      <c r="W67" s="535"/>
      <c r="X67" s="535"/>
      <c r="Y67" s="535"/>
      <c r="Z67" s="535"/>
      <c r="AA67" s="95"/>
      <c r="AB67" s="96"/>
      <c r="AC67" s="96"/>
      <c r="AD67" s="96"/>
      <c r="AE67" s="96"/>
      <c r="AF67" s="97"/>
      <c r="AG67" s="95"/>
      <c r="AH67" s="96"/>
      <c r="AI67" s="95"/>
      <c r="AJ67" s="96"/>
      <c r="AK67" s="95"/>
      <c r="AL67" s="96"/>
      <c r="AM67" s="95"/>
      <c r="AN67" s="98"/>
      <c r="AO67" s="96"/>
      <c r="AP67" s="96"/>
      <c r="AQ67" s="95"/>
      <c r="AR67" s="98"/>
      <c r="AS67" s="96"/>
      <c r="AT67" s="96"/>
      <c r="AU67" s="95"/>
      <c r="AV67" s="98"/>
      <c r="AW67" s="96"/>
      <c r="AX67" s="96"/>
      <c r="AY67" s="95"/>
      <c r="AZ67" s="98"/>
      <c r="BA67" s="99"/>
      <c r="BB67" s="95"/>
      <c r="BC67" s="96"/>
      <c r="BD67" s="96"/>
      <c r="BE67" s="98"/>
    </row>
    <row r="68" spans="1:57" ht="13.5" customHeight="1">
      <c r="A68" s="540" t="s">
        <v>1210</v>
      </c>
      <c r="B68" s="541">
        <f>SUM(B51:B67)</f>
        <v>0</v>
      </c>
      <c r="C68" s="527">
        <f>+IF(B68&lt;=0,0,B68/B68)</f>
        <v>0</v>
      </c>
      <c r="D68" s="541">
        <f>SUM(D51:D67)</f>
        <v>0</v>
      </c>
      <c r="E68" s="527">
        <f>+IF(D68&lt;=0,0,D68/D68)</f>
        <v>0</v>
      </c>
      <c r="F68" s="541">
        <f>SUM(F51:F67)</f>
        <v>0</v>
      </c>
      <c r="G68" s="527">
        <f>+IF(F68&lt;=0,0,F68/F75)</f>
        <v>0</v>
      </c>
      <c r="H68" s="541">
        <f t="shared" ref="H68:I68" si="27">SUM(H51:H67)</f>
        <v>0</v>
      </c>
      <c r="I68" s="541">
        <f t="shared" si="27"/>
        <v>0</v>
      </c>
      <c r="J68" s="542">
        <f>+IF(I68&lt;=0,0,I68/I75)</f>
        <v>0</v>
      </c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95"/>
      <c r="AB68" s="96"/>
      <c r="AC68" s="96"/>
      <c r="AD68" s="96"/>
      <c r="AE68" s="96"/>
      <c r="AF68" s="97"/>
      <c r="AG68" s="95"/>
      <c r="AH68" s="96"/>
      <c r="AI68" s="95"/>
      <c r="AJ68" s="96"/>
      <c r="AK68" s="95"/>
      <c r="AL68" s="96"/>
      <c r="AM68" s="95"/>
      <c r="AN68" s="98"/>
      <c r="AO68" s="96"/>
      <c r="AP68" s="96"/>
      <c r="AQ68" s="95"/>
      <c r="AR68" s="98"/>
      <c r="AS68" s="96"/>
      <c r="AT68" s="96"/>
      <c r="AU68" s="95"/>
      <c r="AV68" s="98"/>
      <c r="AW68" s="96"/>
      <c r="AX68" s="96"/>
      <c r="AY68" s="95"/>
      <c r="AZ68" s="98"/>
      <c r="BA68" s="99"/>
      <c r="BB68" s="95"/>
      <c r="BC68" s="96"/>
      <c r="BD68" s="96"/>
      <c r="BE68" s="98"/>
    </row>
    <row r="69" spans="1:57" ht="13.5" customHeight="1">
      <c r="A69" s="535" t="s">
        <v>1211</v>
      </c>
      <c r="B69" s="543">
        <f>+B48-B68</f>
        <v>0</v>
      </c>
      <c r="C69" s="544"/>
      <c r="D69" s="543">
        <f>+B69</f>
        <v>0</v>
      </c>
      <c r="E69" s="544"/>
      <c r="F69" s="543"/>
      <c r="G69" s="544"/>
      <c r="H69" s="543"/>
      <c r="I69" s="543"/>
      <c r="J69" s="504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  <c r="AA69" s="95"/>
      <c r="AB69" s="96"/>
      <c r="AC69" s="96"/>
      <c r="AD69" s="96"/>
      <c r="AE69" s="96"/>
      <c r="AF69" s="97"/>
      <c r="AG69" s="95"/>
      <c r="AH69" s="96"/>
      <c r="AI69" s="95"/>
      <c r="AJ69" s="96"/>
      <c r="AK69" s="95"/>
      <c r="AL69" s="96"/>
      <c r="AM69" s="95"/>
      <c r="AN69" s="98"/>
      <c r="AO69" s="96"/>
      <c r="AP69" s="96"/>
      <c r="AQ69" s="95"/>
      <c r="AR69" s="98"/>
      <c r="AS69" s="96"/>
      <c r="AT69" s="96"/>
      <c r="AU69" s="95"/>
      <c r="AV69" s="98"/>
      <c r="AW69" s="96"/>
      <c r="AX69" s="96"/>
      <c r="AY69" s="95"/>
      <c r="AZ69" s="98"/>
      <c r="BA69" s="99"/>
      <c r="BB69" s="95"/>
      <c r="BC69" s="96"/>
      <c r="BD69" s="96"/>
      <c r="BE69" s="98"/>
    </row>
    <row r="70" spans="1:57" ht="13.5" customHeight="1">
      <c r="A70" s="535" t="s">
        <v>1212</v>
      </c>
      <c r="B70" s="545"/>
      <c r="C70" s="544"/>
      <c r="D70" s="543"/>
      <c r="E70" s="544"/>
      <c r="F70" s="543"/>
      <c r="G70" s="544"/>
      <c r="H70" s="543"/>
      <c r="I70" s="543"/>
      <c r="J70" s="504"/>
      <c r="K70" s="245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  <c r="AA70" s="95"/>
      <c r="AB70" s="96"/>
      <c r="AC70" s="96"/>
      <c r="AD70" s="96"/>
      <c r="AE70" s="96"/>
      <c r="AF70" s="97"/>
      <c r="AG70" s="95"/>
      <c r="AH70" s="96"/>
      <c r="AI70" s="95"/>
      <c r="AJ70" s="96"/>
      <c r="AK70" s="95"/>
      <c r="AL70" s="96"/>
      <c r="AM70" s="95"/>
      <c r="AN70" s="98"/>
      <c r="AO70" s="96"/>
      <c r="AP70" s="96"/>
      <c r="AQ70" s="95"/>
      <c r="AR70" s="98"/>
      <c r="AS70" s="96"/>
      <c r="AT70" s="96"/>
      <c r="AU70" s="95"/>
      <c r="AV70" s="98"/>
      <c r="AW70" s="96"/>
      <c r="AX70" s="96"/>
      <c r="AY70" s="95"/>
      <c r="AZ70" s="98"/>
      <c r="BA70" s="99"/>
      <c r="BB70" s="95"/>
      <c r="BC70" s="96"/>
      <c r="BD70" s="96"/>
      <c r="BE70" s="98"/>
    </row>
    <row r="71" spans="1:57" ht="13.5" customHeight="1">
      <c r="A71" s="535" t="s">
        <v>1213</v>
      </c>
      <c r="B71" s="546"/>
      <c r="C71" s="544"/>
      <c r="D71" s="543"/>
      <c r="E71" s="544"/>
      <c r="F71" s="543"/>
      <c r="G71" s="544"/>
      <c r="H71" s="543"/>
      <c r="I71" s="543"/>
      <c r="J71" s="504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  <c r="AA71" s="95"/>
      <c r="AB71" s="96"/>
      <c r="AC71" s="96"/>
      <c r="AD71" s="96"/>
      <c r="AE71" s="96"/>
      <c r="AF71" s="97"/>
      <c r="AG71" s="95"/>
      <c r="AH71" s="96"/>
      <c r="AI71" s="95"/>
      <c r="AJ71" s="96"/>
      <c r="AK71" s="95"/>
      <c r="AL71" s="96"/>
      <c r="AM71" s="95"/>
      <c r="AN71" s="98"/>
      <c r="AO71" s="96"/>
      <c r="AP71" s="96"/>
      <c r="AQ71" s="95"/>
      <c r="AR71" s="98"/>
      <c r="AS71" s="96"/>
      <c r="AT71" s="96"/>
      <c r="AU71" s="95"/>
      <c r="AV71" s="98"/>
      <c r="AW71" s="96"/>
      <c r="AX71" s="96"/>
      <c r="AY71" s="95"/>
      <c r="AZ71" s="98"/>
      <c r="BA71" s="99"/>
      <c r="BB71" s="95"/>
      <c r="BC71" s="96"/>
      <c r="BD71" s="96"/>
      <c r="BE71" s="98"/>
    </row>
    <row r="72" spans="1:57" ht="13.5" customHeight="1">
      <c r="A72" s="535"/>
      <c r="B72" s="543"/>
      <c r="C72" s="544"/>
      <c r="D72" s="543"/>
      <c r="E72" s="544"/>
      <c r="F72" s="543"/>
      <c r="G72" s="544"/>
      <c r="H72" s="543"/>
      <c r="I72" s="543"/>
      <c r="J72" s="504"/>
      <c r="K72" s="535"/>
      <c r="L72" s="535"/>
      <c r="M72" s="535"/>
      <c r="N72" s="535"/>
      <c r="O72" s="535"/>
      <c r="P72" s="535"/>
      <c r="Q72" s="535"/>
      <c r="R72" s="535"/>
      <c r="S72" s="535"/>
      <c r="T72" s="535"/>
      <c r="U72" s="535"/>
      <c r="V72" s="535"/>
      <c r="W72" s="535"/>
      <c r="X72" s="535"/>
      <c r="Y72" s="535"/>
      <c r="Z72" s="535"/>
      <c r="AA72" s="95"/>
      <c r="AB72" s="96"/>
      <c r="AC72" s="96"/>
      <c r="AD72" s="96"/>
      <c r="AE72" s="96"/>
      <c r="AF72" s="97"/>
      <c r="AG72" s="95"/>
      <c r="AH72" s="96"/>
      <c r="AI72" s="95"/>
      <c r="AJ72" s="96"/>
      <c r="AK72" s="95"/>
      <c r="AL72" s="96"/>
      <c r="AM72" s="95"/>
      <c r="AN72" s="98"/>
      <c r="AO72" s="96"/>
      <c r="AP72" s="96"/>
      <c r="AQ72" s="95"/>
      <c r="AR72" s="98"/>
      <c r="AS72" s="96"/>
      <c r="AT72" s="96"/>
      <c r="AU72" s="95"/>
      <c r="AV72" s="98"/>
      <c r="AW72" s="96"/>
      <c r="AX72" s="96"/>
      <c r="AY72" s="95"/>
      <c r="AZ72" s="98"/>
      <c r="BA72" s="99"/>
      <c r="BB72" s="95"/>
      <c r="BC72" s="96"/>
      <c r="BD72" s="96"/>
      <c r="BE72" s="98"/>
    </row>
    <row r="73" spans="1:57" ht="13.5" customHeight="1">
      <c r="A73" s="474" t="s">
        <v>1214</v>
      </c>
      <c r="B73" s="547">
        <f t="array" ref="B73">_xll.DAC(DB,_xll.ArrayDPT($AA73:$AE73),_xll.ArrayCOA($AG73:$AZ73),YR,PRD,DD,_xll.ArrayDIM($BB73:$BE73))</f>
        <v>0</v>
      </c>
      <c r="C73" s="548" t="e">
        <f t="shared" ref="C73:C74" si="28">B73/B$73</f>
        <v>#DIV/0!</v>
      </c>
      <c r="D73" s="549">
        <f t="array" ref="D73">_xll.PTD(DB,_xll.ArrayDPT($AA73:$AE73),_xll.ArrayCOA($AG73:$AZ73),YR,PRD,DD,_xll.ArrayDIM($BB73:$BE73))</f>
        <v>0</v>
      </c>
      <c r="E73" s="548" t="e">
        <f t="shared" ref="E73:E74" si="29">D73/D$73</f>
        <v>#DIV/0!</v>
      </c>
      <c r="F73" s="550">
        <f t="array" ref="F73">_xll.PTDBG(DB,_xll.ArrayDPT($AA73:$AE73),_xll.ArrayCOA($AG73:$AZ73),YR,PRD,DD,RV,_xll.ArrayDIM($BB73:$BE73))</f>
        <v>0</v>
      </c>
      <c r="G73" s="548">
        <f t="shared" ref="G73:H73" si="30">IF(F73&lt;=0,0,F73/F$73)</f>
        <v>0</v>
      </c>
      <c r="H73" s="548">
        <f t="shared" si="30"/>
        <v>0</v>
      </c>
      <c r="I73" s="466">
        <f t="array" ref="I73">_xll.DAC(DB,_xll.ArrayDPT($AA73:$AE73),_xll.ArrayCOA($AG73:$AZ73),YR-1,PRD,DD,_xll.ArrayDIM($BB73:$BE73))</f>
        <v>0</v>
      </c>
      <c r="J73" s="548">
        <f t="shared" ref="J73:J74" si="31">IF(I73&lt;=0,0,I73/I$73)</f>
        <v>0</v>
      </c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  <c r="AA73" s="95"/>
      <c r="AB73" s="96"/>
      <c r="AC73" s="96"/>
      <c r="AD73" s="96"/>
      <c r="AE73" s="96"/>
      <c r="AF73" s="97"/>
      <c r="AG73" s="95"/>
      <c r="AH73" s="96"/>
      <c r="AI73" s="95"/>
      <c r="AJ73" s="96"/>
      <c r="AK73" s="95"/>
      <c r="AL73" s="96"/>
      <c r="AM73" s="95"/>
      <c r="AN73" s="98"/>
      <c r="AO73" s="96"/>
      <c r="AP73" s="96"/>
      <c r="AQ73" s="95"/>
      <c r="AR73" s="98"/>
      <c r="AS73" s="96"/>
      <c r="AT73" s="96"/>
      <c r="AU73" s="95"/>
      <c r="AV73" s="98"/>
      <c r="AW73" s="96"/>
      <c r="AX73" s="96"/>
      <c r="AY73" s="95"/>
      <c r="AZ73" s="98"/>
      <c r="BA73" s="99"/>
      <c r="BB73" s="95"/>
      <c r="BC73" s="96"/>
      <c r="BD73" s="96"/>
      <c r="BE73" s="98"/>
    </row>
    <row r="74" spans="1:57" ht="13.5" customHeight="1">
      <c r="A74" s="551" t="s">
        <v>1215</v>
      </c>
      <c r="B74" s="552">
        <f t="array" ref="B74">_xll.DAC(DB,_xll.ArrayDPT($AA74:$AE74),_xll.ArrayCOA($AG74:$AZ74),YR,PRD,DD,_xll.ArrayDIM($BB74:$BE74))</f>
        <v>0</v>
      </c>
      <c r="C74" s="521" t="e">
        <f t="shared" si="28"/>
        <v>#DIV/0!</v>
      </c>
      <c r="D74" s="553">
        <f t="array" ref="D74">_xll.PTD(DB,_xll.ArrayDPT($AA74:$AE74),_xll.ArrayCOA($AG74:$AZ74),YR,PRD,DD,_xll.ArrayDIM($BB74:$BE74))</f>
        <v>0</v>
      </c>
      <c r="E74" s="521" t="e">
        <f t="shared" si="29"/>
        <v>#DIV/0!</v>
      </c>
      <c r="F74" s="554">
        <f t="array" ref="F74">_xll.PTDBG(DB,_xll.ArrayDPT($AA74:$AE74),_xll.ArrayCOA($AG74:$AZ74),YR,PRD,DD,RV,_xll.ArrayDIM($BB74:$BE74))</f>
        <v>0</v>
      </c>
      <c r="G74" s="521">
        <f t="shared" ref="G74:H74" si="32">IF(F74&lt;=0,0,F74/F$73)</f>
        <v>0</v>
      </c>
      <c r="H74" s="521">
        <f t="shared" si="32"/>
        <v>0</v>
      </c>
      <c r="I74" s="555">
        <f t="array" ref="I74">_xll.DAC(DB,_xll.ArrayDPT($AA74:$AE74),_xll.ArrayCOA($AG74:$AZ74),YR-1,PRD,DD,_xll.ArrayDIM($BB74:$BE74))</f>
        <v>0</v>
      </c>
      <c r="J74" s="521">
        <f t="shared" si="31"/>
        <v>0</v>
      </c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  <c r="AA74" s="95"/>
      <c r="AB74" s="96"/>
      <c r="AC74" s="96"/>
      <c r="AD74" s="96"/>
      <c r="AE74" s="96"/>
      <c r="AF74" s="97"/>
      <c r="AG74" s="95"/>
      <c r="AH74" s="96"/>
      <c r="AI74" s="95"/>
      <c r="AJ74" s="96"/>
      <c r="AK74" s="95"/>
      <c r="AL74" s="96"/>
      <c r="AM74" s="95"/>
      <c r="AN74" s="98"/>
      <c r="AO74" s="96"/>
      <c r="AP74" s="96"/>
      <c r="AQ74" s="95"/>
      <c r="AR74" s="98"/>
      <c r="AS74" s="96"/>
      <c r="AT74" s="96"/>
      <c r="AU74" s="95"/>
      <c r="AV74" s="98"/>
      <c r="AW74" s="96"/>
      <c r="AX74" s="96"/>
      <c r="AY74" s="95"/>
      <c r="AZ74" s="98"/>
      <c r="BA74" s="99"/>
      <c r="BB74" s="95"/>
      <c r="BC74" s="96"/>
      <c r="BD74" s="96"/>
      <c r="BE74" s="98"/>
    </row>
    <row r="75" spans="1:57" ht="13.5" customHeight="1">
      <c r="A75" s="556" t="s">
        <v>1216</v>
      </c>
      <c r="B75" s="557">
        <f>IF(B73&lt;=0,0,B74/B73)</f>
        <v>0</v>
      </c>
      <c r="C75" s="471"/>
      <c r="D75" s="557">
        <f>IF(D73&lt;=0,0,D74/D73)</f>
        <v>0</v>
      </c>
      <c r="E75" s="471"/>
      <c r="F75" s="558">
        <f>IF(F73&lt;=0,0,F74/F73)</f>
        <v>0</v>
      </c>
      <c r="G75" s="471"/>
      <c r="H75" s="558">
        <f t="shared" ref="H75:I75" si="33">IF(H73&lt;=0,0,H74/H73)</f>
        <v>0</v>
      </c>
      <c r="I75" s="558">
        <f t="shared" si="33"/>
        <v>0</v>
      </c>
      <c r="J75" s="471"/>
      <c r="K75" s="245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  <c r="AA75" s="95"/>
      <c r="AB75" s="96"/>
      <c r="AC75" s="96"/>
      <c r="AD75" s="96"/>
      <c r="AE75" s="96"/>
      <c r="AF75" s="97"/>
      <c r="AG75" s="95"/>
      <c r="AH75" s="96"/>
      <c r="AI75" s="95"/>
      <c r="AJ75" s="96"/>
      <c r="AK75" s="95"/>
      <c r="AL75" s="96"/>
      <c r="AM75" s="95"/>
      <c r="AN75" s="98"/>
      <c r="AO75" s="96"/>
      <c r="AP75" s="96"/>
      <c r="AQ75" s="95"/>
      <c r="AR75" s="98"/>
      <c r="AS75" s="96"/>
      <c r="AT75" s="96"/>
      <c r="AU75" s="95"/>
      <c r="AV75" s="98"/>
      <c r="AW75" s="96"/>
      <c r="AX75" s="96"/>
      <c r="AY75" s="95"/>
      <c r="AZ75" s="98"/>
      <c r="BA75" s="99"/>
      <c r="BB75" s="95"/>
      <c r="BC75" s="96"/>
      <c r="BD75" s="96"/>
      <c r="BE75" s="98"/>
    </row>
    <row r="76" spans="1:57" ht="13.5" customHeight="1">
      <c r="A76" s="245"/>
      <c r="B76" s="245"/>
      <c r="C76" s="504"/>
      <c r="D76" s="245"/>
      <c r="E76" s="504"/>
      <c r="F76" s="245"/>
      <c r="G76" s="504"/>
      <c r="H76" s="245"/>
      <c r="I76" s="559"/>
      <c r="J76" s="560"/>
      <c r="K76" s="245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  <c r="AA76" s="95"/>
      <c r="AB76" s="96"/>
      <c r="AC76" s="96"/>
      <c r="AD76" s="96"/>
      <c r="AE76" s="96"/>
      <c r="AF76" s="97"/>
      <c r="AG76" s="95"/>
      <c r="AH76" s="96"/>
      <c r="AI76" s="95"/>
      <c r="AJ76" s="96"/>
      <c r="AK76" s="95"/>
      <c r="AL76" s="96"/>
      <c r="AM76" s="95"/>
      <c r="AN76" s="98"/>
      <c r="AO76" s="96"/>
      <c r="AP76" s="96"/>
      <c r="AQ76" s="95"/>
      <c r="AR76" s="98"/>
      <c r="AS76" s="96"/>
      <c r="AT76" s="96"/>
      <c r="AU76" s="95"/>
      <c r="AV76" s="98"/>
      <c r="AW76" s="96"/>
      <c r="AX76" s="96"/>
      <c r="AY76" s="95"/>
      <c r="AZ76" s="98"/>
      <c r="BA76" s="99"/>
      <c r="BB76" s="95"/>
      <c r="BC76" s="96"/>
      <c r="BD76" s="96"/>
      <c r="BE76" s="98"/>
    </row>
    <row r="77" spans="1:57" ht="13.5" customHeight="1">
      <c r="A77" s="474" t="s">
        <v>1217</v>
      </c>
      <c r="B77" s="561"/>
      <c r="C77" s="476"/>
      <c r="D77" s="562"/>
      <c r="E77" s="476"/>
      <c r="F77" s="562"/>
      <c r="G77" s="476"/>
      <c r="H77" s="562"/>
      <c r="I77" s="563"/>
      <c r="J77" s="476"/>
      <c r="K77" s="245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  <c r="AA77" s="95"/>
      <c r="AB77" s="96"/>
      <c r="AC77" s="96"/>
      <c r="AD77" s="96"/>
      <c r="AE77" s="96"/>
      <c r="AF77" s="97"/>
      <c r="AG77" s="95"/>
      <c r="AH77" s="96"/>
      <c r="AI77" s="95"/>
      <c r="AJ77" s="96"/>
      <c r="AK77" s="95"/>
      <c r="AL77" s="96"/>
      <c r="AM77" s="95"/>
      <c r="AN77" s="98"/>
      <c r="AO77" s="96"/>
      <c r="AP77" s="96"/>
      <c r="AQ77" s="95"/>
      <c r="AR77" s="98"/>
      <c r="AS77" s="96"/>
      <c r="AT77" s="96"/>
      <c r="AU77" s="95"/>
      <c r="AV77" s="98"/>
      <c r="AW77" s="96"/>
      <c r="AX77" s="96"/>
      <c r="AY77" s="95"/>
      <c r="AZ77" s="98"/>
      <c r="BA77" s="99"/>
      <c r="BB77" s="95"/>
      <c r="BC77" s="96"/>
      <c r="BD77" s="96"/>
      <c r="BE77" s="98"/>
    </row>
    <row r="78" spans="1:57" ht="13.5" customHeight="1">
      <c r="A78" s="478" t="str">
        <f t="shared" ref="A78:A83" si="34">+A7</f>
        <v>Superior City View</v>
      </c>
      <c r="B78" s="564">
        <f t="array" ref="B78">_xll.DAC(DB,_xll.ArrayDPT($AA78:$AE78),_xll.ArrayCOA($AG78:$AZ78),YR,PRD,DD,_xll.ArrayDIM($BB78:$BE78))</f>
        <v>0</v>
      </c>
      <c r="C78" s="480">
        <f t="shared" ref="C78:C85" si="35">IF(B78&lt;=0,0,B78/B$73)</f>
        <v>0</v>
      </c>
      <c r="D78" s="553">
        <f t="array" ref="D78">_xll.PTD(DB,_xll.ArrayDPT($AA78:$AE78),_xll.ArrayCOA($AG78:$AZ78),YR,PRD,DD,_xll.ArrayDIM($BB78:$BE78))</f>
        <v>0</v>
      </c>
      <c r="E78" s="480">
        <f t="shared" ref="E78:E85" si="36">IF(D78&lt;=0,0,D78/D$73)</f>
        <v>0</v>
      </c>
      <c r="F78" s="553">
        <f t="array" ref="F78">_xll.PTDBG(DB,_xll.ArrayDPT($AA78:$AE78),_xll.ArrayCOA($AG78:$AZ78),YR,PRD,DD,RV,_xll.ArrayDIM($BB78:$BE78))</f>
        <v>0</v>
      </c>
      <c r="G78" s="480">
        <f t="shared" ref="G78:G85" si="37">IF(F78&lt;=0,0,F78/F$73)</f>
        <v>0</v>
      </c>
      <c r="H78" s="553">
        <f t="shared" ref="H78:H85" si="38">D78-F78</f>
        <v>0</v>
      </c>
      <c r="I78" s="564">
        <f t="array" ref="I78">_xll.DAC(DB,_xll.ArrayDPT($AA78:$AE78),_xll.ArrayCOA($AG78:$AZ78),YR-1,PRD,DD,_xll.ArrayDIM($BB78:$BE78))</f>
        <v>0</v>
      </c>
      <c r="J78" s="480">
        <f t="shared" ref="J78:J85" si="39">IF(I78&lt;=0,0,I78/I$73)</f>
        <v>0</v>
      </c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  <c r="AA78" s="95"/>
      <c r="AB78" s="96"/>
      <c r="AC78" s="96"/>
      <c r="AD78" s="96"/>
      <c r="AE78" s="96"/>
      <c r="AF78" s="97"/>
      <c r="AG78" s="95"/>
      <c r="AH78" s="96"/>
      <c r="AI78" s="95"/>
      <c r="AJ78" s="96"/>
      <c r="AK78" s="95"/>
      <c r="AL78" s="96"/>
      <c r="AM78" s="95"/>
      <c r="AN78" s="98"/>
      <c r="AO78" s="96"/>
      <c r="AP78" s="96"/>
      <c r="AQ78" s="95"/>
      <c r="AR78" s="98"/>
      <c r="AS78" s="96"/>
      <c r="AT78" s="96"/>
      <c r="AU78" s="95"/>
      <c r="AV78" s="98"/>
      <c r="AW78" s="96"/>
      <c r="AX78" s="96"/>
      <c r="AY78" s="95"/>
      <c r="AZ78" s="98"/>
      <c r="BA78" s="99"/>
      <c r="BB78" s="95"/>
      <c r="BC78" s="96"/>
      <c r="BD78" s="96"/>
      <c r="BE78" s="98"/>
    </row>
    <row r="79" spans="1:57" ht="13.5" customHeight="1">
      <c r="A79" s="478" t="str">
        <f t="shared" si="34"/>
        <v>Deluxe Sea View</v>
      </c>
      <c r="B79" s="564">
        <f t="array" ref="B79">_xll.DAC(DB,_xll.ArrayDPT($AA79:$AE79),_xll.ArrayCOA($AG79:$AZ79),YR,PRD,DD,_xll.ArrayDIM($BB79:$BE79))</f>
        <v>0</v>
      </c>
      <c r="C79" s="480">
        <f t="shared" si="35"/>
        <v>0</v>
      </c>
      <c r="D79" s="553">
        <f t="array" ref="D79">_xll.PTD(DB,_xll.ArrayDPT($AA79:$AE79),_xll.ArrayCOA($AG79:$AZ79),YR,PRD,DD,_xll.ArrayDIM($BB79:$BE79))</f>
        <v>0</v>
      </c>
      <c r="E79" s="480">
        <f t="shared" si="36"/>
        <v>0</v>
      </c>
      <c r="F79" s="553">
        <f t="array" ref="F79">_xll.PTDBG(DB,_xll.ArrayDPT($AA79:$AE79),_xll.ArrayCOA($AG79:$AZ79),YR,PRD,DD,RV,_xll.ArrayDIM($BB79:$BE79))</f>
        <v>0</v>
      </c>
      <c r="G79" s="480">
        <f t="shared" si="37"/>
        <v>0</v>
      </c>
      <c r="H79" s="553">
        <f t="shared" si="38"/>
        <v>0</v>
      </c>
      <c r="I79" s="564">
        <f t="array" ref="I79">_xll.DAC(DB,_xll.ArrayDPT($AA79:$AE79),_xll.ArrayCOA($AG79:$AZ79),YR-1,PRD,DD,_xll.ArrayDIM($BB79:$BE79))</f>
        <v>0</v>
      </c>
      <c r="J79" s="480">
        <f t="shared" si="39"/>
        <v>0</v>
      </c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  <c r="AA79" s="95"/>
      <c r="AB79" s="96"/>
      <c r="AC79" s="96"/>
      <c r="AD79" s="96"/>
      <c r="AE79" s="96"/>
      <c r="AF79" s="97"/>
      <c r="AG79" s="95"/>
      <c r="AH79" s="96"/>
      <c r="AI79" s="95"/>
      <c r="AJ79" s="96"/>
      <c r="AK79" s="95"/>
      <c r="AL79" s="96"/>
      <c r="AM79" s="95"/>
      <c r="AN79" s="98"/>
      <c r="AO79" s="96"/>
      <c r="AP79" s="96"/>
      <c r="AQ79" s="95"/>
      <c r="AR79" s="98"/>
      <c r="AS79" s="96"/>
      <c r="AT79" s="96"/>
      <c r="AU79" s="95"/>
      <c r="AV79" s="98"/>
      <c r="AW79" s="96"/>
      <c r="AX79" s="96"/>
      <c r="AY79" s="95"/>
      <c r="AZ79" s="98"/>
      <c r="BA79" s="99"/>
      <c r="BB79" s="95"/>
      <c r="BC79" s="96"/>
      <c r="BD79" s="96"/>
      <c r="BE79" s="98"/>
    </row>
    <row r="80" spans="1:57" ht="13.5" customHeight="1">
      <c r="A80" s="478" t="str">
        <f t="shared" si="34"/>
        <v>Deluxe Sea View pool Access</v>
      </c>
      <c r="B80" s="564">
        <f t="array" ref="B80">_xll.DAC(DB,_xll.ArrayDPT($AA80:$AE80),_xll.ArrayCOA($AG80:$AZ80),YR,PRD,DD,_xll.ArrayDIM($BB80:$BE80))</f>
        <v>0</v>
      </c>
      <c r="C80" s="480">
        <f t="shared" si="35"/>
        <v>0</v>
      </c>
      <c r="D80" s="553">
        <f t="array" ref="D80">_xll.PTD(DB,_xll.ArrayDPT($AA80:$AE80),_xll.ArrayCOA($AG80:$AZ80),YR,PRD,DD,_xll.ArrayDIM($BB80:$BE80))</f>
        <v>0</v>
      </c>
      <c r="E80" s="480">
        <f t="shared" si="36"/>
        <v>0</v>
      </c>
      <c r="F80" s="481">
        <f t="array" ref="F80">_xll.PTDBG(DB,_xll.ArrayDPT($AA80:$AE80),_xll.ArrayCOA($AG80:$AZ80),YR,PRD,DD,RV,_xll.ArrayDIM($BB80:$BE80))</f>
        <v>0</v>
      </c>
      <c r="G80" s="480">
        <f t="shared" si="37"/>
        <v>0</v>
      </c>
      <c r="H80" s="553">
        <f t="shared" si="38"/>
        <v>0</v>
      </c>
      <c r="I80" s="564">
        <f t="array" ref="I80">_xll.DAC(DB,_xll.ArrayDPT($AA80:$AE80),_xll.ArrayCOA($AG80:$AZ80),YR-1,PRD,DD,_xll.ArrayDIM($BB80:$BE80))</f>
        <v>0</v>
      </c>
      <c r="J80" s="480">
        <f t="shared" si="39"/>
        <v>0</v>
      </c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  <c r="AA80" s="95"/>
      <c r="AB80" s="96"/>
      <c r="AC80" s="96"/>
      <c r="AD80" s="96"/>
      <c r="AE80" s="96"/>
      <c r="AF80" s="97"/>
      <c r="AG80" s="95"/>
      <c r="AH80" s="96"/>
      <c r="AI80" s="95"/>
      <c r="AJ80" s="96"/>
      <c r="AK80" s="95"/>
      <c r="AL80" s="96"/>
      <c r="AM80" s="95"/>
      <c r="AN80" s="98"/>
      <c r="AO80" s="96"/>
      <c r="AP80" s="96"/>
      <c r="AQ80" s="95"/>
      <c r="AR80" s="98"/>
      <c r="AS80" s="96"/>
      <c r="AT80" s="96"/>
      <c r="AU80" s="95"/>
      <c r="AV80" s="98"/>
      <c r="AW80" s="96"/>
      <c r="AX80" s="96"/>
      <c r="AY80" s="95"/>
      <c r="AZ80" s="98"/>
      <c r="BA80" s="99"/>
      <c r="BB80" s="95"/>
      <c r="BC80" s="96"/>
      <c r="BD80" s="96"/>
      <c r="BE80" s="98"/>
    </row>
    <row r="81" spans="1:57" ht="13.5" customHeight="1">
      <c r="A81" s="478" t="str">
        <f t="shared" si="34"/>
        <v>Corner Deluxe Sea View</v>
      </c>
      <c r="B81" s="564">
        <f t="array" ref="B81">_xll.DAC(DB,_xll.ArrayDPT($AA81:$AE81),_xll.ArrayCOA($AG81:$AZ81),YR,PRD,DD,_xll.ArrayDIM($BB81:$BE81))</f>
        <v>0</v>
      </c>
      <c r="C81" s="480">
        <f t="shared" si="35"/>
        <v>0</v>
      </c>
      <c r="D81" s="553">
        <f t="array" ref="D81">_xll.PTD(DB,_xll.ArrayDPT($AA81:$AE81),_xll.ArrayCOA($AG81:$AZ81),YR,PRD,DD,_xll.ArrayDIM($BB81:$BE81))</f>
        <v>0</v>
      </c>
      <c r="E81" s="480">
        <f t="shared" si="36"/>
        <v>0</v>
      </c>
      <c r="F81" s="553">
        <f t="array" ref="F81">_xll.PTDBG(DB,_xll.ArrayDPT($AA81:$AE81),_xll.ArrayCOA($AG81:$AZ81),YR,PRD,DD,RV,_xll.ArrayDIM($BB81:$BE81))</f>
        <v>0</v>
      </c>
      <c r="G81" s="480">
        <f t="shared" si="37"/>
        <v>0</v>
      </c>
      <c r="H81" s="553">
        <f t="shared" si="38"/>
        <v>0</v>
      </c>
      <c r="I81" s="564">
        <f t="array" ref="I81">_xll.DAC(DB,_xll.ArrayDPT($AA81:$AE81),_xll.ArrayCOA($AG81:$AZ81),YR-1,PRD,DD,_xll.ArrayDIM($BB81:$BE81))</f>
        <v>0</v>
      </c>
      <c r="J81" s="480">
        <f t="shared" si="39"/>
        <v>0</v>
      </c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  <c r="AA81" s="95"/>
      <c r="AB81" s="96"/>
      <c r="AC81" s="96"/>
      <c r="AD81" s="96"/>
      <c r="AE81" s="96"/>
      <c r="AF81" s="97"/>
      <c r="AG81" s="95"/>
      <c r="AH81" s="96"/>
      <c r="AI81" s="95"/>
      <c r="AJ81" s="96"/>
      <c r="AK81" s="95"/>
      <c r="AL81" s="96"/>
      <c r="AM81" s="95"/>
      <c r="AN81" s="98"/>
      <c r="AO81" s="96"/>
      <c r="AP81" s="96"/>
      <c r="AQ81" s="95"/>
      <c r="AR81" s="98"/>
      <c r="AS81" s="96"/>
      <c r="AT81" s="96"/>
      <c r="AU81" s="95"/>
      <c r="AV81" s="98"/>
      <c r="AW81" s="96"/>
      <c r="AX81" s="96"/>
      <c r="AY81" s="95"/>
      <c r="AZ81" s="98"/>
      <c r="BA81" s="99"/>
      <c r="BB81" s="95"/>
      <c r="BC81" s="96"/>
      <c r="BD81" s="96"/>
      <c r="BE81" s="98"/>
    </row>
    <row r="82" spans="1:57" ht="13.5" customHeight="1">
      <c r="A82" s="478" t="str">
        <f t="shared" si="34"/>
        <v>The Senses Suite</v>
      </c>
      <c r="B82" s="564">
        <f t="array" ref="B82">_xll.DAC(DB,_xll.ArrayDPT($AA82:$AE82),_xll.ArrayCOA($AG82:$AZ82),YR,PRD,DD,_xll.ArrayDIM($BB82:$BE82))</f>
        <v>0</v>
      </c>
      <c r="C82" s="480">
        <f t="shared" si="35"/>
        <v>0</v>
      </c>
      <c r="D82" s="553">
        <f t="array" ref="D82">_xll.PTD(DB,_xll.ArrayDPT($AA82:$AE82),_xll.ArrayCOA($AG82:$AZ82),YR,PRD,DD,_xll.ArrayDIM($BB82:$BE82))</f>
        <v>0</v>
      </c>
      <c r="E82" s="480">
        <f t="shared" si="36"/>
        <v>0</v>
      </c>
      <c r="F82" s="553">
        <f t="array" ref="F82">_xll.PTDBG(DB,_xll.ArrayDPT($AA82:$AE82),_xll.ArrayCOA($AG82:$AZ82),YR,PRD,DD,RV,_xll.ArrayDIM($BB82:$BE82))</f>
        <v>0</v>
      </c>
      <c r="G82" s="480">
        <f t="shared" si="37"/>
        <v>0</v>
      </c>
      <c r="H82" s="553">
        <f t="shared" si="38"/>
        <v>0</v>
      </c>
      <c r="I82" s="564">
        <f t="array" ref="I82">_xll.DAC(DB,_xll.ArrayDPT($AA82:$AE82),_xll.ArrayCOA($AG82:$AZ82),YR-1,PRD,DD,_xll.ArrayDIM($BB82:$BE82))</f>
        <v>0</v>
      </c>
      <c r="J82" s="480">
        <f t="shared" si="39"/>
        <v>0</v>
      </c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  <c r="AA82" s="95"/>
      <c r="AB82" s="96"/>
      <c r="AC82" s="96"/>
      <c r="AD82" s="96"/>
      <c r="AE82" s="96"/>
      <c r="AF82" s="97"/>
      <c r="AG82" s="95"/>
      <c r="AH82" s="96"/>
      <c r="AI82" s="95"/>
      <c r="AJ82" s="96"/>
      <c r="AK82" s="95"/>
      <c r="AL82" s="96"/>
      <c r="AM82" s="95"/>
      <c r="AN82" s="98"/>
      <c r="AO82" s="96"/>
      <c r="AP82" s="96"/>
      <c r="AQ82" s="95"/>
      <c r="AR82" s="98"/>
      <c r="AS82" s="96"/>
      <c r="AT82" s="96"/>
      <c r="AU82" s="95"/>
      <c r="AV82" s="98"/>
      <c r="AW82" s="96"/>
      <c r="AX82" s="96"/>
      <c r="AY82" s="95"/>
      <c r="AZ82" s="98"/>
      <c r="BA82" s="99"/>
      <c r="BB82" s="95"/>
      <c r="BC82" s="96"/>
      <c r="BD82" s="96"/>
      <c r="BE82" s="98"/>
    </row>
    <row r="83" spans="1:57" ht="13.5" customHeight="1">
      <c r="A83" s="478" t="str">
        <f t="shared" si="34"/>
        <v>The Rejuvenation Suite</v>
      </c>
      <c r="B83" s="564">
        <f t="array" ref="B83">_xll.DAC(DB,_xll.ArrayDPT($AA83:$AE83),_xll.ArrayCOA($AG83:$AZ83),YR,PRD,DD,_xll.ArrayDIM($BB83:$BE83))</f>
        <v>0</v>
      </c>
      <c r="C83" s="480">
        <f t="shared" si="35"/>
        <v>0</v>
      </c>
      <c r="D83" s="553">
        <f t="array" ref="D83">_xll.PTD(DB,_xll.ArrayDPT($AA83:$AE83),_xll.ArrayCOA($AG83:$AZ83),YR,PRD,DD,_xll.ArrayDIM($BB83:$BE83))</f>
        <v>0</v>
      </c>
      <c r="E83" s="480">
        <f t="shared" si="36"/>
        <v>0</v>
      </c>
      <c r="F83" s="553">
        <f t="array" ref="F83">_xll.PTDBG(DB,_xll.ArrayDPT($AA83:$AE83),_xll.ArrayCOA($AG83:$AZ83),YR,PRD,DD,RV,_xll.ArrayDIM($BB83:$BE83))</f>
        <v>0</v>
      </c>
      <c r="G83" s="480">
        <f t="shared" si="37"/>
        <v>0</v>
      </c>
      <c r="H83" s="553">
        <f t="shared" si="38"/>
        <v>0</v>
      </c>
      <c r="I83" s="564">
        <f t="array" ref="I83">_xll.DAC(DB,_xll.ArrayDPT($AA83:$AE83),_xll.ArrayCOA($AG83:$AZ83),YR-1,PRD,DD,_xll.ArrayDIM($BB83:$BE83))</f>
        <v>0</v>
      </c>
      <c r="J83" s="480">
        <f t="shared" si="39"/>
        <v>0</v>
      </c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  <c r="AA83" s="95"/>
      <c r="AB83" s="96"/>
      <c r="AC83" s="96"/>
      <c r="AD83" s="96"/>
      <c r="AE83" s="96"/>
      <c r="AF83" s="97"/>
      <c r="AG83" s="95"/>
      <c r="AH83" s="96"/>
      <c r="AI83" s="95"/>
      <c r="AJ83" s="96"/>
      <c r="AK83" s="95"/>
      <c r="AL83" s="96"/>
      <c r="AM83" s="95"/>
      <c r="AN83" s="98"/>
      <c r="AO83" s="96"/>
      <c r="AP83" s="96"/>
      <c r="AQ83" s="95"/>
      <c r="AR83" s="98"/>
      <c r="AS83" s="96"/>
      <c r="AT83" s="96"/>
      <c r="AU83" s="95"/>
      <c r="AV83" s="98"/>
      <c r="AW83" s="96"/>
      <c r="AX83" s="96"/>
      <c r="AY83" s="95"/>
      <c r="AZ83" s="98"/>
      <c r="BA83" s="99"/>
      <c r="BB83" s="95"/>
      <c r="BC83" s="96"/>
      <c r="BD83" s="96"/>
      <c r="BE83" s="98"/>
    </row>
    <row r="84" spans="1:57" ht="13.5" customHeight="1">
      <c r="A84" s="478" t="s">
        <v>1218</v>
      </c>
      <c r="B84" s="565">
        <f t="array" ref="B84">_xll.DAC(DB,_xll.ArrayDPT($AA84:$AE84),_xll.ArrayCOA($AG84:$AZ84),YR,PRD,DD,_xll.ArrayDIM($BB84:$BE84))</f>
        <v>0</v>
      </c>
      <c r="C84" s="480">
        <f t="shared" si="35"/>
        <v>0</v>
      </c>
      <c r="D84" s="553">
        <f t="array" ref="D84">_xll.PTD(DB,_xll.ArrayDPT($AA84:$AE84),_xll.ArrayCOA($AG84:$AZ84),YR,PRD,DD,_xll.ArrayDIM($BB84:$BE84))</f>
        <v>0</v>
      </c>
      <c r="E84" s="480">
        <f t="shared" si="36"/>
        <v>0</v>
      </c>
      <c r="F84" s="553">
        <f t="array" ref="F84">_xll.PTDBG(DB,_xll.ArrayDPT($AA84:$AE84),_xll.ArrayCOA($AG84:$AZ84),YR,PRD,DD,RV,_xll.ArrayDIM($BB84:$BE84))</f>
        <v>0</v>
      </c>
      <c r="G84" s="480">
        <f t="shared" si="37"/>
        <v>0</v>
      </c>
      <c r="H84" s="553">
        <f t="shared" si="38"/>
        <v>0</v>
      </c>
      <c r="I84" s="565">
        <f t="array" ref="I84">_xll.DAC(DB,_xll.ArrayDPT($AA84:$AE84),_xll.ArrayCOA($AG84:$AZ84),YR-1,PRD,DD,_xll.ArrayDIM($BB84:$BE84))</f>
        <v>0</v>
      </c>
      <c r="J84" s="480">
        <f t="shared" si="39"/>
        <v>0</v>
      </c>
      <c r="K84" s="245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  <c r="AA84" s="95"/>
      <c r="AB84" s="96"/>
      <c r="AC84" s="96"/>
      <c r="AD84" s="96"/>
      <c r="AE84" s="96"/>
      <c r="AF84" s="97"/>
      <c r="AG84" s="95"/>
      <c r="AH84" s="96"/>
      <c r="AI84" s="95"/>
      <c r="AJ84" s="96"/>
      <c r="AK84" s="95"/>
      <c r="AL84" s="96"/>
      <c r="AM84" s="95"/>
      <c r="AN84" s="98"/>
      <c r="AO84" s="96"/>
      <c r="AP84" s="96"/>
      <c r="AQ84" s="95"/>
      <c r="AR84" s="98"/>
      <c r="AS84" s="96"/>
      <c r="AT84" s="96"/>
      <c r="AU84" s="95"/>
      <c r="AV84" s="98"/>
      <c r="AW84" s="96"/>
      <c r="AX84" s="96"/>
      <c r="AY84" s="95"/>
      <c r="AZ84" s="98"/>
      <c r="BA84" s="99"/>
      <c r="BB84" s="95"/>
      <c r="BC84" s="96"/>
      <c r="BD84" s="96"/>
      <c r="BE84" s="98"/>
    </row>
    <row r="85" spans="1:57" ht="13.5" customHeight="1">
      <c r="A85" s="490" t="s">
        <v>1219</v>
      </c>
      <c r="B85" s="566">
        <f>SUM(B78:B84)</f>
        <v>0</v>
      </c>
      <c r="C85" s="492">
        <f t="shared" si="35"/>
        <v>0</v>
      </c>
      <c r="D85" s="566">
        <f>SUM(D78:D84)</f>
        <v>0</v>
      </c>
      <c r="E85" s="492">
        <f t="shared" si="36"/>
        <v>0</v>
      </c>
      <c r="F85" s="567">
        <f>SUM(F78:F83)</f>
        <v>0</v>
      </c>
      <c r="G85" s="492">
        <f t="shared" si="37"/>
        <v>0</v>
      </c>
      <c r="H85" s="568">
        <f t="shared" si="38"/>
        <v>0</v>
      </c>
      <c r="I85" s="566">
        <f>SUM(I78:I84)</f>
        <v>0</v>
      </c>
      <c r="J85" s="492">
        <f t="shared" si="39"/>
        <v>0</v>
      </c>
      <c r="K85" s="245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  <c r="AA85" s="95"/>
      <c r="AB85" s="96"/>
      <c r="AC85" s="96"/>
      <c r="AD85" s="96"/>
      <c r="AE85" s="96"/>
      <c r="AF85" s="97"/>
      <c r="AG85" s="95"/>
      <c r="AH85" s="96"/>
      <c r="AI85" s="95"/>
      <c r="AJ85" s="96"/>
      <c r="AK85" s="95"/>
      <c r="AL85" s="96"/>
      <c r="AM85" s="95"/>
      <c r="AN85" s="98"/>
      <c r="AO85" s="96"/>
      <c r="AP85" s="96"/>
      <c r="AQ85" s="95"/>
      <c r="AR85" s="98"/>
      <c r="AS85" s="96"/>
      <c r="AT85" s="96"/>
      <c r="AU85" s="95"/>
      <c r="AV85" s="98"/>
      <c r="AW85" s="96"/>
      <c r="AX85" s="96"/>
      <c r="AY85" s="95"/>
      <c r="AZ85" s="98"/>
      <c r="BA85" s="99"/>
      <c r="BB85" s="95"/>
      <c r="BC85" s="96"/>
      <c r="BD85" s="96"/>
      <c r="BE85" s="98"/>
    </row>
    <row r="86" spans="1:57" ht="13.5" customHeight="1">
      <c r="A86" s="245"/>
      <c r="B86" s="245"/>
      <c r="C86" s="504"/>
      <c r="D86" s="245"/>
      <c r="E86" s="504"/>
      <c r="F86" s="245"/>
      <c r="G86" s="504"/>
      <c r="H86" s="245"/>
      <c r="I86" s="245"/>
      <c r="J86" s="569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  <c r="AA86" s="95"/>
      <c r="AB86" s="96"/>
      <c r="AC86" s="96"/>
      <c r="AD86" s="96"/>
      <c r="AE86" s="96"/>
      <c r="AF86" s="97"/>
      <c r="AG86" s="95"/>
      <c r="AH86" s="96"/>
      <c r="AI86" s="95"/>
      <c r="AJ86" s="96"/>
      <c r="AK86" s="95"/>
      <c r="AL86" s="96"/>
      <c r="AM86" s="95"/>
      <c r="AN86" s="98"/>
      <c r="AO86" s="96"/>
      <c r="AP86" s="96"/>
      <c r="AQ86" s="95"/>
      <c r="AR86" s="98"/>
      <c r="AS86" s="96"/>
      <c r="AT86" s="96"/>
      <c r="AU86" s="95"/>
      <c r="AV86" s="98"/>
      <c r="AW86" s="96"/>
      <c r="AX86" s="96"/>
      <c r="AY86" s="95"/>
      <c r="AZ86" s="98"/>
      <c r="BA86" s="99"/>
      <c r="BB86" s="95"/>
      <c r="BC86" s="96"/>
      <c r="BD86" s="96"/>
      <c r="BE86" s="98"/>
    </row>
    <row r="87" spans="1:57" ht="13.5" customHeight="1">
      <c r="A87" s="474" t="s">
        <v>1220</v>
      </c>
      <c r="B87" s="570"/>
      <c r="C87" s="571"/>
      <c r="D87" s="562"/>
      <c r="E87" s="476"/>
      <c r="F87" s="562"/>
      <c r="G87" s="476"/>
      <c r="H87" s="562"/>
      <c r="I87" s="563"/>
      <c r="J87" s="548"/>
      <c r="K87" s="245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  <c r="AA87" s="95"/>
      <c r="AB87" s="96"/>
      <c r="AC87" s="96"/>
      <c r="AD87" s="96"/>
      <c r="AE87" s="96"/>
      <c r="AF87" s="97"/>
      <c r="AG87" s="95"/>
      <c r="AH87" s="96"/>
      <c r="AI87" s="95"/>
      <c r="AJ87" s="96"/>
      <c r="AK87" s="95"/>
      <c r="AL87" s="96"/>
      <c r="AM87" s="95"/>
      <c r="AN87" s="98"/>
      <c r="AO87" s="96"/>
      <c r="AP87" s="96"/>
      <c r="AQ87" s="95"/>
      <c r="AR87" s="98"/>
      <c r="AS87" s="96"/>
      <c r="AT87" s="96"/>
      <c r="AU87" s="95"/>
      <c r="AV87" s="98"/>
      <c r="AW87" s="96"/>
      <c r="AX87" s="96"/>
      <c r="AY87" s="95"/>
      <c r="AZ87" s="98"/>
      <c r="BA87" s="99"/>
      <c r="BB87" s="95"/>
      <c r="BC87" s="96"/>
      <c r="BD87" s="96"/>
      <c r="BE87" s="98"/>
    </row>
    <row r="88" spans="1:57" ht="13.5" customHeight="1">
      <c r="A88" s="478" t="str">
        <f t="shared" ref="A88:A93" si="40">+A78</f>
        <v>Superior City View</v>
      </c>
      <c r="B88" s="572">
        <f t="array" ref="B88">_xll.DAC(DB,_xll.ArrayDPT($AA88:$AE88),_xll.ArrayCOA($AG88:$AZ88),YR,PRD,DD,_xll.ArrayDIM($BB88:$BE88))</f>
        <v>0</v>
      </c>
      <c r="C88" s="573"/>
      <c r="D88" s="574">
        <f t="array" ref="D88">_xll.PTD(DB,_xll.ArrayDPT($AA88:$AE88),_xll.ArrayCOA($AG88:$AZ88),YR,PRD,DD,_xll.ArrayDIM($BB88:$BE88))</f>
        <v>0</v>
      </c>
      <c r="E88" s="575"/>
      <c r="F88" s="574">
        <f t="array" ref="F88">_xll.PTDBG(DB,_xll.ArrayDPT($AA88:$AE88),_xll.ArrayCOA($AG88:$AZ88),YR,PRD,DD,RV,_xll.ArrayDIM($BB88:$BE88))</f>
        <v>0</v>
      </c>
      <c r="G88" s="575"/>
      <c r="H88" s="574">
        <f t="shared" ref="H88:H93" si="41">D88-F88</f>
        <v>0</v>
      </c>
      <c r="I88" s="574">
        <f t="array" ref="I88">_xll.DAC(DB,_xll.ArrayDPT($AA88:$AE88),_xll.ArrayCOA($AG88:$AZ88),YR-1,PRD,DD,_xll.ArrayDIM($BB88:$BE88))</f>
        <v>0</v>
      </c>
      <c r="J88" s="575"/>
      <c r="K88" s="245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  <c r="AA88" s="95"/>
      <c r="AB88" s="96"/>
      <c r="AC88" s="96"/>
      <c r="AD88" s="96"/>
      <c r="AE88" s="96"/>
      <c r="AF88" s="97"/>
      <c r="AG88" s="95"/>
      <c r="AH88" s="96"/>
      <c r="AI88" s="95"/>
      <c r="AJ88" s="96"/>
      <c r="AK88" s="95"/>
      <c r="AL88" s="96"/>
      <c r="AM88" s="95"/>
      <c r="AN88" s="98"/>
      <c r="AO88" s="96"/>
      <c r="AP88" s="96"/>
      <c r="AQ88" s="95"/>
      <c r="AR88" s="98"/>
      <c r="AS88" s="96"/>
      <c r="AT88" s="96"/>
      <c r="AU88" s="95"/>
      <c r="AV88" s="98"/>
      <c r="AW88" s="96"/>
      <c r="AX88" s="96"/>
      <c r="AY88" s="95"/>
      <c r="AZ88" s="98"/>
      <c r="BA88" s="99"/>
      <c r="BB88" s="95"/>
      <c r="BC88" s="96"/>
      <c r="BD88" s="96"/>
      <c r="BE88" s="98"/>
    </row>
    <row r="89" spans="1:57" ht="13.5" customHeight="1">
      <c r="A89" s="478" t="str">
        <f t="shared" si="40"/>
        <v>Deluxe Sea View</v>
      </c>
      <c r="B89" s="572">
        <f t="array" ref="B89">_xll.DAC(DB,_xll.ArrayDPT($AA89:$AE89),_xll.ArrayCOA($AG89:$AZ89),YR,PRD,DD,_xll.ArrayDIM($BB89:$BE89))</f>
        <v>0</v>
      </c>
      <c r="C89" s="573"/>
      <c r="D89" s="574">
        <f t="array" ref="D89">_xll.PTD(DB,_xll.ArrayDPT($AA89:$AE89),_xll.ArrayCOA($AG89:$AZ89),YR,PRD,DD,_xll.ArrayDIM($BB89:$BE89))</f>
        <v>0</v>
      </c>
      <c r="E89" s="575"/>
      <c r="F89" s="574">
        <f t="array" ref="F89">_xll.PTDBG(DB,_xll.ArrayDPT($AA89:$AE89),_xll.ArrayCOA($AG89:$AZ89),YR,PRD,DD,RV,_xll.ArrayDIM($BB89:$BE89))</f>
        <v>0</v>
      </c>
      <c r="G89" s="575"/>
      <c r="H89" s="574">
        <f t="shared" si="41"/>
        <v>0</v>
      </c>
      <c r="I89" s="574">
        <f t="array" ref="I89">_xll.DAC(DB,_xll.ArrayDPT($AA89:$AE89),_xll.ArrayCOA($AG89:$AZ89),YR-1,PRD,DD,_xll.ArrayDIM($BB89:$BE89))</f>
        <v>0</v>
      </c>
      <c r="J89" s="575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  <c r="AA89" s="95"/>
      <c r="AB89" s="96"/>
      <c r="AC89" s="96"/>
      <c r="AD89" s="96"/>
      <c r="AE89" s="96"/>
      <c r="AF89" s="97"/>
      <c r="AG89" s="95"/>
      <c r="AH89" s="96"/>
      <c r="AI89" s="95"/>
      <c r="AJ89" s="96"/>
      <c r="AK89" s="95"/>
      <c r="AL89" s="96"/>
      <c r="AM89" s="95"/>
      <c r="AN89" s="98"/>
      <c r="AO89" s="96"/>
      <c r="AP89" s="96"/>
      <c r="AQ89" s="95"/>
      <c r="AR89" s="98"/>
      <c r="AS89" s="96"/>
      <c r="AT89" s="96"/>
      <c r="AU89" s="95"/>
      <c r="AV89" s="98"/>
      <c r="AW89" s="96"/>
      <c r="AX89" s="96"/>
      <c r="AY89" s="95"/>
      <c r="AZ89" s="98"/>
      <c r="BA89" s="99"/>
      <c r="BB89" s="95"/>
      <c r="BC89" s="96"/>
      <c r="BD89" s="96"/>
      <c r="BE89" s="98"/>
    </row>
    <row r="90" spans="1:57" ht="13.5" customHeight="1">
      <c r="A90" s="478" t="str">
        <f t="shared" si="40"/>
        <v>Deluxe Sea View pool Access</v>
      </c>
      <c r="B90" s="572">
        <f t="array" ref="B90">_xll.DAC(DB,_xll.ArrayDPT($AA90:$AE90),_xll.ArrayCOA($AG90:$AZ90),YR,PRD,DD,_xll.ArrayDIM($BB90:$BE90))</f>
        <v>0</v>
      </c>
      <c r="C90" s="573"/>
      <c r="D90" s="574">
        <f t="array" ref="D90">_xll.PTD(DB,_xll.ArrayDPT($AA90:$AE90),_xll.ArrayCOA($AG90:$AZ90),YR,PRD,DD,_xll.ArrayDIM($BB90:$BE90))</f>
        <v>0</v>
      </c>
      <c r="E90" s="575"/>
      <c r="F90" s="574">
        <f t="array" ref="F90">_xll.PTDBG(DB,_xll.ArrayDPT($AA90:$AE90),_xll.ArrayCOA($AG90:$AZ90),YR,PRD,DD,RV,_xll.ArrayDIM($BB90:$BE90))</f>
        <v>0</v>
      </c>
      <c r="G90" s="575"/>
      <c r="H90" s="574">
        <f t="shared" si="41"/>
        <v>0</v>
      </c>
      <c r="I90" s="574">
        <f t="array" ref="I90">_xll.DAC(DB,_xll.ArrayDPT($AA90:$AE90),_xll.ArrayCOA($AG90:$AZ90),YR-1,PRD,DD,_xll.ArrayDIM($BB90:$BE90))</f>
        <v>0</v>
      </c>
      <c r="J90" s="575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  <c r="AA90" s="95"/>
      <c r="AB90" s="96"/>
      <c r="AC90" s="96"/>
      <c r="AD90" s="96"/>
      <c r="AE90" s="96"/>
      <c r="AF90" s="97"/>
      <c r="AG90" s="95"/>
      <c r="AH90" s="96"/>
      <c r="AI90" s="95"/>
      <c r="AJ90" s="96"/>
      <c r="AK90" s="95"/>
      <c r="AL90" s="96"/>
      <c r="AM90" s="95"/>
      <c r="AN90" s="98"/>
      <c r="AO90" s="96"/>
      <c r="AP90" s="96"/>
      <c r="AQ90" s="95"/>
      <c r="AR90" s="98"/>
      <c r="AS90" s="96"/>
      <c r="AT90" s="96"/>
      <c r="AU90" s="95"/>
      <c r="AV90" s="98"/>
      <c r="AW90" s="96"/>
      <c r="AX90" s="96"/>
      <c r="AY90" s="95"/>
      <c r="AZ90" s="98"/>
      <c r="BA90" s="99"/>
      <c r="BB90" s="95"/>
      <c r="BC90" s="96"/>
      <c r="BD90" s="96"/>
      <c r="BE90" s="98"/>
    </row>
    <row r="91" spans="1:57" ht="13.5" customHeight="1">
      <c r="A91" s="478" t="str">
        <f t="shared" si="40"/>
        <v>Corner Deluxe Sea View</v>
      </c>
      <c r="B91" s="572">
        <f t="array" ref="B91">_xll.DAC(DB,_xll.ArrayDPT($AA91:$AE91),_xll.ArrayCOA($AG91:$AZ91),YR,PRD,DD,_xll.ArrayDIM($BB91:$BE91))</f>
        <v>0</v>
      </c>
      <c r="C91" s="573"/>
      <c r="D91" s="574">
        <f t="array" ref="D91">_xll.PTD(DB,_xll.ArrayDPT($AA91:$AE91),_xll.ArrayCOA($AG91:$AZ91),YR,PRD,DD,_xll.ArrayDIM($BB91:$BE91))</f>
        <v>0</v>
      </c>
      <c r="E91" s="575"/>
      <c r="F91" s="574">
        <f t="array" ref="F91">_xll.PTDBG(DB,_xll.ArrayDPT($AA91:$AE91),_xll.ArrayCOA($AG91:$AZ91),YR,PRD,DD,RV,_xll.ArrayDIM($BB91:$BE91))</f>
        <v>0</v>
      </c>
      <c r="G91" s="575"/>
      <c r="H91" s="574">
        <f t="shared" si="41"/>
        <v>0</v>
      </c>
      <c r="I91" s="574">
        <f t="array" ref="I91">_xll.DAC(DB,_xll.ArrayDPT($AA91:$AE91),_xll.ArrayCOA($AG91:$AZ91),YR-1,PRD,DD,_xll.ArrayDIM($BB91:$BE91))</f>
        <v>0</v>
      </c>
      <c r="J91" s="575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  <c r="AA91" s="95"/>
      <c r="AB91" s="96"/>
      <c r="AC91" s="96"/>
      <c r="AD91" s="96"/>
      <c r="AE91" s="96"/>
      <c r="AF91" s="97"/>
      <c r="AG91" s="95"/>
      <c r="AH91" s="96"/>
      <c r="AI91" s="95"/>
      <c r="AJ91" s="96"/>
      <c r="AK91" s="95"/>
      <c r="AL91" s="96"/>
      <c r="AM91" s="95"/>
      <c r="AN91" s="98"/>
      <c r="AO91" s="96"/>
      <c r="AP91" s="96"/>
      <c r="AQ91" s="95"/>
      <c r="AR91" s="98"/>
      <c r="AS91" s="96"/>
      <c r="AT91" s="96"/>
      <c r="AU91" s="95"/>
      <c r="AV91" s="98"/>
      <c r="AW91" s="96"/>
      <c r="AX91" s="96"/>
      <c r="AY91" s="95"/>
      <c r="AZ91" s="98"/>
      <c r="BA91" s="99"/>
      <c r="BB91" s="95"/>
      <c r="BC91" s="96"/>
      <c r="BD91" s="96"/>
      <c r="BE91" s="98"/>
    </row>
    <row r="92" spans="1:57" ht="13.5" customHeight="1">
      <c r="A92" s="478" t="str">
        <f t="shared" si="40"/>
        <v>The Senses Suite</v>
      </c>
      <c r="B92" s="572">
        <f t="array" ref="B92">_xll.DAC(DB,_xll.ArrayDPT($AA92:$AE92),_xll.ArrayCOA($AG92:$AZ92),YR,PRD,DD,_xll.ArrayDIM($BB92:$BE92))</f>
        <v>0</v>
      </c>
      <c r="C92" s="573"/>
      <c r="D92" s="574">
        <f t="array" ref="D92">_xll.PTD(DB,_xll.ArrayDPT($AA92:$AE92),_xll.ArrayCOA($AG92:$AZ92),YR,PRD,DD,_xll.ArrayDIM($BB92:$BE92))</f>
        <v>0</v>
      </c>
      <c r="E92" s="575"/>
      <c r="F92" s="574">
        <f t="array" ref="F92">_xll.PTDBG(DB,_xll.ArrayDPT($AA92:$AE92),_xll.ArrayCOA($AG92:$AZ92),YR,PRD,DD,RV,_xll.ArrayDIM($BB92:$BE92))</f>
        <v>0</v>
      </c>
      <c r="G92" s="575"/>
      <c r="H92" s="574">
        <f t="shared" si="41"/>
        <v>0</v>
      </c>
      <c r="I92" s="574">
        <f t="array" ref="I92">_xll.DAC(DB,_xll.ArrayDPT($AA92:$AE92),_xll.ArrayCOA($AG92:$AZ92),YR-1,PRD,DD,_xll.ArrayDIM($BB92:$BE92))</f>
        <v>0</v>
      </c>
      <c r="J92" s="575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  <c r="AA92" s="95"/>
      <c r="AB92" s="96"/>
      <c r="AC92" s="96"/>
      <c r="AD92" s="96"/>
      <c r="AE92" s="96"/>
      <c r="AF92" s="97"/>
      <c r="AG92" s="95"/>
      <c r="AH92" s="96"/>
      <c r="AI92" s="95"/>
      <c r="AJ92" s="96"/>
      <c r="AK92" s="95"/>
      <c r="AL92" s="96"/>
      <c r="AM92" s="95"/>
      <c r="AN92" s="98"/>
      <c r="AO92" s="96"/>
      <c r="AP92" s="96"/>
      <c r="AQ92" s="95"/>
      <c r="AR92" s="98"/>
      <c r="AS92" s="96"/>
      <c r="AT92" s="96"/>
      <c r="AU92" s="95"/>
      <c r="AV92" s="98"/>
      <c r="AW92" s="96"/>
      <c r="AX92" s="96"/>
      <c r="AY92" s="95"/>
      <c r="AZ92" s="98"/>
      <c r="BA92" s="99"/>
      <c r="BB92" s="95"/>
      <c r="BC92" s="96"/>
      <c r="BD92" s="96"/>
      <c r="BE92" s="98"/>
    </row>
    <row r="93" spans="1:57" ht="13.5" customHeight="1">
      <c r="A93" s="478" t="str">
        <f t="shared" si="40"/>
        <v>The Rejuvenation Suite</v>
      </c>
      <c r="B93" s="572">
        <f t="array" ref="B93">_xll.DAC(DB,_xll.ArrayDPT($AA93:$AE93),_xll.ArrayCOA($AG93:$AZ93),YR,PRD,DD,_xll.ArrayDIM($BB93:$BE93))</f>
        <v>0</v>
      </c>
      <c r="C93" s="576"/>
      <c r="D93" s="574">
        <f t="array" ref="D93">_xll.PTD(DB,_xll.ArrayDPT($AA93:$AE93),_xll.ArrayCOA($AG93:$AZ93),YR,PRD,DD,_xll.ArrayDIM($BB93:$BE93))</f>
        <v>0</v>
      </c>
      <c r="E93" s="486"/>
      <c r="F93" s="574">
        <f t="array" ref="F93">_xll.PTDBG(DB,_xll.ArrayDPT($AA93:$AE93),_xll.ArrayCOA($AG93:$AZ93),YR,PRD,DD,RV,_xll.ArrayDIM($BB93:$BE93))</f>
        <v>0</v>
      </c>
      <c r="G93" s="486"/>
      <c r="H93" s="574">
        <f t="shared" si="41"/>
        <v>0</v>
      </c>
      <c r="I93" s="574">
        <f t="array" ref="I93">_xll.DAC(DB,_xll.ArrayDPT($AA93:$AE93),_xll.ArrayCOA($AG93:$AZ93),YR-1,PRD,DD,_xll.ArrayDIM($BB93:$BE93))</f>
        <v>0</v>
      </c>
      <c r="J93" s="57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95"/>
      <c r="AB93" s="96"/>
      <c r="AC93" s="96"/>
      <c r="AD93" s="96"/>
      <c r="AE93" s="96"/>
      <c r="AF93" s="97"/>
      <c r="AG93" s="95"/>
      <c r="AH93" s="96"/>
      <c r="AI93" s="95"/>
      <c r="AJ93" s="96"/>
      <c r="AK93" s="95"/>
      <c r="AL93" s="96"/>
      <c r="AM93" s="95"/>
      <c r="AN93" s="98"/>
      <c r="AO93" s="96"/>
      <c r="AP93" s="96"/>
      <c r="AQ93" s="95"/>
      <c r="AR93" s="98"/>
      <c r="AS93" s="96"/>
      <c r="AT93" s="96"/>
      <c r="AU93" s="95"/>
      <c r="AV93" s="98"/>
      <c r="AW93" s="96"/>
      <c r="AX93" s="96"/>
      <c r="AY93" s="95"/>
      <c r="AZ93" s="98"/>
      <c r="BA93" s="99"/>
      <c r="BB93" s="95"/>
      <c r="BC93" s="96"/>
      <c r="BD93" s="96"/>
      <c r="BE93" s="98"/>
    </row>
    <row r="94" spans="1:57" ht="13.5" customHeight="1">
      <c r="A94" s="490" t="s">
        <v>1221</v>
      </c>
      <c r="B94" s="577">
        <f>IF(B14&lt;=0,0,B14/(B85-B83-B84))</f>
        <v>0</v>
      </c>
      <c r="C94" s="578"/>
      <c r="D94" s="577">
        <f>IF(D14&lt;=0,0,D14/(D85-D83-D84))</f>
        <v>0</v>
      </c>
      <c r="E94" s="579"/>
      <c r="F94" s="577">
        <f>IF(F14&lt;=0,0,F14/F85)</f>
        <v>0</v>
      </c>
      <c r="G94" s="579"/>
      <c r="H94" s="577">
        <f t="shared" ref="H94:I94" si="42">IF(H14&lt;=0,0,H14/(H85-H83-H84))</f>
        <v>0</v>
      </c>
      <c r="I94" s="577">
        <f t="shared" si="42"/>
        <v>0</v>
      </c>
      <c r="J94" s="579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  <c r="AA94" s="95"/>
      <c r="AB94" s="96"/>
      <c r="AC94" s="96"/>
      <c r="AD94" s="96"/>
      <c r="AE94" s="96"/>
      <c r="AF94" s="97"/>
      <c r="AG94" s="95"/>
      <c r="AH94" s="96"/>
      <c r="AI94" s="95"/>
      <c r="AJ94" s="96"/>
      <c r="AK94" s="95"/>
      <c r="AL94" s="96"/>
      <c r="AM94" s="95"/>
      <c r="AN94" s="98"/>
      <c r="AO94" s="96"/>
      <c r="AP94" s="96"/>
      <c r="AQ94" s="95"/>
      <c r="AR94" s="98"/>
      <c r="AS94" s="96"/>
      <c r="AT94" s="96"/>
      <c r="AU94" s="95"/>
      <c r="AV94" s="98"/>
      <c r="AW94" s="96"/>
      <c r="AX94" s="96"/>
      <c r="AY94" s="95"/>
      <c r="AZ94" s="98"/>
      <c r="BA94" s="99"/>
      <c r="BB94" s="95"/>
      <c r="BC94" s="96"/>
      <c r="BD94" s="96"/>
      <c r="BE94" s="98"/>
    </row>
    <row r="95" spans="1:57" ht="13.5" customHeight="1">
      <c r="A95" s="496"/>
      <c r="B95" s="496"/>
      <c r="C95" s="580"/>
      <c r="D95" s="496"/>
      <c r="E95" s="581"/>
      <c r="F95" s="496"/>
      <c r="G95" s="495"/>
      <c r="H95" s="582"/>
      <c r="I95" s="496"/>
      <c r="J95" s="498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  <c r="AA95" s="95"/>
      <c r="AB95" s="96"/>
      <c r="AC95" s="96"/>
      <c r="AD95" s="96"/>
      <c r="AE95" s="96"/>
      <c r="AF95" s="97"/>
      <c r="AG95" s="95"/>
      <c r="AH95" s="96"/>
      <c r="AI95" s="95"/>
      <c r="AJ95" s="96"/>
      <c r="AK95" s="95"/>
      <c r="AL95" s="96"/>
      <c r="AM95" s="95"/>
      <c r="AN95" s="98"/>
      <c r="AO95" s="96"/>
      <c r="AP95" s="96"/>
      <c r="AQ95" s="95"/>
      <c r="AR95" s="98"/>
      <c r="AS95" s="96"/>
      <c r="AT95" s="96"/>
      <c r="AU95" s="95"/>
      <c r="AV95" s="98"/>
      <c r="AW95" s="96"/>
      <c r="AX95" s="96"/>
      <c r="AY95" s="95"/>
      <c r="AZ95" s="98"/>
      <c r="BA95" s="99"/>
      <c r="BB95" s="95"/>
      <c r="BC95" s="96"/>
      <c r="BD95" s="96"/>
      <c r="BE95" s="98"/>
    </row>
    <row r="96" spans="1:57" ht="13.5" customHeight="1">
      <c r="A96" s="519" t="s">
        <v>1222</v>
      </c>
      <c r="B96" s="583">
        <f t="array" ref="B96">_xll.DAC(DB,_xll.ArrayDPT($AA96:$AE96),_xll.ArrayCOA($AG96:$AZ96),YR,PRD,DD,_xll.ArrayDIM($BB96:$BE96))</f>
        <v>0</v>
      </c>
      <c r="C96" s="584"/>
      <c r="D96" s="585">
        <f t="array" ref="D96">_xll.PTD(DB,_xll.ArrayDPT($AA96:$AE96),_xll.ArrayCOA($AG96:$AZ96),YR,PRD,DD,_xll.ArrayDIM($BB96:$BE96))</f>
        <v>0</v>
      </c>
      <c r="E96" s="586"/>
      <c r="F96" s="585">
        <f t="array" ref="F96">_xll.PTDBG(DB,_xll.ArrayDPT($AA96:$AE96),_xll.ArrayCOA($AG96:$AZ96),YR,PRD,DD,RV,_xll.ArrayDIM($BB96:$BE96))</f>
        <v>0</v>
      </c>
      <c r="G96" s="548"/>
      <c r="H96" s="587">
        <f t="shared" ref="H96:H100" si="43">+D96-F96</f>
        <v>0</v>
      </c>
      <c r="I96" s="587">
        <f t="array" ref="I96">_xll.DAC(DB,_xll.ArrayDPT($AA96:$AE96),_xll.ArrayCOA($AG96:$AZ96),YR-1,PRD,DD,_xll.ArrayDIM($BB96:$BE96))</f>
        <v>0</v>
      </c>
      <c r="J96" s="548"/>
      <c r="K96" s="245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  <c r="AA96" s="95"/>
      <c r="AB96" s="96"/>
      <c r="AC96" s="96"/>
      <c r="AD96" s="96"/>
      <c r="AE96" s="96"/>
      <c r="AF96" s="97"/>
      <c r="AG96" s="95"/>
      <c r="AH96" s="96"/>
      <c r="AI96" s="95"/>
      <c r="AJ96" s="96"/>
      <c r="AK96" s="95"/>
      <c r="AL96" s="96"/>
      <c r="AM96" s="95"/>
      <c r="AN96" s="98"/>
      <c r="AO96" s="96"/>
      <c r="AP96" s="96"/>
      <c r="AQ96" s="95"/>
      <c r="AR96" s="98"/>
      <c r="AS96" s="96"/>
      <c r="AT96" s="96"/>
      <c r="AU96" s="95"/>
      <c r="AV96" s="98"/>
      <c r="AW96" s="96"/>
      <c r="AX96" s="96"/>
      <c r="AY96" s="95"/>
      <c r="AZ96" s="98"/>
      <c r="BA96" s="99"/>
      <c r="BB96" s="95"/>
      <c r="BC96" s="96"/>
      <c r="BD96" s="96"/>
      <c r="BE96" s="98"/>
    </row>
    <row r="97" spans="1:57" ht="13.5" customHeight="1">
      <c r="A97" s="519" t="s">
        <v>1223</v>
      </c>
      <c r="B97" s="583">
        <f t="array" ref="B97">_xll.DAC(DB,_xll.ArrayDPT($AA97:$AE97),_xll.ArrayCOA($AG97:$AZ97),YR,PRD,DD,_xll.ArrayDIM($BB97:$BE97))</f>
        <v>0</v>
      </c>
      <c r="C97" s="588"/>
      <c r="D97" s="585">
        <f t="array" ref="D97">_xll.PTD(DB,_xll.ArrayDPT($AA97:$AE97),_xll.ArrayCOA($AG97:$AZ97),YR,PRD,DD,_xll.ArrayDIM($BB97:$BE97))</f>
        <v>0</v>
      </c>
      <c r="E97" s="589"/>
      <c r="F97" s="585">
        <f t="array" ref="F97">_xll.PTDBG(DB,_xll.ArrayDPT($AA97:$AE97),_xll.ArrayCOA($AG97:$AZ97),YR,PRD,DD,RV,_xll.ArrayDIM($BB97:$BE97))</f>
        <v>0</v>
      </c>
      <c r="G97" s="521"/>
      <c r="H97" s="587">
        <f t="shared" si="43"/>
        <v>0</v>
      </c>
      <c r="I97" s="587">
        <f t="array" ref="I97">_xll.DAC(DB,_xll.ArrayDPT($AA97:$AE97),_xll.ArrayCOA($AG97:$AZ97),YR-1,PRD,DD,_xll.ArrayDIM($BB97:$BE97))</f>
        <v>0</v>
      </c>
      <c r="J97" s="521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  <c r="AA97" s="95"/>
      <c r="AB97" s="96"/>
      <c r="AC97" s="96"/>
      <c r="AD97" s="96"/>
      <c r="AE97" s="96"/>
      <c r="AF97" s="97"/>
      <c r="AG97" s="95"/>
      <c r="AH97" s="96"/>
      <c r="AI97" s="95"/>
      <c r="AJ97" s="96"/>
      <c r="AK97" s="95"/>
      <c r="AL97" s="96"/>
      <c r="AM97" s="95"/>
      <c r="AN97" s="98"/>
      <c r="AO97" s="96"/>
      <c r="AP97" s="96"/>
      <c r="AQ97" s="95"/>
      <c r="AR97" s="98"/>
      <c r="AS97" s="96"/>
      <c r="AT97" s="96"/>
      <c r="AU97" s="95"/>
      <c r="AV97" s="98"/>
      <c r="AW97" s="96"/>
      <c r="AX97" s="96"/>
      <c r="AY97" s="95"/>
      <c r="AZ97" s="98"/>
      <c r="BA97" s="99"/>
      <c r="BB97" s="95"/>
      <c r="BC97" s="96"/>
      <c r="BD97" s="96"/>
      <c r="BE97" s="98"/>
    </row>
    <row r="98" spans="1:57" ht="13.5" customHeight="1">
      <c r="A98" s="478" t="s">
        <v>1224</v>
      </c>
      <c r="B98" s="552">
        <f t="array" ref="B98">_xll.DAC(DB,_xll.ArrayDPT($AA98:$AE98),_xll.ArrayCOA($AG98:$AZ98),YR,PRD,DD,_xll.ArrayDIM($BB98:$BE98))</f>
        <v>0</v>
      </c>
      <c r="C98" s="590"/>
      <c r="D98" s="591">
        <f t="array" ref="D98">_xll.PTD(DB,_xll.ArrayDPT($AA98:$AE98),_xll.ArrayCOA($AG98:$AZ98),YR,PRD,DD,_xll.ArrayDIM($BB98:$BE98))</f>
        <v>0</v>
      </c>
      <c r="E98" s="592"/>
      <c r="F98" s="591">
        <f t="array" ref="F98">_xll.PTDBG(DB,_xll.ArrayDPT($AA98:$AE98),_xll.ArrayCOA($AG98:$AZ98),YR,PRD,DD,RV,_xll.ArrayDIM($BB98:$BE98))</f>
        <v>0</v>
      </c>
      <c r="G98" s="480"/>
      <c r="H98" s="593">
        <f t="shared" si="43"/>
        <v>0</v>
      </c>
      <c r="I98" s="593">
        <f t="array" ref="I98">_xll.DAC(DB,_xll.ArrayDPT($AA98:$AE98),_xll.ArrayCOA($AG98:$AZ98),YR-1,PRD,DD,_xll.ArrayDIM($BB98:$BE98))</f>
        <v>0</v>
      </c>
      <c r="J98" s="480"/>
      <c r="K98" s="245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  <c r="AA98" s="95"/>
      <c r="AB98" s="96"/>
      <c r="AC98" s="96"/>
      <c r="AD98" s="96"/>
      <c r="AE98" s="96"/>
      <c r="AF98" s="97"/>
      <c r="AG98" s="95"/>
      <c r="AH98" s="96"/>
      <c r="AI98" s="95"/>
      <c r="AJ98" s="96"/>
      <c r="AK98" s="95"/>
      <c r="AL98" s="96"/>
      <c r="AM98" s="95"/>
      <c r="AN98" s="98"/>
      <c r="AO98" s="96"/>
      <c r="AP98" s="96"/>
      <c r="AQ98" s="95"/>
      <c r="AR98" s="98"/>
      <c r="AS98" s="96"/>
      <c r="AT98" s="96"/>
      <c r="AU98" s="95"/>
      <c r="AV98" s="98"/>
      <c r="AW98" s="96"/>
      <c r="AX98" s="96"/>
      <c r="AY98" s="95"/>
      <c r="AZ98" s="98"/>
      <c r="BA98" s="99"/>
      <c r="BB98" s="95"/>
      <c r="BC98" s="96"/>
      <c r="BD98" s="96"/>
      <c r="BE98" s="98"/>
    </row>
    <row r="99" spans="1:57" ht="13.5" customHeight="1">
      <c r="A99" s="478" t="s">
        <v>1225</v>
      </c>
      <c r="B99" s="552">
        <f t="array" ref="B99">_xll.DAC(DB,_xll.ArrayDPT($AA99:$AE99),_xll.ArrayCOA($AG99:$AZ99),YR,PRD,DD,_xll.ArrayDIM($BB99:$BE99))</f>
        <v>0</v>
      </c>
      <c r="C99" s="590"/>
      <c r="D99" s="591">
        <f t="array" ref="D99">_xll.PTD(DB,_xll.ArrayDPT($AA99:$AE99),_xll.ArrayCOA($AG99:$AZ99),YR,PRD,DD,_xll.ArrayDIM($BB99:$BE99))</f>
        <v>0</v>
      </c>
      <c r="E99" s="592"/>
      <c r="F99" s="591">
        <f t="array" ref="F99">_xll.PTDBG(DB,_xll.ArrayDPT($AA99:$AE99),_xll.ArrayCOA($AG99:$AZ99),YR,PRD,DD,RV,_xll.ArrayDIM($BB99:$BE99))</f>
        <v>0</v>
      </c>
      <c r="G99" s="480"/>
      <c r="H99" s="593">
        <f t="shared" si="43"/>
        <v>0</v>
      </c>
      <c r="I99" s="593">
        <f t="array" ref="I99">_xll.DAC(DB,_xll.ArrayDPT($AA99:$AE99),_xll.ArrayCOA($AG99:$AZ99),YR-1,PRD,DD,_xll.ArrayDIM($BB99:$BE99))</f>
        <v>0</v>
      </c>
      <c r="J99" s="480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  <c r="AA99" s="95"/>
      <c r="AB99" s="96"/>
      <c r="AC99" s="96"/>
      <c r="AD99" s="96"/>
      <c r="AE99" s="96"/>
      <c r="AF99" s="97"/>
      <c r="AG99" s="95"/>
      <c r="AH99" s="96"/>
      <c r="AI99" s="95"/>
      <c r="AJ99" s="96"/>
      <c r="AK99" s="95"/>
      <c r="AL99" s="96"/>
      <c r="AM99" s="95"/>
      <c r="AN99" s="98"/>
      <c r="AO99" s="96"/>
      <c r="AP99" s="96"/>
      <c r="AQ99" s="95"/>
      <c r="AR99" s="98"/>
      <c r="AS99" s="96"/>
      <c r="AT99" s="96"/>
      <c r="AU99" s="95"/>
      <c r="AV99" s="98"/>
      <c r="AW99" s="96"/>
      <c r="AX99" s="96"/>
      <c r="AY99" s="95"/>
      <c r="AZ99" s="98"/>
      <c r="BA99" s="99"/>
      <c r="BB99" s="95"/>
      <c r="BC99" s="96"/>
      <c r="BD99" s="96"/>
      <c r="BE99" s="98"/>
    </row>
    <row r="100" spans="1:57" ht="13.5" customHeight="1">
      <c r="A100" s="594" t="s">
        <v>1226</v>
      </c>
      <c r="B100" s="595">
        <f t="array" ref="B100">_xll.DAC(DB,_xll.ArrayDPT($AA100:$AE100),_xll.ArrayCOA($AG100:$AZ100),YR,PRD,DD,_xll.ArrayDIM($BB100:$BE100))</f>
        <v>0</v>
      </c>
      <c r="C100" s="596"/>
      <c r="D100" s="597">
        <f t="array" ref="D100">_xll.PTD(DB,_xll.ArrayDPT($AA100:$AE100),_xll.ArrayCOA($AG100:$AZ100),YR,PRD,DD,_xll.ArrayDIM($BB100:$BE100))</f>
        <v>0</v>
      </c>
      <c r="E100" s="598"/>
      <c r="F100" s="599">
        <f t="array" ref="F100">_xll.PTDBG(DB,_xll.ArrayDPT($AA100:$AE100),_xll.ArrayCOA($AG100:$AZ100),YR,PRD,DD,RV,_xll.ArrayDIM($BB100:$BE100))</f>
        <v>0</v>
      </c>
      <c r="G100" s="600"/>
      <c r="H100" s="597">
        <f t="shared" si="43"/>
        <v>0</v>
      </c>
      <c r="I100" s="597"/>
      <c r="J100" s="600"/>
      <c r="K100" s="245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  <c r="AA100" s="95"/>
      <c r="AB100" s="96"/>
      <c r="AC100" s="96"/>
      <c r="AD100" s="96"/>
      <c r="AE100" s="96"/>
      <c r="AF100" s="97"/>
      <c r="AG100" s="95"/>
      <c r="AH100" s="96"/>
      <c r="AI100" s="95"/>
      <c r="AJ100" s="96"/>
      <c r="AK100" s="95"/>
      <c r="AL100" s="96"/>
      <c r="AM100" s="95"/>
      <c r="AN100" s="98"/>
      <c r="AO100" s="96"/>
      <c r="AP100" s="96"/>
      <c r="AQ100" s="95"/>
      <c r="AR100" s="98"/>
      <c r="AS100" s="96"/>
      <c r="AT100" s="96"/>
      <c r="AU100" s="95"/>
      <c r="AV100" s="98"/>
      <c r="AW100" s="96"/>
      <c r="AX100" s="96"/>
      <c r="AY100" s="95"/>
      <c r="AZ100" s="98"/>
      <c r="BA100" s="99"/>
      <c r="BB100" s="95"/>
      <c r="BC100" s="96"/>
      <c r="BD100" s="96"/>
      <c r="BE100" s="98"/>
    </row>
    <row r="101" spans="1:57" ht="13.5" customHeight="1">
      <c r="A101" s="245"/>
      <c r="B101" s="245"/>
      <c r="C101" s="601"/>
      <c r="D101" s="245"/>
      <c r="E101" s="602"/>
      <c r="F101" s="603"/>
      <c r="G101" s="504"/>
      <c r="H101" s="245"/>
      <c r="I101" s="245"/>
      <c r="J101" s="504"/>
      <c r="K101" s="245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  <c r="AA101" s="95"/>
      <c r="AB101" s="96"/>
      <c r="AC101" s="96"/>
      <c r="AD101" s="96"/>
      <c r="AE101" s="96"/>
      <c r="AF101" s="97"/>
      <c r="AG101" s="95"/>
      <c r="AH101" s="96"/>
      <c r="AI101" s="95"/>
      <c r="AJ101" s="96"/>
      <c r="AK101" s="95"/>
      <c r="AL101" s="96"/>
      <c r="AM101" s="95"/>
      <c r="AN101" s="98"/>
      <c r="AO101" s="96"/>
      <c r="AP101" s="96"/>
      <c r="AQ101" s="95"/>
      <c r="AR101" s="98"/>
      <c r="AS101" s="96"/>
      <c r="AT101" s="96"/>
      <c r="AU101" s="95"/>
      <c r="AV101" s="98"/>
      <c r="AW101" s="96"/>
      <c r="AX101" s="96"/>
      <c r="AY101" s="95"/>
      <c r="AZ101" s="98"/>
      <c r="BA101" s="99"/>
      <c r="BB101" s="95"/>
      <c r="BC101" s="96"/>
      <c r="BD101" s="96"/>
      <c r="BE101" s="98"/>
    </row>
    <row r="102" spans="1:57" ht="13.5" customHeight="1">
      <c r="A102" s="604" t="s">
        <v>1227</v>
      </c>
      <c r="B102" s="605">
        <f t="array" ref="B102">_xll.DAC(DB,_xll.ArrayDPT($AA102:$AE102),_xll.ArrayCOA($AG102:$AZ102),YR,PRD,DD,_xll.ArrayDIM($BB102:$BE102))</f>
        <v>0</v>
      </c>
      <c r="C102" s="548"/>
      <c r="D102" s="605">
        <f t="array" ref="D102">_xll.PTD(DB,_xll.ArrayDPT($AA102:$AE102),_xll.ArrayCOA($AG102:$AZ102),YR,PRD,DD,_xll.ArrayDIM($BB102:$BE102))</f>
        <v>0</v>
      </c>
      <c r="E102" s="548"/>
      <c r="F102" s="605">
        <f t="array" ref="F102">_xll.PTDBG(DB,_xll.ArrayDPT($AA102:$AE102),_xll.ArrayCOA($AG102:$AZ102),YR,PRD,DD,RV,_xll.ArrayDIM($BB102:$BE102))</f>
        <v>0</v>
      </c>
      <c r="G102" s="548"/>
      <c r="H102" s="605">
        <f t="shared" ref="H102:H106" si="44">+D102-F102</f>
        <v>0</v>
      </c>
      <c r="I102" s="605">
        <f t="array" ref="I102">_xll.DAC(DB,_xll.ArrayDPT($AA102:$AE102),_xll.ArrayCOA($AG102:$AZ102),YR-1,PRD,DD,_xll.ArrayDIM($BB102:$BE102))</f>
        <v>0</v>
      </c>
      <c r="J102" s="548"/>
      <c r="K102" s="245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  <c r="AA102" s="95"/>
      <c r="AB102" s="96"/>
      <c r="AC102" s="96"/>
      <c r="AD102" s="96"/>
      <c r="AE102" s="96"/>
      <c r="AF102" s="97"/>
      <c r="AG102" s="95"/>
      <c r="AH102" s="96"/>
      <c r="AI102" s="95"/>
      <c r="AJ102" s="96"/>
      <c r="AK102" s="95"/>
      <c r="AL102" s="96"/>
      <c r="AM102" s="95"/>
      <c r="AN102" s="98"/>
      <c r="AO102" s="96"/>
      <c r="AP102" s="96"/>
      <c r="AQ102" s="95"/>
      <c r="AR102" s="98"/>
      <c r="AS102" s="96"/>
      <c r="AT102" s="96"/>
      <c r="AU102" s="95"/>
      <c r="AV102" s="98"/>
      <c r="AW102" s="96"/>
      <c r="AX102" s="96"/>
      <c r="AY102" s="95"/>
      <c r="AZ102" s="98"/>
      <c r="BA102" s="99"/>
      <c r="BB102" s="95"/>
      <c r="BC102" s="96"/>
      <c r="BD102" s="96"/>
      <c r="BE102" s="98"/>
    </row>
    <row r="103" spans="1:57" ht="13.5" customHeight="1">
      <c r="A103" s="593" t="s">
        <v>1228</v>
      </c>
      <c r="B103" s="606">
        <f t="array" ref="B103">_xll.DAC(DB,_xll.ArrayDPT($AA103:$AE103),_xll.ArrayCOA($AG103:$AZ103),YR,PRD,DD,_xll.ArrayDIM($BB103:$BE103))</f>
        <v>0</v>
      </c>
      <c r="C103" s="575"/>
      <c r="D103" s="606">
        <f t="array" ref="D103">_xll.PTD(DB,_xll.ArrayDPT($AA103:$AE103),_xll.ArrayCOA($AG103:$AZ103),YR,PRD,DD,_xll.ArrayDIM($BB103:$BE103))</f>
        <v>0</v>
      </c>
      <c r="E103" s="575"/>
      <c r="F103" s="606">
        <f t="array" ref="F103">_xll.PTDBG(DB,_xll.ArrayDPT($AA103:$AE103),_xll.ArrayCOA($AG103:$AZ103),YR,PRD,DD,RV,_xll.ArrayDIM($BB103:$BE103))</f>
        <v>0</v>
      </c>
      <c r="G103" s="575"/>
      <c r="H103" s="606">
        <f t="shared" si="44"/>
        <v>0</v>
      </c>
      <c r="I103" s="606">
        <f t="array" ref="I103">_xll.DAC(DB,_xll.ArrayDPT($AA103:$AE103),_xll.ArrayCOA($AG103:$AZ103),YR-1,PRD,DD,_xll.ArrayDIM($BB103:$BE103))</f>
        <v>0</v>
      </c>
      <c r="J103" s="575"/>
      <c r="K103" s="489"/>
      <c r="L103" s="489"/>
      <c r="M103" s="489"/>
      <c r="N103" s="489"/>
      <c r="O103" s="489"/>
      <c r="P103" s="489"/>
      <c r="Q103" s="489"/>
      <c r="R103" s="489"/>
      <c r="S103" s="489"/>
      <c r="T103" s="489"/>
      <c r="U103" s="489"/>
      <c r="V103" s="489"/>
      <c r="W103" s="489"/>
      <c r="X103" s="489"/>
      <c r="Y103" s="489"/>
      <c r="Z103" s="489"/>
      <c r="AA103" s="95"/>
      <c r="AB103" s="96"/>
      <c r="AC103" s="96"/>
      <c r="AD103" s="96"/>
      <c r="AE103" s="96"/>
      <c r="AF103" s="97"/>
      <c r="AG103" s="95"/>
      <c r="AH103" s="96"/>
      <c r="AI103" s="95"/>
      <c r="AJ103" s="96"/>
      <c r="AK103" s="95"/>
      <c r="AL103" s="96"/>
      <c r="AM103" s="95"/>
      <c r="AN103" s="98"/>
      <c r="AO103" s="96"/>
      <c r="AP103" s="96"/>
      <c r="AQ103" s="95"/>
      <c r="AR103" s="98"/>
      <c r="AS103" s="96"/>
      <c r="AT103" s="96"/>
      <c r="AU103" s="95"/>
      <c r="AV103" s="98"/>
      <c r="AW103" s="96"/>
      <c r="AX103" s="96"/>
      <c r="AY103" s="95"/>
      <c r="AZ103" s="98"/>
      <c r="BA103" s="99"/>
      <c r="BB103" s="95"/>
      <c r="BC103" s="96"/>
      <c r="BD103" s="96"/>
      <c r="BE103" s="98"/>
    </row>
    <row r="104" spans="1:57" ht="13.5" customHeight="1">
      <c r="A104" s="593" t="s">
        <v>1229</v>
      </c>
      <c r="B104" s="593">
        <f t="array" ref="B104">_xll.DAC(DB,_xll.ArrayDPT($AA104:$AE104),_xll.ArrayCOA($AG104:$AZ104),YR,PRD,DD,_xll.ArrayDIM($BB104:$BE104))</f>
        <v>0</v>
      </c>
      <c r="C104" s="480"/>
      <c r="D104" s="593">
        <f t="array" ref="D104">_xll.PTD(DB,_xll.ArrayDPT($AA104:$AE104),_xll.ArrayCOA($AG104:$AZ104),YR,PRD,DD,_xll.ArrayDIM($BB104:$BE104))</f>
        <v>0</v>
      </c>
      <c r="E104" s="480"/>
      <c r="F104" s="593">
        <f t="array" ref="F104">_xll.PTDBG(DB,_xll.ArrayDPT($AA104:$AE104),_xll.ArrayCOA($AG104:$AZ104),YR,PRD,DD,RV,_xll.ArrayDIM($BB104:$BE104))</f>
        <v>0</v>
      </c>
      <c r="G104" s="480"/>
      <c r="H104" s="593">
        <f t="shared" si="44"/>
        <v>0</v>
      </c>
      <c r="I104" s="593">
        <f t="array" ref="I104">_xll.DAC(DB,_xll.ArrayDPT($AA104:$AE104),_xll.ArrayCOA($AG104:$AZ104),YR-1,PRD,DD,_xll.ArrayDIM($BB104:$BE104))</f>
        <v>0</v>
      </c>
      <c r="J104" s="480"/>
      <c r="K104" s="245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  <c r="AA104" s="95"/>
      <c r="AB104" s="96"/>
      <c r="AC104" s="96"/>
      <c r="AD104" s="96"/>
      <c r="AE104" s="96"/>
      <c r="AF104" s="97"/>
      <c r="AG104" s="95"/>
      <c r="AH104" s="96"/>
      <c r="AI104" s="95"/>
      <c r="AJ104" s="96"/>
      <c r="AK104" s="95"/>
      <c r="AL104" s="96"/>
      <c r="AM104" s="95"/>
      <c r="AN104" s="98"/>
      <c r="AO104" s="96"/>
      <c r="AP104" s="96"/>
      <c r="AQ104" s="95"/>
      <c r="AR104" s="98"/>
      <c r="AS104" s="96"/>
      <c r="AT104" s="96"/>
      <c r="AU104" s="95"/>
      <c r="AV104" s="98"/>
      <c r="AW104" s="96"/>
      <c r="AX104" s="96"/>
      <c r="AY104" s="95"/>
      <c r="AZ104" s="98"/>
      <c r="BA104" s="99"/>
      <c r="BB104" s="95"/>
      <c r="BC104" s="96"/>
      <c r="BD104" s="96"/>
      <c r="BE104" s="98"/>
    </row>
    <row r="105" spans="1:57" ht="13.5" customHeight="1">
      <c r="A105" s="593" t="s">
        <v>1230</v>
      </c>
      <c r="B105" s="593">
        <f t="array" ref="B105">_xll.DAC(DB,_xll.ArrayDPT($AA105:$AE105),_xll.ArrayCOA($AG105:$AZ105),YR,PRD,DD,_xll.ArrayDIM($BB105:$BE105))</f>
        <v>0</v>
      </c>
      <c r="C105" s="480"/>
      <c r="D105" s="593">
        <f t="array" ref="D105">_xll.PTD(DB,_xll.ArrayDPT($AA105:$AE105),_xll.ArrayCOA($AG105:$AZ105),YR,PRD,DD,_xll.ArrayDIM($BB105:$BE105))</f>
        <v>0</v>
      </c>
      <c r="E105" s="480"/>
      <c r="F105" s="593">
        <f t="array" ref="F105">_xll.PTDBG(DB,_xll.ArrayDPT($AA105:$AE105),_xll.ArrayCOA($AG105:$AZ105),YR,PRD,DD,RV,_xll.ArrayDIM($BB105:$BE105))</f>
        <v>0</v>
      </c>
      <c r="G105" s="480"/>
      <c r="H105" s="593">
        <f t="shared" si="44"/>
        <v>0</v>
      </c>
      <c r="I105" s="593">
        <f t="array" ref="I105">_xll.DAC(DB,_xll.ArrayDPT($AA105:$AE105),_xll.ArrayCOA($AG105:$AZ105),YR-1,PRD,DD,_xll.ArrayDIM($BB105:$BE105))</f>
        <v>0</v>
      </c>
      <c r="J105" s="480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  <c r="AA105" s="95"/>
      <c r="AB105" s="96"/>
      <c r="AC105" s="96"/>
      <c r="AD105" s="96"/>
      <c r="AE105" s="96"/>
      <c r="AF105" s="97"/>
      <c r="AG105" s="95"/>
      <c r="AH105" s="96"/>
      <c r="AI105" s="95"/>
      <c r="AJ105" s="96"/>
      <c r="AK105" s="95"/>
      <c r="AL105" s="96"/>
      <c r="AM105" s="95"/>
      <c r="AN105" s="98"/>
      <c r="AO105" s="96"/>
      <c r="AP105" s="96"/>
      <c r="AQ105" s="95"/>
      <c r="AR105" s="98"/>
      <c r="AS105" s="96"/>
      <c r="AT105" s="96"/>
      <c r="AU105" s="95"/>
      <c r="AV105" s="98"/>
      <c r="AW105" s="96"/>
      <c r="AX105" s="96"/>
      <c r="AY105" s="95"/>
      <c r="AZ105" s="98"/>
      <c r="BA105" s="99"/>
      <c r="BB105" s="95"/>
      <c r="BC105" s="96"/>
      <c r="BD105" s="96"/>
      <c r="BE105" s="98"/>
    </row>
    <row r="106" spans="1:57" ht="13.5" customHeight="1">
      <c r="A106" s="607" t="s">
        <v>1231</v>
      </c>
      <c r="B106" s="607">
        <f t="array" ref="B106">_xll.DAC(DB,_xll.ArrayDPT($AA106:$AE106),_xll.ArrayCOA($AG106:$AZ106),YR,PRD,DD,_xll.ArrayDIM($BB106:$BE106))</f>
        <v>0</v>
      </c>
      <c r="C106" s="484"/>
      <c r="D106" s="607">
        <f t="array" ref="D106">_xll.PTD(DB,_xll.ArrayDPT($AA106:$AE106),_xll.ArrayCOA($AG106:$AZ106),YR,PRD,DD,_xll.ArrayDIM($BB106:$BE106))</f>
        <v>0</v>
      </c>
      <c r="E106" s="484"/>
      <c r="F106" s="607">
        <f t="array" ref="F106">_xll.PTDBG(DB,_xll.ArrayDPT($AA106:$AE106),_xll.ArrayCOA($AG106:$AZ106),YR,PRD,DD,RV,_xll.ArrayDIM($BB106:$BE106))</f>
        <v>0</v>
      </c>
      <c r="G106" s="484"/>
      <c r="H106" s="607">
        <f t="shared" si="44"/>
        <v>0</v>
      </c>
      <c r="I106" s="607">
        <f t="array" ref="I106">_xll.DAC(DB,_xll.ArrayDPT($AA106:$AE106),_xll.ArrayCOA($AG106:$AZ106),YR-1,PRD,DD,_xll.ArrayDIM($BB106:$BE106))</f>
        <v>0</v>
      </c>
      <c r="J106" s="484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  <c r="AA106" s="95"/>
      <c r="AB106" s="96"/>
      <c r="AC106" s="96"/>
      <c r="AD106" s="96"/>
      <c r="AE106" s="96"/>
      <c r="AF106" s="97"/>
      <c r="AG106" s="95"/>
      <c r="AH106" s="96"/>
      <c r="AI106" s="95"/>
      <c r="AJ106" s="96"/>
      <c r="AK106" s="95"/>
      <c r="AL106" s="96"/>
      <c r="AM106" s="95"/>
      <c r="AN106" s="98"/>
      <c r="AO106" s="96"/>
      <c r="AP106" s="96"/>
      <c r="AQ106" s="95"/>
      <c r="AR106" s="98"/>
      <c r="AS106" s="96"/>
      <c r="AT106" s="96"/>
      <c r="AU106" s="95"/>
      <c r="AV106" s="98"/>
      <c r="AW106" s="96"/>
      <c r="AX106" s="96"/>
      <c r="AY106" s="95"/>
      <c r="AZ106" s="98"/>
      <c r="BA106" s="99"/>
      <c r="BB106" s="95"/>
      <c r="BC106" s="96"/>
      <c r="BD106" s="96"/>
      <c r="BE106" s="98"/>
    </row>
    <row r="107" spans="1:57" ht="13.5" customHeight="1">
      <c r="A107" s="608" t="s">
        <v>1232</v>
      </c>
      <c r="B107" s="608">
        <f>SUM(B103:B106)</f>
        <v>0</v>
      </c>
      <c r="C107" s="492"/>
      <c r="D107" s="608">
        <f>SUM(D103:D106)</f>
        <v>0</v>
      </c>
      <c r="E107" s="492"/>
      <c r="F107" s="608">
        <f>SUM(F103:F106)</f>
        <v>0</v>
      </c>
      <c r="G107" s="492"/>
      <c r="H107" s="608">
        <f t="shared" ref="H107:I107" si="45">SUM(H103:H106)</f>
        <v>0</v>
      </c>
      <c r="I107" s="608">
        <f t="shared" si="45"/>
        <v>0</v>
      </c>
      <c r="J107" s="492"/>
      <c r="K107" s="245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  <c r="AA107" s="95"/>
      <c r="AB107" s="96"/>
      <c r="AC107" s="96"/>
      <c r="AD107" s="96"/>
      <c r="AE107" s="96"/>
      <c r="AF107" s="97"/>
      <c r="AG107" s="95"/>
      <c r="AH107" s="96"/>
      <c r="AI107" s="95"/>
      <c r="AJ107" s="96"/>
      <c r="AK107" s="95"/>
      <c r="AL107" s="96"/>
      <c r="AM107" s="95"/>
      <c r="AN107" s="98"/>
      <c r="AO107" s="96"/>
      <c r="AP107" s="96"/>
      <c r="AQ107" s="95"/>
      <c r="AR107" s="98"/>
      <c r="AS107" s="96"/>
      <c r="AT107" s="96"/>
      <c r="AU107" s="95"/>
      <c r="AV107" s="98"/>
      <c r="AW107" s="96"/>
      <c r="AX107" s="96"/>
      <c r="AY107" s="95"/>
      <c r="AZ107" s="98"/>
      <c r="BA107" s="99"/>
      <c r="BB107" s="95"/>
      <c r="BC107" s="96"/>
      <c r="BD107" s="96"/>
      <c r="BE107" s="98"/>
    </row>
    <row r="108" spans="1:57" ht="13.5" customHeight="1">
      <c r="A108" s="609" t="s">
        <v>1233</v>
      </c>
      <c r="B108" s="608">
        <f t="array" ref="B108">_xll.DAC(DB,_xll.ArrayDPT($AA108:$AE108),_xll.ArrayCOA($AG108:$AZ108),YR,PRD,DD,_xll.ArrayDIM($BB108:$BE108))</f>
        <v>0</v>
      </c>
      <c r="C108" s="492"/>
      <c r="D108" s="608"/>
      <c r="E108" s="492"/>
      <c r="F108" s="608"/>
      <c r="G108" s="492"/>
      <c r="H108" s="608"/>
      <c r="I108" s="608"/>
      <c r="J108" s="492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  <c r="AA108" s="95"/>
      <c r="AB108" s="96"/>
      <c r="AC108" s="96"/>
      <c r="AD108" s="96"/>
      <c r="AE108" s="96"/>
      <c r="AF108" s="97"/>
      <c r="AG108" s="95"/>
      <c r="AH108" s="96"/>
      <c r="AI108" s="95"/>
      <c r="AJ108" s="96"/>
      <c r="AK108" s="95"/>
      <c r="AL108" s="96"/>
      <c r="AM108" s="95"/>
      <c r="AN108" s="98"/>
      <c r="AO108" s="96"/>
      <c r="AP108" s="96"/>
      <c r="AQ108" s="95"/>
      <c r="AR108" s="98"/>
      <c r="AS108" s="96"/>
      <c r="AT108" s="96"/>
      <c r="AU108" s="95"/>
      <c r="AV108" s="98"/>
      <c r="AW108" s="96"/>
      <c r="AX108" s="96"/>
      <c r="AY108" s="95"/>
      <c r="AZ108" s="98"/>
      <c r="BA108" s="99"/>
      <c r="BB108" s="95"/>
      <c r="BC108" s="96"/>
      <c r="BD108" s="96"/>
      <c r="BE108" s="98"/>
    </row>
    <row r="109" spans="1:57" ht="13.5" customHeight="1">
      <c r="A109" s="608"/>
      <c r="B109" s="608"/>
      <c r="C109" s="492"/>
      <c r="D109" s="608">
        <f t="shared" ref="D109:D110" si="46">+B109</f>
        <v>0</v>
      </c>
      <c r="E109" s="492"/>
      <c r="F109" s="608"/>
      <c r="G109" s="492"/>
      <c r="H109" s="608"/>
      <c r="I109" s="608"/>
      <c r="J109" s="492"/>
      <c r="K109" s="245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  <c r="AA109" s="95"/>
      <c r="AB109" s="96"/>
      <c r="AC109" s="96"/>
      <c r="AD109" s="96"/>
      <c r="AE109" s="96"/>
      <c r="AF109" s="97"/>
      <c r="AG109" s="95"/>
      <c r="AH109" s="96"/>
      <c r="AI109" s="95"/>
      <c r="AJ109" s="96"/>
      <c r="AK109" s="95"/>
      <c r="AL109" s="96"/>
      <c r="AM109" s="95"/>
      <c r="AN109" s="98"/>
      <c r="AO109" s="96"/>
      <c r="AP109" s="96"/>
      <c r="AQ109" s="95"/>
      <c r="AR109" s="98"/>
      <c r="AS109" s="96"/>
      <c r="AT109" s="96"/>
      <c r="AU109" s="95"/>
      <c r="AV109" s="98"/>
      <c r="AW109" s="96"/>
      <c r="AX109" s="96"/>
      <c r="AY109" s="95"/>
      <c r="AZ109" s="98"/>
      <c r="BA109" s="99"/>
      <c r="BB109" s="95"/>
      <c r="BC109" s="96"/>
      <c r="BD109" s="96"/>
      <c r="BE109" s="98"/>
    </row>
    <row r="110" spans="1:57" ht="13.5" customHeight="1">
      <c r="A110" s="608"/>
      <c r="B110" s="608" t="s">
        <v>1234</v>
      </c>
      <c r="C110" s="492"/>
      <c r="D110" s="608" t="str">
        <f t="shared" si="46"/>
        <v>-</v>
      </c>
      <c r="E110" s="492"/>
      <c r="F110" s="608"/>
      <c r="G110" s="492"/>
      <c r="H110" s="608"/>
      <c r="I110" s="608"/>
      <c r="J110" s="492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  <c r="AA110" s="95"/>
      <c r="AB110" s="96"/>
      <c r="AC110" s="96"/>
      <c r="AD110" s="96"/>
      <c r="AE110" s="96"/>
      <c r="AF110" s="97"/>
      <c r="AG110" s="95"/>
      <c r="AH110" s="96"/>
      <c r="AI110" s="95"/>
      <c r="AJ110" s="96"/>
      <c r="AK110" s="95"/>
      <c r="AL110" s="96"/>
      <c r="AM110" s="95"/>
      <c r="AN110" s="98"/>
      <c r="AO110" s="96"/>
      <c r="AP110" s="96"/>
      <c r="AQ110" s="95"/>
      <c r="AR110" s="98"/>
      <c r="AS110" s="96"/>
      <c r="AT110" s="96"/>
      <c r="AU110" s="95"/>
      <c r="AV110" s="98"/>
      <c r="AW110" s="96"/>
      <c r="AX110" s="96"/>
      <c r="AY110" s="95"/>
      <c r="AZ110" s="98"/>
      <c r="BA110" s="99"/>
      <c r="BB110" s="95"/>
      <c r="BC110" s="96"/>
      <c r="BD110" s="96"/>
      <c r="BE110" s="98"/>
    </row>
    <row r="111" spans="1:57" ht="13.5" customHeight="1">
      <c r="A111" s="245"/>
      <c r="B111" s="245"/>
      <c r="C111" s="504"/>
      <c r="D111" s="245"/>
      <c r="E111" s="504"/>
      <c r="F111" s="245"/>
      <c r="G111" s="504"/>
      <c r="H111" s="245"/>
      <c r="I111" s="245"/>
      <c r="J111" s="504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</row>
    <row r="112" spans="1:57" ht="13.5" customHeight="1">
      <c r="A112" s="245"/>
      <c r="B112" s="245"/>
      <c r="C112" s="504"/>
      <c r="D112" s="245"/>
      <c r="E112" s="504"/>
      <c r="F112" s="245"/>
      <c r="G112" s="504"/>
      <c r="H112" s="245"/>
      <c r="I112" s="245"/>
      <c r="J112" s="504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</row>
    <row r="113" spans="1:26" ht="13.5" customHeight="1">
      <c r="A113" s="245"/>
      <c r="B113" s="245"/>
      <c r="C113" s="504"/>
      <c r="D113" s="245"/>
      <c r="E113" s="504"/>
      <c r="F113" s="245"/>
      <c r="G113" s="504"/>
      <c r="H113" s="245"/>
      <c r="I113" s="245"/>
      <c r="J113" s="504"/>
      <c r="K113" s="245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</row>
    <row r="114" spans="1:26" ht="13.5" customHeight="1">
      <c r="A114" s="245"/>
      <c r="B114" s="245"/>
      <c r="C114" s="504"/>
      <c r="D114" s="245"/>
      <c r="E114" s="504"/>
      <c r="F114" s="245"/>
      <c r="G114" s="504"/>
      <c r="H114" s="245"/>
      <c r="I114" s="245"/>
      <c r="J114" s="504"/>
      <c r="K114" s="245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</row>
    <row r="115" spans="1:26" ht="13.5" customHeight="1">
      <c r="A115" s="245"/>
      <c r="B115" s="245"/>
      <c r="C115" s="504"/>
      <c r="D115" s="245"/>
      <c r="E115" s="504"/>
      <c r="F115" s="245"/>
      <c r="G115" s="504"/>
      <c r="H115" s="245"/>
      <c r="I115" s="245"/>
      <c r="J115" s="504"/>
      <c r="K115" s="245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</row>
    <row r="116" spans="1:26" ht="13.5" customHeight="1">
      <c r="A116" s="245"/>
      <c r="B116" s="245"/>
      <c r="C116" s="504"/>
      <c r="D116" s="245"/>
      <c r="E116" s="504"/>
      <c r="F116" s="245"/>
      <c r="G116" s="504"/>
      <c r="H116" s="245"/>
      <c r="I116" s="245"/>
      <c r="J116" s="504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</row>
    <row r="117" spans="1:26" ht="13.5" customHeight="1">
      <c r="A117" s="245"/>
      <c r="B117" s="245"/>
      <c r="C117" s="504"/>
      <c r="D117" s="245"/>
      <c r="E117" s="504"/>
      <c r="F117" s="245"/>
      <c r="G117" s="504"/>
      <c r="H117" s="245"/>
      <c r="I117" s="245"/>
      <c r="J117" s="504"/>
      <c r="K117" s="245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</row>
    <row r="118" spans="1:26" ht="13.5" customHeight="1">
      <c r="A118" s="245"/>
      <c r="B118" s="245"/>
      <c r="C118" s="504"/>
      <c r="D118" s="245"/>
      <c r="E118" s="504"/>
      <c r="F118" s="245"/>
      <c r="G118" s="504"/>
      <c r="H118" s="245"/>
      <c r="I118" s="245"/>
      <c r="J118" s="504"/>
      <c r="K118" s="245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</row>
    <row r="119" spans="1:26" ht="13.5" customHeight="1">
      <c r="A119" s="245"/>
      <c r="B119" s="245"/>
      <c r="C119" s="504"/>
      <c r="D119" s="245"/>
      <c r="E119" s="504"/>
      <c r="F119" s="245"/>
      <c r="G119" s="504"/>
      <c r="H119" s="245"/>
      <c r="I119" s="245"/>
      <c r="J119" s="504"/>
      <c r="K119" s="245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</row>
    <row r="120" spans="1:26" ht="13.5" customHeight="1">
      <c r="A120" s="245"/>
      <c r="B120" s="245"/>
      <c r="C120" s="504"/>
      <c r="D120" s="245"/>
      <c r="E120" s="504"/>
      <c r="F120" s="245"/>
      <c r="G120" s="504"/>
      <c r="H120" s="245"/>
      <c r="I120" s="245"/>
      <c r="J120" s="504"/>
      <c r="K120" s="245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</row>
    <row r="121" spans="1:26" ht="13.5" customHeight="1">
      <c r="A121" s="245"/>
      <c r="B121" s="245"/>
      <c r="C121" s="504"/>
      <c r="D121" s="245"/>
      <c r="E121" s="504"/>
      <c r="F121" s="245"/>
      <c r="G121" s="504"/>
      <c r="H121" s="245"/>
      <c r="I121" s="245"/>
      <c r="J121" s="504"/>
      <c r="K121" s="245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</row>
    <row r="122" spans="1:26" ht="13.5" customHeight="1">
      <c r="A122" s="245"/>
      <c r="B122" s="245"/>
      <c r="C122" s="504"/>
      <c r="D122" s="245"/>
      <c r="E122" s="504"/>
      <c r="F122" s="245"/>
      <c r="G122" s="504"/>
      <c r="H122" s="245"/>
      <c r="I122" s="245"/>
      <c r="J122" s="504"/>
      <c r="K122" s="245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</row>
    <row r="123" spans="1:26" ht="13.5" customHeight="1">
      <c r="A123" s="245"/>
      <c r="B123" s="245"/>
      <c r="C123" s="504"/>
      <c r="D123" s="245"/>
      <c r="E123" s="504"/>
      <c r="F123" s="245"/>
      <c r="G123" s="504"/>
      <c r="H123" s="245"/>
      <c r="I123" s="245"/>
      <c r="J123" s="504"/>
      <c r="K123" s="245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</row>
    <row r="124" spans="1:26" ht="13.5" customHeight="1">
      <c r="A124" s="245"/>
      <c r="B124" s="245"/>
      <c r="C124" s="504"/>
      <c r="D124" s="245"/>
      <c r="E124" s="504"/>
      <c r="F124" s="245"/>
      <c r="G124" s="504"/>
      <c r="H124" s="245"/>
      <c r="I124" s="245"/>
      <c r="J124" s="504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</row>
    <row r="125" spans="1:26" ht="13.5" customHeight="1">
      <c r="A125" s="245"/>
      <c r="B125" s="245"/>
      <c r="C125" s="504"/>
      <c r="D125" s="245"/>
      <c r="E125" s="504"/>
      <c r="F125" s="245"/>
      <c r="G125" s="504"/>
      <c r="H125" s="245"/>
      <c r="I125" s="245"/>
      <c r="J125" s="504"/>
      <c r="K125" s="245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</row>
    <row r="126" spans="1:26" ht="13.5" customHeight="1">
      <c r="A126" s="245"/>
      <c r="B126" s="245"/>
      <c r="C126" s="504"/>
      <c r="D126" s="245"/>
      <c r="E126" s="504"/>
      <c r="F126" s="245"/>
      <c r="G126" s="504"/>
      <c r="H126" s="245"/>
      <c r="I126" s="245"/>
      <c r="J126" s="504"/>
      <c r="K126" s="245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</row>
    <row r="127" spans="1:26" ht="13.5" customHeight="1">
      <c r="A127" s="245"/>
      <c r="B127" s="245"/>
      <c r="C127" s="504"/>
      <c r="D127" s="245"/>
      <c r="E127" s="504"/>
      <c r="F127" s="245"/>
      <c r="G127" s="504"/>
      <c r="H127" s="245"/>
      <c r="I127" s="245"/>
      <c r="J127" s="504"/>
      <c r="K127" s="245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</row>
    <row r="128" spans="1:26" ht="13.5" customHeight="1">
      <c r="A128" s="245"/>
      <c r="B128" s="245"/>
      <c r="C128" s="504"/>
      <c r="D128" s="245"/>
      <c r="E128" s="504"/>
      <c r="F128" s="245"/>
      <c r="G128" s="504"/>
      <c r="H128" s="245"/>
      <c r="I128" s="245"/>
      <c r="J128" s="504"/>
      <c r="K128" s="245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</row>
    <row r="129" spans="1:26" ht="13.5" customHeight="1">
      <c r="A129" s="245"/>
      <c r="B129" s="245"/>
      <c r="C129" s="504"/>
      <c r="D129" s="245"/>
      <c r="E129" s="504"/>
      <c r="F129" s="245"/>
      <c r="G129" s="504"/>
      <c r="H129" s="245"/>
      <c r="I129" s="245"/>
      <c r="J129" s="504"/>
      <c r="K129" s="245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</row>
    <row r="130" spans="1:26" ht="13.5" customHeight="1">
      <c r="A130" s="245"/>
      <c r="B130" s="245"/>
      <c r="C130" s="504"/>
      <c r="D130" s="245"/>
      <c r="E130" s="504"/>
      <c r="F130" s="245"/>
      <c r="G130" s="504"/>
      <c r="H130" s="245"/>
      <c r="I130" s="245"/>
      <c r="J130" s="504"/>
      <c r="K130" s="245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</row>
    <row r="131" spans="1:26" ht="13.5" customHeight="1">
      <c r="A131" s="245"/>
      <c r="B131" s="245"/>
      <c r="C131" s="504"/>
      <c r="D131" s="245"/>
      <c r="E131" s="504"/>
      <c r="F131" s="245"/>
      <c r="G131" s="504"/>
      <c r="H131" s="245"/>
      <c r="I131" s="245"/>
      <c r="J131" s="504"/>
      <c r="K131" s="245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</row>
    <row r="132" spans="1:26" ht="13.5" customHeight="1">
      <c r="A132" s="245"/>
      <c r="B132" s="245"/>
      <c r="C132" s="504"/>
      <c r="D132" s="245"/>
      <c r="E132" s="504"/>
      <c r="F132" s="245"/>
      <c r="G132" s="504"/>
      <c r="H132" s="245"/>
      <c r="I132" s="245"/>
      <c r="J132" s="504"/>
      <c r="K132" s="245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</row>
    <row r="133" spans="1:26" ht="13.5" customHeight="1">
      <c r="A133" s="245"/>
      <c r="B133" s="245"/>
      <c r="C133" s="504"/>
      <c r="D133" s="245"/>
      <c r="E133" s="504"/>
      <c r="F133" s="245"/>
      <c r="G133" s="504"/>
      <c r="H133" s="245"/>
      <c r="I133" s="245"/>
      <c r="J133" s="504"/>
      <c r="K133" s="245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</row>
    <row r="134" spans="1:26" ht="13.5" customHeight="1">
      <c r="A134" s="245"/>
      <c r="B134" s="245"/>
      <c r="C134" s="504"/>
      <c r="D134" s="245"/>
      <c r="E134" s="504"/>
      <c r="F134" s="245"/>
      <c r="G134" s="504"/>
      <c r="H134" s="245"/>
      <c r="I134" s="245"/>
      <c r="J134" s="504"/>
      <c r="K134" s="245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</row>
    <row r="135" spans="1:26" ht="13.5" customHeight="1">
      <c r="A135" s="245"/>
      <c r="B135" s="245"/>
      <c r="C135" s="504"/>
      <c r="D135" s="245"/>
      <c r="E135" s="504"/>
      <c r="F135" s="245"/>
      <c r="G135" s="504"/>
      <c r="H135" s="245"/>
      <c r="I135" s="245"/>
      <c r="J135" s="504"/>
      <c r="K135" s="245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</row>
    <row r="136" spans="1:26" ht="13.5" customHeight="1">
      <c r="A136" s="245"/>
      <c r="B136" s="245"/>
      <c r="C136" s="504"/>
      <c r="D136" s="245"/>
      <c r="E136" s="504"/>
      <c r="F136" s="245"/>
      <c r="G136" s="504"/>
      <c r="H136" s="245"/>
      <c r="I136" s="245"/>
      <c r="J136" s="504"/>
      <c r="K136" s="245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</row>
    <row r="137" spans="1:26" ht="13.5" customHeight="1">
      <c r="A137" s="245"/>
      <c r="B137" s="245"/>
      <c r="C137" s="504"/>
      <c r="D137" s="245"/>
      <c r="E137" s="504"/>
      <c r="F137" s="245"/>
      <c r="G137" s="504"/>
      <c r="H137" s="245"/>
      <c r="I137" s="245"/>
      <c r="J137" s="504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</row>
    <row r="138" spans="1:26" ht="13.5" customHeight="1">
      <c r="A138" s="245"/>
      <c r="B138" s="245"/>
      <c r="C138" s="504"/>
      <c r="D138" s="245"/>
      <c r="E138" s="504"/>
      <c r="F138" s="245"/>
      <c r="G138" s="504"/>
      <c r="H138" s="245"/>
      <c r="I138" s="245"/>
      <c r="J138" s="504"/>
      <c r="K138" s="245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</row>
    <row r="139" spans="1:26" ht="13.5" customHeight="1">
      <c r="A139" s="245"/>
      <c r="B139" s="245"/>
      <c r="C139" s="504"/>
      <c r="D139" s="245"/>
      <c r="E139" s="504"/>
      <c r="F139" s="245"/>
      <c r="G139" s="504"/>
      <c r="H139" s="245"/>
      <c r="I139" s="245"/>
      <c r="J139" s="504"/>
      <c r="K139" s="245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</row>
    <row r="140" spans="1:26" ht="13.5" customHeight="1">
      <c r="A140" s="245"/>
      <c r="B140" s="245"/>
      <c r="C140" s="504"/>
      <c r="D140" s="245"/>
      <c r="E140" s="504"/>
      <c r="F140" s="245"/>
      <c r="G140" s="504"/>
      <c r="H140" s="245"/>
      <c r="I140" s="245"/>
      <c r="J140" s="504"/>
      <c r="K140" s="245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</row>
    <row r="141" spans="1:26" ht="13.5" customHeight="1">
      <c r="A141" s="245"/>
      <c r="B141" s="245"/>
      <c r="C141" s="504"/>
      <c r="D141" s="245"/>
      <c r="E141" s="504"/>
      <c r="F141" s="245"/>
      <c r="G141" s="504"/>
      <c r="H141" s="245"/>
      <c r="I141" s="245"/>
      <c r="J141" s="504"/>
      <c r="K141" s="245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</row>
    <row r="142" spans="1:26" ht="13.5" customHeight="1">
      <c r="A142" s="245"/>
      <c r="B142" s="245"/>
      <c r="C142" s="504"/>
      <c r="D142" s="245"/>
      <c r="E142" s="504"/>
      <c r="F142" s="245"/>
      <c r="G142" s="504"/>
      <c r="H142" s="245"/>
      <c r="I142" s="245"/>
      <c r="J142" s="504"/>
      <c r="K142" s="245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</row>
    <row r="143" spans="1:26" ht="13.5" customHeight="1">
      <c r="A143" s="245"/>
      <c r="B143" s="245"/>
      <c r="C143" s="504"/>
      <c r="D143" s="245"/>
      <c r="E143" s="504"/>
      <c r="F143" s="245"/>
      <c r="G143" s="504"/>
      <c r="H143" s="245"/>
      <c r="I143" s="245"/>
      <c r="J143" s="504"/>
      <c r="K143" s="245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</row>
    <row r="144" spans="1:26" ht="13.5" customHeight="1">
      <c r="A144" s="245"/>
      <c r="B144" s="245"/>
      <c r="C144" s="504"/>
      <c r="D144" s="245"/>
      <c r="E144" s="504"/>
      <c r="F144" s="245"/>
      <c r="G144" s="504"/>
      <c r="H144" s="245"/>
      <c r="I144" s="245"/>
      <c r="J144" s="504"/>
      <c r="K144" s="245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</row>
    <row r="145" spans="1:26" ht="13.5" customHeight="1">
      <c r="A145" s="245"/>
      <c r="B145" s="245"/>
      <c r="C145" s="504"/>
      <c r="D145" s="245"/>
      <c r="E145" s="504"/>
      <c r="F145" s="245"/>
      <c r="G145" s="504"/>
      <c r="H145" s="245"/>
      <c r="I145" s="245"/>
      <c r="J145" s="504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</row>
    <row r="146" spans="1:26" ht="13.5" customHeight="1">
      <c r="A146" s="245"/>
      <c r="B146" s="245"/>
      <c r="C146" s="504"/>
      <c r="D146" s="245"/>
      <c r="E146" s="504"/>
      <c r="F146" s="245"/>
      <c r="G146" s="504"/>
      <c r="H146" s="245"/>
      <c r="I146" s="245"/>
      <c r="J146" s="504"/>
      <c r="K146" s="245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</row>
    <row r="147" spans="1:26" ht="13.5" customHeight="1">
      <c r="A147" s="245"/>
      <c r="B147" s="245"/>
      <c r="C147" s="504"/>
      <c r="D147" s="245"/>
      <c r="E147" s="504"/>
      <c r="F147" s="245"/>
      <c r="G147" s="504"/>
      <c r="H147" s="245"/>
      <c r="I147" s="245"/>
      <c r="J147" s="504"/>
      <c r="K147" s="245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</row>
    <row r="148" spans="1:26" ht="13.5" customHeight="1">
      <c r="A148" s="245"/>
      <c r="B148" s="245"/>
      <c r="C148" s="504"/>
      <c r="D148" s="245"/>
      <c r="E148" s="504"/>
      <c r="F148" s="245"/>
      <c r="G148" s="504"/>
      <c r="H148" s="245"/>
      <c r="I148" s="245"/>
      <c r="J148" s="504"/>
      <c r="K148" s="245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</row>
    <row r="149" spans="1:26" ht="13.5" customHeight="1">
      <c r="A149" s="245"/>
      <c r="B149" s="245"/>
      <c r="C149" s="504"/>
      <c r="D149" s="245"/>
      <c r="E149" s="504"/>
      <c r="F149" s="245"/>
      <c r="G149" s="504"/>
      <c r="H149" s="245"/>
      <c r="I149" s="245"/>
      <c r="J149" s="504"/>
      <c r="K149" s="245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</row>
    <row r="150" spans="1:26" ht="13.5" customHeight="1">
      <c r="A150" s="245"/>
      <c r="B150" s="245"/>
      <c r="C150" s="504"/>
      <c r="D150" s="245"/>
      <c r="E150" s="504"/>
      <c r="F150" s="245"/>
      <c r="G150" s="504"/>
      <c r="H150" s="245"/>
      <c r="I150" s="245"/>
      <c r="J150" s="504"/>
      <c r="K150" s="245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</row>
    <row r="151" spans="1:26" ht="13.5" customHeight="1">
      <c r="A151" s="245"/>
      <c r="B151" s="245"/>
      <c r="C151" s="504"/>
      <c r="D151" s="245"/>
      <c r="E151" s="504"/>
      <c r="F151" s="245"/>
      <c r="G151" s="504"/>
      <c r="H151" s="245"/>
      <c r="I151" s="245"/>
      <c r="J151" s="504"/>
      <c r="K151" s="245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</row>
    <row r="152" spans="1:26" ht="13.5" customHeight="1">
      <c r="A152" s="245"/>
      <c r="B152" s="245"/>
      <c r="C152" s="504"/>
      <c r="D152" s="245"/>
      <c r="E152" s="504"/>
      <c r="F152" s="245"/>
      <c r="G152" s="504"/>
      <c r="H152" s="245"/>
      <c r="I152" s="245"/>
      <c r="J152" s="504"/>
      <c r="K152" s="245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</row>
    <row r="153" spans="1:26" ht="13.5" customHeight="1">
      <c r="A153" s="245"/>
      <c r="B153" s="245"/>
      <c r="C153" s="504"/>
      <c r="D153" s="245"/>
      <c r="E153" s="504"/>
      <c r="F153" s="245"/>
      <c r="G153" s="504"/>
      <c r="H153" s="245"/>
      <c r="I153" s="245"/>
      <c r="J153" s="504"/>
      <c r="K153" s="245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</row>
    <row r="154" spans="1:26" ht="13.5" customHeight="1">
      <c r="A154" s="245"/>
      <c r="B154" s="245"/>
      <c r="C154" s="504"/>
      <c r="D154" s="245"/>
      <c r="E154" s="504"/>
      <c r="F154" s="245"/>
      <c r="G154" s="504"/>
      <c r="H154" s="245"/>
      <c r="I154" s="245"/>
      <c r="J154" s="504"/>
      <c r="K154" s="245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</row>
    <row r="155" spans="1:26" ht="13.5" customHeight="1">
      <c r="A155" s="245"/>
      <c r="B155" s="245"/>
      <c r="C155" s="504"/>
      <c r="D155" s="245"/>
      <c r="E155" s="504"/>
      <c r="F155" s="245"/>
      <c r="G155" s="504"/>
      <c r="H155" s="245"/>
      <c r="I155" s="245"/>
      <c r="J155" s="504"/>
      <c r="K155" s="245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</row>
    <row r="156" spans="1:26" ht="13.5" customHeight="1">
      <c r="A156" s="245"/>
      <c r="B156" s="245"/>
      <c r="C156" s="504"/>
      <c r="D156" s="245"/>
      <c r="E156" s="504"/>
      <c r="F156" s="245"/>
      <c r="G156" s="504"/>
      <c r="H156" s="245"/>
      <c r="I156" s="245"/>
      <c r="J156" s="504"/>
      <c r="K156" s="245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</row>
    <row r="157" spans="1:26" ht="13.5" customHeight="1">
      <c r="A157" s="245"/>
      <c r="B157" s="245"/>
      <c r="C157" s="504"/>
      <c r="D157" s="245"/>
      <c r="E157" s="504"/>
      <c r="F157" s="245"/>
      <c r="G157" s="504"/>
      <c r="H157" s="245"/>
      <c r="I157" s="245"/>
      <c r="J157" s="504"/>
      <c r="K157" s="245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</row>
    <row r="158" spans="1:26" ht="13.5" customHeight="1">
      <c r="A158" s="245"/>
      <c r="B158" s="245"/>
      <c r="C158" s="504"/>
      <c r="D158" s="245"/>
      <c r="E158" s="504"/>
      <c r="F158" s="245"/>
      <c r="G158" s="504"/>
      <c r="H158" s="245"/>
      <c r="I158" s="245"/>
      <c r="J158" s="504"/>
      <c r="K158" s="245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</row>
    <row r="159" spans="1:26" ht="13.5" customHeight="1">
      <c r="A159" s="245"/>
      <c r="B159" s="245"/>
      <c r="C159" s="504"/>
      <c r="D159" s="245"/>
      <c r="E159" s="504"/>
      <c r="F159" s="245"/>
      <c r="G159" s="504"/>
      <c r="H159" s="245"/>
      <c r="I159" s="245"/>
      <c r="J159" s="504"/>
      <c r="K159" s="245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</row>
    <row r="160" spans="1:26" ht="13.5" customHeight="1">
      <c r="A160" s="245"/>
      <c r="B160" s="245"/>
      <c r="C160" s="504"/>
      <c r="D160" s="245"/>
      <c r="E160" s="504"/>
      <c r="F160" s="245"/>
      <c r="G160" s="504"/>
      <c r="H160" s="245"/>
      <c r="I160" s="245"/>
      <c r="J160" s="504"/>
      <c r="K160" s="245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</row>
    <row r="161" spans="1:26" ht="13.5" customHeight="1">
      <c r="A161" s="245"/>
      <c r="B161" s="245"/>
      <c r="C161" s="504"/>
      <c r="D161" s="245"/>
      <c r="E161" s="504"/>
      <c r="F161" s="245"/>
      <c r="G161" s="504"/>
      <c r="H161" s="245"/>
      <c r="I161" s="245"/>
      <c r="J161" s="504"/>
      <c r="K161" s="245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</row>
    <row r="162" spans="1:26" ht="13.5" customHeight="1">
      <c r="A162" s="245"/>
      <c r="B162" s="245"/>
      <c r="C162" s="504"/>
      <c r="D162" s="245"/>
      <c r="E162" s="504"/>
      <c r="F162" s="245"/>
      <c r="G162" s="504"/>
      <c r="H162" s="245"/>
      <c r="I162" s="245"/>
      <c r="J162" s="504"/>
      <c r="K162" s="245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</row>
    <row r="163" spans="1:26" ht="13.5" customHeight="1">
      <c r="A163" s="245"/>
      <c r="B163" s="245"/>
      <c r="C163" s="504"/>
      <c r="D163" s="245"/>
      <c r="E163" s="504"/>
      <c r="F163" s="245"/>
      <c r="G163" s="504"/>
      <c r="H163" s="245"/>
      <c r="I163" s="245"/>
      <c r="J163" s="504"/>
      <c r="K163" s="245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</row>
    <row r="164" spans="1:26" ht="13.5" customHeight="1">
      <c r="A164" s="245"/>
      <c r="B164" s="245"/>
      <c r="C164" s="504"/>
      <c r="D164" s="245"/>
      <c r="E164" s="504"/>
      <c r="F164" s="245"/>
      <c r="G164" s="504"/>
      <c r="H164" s="245"/>
      <c r="I164" s="245"/>
      <c r="J164" s="504"/>
      <c r="K164" s="245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</row>
    <row r="165" spans="1:26" ht="13.5" customHeight="1">
      <c r="A165" s="245"/>
      <c r="B165" s="245"/>
      <c r="C165" s="504"/>
      <c r="D165" s="245"/>
      <c r="E165" s="504"/>
      <c r="F165" s="245"/>
      <c r="G165" s="504"/>
      <c r="H165" s="245"/>
      <c r="I165" s="245"/>
      <c r="J165" s="504"/>
      <c r="K165" s="245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</row>
    <row r="166" spans="1:26" ht="13.5" customHeight="1">
      <c r="A166" s="245"/>
      <c r="B166" s="245"/>
      <c r="C166" s="504"/>
      <c r="D166" s="245"/>
      <c r="E166" s="504"/>
      <c r="F166" s="245"/>
      <c r="G166" s="504"/>
      <c r="H166" s="245"/>
      <c r="I166" s="245"/>
      <c r="J166" s="504"/>
      <c r="K166" s="245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</row>
    <row r="167" spans="1:26" ht="13.5" customHeight="1">
      <c r="A167" s="245"/>
      <c r="B167" s="245"/>
      <c r="C167" s="504"/>
      <c r="D167" s="245"/>
      <c r="E167" s="504"/>
      <c r="F167" s="245"/>
      <c r="G167" s="504"/>
      <c r="H167" s="245"/>
      <c r="I167" s="245"/>
      <c r="J167" s="504"/>
      <c r="K167" s="245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</row>
    <row r="168" spans="1:26" ht="13.5" customHeight="1">
      <c r="A168" s="245"/>
      <c r="B168" s="245"/>
      <c r="C168" s="504"/>
      <c r="D168" s="245"/>
      <c r="E168" s="504"/>
      <c r="F168" s="245"/>
      <c r="G168" s="504"/>
      <c r="H168" s="245"/>
      <c r="I168" s="245"/>
      <c r="J168" s="504"/>
      <c r="K168" s="245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</row>
    <row r="169" spans="1:26" ht="13.5" customHeight="1">
      <c r="A169" s="245"/>
      <c r="B169" s="245"/>
      <c r="C169" s="504"/>
      <c r="D169" s="245"/>
      <c r="E169" s="504"/>
      <c r="F169" s="245"/>
      <c r="G169" s="504"/>
      <c r="H169" s="245"/>
      <c r="I169" s="245"/>
      <c r="J169" s="504"/>
      <c r="K169" s="245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</row>
    <row r="170" spans="1:26" ht="13.5" customHeight="1">
      <c r="A170" s="245"/>
      <c r="B170" s="245"/>
      <c r="C170" s="504"/>
      <c r="D170" s="245"/>
      <c r="E170" s="504"/>
      <c r="F170" s="245"/>
      <c r="G170" s="504"/>
      <c r="H170" s="245"/>
      <c r="I170" s="245"/>
      <c r="J170" s="504"/>
      <c r="K170" s="245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</row>
    <row r="171" spans="1:26" ht="13.5" customHeight="1">
      <c r="A171" s="245"/>
      <c r="B171" s="245"/>
      <c r="C171" s="504"/>
      <c r="D171" s="245"/>
      <c r="E171" s="504"/>
      <c r="F171" s="245"/>
      <c r="G171" s="504"/>
      <c r="H171" s="245"/>
      <c r="I171" s="245"/>
      <c r="J171" s="504"/>
      <c r="K171" s="245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</row>
    <row r="172" spans="1:26" ht="13.5" customHeight="1">
      <c r="A172" s="245"/>
      <c r="B172" s="245"/>
      <c r="C172" s="504"/>
      <c r="D172" s="245"/>
      <c r="E172" s="504"/>
      <c r="F172" s="245"/>
      <c r="G172" s="504"/>
      <c r="H172" s="245"/>
      <c r="I172" s="245"/>
      <c r="J172" s="504"/>
      <c r="K172" s="245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</row>
    <row r="173" spans="1:26" ht="13.5" customHeight="1">
      <c r="A173" s="245"/>
      <c r="B173" s="245"/>
      <c r="C173" s="504"/>
      <c r="D173" s="245"/>
      <c r="E173" s="504"/>
      <c r="F173" s="245"/>
      <c r="G173" s="504"/>
      <c r="H173" s="245"/>
      <c r="I173" s="245"/>
      <c r="J173" s="504"/>
      <c r="K173" s="245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</row>
    <row r="174" spans="1:26" ht="13.5" customHeight="1">
      <c r="A174" s="245"/>
      <c r="B174" s="245"/>
      <c r="C174" s="504"/>
      <c r="D174" s="245"/>
      <c r="E174" s="504"/>
      <c r="F174" s="245"/>
      <c r="G174" s="504"/>
      <c r="H174" s="245"/>
      <c r="I174" s="245"/>
      <c r="J174" s="504"/>
      <c r="K174" s="245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</row>
    <row r="175" spans="1:26" ht="13.5" customHeight="1">
      <c r="A175" s="245"/>
      <c r="B175" s="245"/>
      <c r="C175" s="504"/>
      <c r="D175" s="245"/>
      <c r="E175" s="504"/>
      <c r="F175" s="245"/>
      <c r="G175" s="504"/>
      <c r="H175" s="245"/>
      <c r="I175" s="245"/>
      <c r="J175" s="504"/>
      <c r="K175" s="245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</row>
    <row r="176" spans="1:26" ht="13.5" customHeight="1">
      <c r="A176" s="245"/>
      <c r="B176" s="245"/>
      <c r="C176" s="504"/>
      <c r="D176" s="245"/>
      <c r="E176" s="504"/>
      <c r="F176" s="245"/>
      <c r="G176" s="504"/>
      <c r="H176" s="245"/>
      <c r="I176" s="245"/>
      <c r="J176" s="504"/>
      <c r="K176" s="245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</row>
    <row r="177" spans="1:26" ht="13.5" customHeight="1">
      <c r="A177" s="245"/>
      <c r="B177" s="245"/>
      <c r="C177" s="504"/>
      <c r="D177" s="245"/>
      <c r="E177" s="504"/>
      <c r="F177" s="245"/>
      <c r="G177" s="504"/>
      <c r="H177" s="245"/>
      <c r="I177" s="245"/>
      <c r="J177" s="504"/>
      <c r="K177" s="245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</row>
    <row r="178" spans="1:26" ht="13.5" customHeight="1">
      <c r="A178" s="245"/>
      <c r="B178" s="245"/>
      <c r="C178" s="504"/>
      <c r="D178" s="245"/>
      <c r="E178" s="504"/>
      <c r="F178" s="245"/>
      <c r="G178" s="504"/>
      <c r="H178" s="245"/>
      <c r="I178" s="245"/>
      <c r="J178" s="504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</row>
    <row r="179" spans="1:26" ht="13.5" customHeight="1">
      <c r="A179" s="245"/>
      <c r="B179" s="245"/>
      <c r="C179" s="504"/>
      <c r="D179" s="245"/>
      <c r="E179" s="504"/>
      <c r="F179" s="245"/>
      <c r="G179" s="504"/>
      <c r="H179" s="245"/>
      <c r="I179" s="245"/>
      <c r="J179" s="504"/>
      <c r="K179" s="245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</row>
    <row r="180" spans="1:26" ht="13.5" customHeight="1">
      <c r="A180" s="245"/>
      <c r="B180" s="245"/>
      <c r="C180" s="504"/>
      <c r="D180" s="245"/>
      <c r="E180" s="504"/>
      <c r="F180" s="245"/>
      <c r="G180" s="504"/>
      <c r="H180" s="245"/>
      <c r="I180" s="245"/>
      <c r="J180" s="504"/>
      <c r="K180" s="245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</row>
    <row r="181" spans="1:26" ht="13.5" customHeight="1">
      <c r="A181" s="245"/>
      <c r="B181" s="245"/>
      <c r="C181" s="504"/>
      <c r="D181" s="245"/>
      <c r="E181" s="504"/>
      <c r="F181" s="245"/>
      <c r="G181" s="504"/>
      <c r="H181" s="245"/>
      <c r="I181" s="245"/>
      <c r="J181" s="504"/>
      <c r="K181" s="245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</row>
    <row r="182" spans="1:26" ht="13.5" customHeight="1">
      <c r="A182" s="245"/>
      <c r="B182" s="245"/>
      <c r="C182" s="504"/>
      <c r="D182" s="245"/>
      <c r="E182" s="504"/>
      <c r="F182" s="245"/>
      <c r="G182" s="504"/>
      <c r="H182" s="245"/>
      <c r="I182" s="245"/>
      <c r="J182" s="504"/>
      <c r="K182" s="245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</row>
    <row r="183" spans="1:26" ht="13.5" customHeight="1">
      <c r="A183" s="245"/>
      <c r="B183" s="245"/>
      <c r="C183" s="504"/>
      <c r="D183" s="245"/>
      <c r="E183" s="504"/>
      <c r="F183" s="245"/>
      <c r="G183" s="504"/>
      <c r="H183" s="245"/>
      <c r="I183" s="245"/>
      <c r="J183" s="504"/>
      <c r="K183" s="245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</row>
    <row r="184" spans="1:26" ht="13.5" customHeight="1">
      <c r="A184" s="245"/>
      <c r="B184" s="245"/>
      <c r="C184" s="504"/>
      <c r="D184" s="245"/>
      <c r="E184" s="504"/>
      <c r="F184" s="245"/>
      <c r="G184" s="504"/>
      <c r="H184" s="245"/>
      <c r="I184" s="245"/>
      <c r="J184" s="504"/>
      <c r="K184" s="245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</row>
    <row r="185" spans="1:26" ht="13.5" customHeight="1">
      <c r="A185" s="245"/>
      <c r="B185" s="245"/>
      <c r="C185" s="504"/>
      <c r="D185" s="245"/>
      <c r="E185" s="504"/>
      <c r="F185" s="245"/>
      <c r="G185" s="504"/>
      <c r="H185" s="245"/>
      <c r="I185" s="245"/>
      <c r="J185" s="504"/>
      <c r="K185" s="245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</row>
    <row r="186" spans="1:26" ht="13.5" customHeight="1">
      <c r="A186" s="245"/>
      <c r="B186" s="245"/>
      <c r="C186" s="504"/>
      <c r="D186" s="245"/>
      <c r="E186" s="504"/>
      <c r="F186" s="245"/>
      <c r="G186" s="504"/>
      <c r="H186" s="245"/>
      <c r="I186" s="245"/>
      <c r="J186" s="504"/>
      <c r="K186" s="245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</row>
    <row r="187" spans="1:26" ht="13.5" customHeight="1">
      <c r="A187" s="245"/>
      <c r="B187" s="245"/>
      <c r="C187" s="504"/>
      <c r="D187" s="245"/>
      <c r="E187" s="504"/>
      <c r="F187" s="245"/>
      <c r="G187" s="504"/>
      <c r="H187" s="245"/>
      <c r="I187" s="245"/>
      <c r="J187" s="504"/>
      <c r="K187" s="245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</row>
    <row r="188" spans="1:26" ht="13.5" customHeight="1">
      <c r="A188" s="245"/>
      <c r="B188" s="245"/>
      <c r="C188" s="504"/>
      <c r="D188" s="245"/>
      <c r="E188" s="504"/>
      <c r="F188" s="245"/>
      <c r="G188" s="504"/>
      <c r="H188" s="245"/>
      <c r="I188" s="245"/>
      <c r="J188" s="504"/>
      <c r="K188" s="245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</row>
    <row r="189" spans="1:26" ht="13.5" customHeight="1">
      <c r="A189" s="245"/>
      <c r="B189" s="245"/>
      <c r="C189" s="504"/>
      <c r="D189" s="245"/>
      <c r="E189" s="504"/>
      <c r="F189" s="245"/>
      <c r="G189" s="504"/>
      <c r="H189" s="245"/>
      <c r="I189" s="245"/>
      <c r="J189" s="504"/>
      <c r="K189" s="245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</row>
    <row r="190" spans="1:26" ht="13.5" customHeight="1">
      <c r="A190" s="245"/>
      <c r="B190" s="245"/>
      <c r="C190" s="504"/>
      <c r="D190" s="245"/>
      <c r="E190" s="504"/>
      <c r="F190" s="245"/>
      <c r="G190" s="504"/>
      <c r="H190" s="245"/>
      <c r="I190" s="245"/>
      <c r="J190" s="504"/>
      <c r="K190" s="245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</row>
    <row r="191" spans="1:26" ht="13.5" customHeight="1">
      <c r="A191" s="245"/>
      <c r="B191" s="245"/>
      <c r="C191" s="504"/>
      <c r="D191" s="245"/>
      <c r="E191" s="504"/>
      <c r="F191" s="245"/>
      <c r="G191" s="504"/>
      <c r="H191" s="245"/>
      <c r="I191" s="245"/>
      <c r="J191" s="504"/>
      <c r="K191" s="245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</row>
    <row r="192" spans="1:26" ht="13.5" customHeight="1">
      <c r="A192" s="245"/>
      <c r="B192" s="245"/>
      <c r="C192" s="504"/>
      <c r="D192" s="245"/>
      <c r="E192" s="504"/>
      <c r="F192" s="245"/>
      <c r="G192" s="504"/>
      <c r="H192" s="245"/>
      <c r="I192" s="245"/>
      <c r="J192" s="504"/>
      <c r="K192" s="245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</row>
    <row r="193" spans="1:26" ht="13.5" customHeight="1">
      <c r="A193" s="245"/>
      <c r="B193" s="245"/>
      <c r="C193" s="504"/>
      <c r="D193" s="245"/>
      <c r="E193" s="504"/>
      <c r="F193" s="245"/>
      <c r="G193" s="504"/>
      <c r="H193" s="245"/>
      <c r="I193" s="245"/>
      <c r="J193" s="504"/>
      <c r="K193" s="245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</row>
    <row r="194" spans="1:26" ht="13.5" customHeight="1">
      <c r="A194" s="245"/>
      <c r="B194" s="245"/>
      <c r="C194" s="504"/>
      <c r="D194" s="245"/>
      <c r="E194" s="504"/>
      <c r="F194" s="245"/>
      <c r="G194" s="504"/>
      <c r="H194" s="245"/>
      <c r="I194" s="245"/>
      <c r="J194" s="504"/>
      <c r="K194" s="245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</row>
    <row r="195" spans="1:26" ht="13.5" customHeight="1">
      <c r="A195" s="245"/>
      <c r="B195" s="245"/>
      <c r="C195" s="504"/>
      <c r="D195" s="245"/>
      <c r="E195" s="504"/>
      <c r="F195" s="245"/>
      <c r="G195" s="504"/>
      <c r="H195" s="245"/>
      <c r="I195" s="245"/>
      <c r="J195" s="504"/>
      <c r="K195" s="245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</row>
    <row r="196" spans="1:26" ht="13.5" customHeight="1">
      <c r="A196" s="245"/>
      <c r="B196" s="245"/>
      <c r="C196" s="504"/>
      <c r="D196" s="245"/>
      <c r="E196" s="504"/>
      <c r="F196" s="245"/>
      <c r="G196" s="504"/>
      <c r="H196" s="245"/>
      <c r="I196" s="245"/>
      <c r="J196" s="504"/>
      <c r="K196" s="245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</row>
    <row r="197" spans="1:26" ht="13.5" customHeight="1">
      <c r="A197" s="245"/>
      <c r="B197" s="245"/>
      <c r="C197" s="504"/>
      <c r="D197" s="245"/>
      <c r="E197" s="504"/>
      <c r="F197" s="245"/>
      <c r="G197" s="504"/>
      <c r="H197" s="245"/>
      <c r="I197" s="245"/>
      <c r="J197" s="504"/>
      <c r="K197" s="245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</row>
    <row r="198" spans="1:26" ht="13.5" customHeight="1">
      <c r="A198" s="245"/>
      <c r="B198" s="245"/>
      <c r="C198" s="504"/>
      <c r="D198" s="245"/>
      <c r="E198" s="504"/>
      <c r="F198" s="245"/>
      <c r="G198" s="504"/>
      <c r="H198" s="245"/>
      <c r="I198" s="245"/>
      <c r="J198" s="504"/>
      <c r="K198" s="245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</row>
    <row r="199" spans="1:26" ht="13.5" customHeight="1">
      <c r="A199" s="245"/>
      <c r="B199" s="245"/>
      <c r="C199" s="504"/>
      <c r="D199" s="245"/>
      <c r="E199" s="504"/>
      <c r="F199" s="245"/>
      <c r="G199" s="504"/>
      <c r="H199" s="245"/>
      <c r="I199" s="245"/>
      <c r="J199" s="504"/>
      <c r="K199" s="245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</row>
    <row r="200" spans="1:26" ht="13.5" customHeight="1">
      <c r="A200" s="245"/>
      <c r="B200" s="245"/>
      <c r="C200" s="504"/>
      <c r="D200" s="245"/>
      <c r="E200" s="504"/>
      <c r="F200" s="245"/>
      <c r="G200" s="504"/>
      <c r="H200" s="245"/>
      <c r="I200" s="245"/>
      <c r="J200" s="504"/>
      <c r="K200" s="245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</row>
    <row r="201" spans="1:26" ht="13.5" customHeight="1">
      <c r="A201" s="245"/>
      <c r="B201" s="245"/>
      <c r="C201" s="504"/>
      <c r="D201" s="245"/>
      <c r="E201" s="504"/>
      <c r="F201" s="245"/>
      <c r="G201" s="504"/>
      <c r="H201" s="245"/>
      <c r="I201" s="245"/>
      <c r="J201" s="504"/>
      <c r="K201" s="245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</row>
    <row r="202" spans="1:26" ht="13.5" customHeight="1">
      <c r="A202" s="245"/>
      <c r="B202" s="245"/>
      <c r="C202" s="504"/>
      <c r="D202" s="245"/>
      <c r="E202" s="504"/>
      <c r="F202" s="245"/>
      <c r="G202" s="504"/>
      <c r="H202" s="245"/>
      <c r="I202" s="245"/>
      <c r="J202" s="504"/>
      <c r="K202" s="245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</row>
    <row r="203" spans="1:26" ht="13.5" customHeight="1">
      <c r="A203" s="245"/>
      <c r="B203" s="245"/>
      <c r="C203" s="504"/>
      <c r="D203" s="245"/>
      <c r="E203" s="504"/>
      <c r="F203" s="245"/>
      <c r="G203" s="504"/>
      <c r="H203" s="245"/>
      <c r="I203" s="245"/>
      <c r="J203" s="504"/>
      <c r="K203" s="245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</row>
    <row r="204" spans="1:26" ht="13.5" customHeight="1">
      <c r="A204" s="245"/>
      <c r="B204" s="245"/>
      <c r="C204" s="504"/>
      <c r="D204" s="245"/>
      <c r="E204" s="504"/>
      <c r="F204" s="245"/>
      <c r="G204" s="504"/>
      <c r="H204" s="245"/>
      <c r="I204" s="245"/>
      <c r="J204" s="504"/>
      <c r="K204" s="245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</row>
    <row r="205" spans="1:26" ht="13.5" customHeight="1">
      <c r="A205" s="245"/>
      <c r="B205" s="245"/>
      <c r="C205" s="504"/>
      <c r="D205" s="245"/>
      <c r="E205" s="504"/>
      <c r="F205" s="245"/>
      <c r="G205" s="504"/>
      <c r="H205" s="245"/>
      <c r="I205" s="245"/>
      <c r="J205" s="504"/>
      <c r="K205" s="245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</row>
    <row r="206" spans="1:26" ht="13.5" customHeight="1">
      <c r="A206" s="245"/>
      <c r="B206" s="245"/>
      <c r="C206" s="504"/>
      <c r="D206" s="245"/>
      <c r="E206" s="504"/>
      <c r="F206" s="245"/>
      <c r="G206" s="504"/>
      <c r="H206" s="245"/>
      <c r="I206" s="245"/>
      <c r="J206" s="504"/>
      <c r="K206" s="245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</row>
    <row r="207" spans="1:26" ht="13.5" customHeight="1">
      <c r="A207" s="245"/>
      <c r="B207" s="245"/>
      <c r="C207" s="504"/>
      <c r="D207" s="245"/>
      <c r="E207" s="504"/>
      <c r="F207" s="245"/>
      <c r="G207" s="504"/>
      <c r="H207" s="245"/>
      <c r="I207" s="245"/>
      <c r="J207" s="504"/>
      <c r="K207" s="245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</row>
    <row r="208" spans="1:26" ht="13.5" customHeight="1">
      <c r="A208" s="245"/>
      <c r="B208" s="245"/>
      <c r="C208" s="504"/>
      <c r="D208" s="245"/>
      <c r="E208" s="504"/>
      <c r="F208" s="245"/>
      <c r="G208" s="504"/>
      <c r="H208" s="245"/>
      <c r="I208" s="245"/>
      <c r="J208" s="504"/>
      <c r="K208" s="245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</row>
    <row r="209" spans="1:26" ht="13.5" customHeight="1">
      <c r="A209" s="245"/>
      <c r="B209" s="245"/>
      <c r="C209" s="504"/>
      <c r="D209" s="245"/>
      <c r="E209" s="504"/>
      <c r="F209" s="245"/>
      <c r="G209" s="504"/>
      <c r="H209" s="245"/>
      <c r="I209" s="245"/>
      <c r="J209" s="504"/>
      <c r="K209" s="245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</row>
    <row r="210" spans="1:26" ht="13.5" customHeight="1">
      <c r="A210" s="245"/>
      <c r="B210" s="245"/>
      <c r="C210" s="504"/>
      <c r="D210" s="245"/>
      <c r="E210" s="504"/>
      <c r="F210" s="245"/>
      <c r="G210" s="504"/>
      <c r="H210" s="245"/>
      <c r="I210" s="245"/>
      <c r="J210" s="504"/>
      <c r="K210" s="245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</row>
    <row r="211" spans="1:26" ht="13.5" customHeight="1">
      <c r="A211" s="245"/>
      <c r="B211" s="245"/>
      <c r="C211" s="504"/>
      <c r="D211" s="245"/>
      <c r="E211" s="504"/>
      <c r="F211" s="245"/>
      <c r="G211" s="504"/>
      <c r="H211" s="245"/>
      <c r="I211" s="245"/>
      <c r="J211" s="504"/>
      <c r="K211" s="245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</row>
    <row r="212" spans="1:26" ht="13.5" customHeight="1">
      <c r="A212" s="245"/>
      <c r="B212" s="245"/>
      <c r="C212" s="504"/>
      <c r="D212" s="245"/>
      <c r="E212" s="504"/>
      <c r="F212" s="245"/>
      <c r="G212" s="504"/>
      <c r="H212" s="245"/>
      <c r="I212" s="245"/>
      <c r="J212" s="504"/>
      <c r="K212" s="245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</row>
    <row r="213" spans="1:26" ht="13.5" customHeight="1">
      <c r="A213" s="245"/>
      <c r="B213" s="245"/>
      <c r="C213" s="504"/>
      <c r="D213" s="245"/>
      <c r="E213" s="504"/>
      <c r="F213" s="245"/>
      <c r="G213" s="504"/>
      <c r="H213" s="245"/>
      <c r="I213" s="245"/>
      <c r="J213" s="504"/>
      <c r="K213" s="245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</row>
    <row r="214" spans="1:26" ht="13.5" customHeight="1">
      <c r="A214" s="245"/>
      <c r="B214" s="245"/>
      <c r="C214" s="504"/>
      <c r="D214" s="245"/>
      <c r="E214" s="504"/>
      <c r="F214" s="245"/>
      <c r="G214" s="504"/>
      <c r="H214" s="245"/>
      <c r="I214" s="245"/>
      <c r="J214" s="504"/>
      <c r="K214" s="245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</row>
    <row r="215" spans="1:26" ht="13.5" customHeight="1">
      <c r="A215" s="245"/>
      <c r="B215" s="245"/>
      <c r="C215" s="504"/>
      <c r="D215" s="245"/>
      <c r="E215" s="504"/>
      <c r="F215" s="245"/>
      <c r="G215" s="504"/>
      <c r="H215" s="245"/>
      <c r="I215" s="245"/>
      <c r="J215" s="504"/>
      <c r="K215" s="245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</row>
    <row r="216" spans="1:26" ht="13.5" customHeight="1">
      <c r="A216" s="245"/>
      <c r="B216" s="245"/>
      <c r="C216" s="504"/>
      <c r="D216" s="245"/>
      <c r="E216" s="504"/>
      <c r="F216" s="245"/>
      <c r="G216" s="504"/>
      <c r="H216" s="245"/>
      <c r="I216" s="245"/>
      <c r="J216" s="504"/>
      <c r="K216" s="245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</row>
    <row r="217" spans="1:26" ht="13.5" customHeight="1">
      <c r="A217" s="245"/>
      <c r="B217" s="245"/>
      <c r="C217" s="504"/>
      <c r="D217" s="245"/>
      <c r="E217" s="504"/>
      <c r="F217" s="245"/>
      <c r="G217" s="504"/>
      <c r="H217" s="245"/>
      <c r="I217" s="245"/>
      <c r="J217" s="504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</row>
    <row r="218" spans="1:26" ht="13.5" customHeight="1">
      <c r="A218" s="245"/>
      <c r="B218" s="245"/>
      <c r="C218" s="504"/>
      <c r="D218" s="245"/>
      <c r="E218" s="504"/>
      <c r="F218" s="245"/>
      <c r="G218" s="504"/>
      <c r="H218" s="245"/>
      <c r="I218" s="245"/>
      <c r="J218" s="504"/>
      <c r="K218" s="245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</row>
    <row r="219" spans="1:26" ht="13.5" customHeight="1">
      <c r="A219" s="245"/>
      <c r="B219" s="245"/>
      <c r="C219" s="504"/>
      <c r="D219" s="245"/>
      <c r="E219" s="504"/>
      <c r="F219" s="245"/>
      <c r="G219" s="504"/>
      <c r="H219" s="245"/>
      <c r="I219" s="245"/>
      <c r="J219" s="504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</row>
    <row r="220" spans="1:26" ht="13.5" customHeight="1">
      <c r="A220" s="245"/>
      <c r="B220" s="245"/>
      <c r="C220" s="504"/>
      <c r="D220" s="245"/>
      <c r="E220" s="504"/>
      <c r="F220" s="245"/>
      <c r="G220" s="504"/>
      <c r="H220" s="245"/>
      <c r="I220" s="245"/>
      <c r="J220" s="504"/>
      <c r="K220" s="245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</row>
    <row r="221" spans="1:26" ht="13.5" customHeight="1">
      <c r="A221" s="245"/>
      <c r="B221" s="245"/>
      <c r="C221" s="504"/>
      <c r="D221" s="245"/>
      <c r="E221" s="504"/>
      <c r="F221" s="245"/>
      <c r="G221" s="504"/>
      <c r="H221" s="245"/>
      <c r="I221" s="245"/>
      <c r="J221" s="504"/>
      <c r="K221" s="245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</row>
    <row r="222" spans="1:26" ht="13.5" customHeight="1">
      <c r="A222" s="245"/>
      <c r="B222" s="245"/>
      <c r="C222" s="504"/>
      <c r="D222" s="245"/>
      <c r="E222" s="504"/>
      <c r="F222" s="245"/>
      <c r="G222" s="504"/>
      <c r="H222" s="245"/>
      <c r="I222" s="245"/>
      <c r="J222" s="504"/>
      <c r="K222" s="245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</row>
    <row r="223" spans="1:26" ht="13.5" customHeight="1">
      <c r="A223" s="245"/>
      <c r="B223" s="245"/>
      <c r="C223" s="504"/>
      <c r="D223" s="245"/>
      <c r="E223" s="504"/>
      <c r="F223" s="245"/>
      <c r="G223" s="504"/>
      <c r="H223" s="245"/>
      <c r="I223" s="245"/>
      <c r="J223" s="504"/>
      <c r="K223" s="245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</row>
    <row r="224" spans="1:26" ht="13.5" customHeight="1">
      <c r="A224" s="245"/>
      <c r="B224" s="245"/>
      <c r="C224" s="504"/>
      <c r="D224" s="245"/>
      <c r="E224" s="504"/>
      <c r="F224" s="245"/>
      <c r="G224" s="504"/>
      <c r="H224" s="245"/>
      <c r="I224" s="245"/>
      <c r="J224" s="504"/>
      <c r="K224" s="245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</row>
    <row r="225" spans="1:26" ht="13.5" customHeight="1">
      <c r="A225" s="245"/>
      <c r="B225" s="245"/>
      <c r="C225" s="504"/>
      <c r="D225" s="245"/>
      <c r="E225" s="504"/>
      <c r="F225" s="245"/>
      <c r="G225" s="504"/>
      <c r="H225" s="245"/>
      <c r="I225" s="245"/>
      <c r="J225" s="504"/>
      <c r="K225" s="245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</row>
    <row r="226" spans="1:26" ht="13.5" customHeight="1">
      <c r="A226" s="245"/>
      <c r="B226" s="245"/>
      <c r="C226" s="504"/>
      <c r="D226" s="245"/>
      <c r="E226" s="504"/>
      <c r="F226" s="245"/>
      <c r="G226" s="504"/>
      <c r="H226" s="245"/>
      <c r="I226" s="245"/>
      <c r="J226" s="504"/>
      <c r="K226" s="245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</row>
    <row r="227" spans="1:26" ht="13.5" customHeight="1">
      <c r="A227" s="245"/>
      <c r="B227" s="245"/>
      <c r="C227" s="504"/>
      <c r="D227" s="245"/>
      <c r="E227" s="504"/>
      <c r="F227" s="245"/>
      <c r="G227" s="504"/>
      <c r="H227" s="245"/>
      <c r="I227" s="245"/>
      <c r="J227" s="504"/>
      <c r="K227" s="245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</row>
    <row r="228" spans="1:26" ht="13.5" customHeight="1">
      <c r="A228" s="245"/>
      <c r="B228" s="245"/>
      <c r="C228" s="504"/>
      <c r="D228" s="245"/>
      <c r="E228" s="504"/>
      <c r="F228" s="245"/>
      <c r="G228" s="504"/>
      <c r="H228" s="245"/>
      <c r="I228" s="245"/>
      <c r="J228" s="504"/>
      <c r="K228" s="245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</row>
    <row r="229" spans="1:26" ht="13.5" customHeight="1">
      <c r="A229" s="245"/>
      <c r="B229" s="245"/>
      <c r="C229" s="504"/>
      <c r="D229" s="245"/>
      <c r="E229" s="504"/>
      <c r="F229" s="245"/>
      <c r="G229" s="504"/>
      <c r="H229" s="245"/>
      <c r="I229" s="245"/>
      <c r="J229" s="504"/>
      <c r="K229" s="245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</row>
    <row r="230" spans="1:26" ht="13.5" customHeight="1">
      <c r="A230" s="245"/>
      <c r="B230" s="245"/>
      <c r="C230" s="504"/>
      <c r="D230" s="245"/>
      <c r="E230" s="504"/>
      <c r="F230" s="245"/>
      <c r="G230" s="504"/>
      <c r="H230" s="245"/>
      <c r="I230" s="245"/>
      <c r="J230" s="504"/>
      <c r="K230" s="245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</row>
    <row r="231" spans="1:26" ht="13.5" customHeight="1">
      <c r="A231" s="245"/>
      <c r="B231" s="245"/>
      <c r="C231" s="504"/>
      <c r="D231" s="245"/>
      <c r="E231" s="504"/>
      <c r="F231" s="245"/>
      <c r="G231" s="504"/>
      <c r="H231" s="245"/>
      <c r="I231" s="245"/>
      <c r="J231" s="504"/>
      <c r="K231" s="245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</row>
    <row r="232" spans="1:26" ht="13.5" customHeight="1">
      <c r="A232" s="245"/>
      <c r="B232" s="245"/>
      <c r="C232" s="504"/>
      <c r="D232" s="245"/>
      <c r="E232" s="504"/>
      <c r="F232" s="245"/>
      <c r="G232" s="504"/>
      <c r="H232" s="245"/>
      <c r="I232" s="245"/>
      <c r="J232" s="504"/>
      <c r="K232" s="245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</row>
    <row r="233" spans="1:26" ht="13.5" customHeight="1">
      <c r="A233" s="245"/>
      <c r="B233" s="245"/>
      <c r="C233" s="504"/>
      <c r="D233" s="245"/>
      <c r="E233" s="504"/>
      <c r="F233" s="245"/>
      <c r="G233" s="504"/>
      <c r="H233" s="245"/>
      <c r="I233" s="245"/>
      <c r="J233" s="504"/>
      <c r="K233" s="245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</row>
    <row r="234" spans="1:26" ht="13.5" customHeight="1">
      <c r="A234" s="245"/>
      <c r="B234" s="245"/>
      <c r="C234" s="504"/>
      <c r="D234" s="245"/>
      <c r="E234" s="504"/>
      <c r="F234" s="245"/>
      <c r="G234" s="504"/>
      <c r="H234" s="245"/>
      <c r="I234" s="245"/>
      <c r="J234" s="504"/>
      <c r="K234" s="245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</row>
    <row r="235" spans="1:26" ht="13.5" customHeight="1">
      <c r="A235" s="245"/>
      <c r="B235" s="245"/>
      <c r="C235" s="504"/>
      <c r="D235" s="245"/>
      <c r="E235" s="504"/>
      <c r="F235" s="245"/>
      <c r="G235" s="504"/>
      <c r="H235" s="245"/>
      <c r="I235" s="245"/>
      <c r="J235" s="504"/>
      <c r="K235" s="245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</row>
    <row r="236" spans="1:26" ht="13.5" customHeight="1">
      <c r="A236" s="245"/>
      <c r="B236" s="245"/>
      <c r="C236" s="504"/>
      <c r="D236" s="245"/>
      <c r="E236" s="504"/>
      <c r="F236" s="245"/>
      <c r="G236" s="504"/>
      <c r="H236" s="245"/>
      <c r="I236" s="245"/>
      <c r="J236" s="504"/>
      <c r="K236" s="245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</row>
    <row r="237" spans="1:26" ht="13.5" customHeight="1">
      <c r="A237" s="245"/>
      <c r="B237" s="245"/>
      <c r="C237" s="504"/>
      <c r="D237" s="245"/>
      <c r="E237" s="504"/>
      <c r="F237" s="245"/>
      <c r="G237" s="504"/>
      <c r="H237" s="245"/>
      <c r="I237" s="245"/>
      <c r="J237" s="504"/>
      <c r="K237" s="245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</row>
    <row r="238" spans="1:26" ht="13.5" customHeight="1">
      <c r="A238" s="245"/>
      <c r="B238" s="245"/>
      <c r="C238" s="504"/>
      <c r="D238" s="245"/>
      <c r="E238" s="504"/>
      <c r="F238" s="245"/>
      <c r="G238" s="504"/>
      <c r="H238" s="245"/>
      <c r="I238" s="245"/>
      <c r="J238" s="504"/>
      <c r="K238" s="245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</row>
    <row r="239" spans="1:26" ht="13.5" customHeight="1">
      <c r="A239" s="245"/>
      <c r="B239" s="245"/>
      <c r="C239" s="504"/>
      <c r="D239" s="245"/>
      <c r="E239" s="504"/>
      <c r="F239" s="245"/>
      <c r="G239" s="504"/>
      <c r="H239" s="245"/>
      <c r="I239" s="245"/>
      <c r="J239" s="504"/>
      <c r="K239" s="245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</row>
    <row r="240" spans="1:26" ht="13.5" customHeight="1">
      <c r="A240" s="245"/>
      <c r="B240" s="245"/>
      <c r="C240" s="504"/>
      <c r="D240" s="245"/>
      <c r="E240" s="504"/>
      <c r="F240" s="245"/>
      <c r="G240" s="504"/>
      <c r="H240" s="245"/>
      <c r="I240" s="245"/>
      <c r="J240" s="504"/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</row>
    <row r="241" spans="1:26" ht="13.5" customHeight="1">
      <c r="A241" s="245"/>
      <c r="B241" s="245"/>
      <c r="C241" s="504"/>
      <c r="D241" s="245"/>
      <c r="E241" s="504"/>
      <c r="F241" s="245"/>
      <c r="G241" s="504"/>
      <c r="H241" s="245"/>
      <c r="I241" s="245"/>
      <c r="J241" s="504"/>
      <c r="K241" s="245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</row>
    <row r="242" spans="1:26" ht="13.5" customHeight="1">
      <c r="A242" s="245"/>
      <c r="B242" s="245"/>
      <c r="C242" s="504"/>
      <c r="D242" s="245"/>
      <c r="E242" s="504"/>
      <c r="F242" s="245"/>
      <c r="G242" s="504"/>
      <c r="H242" s="245"/>
      <c r="I242" s="245"/>
      <c r="J242" s="504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</row>
    <row r="243" spans="1:26" ht="13.5" customHeight="1">
      <c r="A243" s="245"/>
      <c r="B243" s="245"/>
      <c r="C243" s="504"/>
      <c r="D243" s="245"/>
      <c r="E243" s="504"/>
      <c r="F243" s="245"/>
      <c r="G243" s="504"/>
      <c r="H243" s="245"/>
      <c r="I243" s="245"/>
      <c r="J243" s="504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</row>
    <row r="244" spans="1:26" ht="13.5" customHeight="1">
      <c r="A244" s="245"/>
      <c r="B244" s="245"/>
      <c r="C244" s="504"/>
      <c r="D244" s="245"/>
      <c r="E244" s="504"/>
      <c r="F244" s="245"/>
      <c r="G244" s="504"/>
      <c r="H244" s="245"/>
      <c r="I244" s="245"/>
      <c r="J244" s="504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</row>
    <row r="245" spans="1:26" ht="13.5" customHeight="1">
      <c r="A245" s="245"/>
      <c r="B245" s="245"/>
      <c r="C245" s="504"/>
      <c r="D245" s="245"/>
      <c r="E245" s="504"/>
      <c r="F245" s="245"/>
      <c r="G245" s="504"/>
      <c r="H245" s="245"/>
      <c r="I245" s="245"/>
      <c r="J245" s="504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</row>
    <row r="246" spans="1:26" ht="13.5" customHeight="1">
      <c r="A246" s="245"/>
      <c r="B246" s="245"/>
      <c r="C246" s="504"/>
      <c r="D246" s="245"/>
      <c r="E246" s="504"/>
      <c r="F246" s="245"/>
      <c r="G246" s="504"/>
      <c r="H246" s="245"/>
      <c r="I246" s="245"/>
      <c r="J246" s="504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</row>
    <row r="247" spans="1:26" ht="13.5" customHeight="1">
      <c r="A247" s="245"/>
      <c r="B247" s="245"/>
      <c r="C247" s="504"/>
      <c r="D247" s="245"/>
      <c r="E247" s="504"/>
      <c r="F247" s="245"/>
      <c r="G247" s="504"/>
      <c r="H247" s="245"/>
      <c r="I247" s="245"/>
      <c r="J247" s="504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</row>
    <row r="248" spans="1:26" ht="13.5" customHeight="1">
      <c r="A248" s="245"/>
      <c r="B248" s="245"/>
      <c r="C248" s="504"/>
      <c r="D248" s="245"/>
      <c r="E248" s="504"/>
      <c r="F248" s="245"/>
      <c r="G248" s="504"/>
      <c r="H248" s="245"/>
      <c r="I248" s="245"/>
      <c r="J248" s="504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</row>
    <row r="249" spans="1:26" ht="13.5" customHeight="1">
      <c r="A249" s="245"/>
      <c r="B249" s="245"/>
      <c r="C249" s="504"/>
      <c r="D249" s="245"/>
      <c r="E249" s="504"/>
      <c r="F249" s="245"/>
      <c r="G249" s="504"/>
      <c r="H249" s="245"/>
      <c r="I249" s="245"/>
      <c r="J249" s="504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</row>
    <row r="250" spans="1:26" ht="13.5" customHeight="1">
      <c r="A250" s="245"/>
      <c r="B250" s="245"/>
      <c r="C250" s="504"/>
      <c r="D250" s="245"/>
      <c r="E250" s="504"/>
      <c r="F250" s="245"/>
      <c r="G250" s="504"/>
      <c r="H250" s="245"/>
      <c r="I250" s="245"/>
      <c r="J250" s="504"/>
      <c r="K250" s="245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</row>
    <row r="251" spans="1:26" ht="13.5" customHeight="1">
      <c r="A251" s="245"/>
      <c r="B251" s="245"/>
      <c r="C251" s="504"/>
      <c r="D251" s="245"/>
      <c r="E251" s="504"/>
      <c r="F251" s="245"/>
      <c r="G251" s="504"/>
      <c r="H251" s="245"/>
      <c r="I251" s="245"/>
      <c r="J251" s="504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</row>
    <row r="252" spans="1:26" ht="13.5" customHeight="1">
      <c r="A252" s="245"/>
      <c r="B252" s="245"/>
      <c r="C252" s="504"/>
      <c r="D252" s="245"/>
      <c r="E252" s="504"/>
      <c r="F252" s="245"/>
      <c r="G252" s="504"/>
      <c r="H252" s="245"/>
      <c r="I252" s="245"/>
      <c r="J252" s="504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</row>
    <row r="253" spans="1:26" ht="13.5" customHeight="1">
      <c r="A253" s="245"/>
      <c r="B253" s="245"/>
      <c r="C253" s="504"/>
      <c r="D253" s="245"/>
      <c r="E253" s="504"/>
      <c r="F253" s="245"/>
      <c r="G253" s="504"/>
      <c r="H253" s="245"/>
      <c r="I253" s="245"/>
      <c r="J253" s="504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</row>
    <row r="254" spans="1:26" ht="13.5" customHeight="1">
      <c r="A254" s="245"/>
      <c r="B254" s="245"/>
      <c r="C254" s="504"/>
      <c r="D254" s="245"/>
      <c r="E254" s="504"/>
      <c r="F254" s="245"/>
      <c r="G254" s="504"/>
      <c r="H254" s="245"/>
      <c r="I254" s="245"/>
      <c r="J254" s="504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</row>
    <row r="255" spans="1:26" ht="13.5" customHeight="1">
      <c r="A255" s="245"/>
      <c r="B255" s="245"/>
      <c r="C255" s="504"/>
      <c r="D255" s="245"/>
      <c r="E255" s="504"/>
      <c r="F255" s="245"/>
      <c r="G255" s="504"/>
      <c r="H255" s="245"/>
      <c r="I255" s="245"/>
      <c r="J255" s="504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</row>
    <row r="256" spans="1:26" ht="13.5" customHeight="1">
      <c r="A256" s="245"/>
      <c r="B256" s="245"/>
      <c r="C256" s="504"/>
      <c r="D256" s="245"/>
      <c r="E256" s="504"/>
      <c r="F256" s="245"/>
      <c r="G256" s="504"/>
      <c r="H256" s="245"/>
      <c r="I256" s="245"/>
      <c r="J256" s="504"/>
      <c r="K256" s="245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</row>
    <row r="257" spans="1:26" ht="13.5" customHeight="1">
      <c r="A257" s="245"/>
      <c r="B257" s="245"/>
      <c r="C257" s="504"/>
      <c r="D257" s="245"/>
      <c r="E257" s="504"/>
      <c r="F257" s="245"/>
      <c r="G257" s="504"/>
      <c r="H257" s="245"/>
      <c r="I257" s="245"/>
      <c r="J257" s="504"/>
      <c r="K257" s="245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</row>
    <row r="258" spans="1:26" ht="13.5" customHeight="1">
      <c r="A258" s="245"/>
      <c r="B258" s="245"/>
      <c r="C258" s="504"/>
      <c r="D258" s="245"/>
      <c r="E258" s="504"/>
      <c r="F258" s="245"/>
      <c r="G258" s="504"/>
      <c r="H258" s="245"/>
      <c r="I258" s="245"/>
      <c r="J258" s="504"/>
      <c r="K258" s="245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</row>
    <row r="259" spans="1:26" ht="13.5" customHeight="1">
      <c r="A259" s="245"/>
      <c r="B259" s="245"/>
      <c r="C259" s="504"/>
      <c r="D259" s="245"/>
      <c r="E259" s="504"/>
      <c r="F259" s="245"/>
      <c r="G259" s="504"/>
      <c r="H259" s="245"/>
      <c r="I259" s="245"/>
      <c r="J259" s="504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</row>
    <row r="260" spans="1:26" ht="13.5" customHeight="1">
      <c r="A260" s="245"/>
      <c r="B260" s="245"/>
      <c r="C260" s="504"/>
      <c r="D260" s="245"/>
      <c r="E260" s="504"/>
      <c r="F260" s="245"/>
      <c r="G260" s="504"/>
      <c r="H260" s="245"/>
      <c r="I260" s="245"/>
      <c r="J260" s="504"/>
      <c r="K260" s="245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</row>
    <row r="261" spans="1:26" ht="13.5" customHeight="1">
      <c r="A261" s="245"/>
      <c r="B261" s="245"/>
      <c r="C261" s="504"/>
      <c r="D261" s="245"/>
      <c r="E261" s="504"/>
      <c r="F261" s="245"/>
      <c r="G261" s="504"/>
      <c r="H261" s="245"/>
      <c r="I261" s="245"/>
      <c r="J261" s="504"/>
      <c r="K261" s="245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</row>
    <row r="262" spans="1:26" ht="13.5" customHeight="1">
      <c r="A262" s="245"/>
      <c r="B262" s="245"/>
      <c r="C262" s="504"/>
      <c r="D262" s="245"/>
      <c r="E262" s="504"/>
      <c r="F262" s="245"/>
      <c r="G262" s="504"/>
      <c r="H262" s="245"/>
      <c r="I262" s="245"/>
      <c r="J262" s="504"/>
      <c r="K262" s="245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</row>
    <row r="263" spans="1:26" ht="13.5" customHeight="1">
      <c r="A263" s="245"/>
      <c r="B263" s="245"/>
      <c r="C263" s="504"/>
      <c r="D263" s="245"/>
      <c r="E263" s="504"/>
      <c r="F263" s="245"/>
      <c r="G263" s="504"/>
      <c r="H263" s="245"/>
      <c r="I263" s="245"/>
      <c r="J263" s="504"/>
      <c r="K263" s="245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</row>
    <row r="264" spans="1:26" ht="13.5" customHeight="1">
      <c r="A264" s="245"/>
      <c r="B264" s="245"/>
      <c r="C264" s="504"/>
      <c r="D264" s="245"/>
      <c r="E264" s="504"/>
      <c r="F264" s="245"/>
      <c r="G264" s="504"/>
      <c r="H264" s="245"/>
      <c r="I264" s="245"/>
      <c r="J264" s="504"/>
      <c r="K264" s="245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</row>
    <row r="265" spans="1:26" ht="13.5" customHeight="1">
      <c r="A265" s="245"/>
      <c r="B265" s="245"/>
      <c r="C265" s="504"/>
      <c r="D265" s="245"/>
      <c r="E265" s="504"/>
      <c r="F265" s="245"/>
      <c r="G265" s="504"/>
      <c r="H265" s="245"/>
      <c r="I265" s="245"/>
      <c r="J265" s="504"/>
      <c r="K265" s="245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</row>
    <row r="266" spans="1:26" ht="13.5" customHeight="1">
      <c r="A266" s="245"/>
      <c r="B266" s="245"/>
      <c r="C266" s="504"/>
      <c r="D266" s="245"/>
      <c r="E266" s="504"/>
      <c r="F266" s="245"/>
      <c r="G266" s="504"/>
      <c r="H266" s="245"/>
      <c r="I266" s="245"/>
      <c r="J266" s="504"/>
      <c r="K266" s="245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</row>
    <row r="267" spans="1:26" ht="13.5" customHeight="1">
      <c r="A267" s="245"/>
      <c r="B267" s="245"/>
      <c r="C267" s="504"/>
      <c r="D267" s="245"/>
      <c r="E267" s="504"/>
      <c r="F267" s="245"/>
      <c r="G267" s="504"/>
      <c r="H267" s="245"/>
      <c r="I267" s="245"/>
      <c r="J267" s="504"/>
      <c r="K267" s="245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</row>
    <row r="268" spans="1:26" ht="13.5" customHeight="1">
      <c r="A268" s="245"/>
      <c r="B268" s="245"/>
      <c r="C268" s="504"/>
      <c r="D268" s="245"/>
      <c r="E268" s="504"/>
      <c r="F268" s="245"/>
      <c r="G268" s="504"/>
      <c r="H268" s="245"/>
      <c r="I268" s="245"/>
      <c r="J268" s="504"/>
      <c r="K268" s="245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</row>
    <row r="269" spans="1:26" ht="13.5" customHeight="1">
      <c r="A269" s="245"/>
      <c r="B269" s="245"/>
      <c r="C269" s="504"/>
      <c r="D269" s="245"/>
      <c r="E269" s="504"/>
      <c r="F269" s="245"/>
      <c r="G269" s="504"/>
      <c r="H269" s="245"/>
      <c r="I269" s="245"/>
      <c r="J269" s="504"/>
      <c r="K269" s="245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</row>
    <row r="270" spans="1:26" ht="13.5" customHeight="1">
      <c r="A270" s="245"/>
      <c r="B270" s="245"/>
      <c r="C270" s="504"/>
      <c r="D270" s="245"/>
      <c r="E270" s="504"/>
      <c r="F270" s="245"/>
      <c r="G270" s="504"/>
      <c r="H270" s="245"/>
      <c r="I270" s="245"/>
      <c r="J270" s="504"/>
      <c r="K270" s="245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</row>
    <row r="271" spans="1:26" ht="13.5" customHeight="1">
      <c r="A271" s="245"/>
      <c r="B271" s="245"/>
      <c r="C271" s="504"/>
      <c r="D271" s="245"/>
      <c r="E271" s="504"/>
      <c r="F271" s="245"/>
      <c r="G271" s="504"/>
      <c r="H271" s="245"/>
      <c r="I271" s="245"/>
      <c r="J271" s="504"/>
      <c r="K271" s="245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</row>
    <row r="272" spans="1:26" ht="13.5" customHeight="1">
      <c r="A272" s="245"/>
      <c r="B272" s="245"/>
      <c r="C272" s="504"/>
      <c r="D272" s="245"/>
      <c r="E272" s="504"/>
      <c r="F272" s="245"/>
      <c r="G272" s="504"/>
      <c r="H272" s="245"/>
      <c r="I272" s="245"/>
      <c r="J272" s="504"/>
      <c r="K272" s="245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</row>
    <row r="273" spans="1:26" ht="13.5" customHeight="1">
      <c r="A273" s="245"/>
      <c r="B273" s="245"/>
      <c r="C273" s="504"/>
      <c r="D273" s="245"/>
      <c r="E273" s="504"/>
      <c r="F273" s="245"/>
      <c r="G273" s="504"/>
      <c r="H273" s="245"/>
      <c r="I273" s="245"/>
      <c r="J273" s="504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</row>
    <row r="274" spans="1:26" ht="13.5" customHeight="1">
      <c r="A274" s="245"/>
      <c r="B274" s="245"/>
      <c r="C274" s="504"/>
      <c r="D274" s="245"/>
      <c r="E274" s="504"/>
      <c r="F274" s="245"/>
      <c r="G274" s="504"/>
      <c r="H274" s="245"/>
      <c r="I274" s="245"/>
      <c r="J274" s="504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</row>
    <row r="275" spans="1:26" ht="13.5" customHeight="1">
      <c r="A275" s="245"/>
      <c r="B275" s="245"/>
      <c r="C275" s="504"/>
      <c r="D275" s="245"/>
      <c r="E275" s="504"/>
      <c r="F275" s="245"/>
      <c r="G275" s="504"/>
      <c r="H275" s="245"/>
      <c r="I275" s="245"/>
      <c r="J275" s="504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</row>
    <row r="276" spans="1:26" ht="13.5" customHeight="1">
      <c r="A276" s="245"/>
      <c r="B276" s="245"/>
      <c r="C276" s="504"/>
      <c r="D276" s="245"/>
      <c r="E276" s="504"/>
      <c r="F276" s="245"/>
      <c r="G276" s="504"/>
      <c r="H276" s="245"/>
      <c r="I276" s="245"/>
      <c r="J276" s="504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</row>
    <row r="277" spans="1:26" ht="13.5" customHeight="1">
      <c r="A277" s="245"/>
      <c r="B277" s="245"/>
      <c r="C277" s="504"/>
      <c r="D277" s="245"/>
      <c r="E277" s="504"/>
      <c r="F277" s="245"/>
      <c r="G277" s="504"/>
      <c r="H277" s="245"/>
      <c r="I277" s="245"/>
      <c r="J277" s="504"/>
      <c r="K277" s="245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</row>
    <row r="278" spans="1:26" ht="13.5" customHeight="1">
      <c r="A278" s="245"/>
      <c r="B278" s="245"/>
      <c r="C278" s="504"/>
      <c r="D278" s="245"/>
      <c r="E278" s="504"/>
      <c r="F278" s="245"/>
      <c r="G278" s="504"/>
      <c r="H278" s="245"/>
      <c r="I278" s="245"/>
      <c r="J278" s="504"/>
      <c r="K278" s="245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</row>
    <row r="279" spans="1:26" ht="13.5" customHeight="1">
      <c r="A279" s="245"/>
      <c r="B279" s="245"/>
      <c r="C279" s="504"/>
      <c r="D279" s="245"/>
      <c r="E279" s="504"/>
      <c r="F279" s="245"/>
      <c r="G279" s="504"/>
      <c r="H279" s="245"/>
      <c r="I279" s="245"/>
      <c r="J279" s="504"/>
      <c r="K279" s="245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</row>
    <row r="280" spans="1:26" ht="13.5" customHeight="1">
      <c r="A280" s="245"/>
      <c r="B280" s="245"/>
      <c r="C280" s="504"/>
      <c r="D280" s="245"/>
      <c r="E280" s="504"/>
      <c r="F280" s="245"/>
      <c r="G280" s="504"/>
      <c r="H280" s="245"/>
      <c r="I280" s="245"/>
      <c r="J280" s="504"/>
      <c r="K280" s="245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</row>
    <row r="281" spans="1:26" ht="13.5" customHeight="1">
      <c r="A281" s="245"/>
      <c r="B281" s="245"/>
      <c r="C281" s="504"/>
      <c r="D281" s="245"/>
      <c r="E281" s="504"/>
      <c r="F281" s="245"/>
      <c r="G281" s="504"/>
      <c r="H281" s="245"/>
      <c r="I281" s="245"/>
      <c r="J281" s="504"/>
      <c r="K281" s="245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</row>
    <row r="282" spans="1:26" ht="13.5" customHeight="1">
      <c r="A282" s="245"/>
      <c r="B282" s="245"/>
      <c r="C282" s="504"/>
      <c r="D282" s="245"/>
      <c r="E282" s="504"/>
      <c r="F282" s="245"/>
      <c r="G282" s="504"/>
      <c r="H282" s="245"/>
      <c r="I282" s="245"/>
      <c r="J282" s="504"/>
      <c r="K282" s="245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</row>
    <row r="283" spans="1:26" ht="13.5" customHeight="1">
      <c r="A283" s="245"/>
      <c r="B283" s="245"/>
      <c r="C283" s="504"/>
      <c r="D283" s="245"/>
      <c r="E283" s="504"/>
      <c r="F283" s="245"/>
      <c r="G283" s="504"/>
      <c r="H283" s="245"/>
      <c r="I283" s="245"/>
      <c r="J283" s="504"/>
      <c r="K283" s="245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</row>
    <row r="284" spans="1:26" ht="13.5" customHeight="1">
      <c r="A284" s="245"/>
      <c r="B284" s="245"/>
      <c r="C284" s="504"/>
      <c r="D284" s="245"/>
      <c r="E284" s="504"/>
      <c r="F284" s="245"/>
      <c r="G284" s="504"/>
      <c r="H284" s="245"/>
      <c r="I284" s="245"/>
      <c r="J284" s="504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</row>
    <row r="285" spans="1:26" ht="13.5" customHeight="1">
      <c r="A285" s="245"/>
      <c r="B285" s="245"/>
      <c r="C285" s="504"/>
      <c r="D285" s="245"/>
      <c r="E285" s="504"/>
      <c r="F285" s="245"/>
      <c r="G285" s="504"/>
      <c r="H285" s="245"/>
      <c r="I285" s="245"/>
      <c r="J285" s="504"/>
      <c r="K285" s="245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</row>
    <row r="286" spans="1:26" ht="13.5" customHeight="1">
      <c r="A286" s="245"/>
      <c r="B286" s="245"/>
      <c r="C286" s="504"/>
      <c r="D286" s="245"/>
      <c r="E286" s="504"/>
      <c r="F286" s="245"/>
      <c r="G286" s="504"/>
      <c r="H286" s="245"/>
      <c r="I286" s="245"/>
      <c r="J286" s="504"/>
      <c r="K286" s="245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</row>
    <row r="287" spans="1:26" ht="13.5" customHeight="1">
      <c r="A287" s="245"/>
      <c r="B287" s="245"/>
      <c r="C287" s="504"/>
      <c r="D287" s="245"/>
      <c r="E287" s="504"/>
      <c r="F287" s="245"/>
      <c r="G287" s="504"/>
      <c r="H287" s="245"/>
      <c r="I287" s="245"/>
      <c r="J287" s="504"/>
      <c r="K287" s="245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</row>
    <row r="288" spans="1:26" ht="13.5" customHeight="1">
      <c r="A288" s="245"/>
      <c r="B288" s="245"/>
      <c r="C288" s="504"/>
      <c r="D288" s="245"/>
      <c r="E288" s="504"/>
      <c r="F288" s="245"/>
      <c r="G288" s="504"/>
      <c r="H288" s="245"/>
      <c r="I288" s="245"/>
      <c r="J288" s="504"/>
      <c r="K288" s="245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</row>
    <row r="289" spans="1:26" ht="13.5" customHeight="1">
      <c r="A289" s="245"/>
      <c r="B289" s="245"/>
      <c r="C289" s="504"/>
      <c r="D289" s="245"/>
      <c r="E289" s="504"/>
      <c r="F289" s="245"/>
      <c r="G289" s="504"/>
      <c r="H289" s="245"/>
      <c r="I289" s="245"/>
      <c r="J289" s="504"/>
      <c r="K289" s="245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</row>
    <row r="290" spans="1:26" ht="13.5" customHeight="1">
      <c r="A290" s="245"/>
      <c r="B290" s="245"/>
      <c r="C290" s="504"/>
      <c r="D290" s="245"/>
      <c r="E290" s="504"/>
      <c r="F290" s="245"/>
      <c r="G290" s="504"/>
      <c r="H290" s="245"/>
      <c r="I290" s="245"/>
      <c r="J290" s="504"/>
      <c r="K290" s="245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</row>
    <row r="291" spans="1:26" ht="13.5" customHeight="1">
      <c r="A291" s="245"/>
      <c r="B291" s="245"/>
      <c r="C291" s="504"/>
      <c r="D291" s="245"/>
      <c r="E291" s="504"/>
      <c r="F291" s="245"/>
      <c r="G291" s="504"/>
      <c r="H291" s="245"/>
      <c r="I291" s="245"/>
      <c r="J291" s="504"/>
      <c r="K291" s="245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</row>
    <row r="292" spans="1:26" ht="13.5" customHeight="1">
      <c r="A292" s="245"/>
      <c r="B292" s="245"/>
      <c r="C292" s="504"/>
      <c r="D292" s="245"/>
      <c r="E292" s="504"/>
      <c r="F292" s="245"/>
      <c r="G292" s="504"/>
      <c r="H292" s="245"/>
      <c r="I292" s="245"/>
      <c r="J292" s="504"/>
      <c r="K292" s="245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</row>
    <row r="293" spans="1:26" ht="13.5" customHeight="1">
      <c r="A293" s="245"/>
      <c r="B293" s="245"/>
      <c r="C293" s="504"/>
      <c r="D293" s="245"/>
      <c r="E293" s="504"/>
      <c r="F293" s="245"/>
      <c r="G293" s="504"/>
      <c r="H293" s="245"/>
      <c r="I293" s="245"/>
      <c r="J293" s="504"/>
      <c r="K293" s="245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</row>
    <row r="294" spans="1:26" ht="13.5" customHeight="1">
      <c r="A294" s="245"/>
      <c r="B294" s="245"/>
      <c r="C294" s="504"/>
      <c r="D294" s="245"/>
      <c r="E294" s="504"/>
      <c r="F294" s="245"/>
      <c r="G294" s="504"/>
      <c r="H294" s="245"/>
      <c r="I294" s="245"/>
      <c r="J294" s="504"/>
      <c r="K294" s="245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</row>
    <row r="295" spans="1:26" ht="13.5" customHeight="1">
      <c r="A295" s="245"/>
      <c r="B295" s="245"/>
      <c r="C295" s="504"/>
      <c r="D295" s="245"/>
      <c r="E295" s="504"/>
      <c r="F295" s="245"/>
      <c r="G295" s="504"/>
      <c r="H295" s="245"/>
      <c r="I295" s="245"/>
      <c r="J295" s="504"/>
      <c r="K295" s="245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</row>
    <row r="296" spans="1:26" ht="13.5" customHeight="1">
      <c r="A296" s="245"/>
      <c r="B296" s="245"/>
      <c r="C296" s="504"/>
      <c r="D296" s="245"/>
      <c r="E296" s="504"/>
      <c r="F296" s="245"/>
      <c r="G296" s="504"/>
      <c r="H296" s="245"/>
      <c r="I296" s="245"/>
      <c r="J296" s="504"/>
      <c r="K296" s="245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</row>
    <row r="297" spans="1:26" ht="13.5" customHeight="1">
      <c r="A297" s="245"/>
      <c r="B297" s="245"/>
      <c r="C297" s="504"/>
      <c r="D297" s="245"/>
      <c r="E297" s="504"/>
      <c r="F297" s="245"/>
      <c r="G297" s="504"/>
      <c r="H297" s="245"/>
      <c r="I297" s="245"/>
      <c r="J297" s="504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</row>
    <row r="298" spans="1:26" ht="13.5" customHeight="1">
      <c r="A298" s="245"/>
      <c r="B298" s="245"/>
      <c r="C298" s="504"/>
      <c r="D298" s="245"/>
      <c r="E298" s="504"/>
      <c r="F298" s="245"/>
      <c r="G298" s="504"/>
      <c r="H298" s="245"/>
      <c r="I298" s="245"/>
      <c r="J298" s="504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</row>
    <row r="299" spans="1:26" ht="13.5" customHeight="1">
      <c r="A299" s="245"/>
      <c r="B299" s="245"/>
      <c r="C299" s="504"/>
      <c r="D299" s="245"/>
      <c r="E299" s="504"/>
      <c r="F299" s="245"/>
      <c r="G299" s="504"/>
      <c r="H299" s="245"/>
      <c r="I299" s="245"/>
      <c r="J299" s="504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</row>
    <row r="300" spans="1:26" ht="13.5" customHeight="1">
      <c r="A300" s="245"/>
      <c r="B300" s="245"/>
      <c r="C300" s="504"/>
      <c r="D300" s="245"/>
      <c r="E300" s="504"/>
      <c r="F300" s="245"/>
      <c r="G300" s="504"/>
      <c r="H300" s="245"/>
      <c r="I300" s="245"/>
      <c r="J300" s="504"/>
      <c r="K300" s="245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</row>
    <row r="301" spans="1:26" ht="13.5" customHeight="1">
      <c r="A301" s="245"/>
      <c r="B301" s="245"/>
      <c r="C301" s="504"/>
      <c r="D301" s="245"/>
      <c r="E301" s="504"/>
      <c r="F301" s="245"/>
      <c r="G301" s="504"/>
      <c r="H301" s="245"/>
      <c r="I301" s="245"/>
      <c r="J301" s="504"/>
      <c r="K301" s="245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</row>
    <row r="302" spans="1:26" ht="13.5" customHeight="1">
      <c r="A302" s="245"/>
      <c r="B302" s="245"/>
      <c r="C302" s="504"/>
      <c r="D302" s="245"/>
      <c r="E302" s="504"/>
      <c r="F302" s="245"/>
      <c r="G302" s="504"/>
      <c r="H302" s="245"/>
      <c r="I302" s="245"/>
      <c r="J302" s="504"/>
      <c r="K302" s="245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</row>
    <row r="303" spans="1:26" ht="13.5" customHeight="1">
      <c r="A303" s="245"/>
      <c r="B303" s="245"/>
      <c r="C303" s="504"/>
      <c r="D303" s="245"/>
      <c r="E303" s="504"/>
      <c r="F303" s="245"/>
      <c r="G303" s="504"/>
      <c r="H303" s="245"/>
      <c r="I303" s="245"/>
      <c r="J303" s="504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</row>
    <row r="304" spans="1:26" ht="13.5" customHeight="1">
      <c r="A304" s="245"/>
      <c r="B304" s="245"/>
      <c r="C304" s="504"/>
      <c r="D304" s="245"/>
      <c r="E304" s="504"/>
      <c r="F304" s="245"/>
      <c r="G304" s="504"/>
      <c r="H304" s="245"/>
      <c r="I304" s="245"/>
      <c r="J304" s="504"/>
      <c r="K304" s="245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</row>
    <row r="305" spans="1:26" ht="13.5" customHeight="1">
      <c r="A305" s="245"/>
      <c r="B305" s="245"/>
      <c r="C305" s="504"/>
      <c r="D305" s="245"/>
      <c r="E305" s="504"/>
      <c r="F305" s="245"/>
      <c r="G305" s="504"/>
      <c r="H305" s="245"/>
      <c r="I305" s="245"/>
      <c r="J305" s="504"/>
      <c r="K305" s="245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</row>
    <row r="306" spans="1:26" ht="13.5" customHeight="1">
      <c r="A306" s="245"/>
      <c r="B306" s="245"/>
      <c r="C306" s="504"/>
      <c r="D306" s="245"/>
      <c r="E306" s="504"/>
      <c r="F306" s="245"/>
      <c r="G306" s="504"/>
      <c r="H306" s="245"/>
      <c r="I306" s="245"/>
      <c r="J306" s="504"/>
      <c r="K306" s="245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</row>
    <row r="307" spans="1:26" ht="13.5" customHeight="1">
      <c r="A307" s="245"/>
      <c r="B307" s="245"/>
      <c r="C307" s="504"/>
      <c r="D307" s="245"/>
      <c r="E307" s="504"/>
      <c r="F307" s="245"/>
      <c r="G307" s="504"/>
      <c r="H307" s="245"/>
      <c r="I307" s="245"/>
      <c r="J307" s="504"/>
      <c r="K307" s="245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</row>
    <row r="308" spans="1:26" ht="13.5" customHeight="1">
      <c r="A308" s="245"/>
      <c r="B308" s="245"/>
      <c r="C308" s="504"/>
      <c r="D308" s="245"/>
      <c r="E308" s="504"/>
      <c r="F308" s="245"/>
      <c r="G308" s="504"/>
      <c r="H308" s="245"/>
      <c r="I308" s="245"/>
      <c r="J308" s="504"/>
      <c r="K308" s="245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</row>
    <row r="309" spans="1:26" ht="13.5" customHeight="1">
      <c r="A309" s="245"/>
      <c r="B309" s="245"/>
      <c r="C309" s="504"/>
      <c r="D309" s="245"/>
      <c r="E309" s="504"/>
      <c r="F309" s="245"/>
      <c r="G309" s="504"/>
      <c r="H309" s="245"/>
      <c r="I309" s="245"/>
      <c r="J309" s="504"/>
      <c r="K309" s="245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</row>
    <row r="310" spans="1:26" ht="13.5" customHeight="1">
      <c r="A310" s="245"/>
      <c r="B310" s="245"/>
      <c r="C310" s="504"/>
      <c r="D310" s="245"/>
      <c r="E310" s="504"/>
      <c r="F310" s="245"/>
      <c r="G310" s="504"/>
      <c r="H310" s="245"/>
      <c r="I310" s="245"/>
      <c r="J310" s="504"/>
      <c r="K310" s="245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</row>
    <row r="311" spans="1:26" ht="15.75" customHeight="1"/>
    <row r="312" spans="1:26" ht="15.75" customHeight="1"/>
    <row r="313" spans="1:26" ht="15.75" customHeight="1"/>
    <row r="314" spans="1:26" ht="15.75" customHeight="1"/>
    <row r="315" spans="1:26" ht="15.75" customHeight="1"/>
    <row r="316" spans="1:26" ht="15.75" customHeight="1"/>
    <row r="317" spans="1:26" ht="15.75" customHeight="1"/>
    <row r="318" spans="1:26" ht="15.75" customHeight="1"/>
    <row r="319" spans="1:26" ht="15.75" customHeight="1"/>
    <row r="320" spans="1:26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3:B3"/>
    <mergeCell ref="AA3:AE3"/>
    <mergeCell ref="AG3:AZ3"/>
    <mergeCell ref="BB3:BE4"/>
    <mergeCell ref="AA4:AA5"/>
    <mergeCell ref="AB4:AB5"/>
    <mergeCell ref="AY4:AZ4"/>
    <mergeCell ref="AK4:AL4"/>
    <mergeCell ref="AM4:AN4"/>
    <mergeCell ref="AO4:AP4"/>
    <mergeCell ref="AQ4:AR4"/>
    <mergeCell ref="AS4:AT4"/>
    <mergeCell ref="AC4:AC5"/>
    <mergeCell ref="AD4:AD5"/>
    <mergeCell ref="AE4:AE5"/>
    <mergeCell ref="AG4:AH4"/>
    <mergeCell ref="AI4:AJ4"/>
    <mergeCell ref="AU4:AV4"/>
    <mergeCell ref="AW4:AX4"/>
    <mergeCell ref="AA2:BE2"/>
  </mergeCells>
  <dataValidations count="1">
    <dataValidation type="list" allowBlank="1" showErrorMessage="1" sqref="BB6:BB110" xr:uid="{00000000-0002-0000-1000-000000000000}">
      <formula1>"A,O"</formula1>
    </dataValidation>
  </dataValidations>
  <pageMargins left="0.24" right="0.25" top="0.75" bottom="0.75" header="0" footer="0"/>
  <pageSetup paperSize="9" orientation="portrait"/>
  <rowBreaks count="1" manualBreakCount="1">
    <brk id="72" man="1"/>
  </rowBreaks>
  <colBreaks count="1" manualBreakCount="1">
    <brk id="10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000"/>
  <sheetViews>
    <sheetView workbookViewId="0">
      <selection sqref="A1:J1"/>
    </sheetView>
  </sheetViews>
  <sheetFormatPr defaultColWidth="14.42578125" defaultRowHeight="15" customHeight="1"/>
  <cols>
    <col min="1" max="1" width="35.42578125" customWidth="1"/>
    <col min="2" max="2" width="100.28515625" customWidth="1"/>
    <col min="3" max="3" width="12.140625" customWidth="1"/>
    <col min="4" max="4" width="10.140625" customWidth="1"/>
    <col min="5" max="5" width="22.5703125" customWidth="1"/>
    <col min="6" max="6" width="35.5703125" customWidth="1"/>
    <col min="7" max="12" width="9.85546875" customWidth="1"/>
  </cols>
  <sheetData>
    <row r="1" spans="1:12" ht="13.5" customHeight="1">
      <c r="A1" s="703" t="s">
        <v>1235</v>
      </c>
      <c r="B1" s="665"/>
      <c r="C1" s="665"/>
      <c r="D1" s="665"/>
      <c r="E1" s="665"/>
      <c r="F1" s="665"/>
      <c r="G1" s="665"/>
      <c r="H1" s="665"/>
      <c r="I1" s="665"/>
      <c r="J1" s="665"/>
    </row>
    <row r="2" spans="1:12" ht="13.5" customHeight="1"/>
    <row r="3" spans="1:12" ht="13.5" customHeight="1">
      <c r="A3" s="704" t="s">
        <v>1236</v>
      </c>
      <c r="B3" s="704" t="s">
        <v>1237</v>
      </c>
      <c r="C3" s="706" t="s">
        <v>1238</v>
      </c>
      <c r="D3" s="707" t="s">
        <v>1239</v>
      </c>
      <c r="E3" s="708"/>
      <c r="F3" s="708"/>
      <c r="G3" s="708"/>
      <c r="H3" s="708"/>
      <c r="I3" s="708"/>
      <c r="J3" s="662"/>
    </row>
    <row r="4" spans="1:12" ht="13.5" customHeight="1">
      <c r="A4" s="705"/>
      <c r="B4" s="705"/>
      <c r="C4" s="705"/>
      <c r="D4" s="610" t="s">
        <v>1240</v>
      </c>
      <c r="E4" s="610" t="s">
        <v>1241</v>
      </c>
      <c r="F4" s="610" t="s">
        <v>1242</v>
      </c>
      <c r="G4" s="610" t="s">
        <v>10</v>
      </c>
      <c r="H4" s="610" t="s">
        <v>9</v>
      </c>
      <c r="I4" s="610" t="s">
        <v>1243</v>
      </c>
      <c r="J4" s="610" t="s">
        <v>1244</v>
      </c>
      <c r="K4" s="611"/>
      <c r="L4" s="611"/>
    </row>
    <row r="5" spans="1:12" ht="13.5" customHeight="1">
      <c r="A5" s="612" t="s">
        <v>1245</v>
      </c>
      <c r="B5" s="613" t="s">
        <v>1246</v>
      </c>
      <c r="C5" s="614" t="s">
        <v>1247</v>
      </c>
      <c r="D5" s="615"/>
      <c r="E5" s="615"/>
      <c r="F5" s="615"/>
      <c r="G5" s="615"/>
      <c r="H5" s="615"/>
      <c r="I5" s="615"/>
      <c r="J5" s="615"/>
    </row>
    <row r="6" spans="1:12" ht="13.5" customHeight="1">
      <c r="A6" s="612" t="s">
        <v>1248</v>
      </c>
      <c r="B6" s="613" t="s">
        <v>1249</v>
      </c>
      <c r="C6" s="614" t="s">
        <v>1250</v>
      </c>
      <c r="D6" s="615"/>
      <c r="E6" s="615"/>
      <c r="F6" s="615"/>
      <c r="G6" s="615"/>
      <c r="H6" s="615"/>
      <c r="I6" s="615"/>
      <c r="J6" s="615"/>
    </row>
    <row r="7" spans="1:12" ht="13.5" customHeight="1">
      <c r="A7" s="613" t="s">
        <v>1251</v>
      </c>
      <c r="B7" s="613" t="s">
        <v>1252</v>
      </c>
      <c r="C7" s="614" t="s">
        <v>1253</v>
      </c>
      <c r="D7" s="615" t="s">
        <v>1254</v>
      </c>
      <c r="E7" s="615"/>
      <c r="F7" s="615"/>
      <c r="G7" s="615" t="s">
        <v>1255</v>
      </c>
      <c r="H7" s="615" t="s">
        <v>1256</v>
      </c>
      <c r="I7" s="615"/>
      <c r="J7" s="615"/>
    </row>
    <row r="8" spans="1:12" ht="13.5" customHeight="1">
      <c r="A8" s="613" t="s">
        <v>1257</v>
      </c>
      <c r="B8" s="613" t="s">
        <v>1258</v>
      </c>
      <c r="C8" s="614" t="s">
        <v>1253</v>
      </c>
      <c r="D8" s="615" t="s">
        <v>1254</v>
      </c>
      <c r="E8" s="615"/>
      <c r="F8" s="615"/>
      <c r="G8" s="615" t="s">
        <v>1255</v>
      </c>
      <c r="H8" s="615" t="s">
        <v>1259</v>
      </c>
      <c r="I8" s="615"/>
      <c r="J8" s="615"/>
    </row>
    <row r="9" spans="1:12" ht="13.5" customHeight="1">
      <c r="A9" s="613" t="s">
        <v>1260</v>
      </c>
      <c r="B9" s="613" t="s">
        <v>1261</v>
      </c>
      <c r="C9" s="614" t="s">
        <v>1253</v>
      </c>
      <c r="D9" s="615" t="s">
        <v>1254</v>
      </c>
      <c r="E9" s="615"/>
      <c r="F9" s="615"/>
      <c r="G9" s="615"/>
      <c r="H9" s="615"/>
      <c r="I9" s="615"/>
      <c r="J9" s="615"/>
    </row>
    <row r="10" spans="1:12" ht="13.5" customHeight="1">
      <c r="A10" s="613" t="s">
        <v>1262</v>
      </c>
      <c r="B10" s="613" t="s">
        <v>1263</v>
      </c>
      <c r="C10" s="614" t="s">
        <v>1264</v>
      </c>
      <c r="D10" s="615" t="s">
        <v>1254</v>
      </c>
      <c r="E10" s="615"/>
      <c r="F10" s="615" t="s">
        <v>1265</v>
      </c>
      <c r="G10" s="615"/>
      <c r="H10" s="615"/>
      <c r="I10" s="615"/>
      <c r="J10" s="615"/>
    </row>
    <row r="11" spans="1:12" ht="13.5" customHeight="1">
      <c r="A11" s="613"/>
      <c r="B11" s="613"/>
      <c r="C11" s="614"/>
      <c r="D11" s="615"/>
      <c r="E11" s="615"/>
      <c r="F11" s="615"/>
      <c r="G11" s="615"/>
      <c r="H11" s="615"/>
      <c r="I11" s="615"/>
      <c r="J11" s="615"/>
    </row>
    <row r="12" spans="1:12" ht="13.5" customHeight="1">
      <c r="A12" s="613"/>
      <c r="B12" s="613" t="s">
        <v>1261</v>
      </c>
      <c r="C12" s="614"/>
      <c r="D12" s="615"/>
      <c r="E12" s="615"/>
      <c r="F12" s="615"/>
      <c r="G12" s="615"/>
      <c r="H12" s="615"/>
      <c r="I12" s="615"/>
      <c r="J12" s="615"/>
    </row>
    <row r="13" spans="1:12" ht="13.5" customHeight="1">
      <c r="A13" s="613"/>
      <c r="B13" s="613"/>
      <c r="C13" s="614"/>
      <c r="D13" s="615"/>
      <c r="E13" s="615"/>
      <c r="F13" s="615"/>
      <c r="G13" s="615"/>
      <c r="H13" s="615"/>
      <c r="I13" s="615"/>
      <c r="J13" s="615"/>
    </row>
    <row r="14" spans="1:12" ht="13.5" customHeight="1">
      <c r="A14" s="613"/>
      <c r="B14" s="613"/>
      <c r="C14" s="614"/>
      <c r="D14" s="615"/>
      <c r="E14" s="615"/>
      <c r="F14" s="615"/>
      <c r="G14" s="615"/>
      <c r="H14" s="615"/>
      <c r="I14" s="615"/>
      <c r="J14" s="615"/>
    </row>
    <row r="15" spans="1:12" ht="13.5" customHeight="1">
      <c r="A15" s="613" t="s">
        <v>1266</v>
      </c>
      <c r="B15" s="613" t="s">
        <v>1267</v>
      </c>
      <c r="C15" s="614" t="s">
        <v>1268</v>
      </c>
      <c r="D15" s="615" t="s">
        <v>1254</v>
      </c>
      <c r="E15" s="615" t="s">
        <v>1269</v>
      </c>
      <c r="F15" s="615" t="s">
        <v>1270</v>
      </c>
      <c r="G15" s="615" t="s">
        <v>1255</v>
      </c>
      <c r="H15" s="615" t="s">
        <v>1256</v>
      </c>
      <c r="I15" s="615" t="s">
        <v>1271</v>
      </c>
      <c r="J15" s="615"/>
    </row>
    <row r="16" spans="1:12" ht="13.5" customHeight="1">
      <c r="A16" s="613" t="s">
        <v>1272</v>
      </c>
      <c r="B16" s="613" t="s">
        <v>1273</v>
      </c>
      <c r="C16" s="614" t="s">
        <v>1274</v>
      </c>
      <c r="D16" s="615" t="s">
        <v>1254</v>
      </c>
      <c r="E16" s="615" t="s">
        <v>1269</v>
      </c>
      <c r="F16" s="615" t="s">
        <v>1270</v>
      </c>
      <c r="G16" s="615" t="s">
        <v>1255</v>
      </c>
      <c r="H16" s="615" t="s">
        <v>1256</v>
      </c>
      <c r="I16" s="615" t="s">
        <v>1271</v>
      </c>
      <c r="J16" s="615"/>
    </row>
    <row r="17" spans="1:10" ht="13.5" customHeight="1">
      <c r="A17" s="613" t="s">
        <v>1275</v>
      </c>
      <c r="B17" s="613" t="s">
        <v>1276</v>
      </c>
      <c r="C17" s="614" t="s">
        <v>1277</v>
      </c>
      <c r="D17" s="615" t="s">
        <v>1254</v>
      </c>
      <c r="E17" s="615" t="s">
        <v>1269</v>
      </c>
      <c r="F17" s="615" t="s">
        <v>1270</v>
      </c>
      <c r="G17" s="615" t="s">
        <v>1255</v>
      </c>
      <c r="H17" s="615" t="s">
        <v>1256</v>
      </c>
      <c r="I17" s="615" t="s">
        <v>1271</v>
      </c>
      <c r="J17" s="615"/>
    </row>
    <row r="18" spans="1:10" ht="13.5" customHeight="1">
      <c r="A18" s="613" t="s">
        <v>1278</v>
      </c>
      <c r="B18" s="613" t="s">
        <v>1279</v>
      </c>
      <c r="C18" s="614" t="s">
        <v>1280</v>
      </c>
      <c r="D18" s="615" t="s">
        <v>1254</v>
      </c>
      <c r="E18" s="615" t="s">
        <v>1269</v>
      </c>
      <c r="F18" s="615" t="s">
        <v>1270</v>
      </c>
      <c r="G18" s="615" t="s">
        <v>1255</v>
      </c>
      <c r="H18" s="615" t="s">
        <v>1256</v>
      </c>
      <c r="I18" s="615" t="s">
        <v>1271</v>
      </c>
      <c r="J18" s="615"/>
    </row>
    <row r="19" spans="1:10" ht="13.5" customHeight="1">
      <c r="A19" s="613" t="s">
        <v>1281</v>
      </c>
      <c r="B19" s="613" t="s">
        <v>1276</v>
      </c>
      <c r="C19" s="614" t="s">
        <v>1277</v>
      </c>
      <c r="D19" s="615" t="s">
        <v>1254</v>
      </c>
      <c r="E19" s="615" t="s">
        <v>1269</v>
      </c>
      <c r="F19" s="615" t="s">
        <v>1270</v>
      </c>
      <c r="G19" s="615" t="s">
        <v>1255</v>
      </c>
      <c r="H19" s="615" t="s">
        <v>1256</v>
      </c>
      <c r="I19" s="615" t="s">
        <v>1271</v>
      </c>
      <c r="J19" s="615" t="s">
        <v>1282</v>
      </c>
    </row>
    <row r="20" spans="1:10" ht="13.5" customHeight="1">
      <c r="A20" s="613" t="s">
        <v>1283</v>
      </c>
      <c r="B20" s="613" t="s">
        <v>1279</v>
      </c>
      <c r="C20" s="614" t="s">
        <v>1280</v>
      </c>
      <c r="D20" s="615" t="s">
        <v>1254</v>
      </c>
      <c r="E20" s="615" t="s">
        <v>1269</v>
      </c>
      <c r="F20" s="615" t="s">
        <v>1270</v>
      </c>
      <c r="G20" s="615" t="s">
        <v>1255</v>
      </c>
      <c r="H20" s="615" t="s">
        <v>1256</v>
      </c>
      <c r="I20" s="615" t="s">
        <v>1271</v>
      </c>
      <c r="J20" s="615" t="s">
        <v>1282</v>
      </c>
    </row>
    <row r="21" spans="1:10" ht="13.5" customHeight="1">
      <c r="A21" s="613" t="s">
        <v>1284</v>
      </c>
      <c r="B21" s="613" t="s">
        <v>1285</v>
      </c>
      <c r="C21" s="614" t="s">
        <v>1286</v>
      </c>
      <c r="D21" s="615" t="s">
        <v>1254</v>
      </c>
      <c r="E21" s="615" t="s">
        <v>1269</v>
      </c>
      <c r="F21" s="615" t="s">
        <v>1270</v>
      </c>
      <c r="G21" s="615" t="s">
        <v>1255</v>
      </c>
      <c r="H21" s="615" t="s">
        <v>1256</v>
      </c>
      <c r="I21" s="615" t="s">
        <v>1271</v>
      </c>
      <c r="J21" s="615"/>
    </row>
    <row r="22" spans="1:10" ht="13.5" customHeight="1">
      <c r="A22" s="613" t="s">
        <v>1287</v>
      </c>
      <c r="B22" s="613" t="s">
        <v>1288</v>
      </c>
      <c r="C22" s="614" t="s">
        <v>1289</v>
      </c>
      <c r="D22" s="615" t="s">
        <v>1254</v>
      </c>
      <c r="E22" s="615" t="s">
        <v>1269</v>
      </c>
      <c r="F22" s="615" t="s">
        <v>1270</v>
      </c>
      <c r="G22" s="615" t="s">
        <v>1255</v>
      </c>
      <c r="H22" s="615" t="s">
        <v>1256</v>
      </c>
      <c r="I22" s="615" t="s">
        <v>1271</v>
      </c>
      <c r="J22" s="615"/>
    </row>
    <row r="23" spans="1:10" ht="13.5" customHeight="1">
      <c r="A23" s="613"/>
      <c r="B23" s="613"/>
      <c r="C23" s="614"/>
      <c r="D23" s="615"/>
      <c r="E23" s="615"/>
      <c r="F23" s="615"/>
      <c r="G23" s="615"/>
      <c r="H23" s="615"/>
      <c r="I23" s="615"/>
      <c r="J23" s="615"/>
    </row>
    <row r="24" spans="1:10" ht="13.5" customHeight="1">
      <c r="A24" s="613"/>
      <c r="B24" s="613"/>
      <c r="C24" s="614"/>
      <c r="D24" s="615"/>
      <c r="E24" s="615"/>
      <c r="F24" s="615"/>
      <c r="G24" s="615"/>
      <c r="H24" s="615"/>
      <c r="I24" s="615"/>
      <c r="J24" s="615"/>
    </row>
    <row r="25" spans="1:10" ht="13.5" customHeight="1">
      <c r="A25" s="613" t="s">
        <v>1290</v>
      </c>
      <c r="B25" s="613" t="s">
        <v>1291</v>
      </c>
      <c r="C25" s="614" t="s">
        <v>1292</v>
      </c>
      <c r="D25" s="615" t="s">
        <v>1254</v>
      </c>
      <c r="E25" s="615" t="s">
        <v>1269</v>
      </c>
      <c r="F25" s="615" t="s">
        <v>1270</v>
      </c>
      <c r="G25" s="615" t="s">
        <v>1255</v>
      </c>
      <c r="H25" s="615" t="s">
        <v>1256</v>
      </c>
      <c r="I25" s="615" t="s">
        <v>1271</v>
      </c>
      <c r="J25" s="615"/>
    </row>
    <row r="26" spans="1:10" ht="13.5" customHeight="1">
      <c r="A26" s="613" t="s">
        <v>1293</v>
      </c>
      <c r="B26" s="613" t="s">
        <v>1294</v>
      </c>
      <c r="C26" s="614" t="s">
        <v>1295</v>
      </c>
      <c r="D26" s="615" t="s">
        <v>1254</v>
      </c>
      <c r="E26" s="615" t="s">
        <v>1269</v>
      </c>
      <c r="F26" s="615" t="s">
        <v>1270</v>
      </c>
      <c r="G26" s="615" t="s">
        <v>1255</v>
      </c>
      <c r="H26" s="615" t="s">
        <v>1256</v>
      </c>
      <c r="I26" s="615" t="s">
        <v>1271</v>
      </c>
      <c r="J26" s="615"/>
    </row>
    <row r="27" spans="1:10" ht="13.5" customHeight="1">
      <c r="A27" s="613" t="s">
        <v>1296</v>
      </c>
      <c r="B27" s="613" t="s">
        <v>1297</v>
      </c>
      <c r="C27" s="614" t="s">
        <v>1298</v>
      </c>
      <c r="D27" s="615" t="s">
        <v>1254</v>
      </c>
      <c r="E27" s="615" t="s">
        <v>1269</v>
      </c>
      <c r="F27" s="615" t="s">
        <v>1270</v>
      </c>
      <c r="G27" s="615" t="s">
        <v>1255</v>
      </c>
      <c r="H27" s="615" t="s">
        <v>1256</v>
      </c>
      <c r="I27" s="615" t="s">
        <v>1271</v>
      </c>
      <c r="J27" s="615"/>
    </row>
    <row r="28" spans="1:10" ht="13.5" customHeight="1">
      <c r="A28" s="613" t="s">
        <v>1299</v>
      </c>
      <c r="B28" s="613" t="s">
        <v>1300</v>
      </c>
      <c r="C28" s="614" t="s">
        <v>1301</v>
      </c>
      <c r="D28" s="615" t="s">
        <v>1254</v>
      </c>
      <c r="E28" s="615" t="s">
        <v>1269</v>
      </c>
      <c r="F28" s="615" t="s">
        <v>1270</v>
      </c>
      <c r="G28" s="615" t="s">
        <v>1255</v>
      </c>
      <c r="H28" s="615" t="s">
        <v>1256</v>
      </c>
      <c r="I28" s="615" t="s">
        <v>1271</v>
      </c>
      <c r="J28" s="615"/>
    </row>
    <row r="29" spans="1:10" ht="13.5" customHeight="1">
      <c r="A29" s="613" t="s">
        <v>1302</v>
      </c>
      <c r="B29" s="613" t="s">
        <v>1303</v>
      </c>
      <c r="C29" s="614" t="s">
        <v>1304</v>
      </c>
      <c r="D29" s="615" t="s">
        <v>1254</v>
      </c>
      <c r="E29" s="615" t="s">
        <v>1269</v>
      </c>
      <c r="F29" s="615" t="s">
        <v>1270</v>
      </c>
      <c r="G29" s="615" t="s">
        <v>1255</v>
      </c>
      <c r="H29" s="615" t="s">
        <v>1256</v>
      </c>
      <c r="I29" s="615" t="s">
        <v>1271</v>
      </c>
      <c r="J29" s="615"/>
    </row>
    <row r="30" spans="1:10" ht="13.5" customHeight="1">
      <c r="A30" s="613" t="s">
        <v>1305</v>
      </c>
      <c r="B30" s="613" t="s">
        <v>1297</v>
      </c>
      <c r="C30" s="614" t="s">
        <v>1306</v>
      </c>
      <c r="D30" s="615" t="s">
        <v>1254</v>
      </c>
      <c r="E30" s="615" t="s">
        <v>1269</v>
      </c>
      <c r="F30" s="615" t="s">
        <v>1270</v>
      </c>
      <c r="G30" s="615" t="s">
        <v>1255</v>
      </c>
      <c r="H30" s="615" t="s">
        <v>1256</v>
      </c>
      <c r="I30" s="615" t="s">
        <v>1271</v>
      </c>
      <c r="J30" s="615"/>
    </row>
    <row r="31" spans="1:10" ht="13.5" customHeight="1">
      <c r="A31" s="613" t="s">
        <v>1307</v>
      </c>
      <c r="B31" s="613" t="s">
        <v>1308</v>
      </c>
      <c r="C31" s="614" t="s">
        <v>1309</v>
      </c>
      <c r="D31" s="615" t="s">
        <v>1254</v>
      </c>
      <c r="E31" s="615" t="s">
        <v>1269</v>
      </c>
      <c r="F31" s="615" t="s">
        <v>1270</v>
      </c>
      <c r="G31" s="615" t="s">
        <v>1255</v>
      </c>
      <c r="H31" s="615" t="s">
        <v>1256</v>
      </c>
      <c r="I31" s="615" t="s">
        <v>1271</v>
      </c>
      <c r="J31" s="615"/>
    </row>
    <row r="32" spans="1:10" ht="13.5" customHeight="1"/>
    <row r="33" spans="1:10" ht="13.5" hidden="1" customHeight="1">
      <c r="A33" s="616" t="s">
        <v>1266</v>
      </c>
      <c r="B33" s="616" t="s">
        <v>1310</v>
      </c>
      <c r="C33" s="617" t="s">
        <v>1311</v>
      </c>
      <c r="D33" s="618" t="s">
        <v>1254</v>
      </c>
      <c r="E33" s="618" t="s">
        <v>1269</v>
      </c>
      <c r="F33" s="618" t="s">
        <v>1270</v>
      </c>
      <c r="G33" s="618" t="s">
        <v>1255</v>
      </c>
      <c r="H33" s="618" t="s">
        <v>1256</v>
      </c>
      <c r="I33" s="618" t="s">
        <v>1271</v>
      </c>
      <c r="J33" s="618"/>
    </row>
    <row r="34" spans="1:10" ht="13.5" hidden="1" customHeight="1">
      <c r="A34" s="616" t="s">
        <v>1272</v>
      </c>
      <c r="B34" s="616" t="s">
        <v>1312</v>
      </c>
      <c r="C34" s="617" t="s">
        <v>1313</v>
      </c>
      <c r="D34" s="618" t="s">
        <v>1254</v>
      </c>
      <c r="E34" s="618" t="s">
        <v>1269</v>
      </c>
      <c r="F34" s="618" t="s">
        <v>1270</v>
      </c>
      <c r="G34" s="618" t="s">
        <v>1255</v>
      </c>
      <c r="H34" s="618" t="s">
        <v>1256</v>
      </c>
      <c r="I34" s="618" t="s">
        <v>1271</v>
      </c>
      <c r="J34" s="618"/>
    </row>
    <row r="35" spans="1:10" ht="13.5" hidden="1" customHeight="1">
      <c r="A35" s="616" t="s">
        <v>1275</v>
      </c>
      <c r="B35" s="616" t="s">
        <v>1314</v>
      </c>
      <c r="C35" s="617" t="s">
        <v>1277</v>
      </c>
      <c r="D35" s="618" t="s">
        <v>1254</v>
      </c>
      <c r="E35" s="618" t="s">
        <v>1269</v>
      </c>
      <c r="F35" s="618" t="s">
        <v>1270</v>
      </c>
      <c r="G35" s="618" t="s">
        <v>1255</v>
      </c>
      <c r="H35" s="618" t="s">
        <v>1256</v>
      </c>
      <c r="I35" s="618" t="s">
        <v>1271</v>
      </c>
      <c r="J35" s="618"/>
    </row>
    <row r="36" spans="1:10" ht="13.5" hidden="1" customHeight="1">
      <c r="A36" s="616" t="s">
        <v>1278</v>
      </c>
      <c r="B36" s="616" t="s">
        <v>1315</v>
      </c>
      <c r="C36" s="617" t="s">
        <v>1280</v>
      </c>
      <c r="D36" s="618" t="s">
        <v>1254</v>
      </c>
      <c r="E36" s="618" t="s">
        <v>1269</v>
      </c>
      <c r="F36" s="618" t="s">
        <v>1270</v>
      </c>
      <c r="G36" s="618" t="s">
        <v>1255</v>
      </c>
      <c r="H36" s="618" t="s">
        <v>1256</v>
      </c>
      <c r="I36" s="618" t="s">
        <v>1271</v>
      </c>
      <c r="J36" s="618"/>
    </row>
    <row r="37" spans="1:10" ht="13.5" hidden="1" customHeight="1">
      <c r="A37" s="616" t="s">
        <v>1281</v>
      </c>
      <c r="B37" s="616" t="s">
        <v>1316</v>
      </c>
      <c r="C37" s="617" t="s">
        <v>1277</v>
      </c>
      <c r="D37" s="618" t="s">
        <v>1254</v>
      </c>
      <c r="E37" s="618" t="s">
        <v>1269</v>
      </c>
      <c r="F37" s="618" t="s">
        <v>1270</v>
      </c>
      <c r="G37" s="618" t="s">
        <v>1255</v>
      </c>
      <c r="H37" s="618" t="s">
        <v>1256</v>
      </c>
      <c r="I37" s="618" t="s">
        <v>1271</v>
      </c>
      <c r="J37" s="618" t="s">
        <v>1282</v>
      </c>
    </row>
    <row r="38" spans="1:10" ht="13.5" hidden="1" customHeight="1">
      <c r="A38" s="616" t="s">
        <v>1283</v>
      </c>
      <c r="B38" s="616" t="s">
        <v>1317</v>
      </c>
      <c r="C38" s="617" t="s">
        <v>1280</v>
      </c>
      <c r="D38" s="618" t="s">
        <v>1254</v>
      </c>
      <c r="E38" s="618" t="s">
        <v>1269</v>
      </c>
      <c r="F38" s="618" t="s">
        <v>1270</v>
      </c>
      <c r="G38" s="618" t="s">
        <v>1255</v>
      </c>
      <c r="H38" s="618" t="s">
        <v>1256</v>
      </c>
      <c r="I38" s="618" t="s">
        <v>1271</v>
      </c>
      <c r="J38" s="618" t="s">
        <v>1282</v>
      </c>
    </row>
    <row r="39" spans="1:10" ht="13.5" hidden="1" customHeight="1">
      <c r="A39" s="616" t="s">
        <v>1284</v>
      </c>
      <c r="B39" s="616" t="s">
        <v>1285</v>
      </c>
      <c r="C39" s="617" t="s">
        <v>1286</v>
      </c>
      <c r="D39" s="618" t="s">
        <v>1254</v>
      </c>
      <c r="E39" s="618" t="s">
        <v>1269</v>
      </c>
      <c r="F39" s="618" t="s">
        <v>1270</v>
      </c>
      <c r="G39" s="618" t="s">
        <v>1255</v>
      </c>
      <c r="H39" s="618" t="s">
        <v>1256</v>
      </c>
      <c r="I39" s="618" t="s">
        <v>1271</v>
      </c>
      <c r="J39" s="618"/>
    </row>
    <row r="40" spans="1:10" ht="13.5" hidden="1" customHeight="1">
      <c r="A40" s="616" t="s">
        <v>1287</v>
      </c>
      <c r="B40" s="616" t="s">
        <v>1288</v>
      </c>
      <c r="C40" s="617" t="s">
        <v>1289</v>
      </c>
      <c r="D40" s="618" t="s">
        <v>1254</v>
      </c>
      <c r="E40" s="618" t="s">
        <v>1269</v>
      </c>
      <c r="F40" s="618" t="s">
        <v>1270</v>
      </c>
      <c r="G40" s="618" t="s">
        <v>1255</v>
      </c>
      <c r="H40" s="618" t="s">
        <v>1256</v>
      </c>
      <c r="I40" s="618" t="s">
        <v>1271</v>
      </c>
      <c r="J40" s="618"/>
    </row>
    <row r="41" spans="1:10" ht="13.5" customHeight="1"/>
    <row r="42" spans="1:10" ht="13.5" customHeight="1"/>
    <row r="43" spans="1:10" ht="13.5" customHeight="1"/>
    <row r="44" spans="1:10" ht="13.5" customHeight="1"/>
    <row r="45" spans="1:10" ht="13.5" customHeight="1"/>
    <row r="46" spans="1:10" ht="13.5" customHeight="1"/>
    <row r="47" spans="1:10" ht="13.5" customHeight="1"/>
    <row r="48" spans="1:10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J1"/>
    <mergeCell ref="A3:A4"/>
    <mergeCell ref="B3:B4"/>
    <mergeCell ref="C3:C4"/>
    <mergeCell ref="D3:J3"/>
  </mergeCells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/>
  </sheetViews>
  <sheetFormatPr defaultColWidth="14.42578125" defaultRowHeight="15" customHeight="1"/>
  <cols>
    <col min="1" max="1" width="11" customWidth="1"/>
    <col min="2" max="2" width="14.140625" customWidth="1"/>
    <col min="3" max="3" width="46.28515625" customWidth="1"/>
    <col min="4" max="4" width="22.42578125" customWidth="1"/>
    <col min="5" max="5" width="10.42578125" customWidth="1"/>
    <col min="6" max="6" width="35.140625" customWidth="1"/>
    <col min="7" max="8" width="7" customWidth="1"/>
    <col min="9" max="9" width="5" customWidth="1"/>
    <col min="10" max="10" width="16.140625" customWidth="1"/>
    <col min="11" max="26" width="9.140625" customWidth="1"/>
  </cols>
  <sheetData>
    <row r="1" spans="1:26" ht="11.25" customHeight="1">
      <c r="A1" s="619" t="s">
        <v>1318</v>
      </c>
      <c r="B1" s="620" t="s">
        <v>1319</v>
      </c>
      <c r="C1" s="620" t="s">
        <v>1320</v>
      </c>
      <c r="D1" s="620" t="s">
        <v>1321</v>
      </c>
      <c r="E1" s="620" t="s">
        <v>1239</v>
      </c>
      <c r="F1" s="620" t="s">
        <v>1322</v>
      </c>
      <c r="G1" s="621" t="s">
        <v>9</v>
      </c>
      <c r="H1" s="622" t="s">
        <v>1323</v>
      </c>
      <c r="I1" s="619" t="s">
        <v>1324</v>
      </c>
      <c r="J1" s="622" t="s">
        <v>1325</v>
      </c>
      <c r="K1" s="619"/>
      <c r="L1" s="619" t="s">
        <v>13</v>
      </c>
      <c r="M1" s="619"/>
      <c r="N1" s="619"/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</row>
    <row r="2" spans="1:26" ht="11.25" customHeight="1">
      <c r="A2" s="619" t="s">
        <v>1326</v>
      </c>
      <c r="B2" s="619" t="s">
        <v>1326</v>
      </c>
      <c r="C2" s="619" t="e">
        <v>#NULL!</v>
      </c>
      <c r="D2" s="623" t="s">
        <v>1327</v>
      </c>
      <c r="E2" s="624" t="s">
        <v>1328</v>
      </c>
      <c r="F2" s="619" t="str">
        <f t="array" ref="F2:F3">_xll.GetBusinessUnitList()</f>
        <v>homm</v>
      </c>
      <c r="G2" s="621">
        <v>6</v>
      </c>
      <c r="H2" s="625" t="str">
        <f>TEXT(G2*29,"MMMM")</f>
        <v>มิถุนายน</v>
      </c>
      <c r="I2" s="622">
        <f ca="1">DAY(EOMONTH(DATEVALUE("01-"&amp;H2&amp;"-"&amp;YEAR(TODAY())),0))</f>
        <v>30</v>
      </c>
      <c r="J2" s="626">
        <v>1</v>
      </c>
      <c r="K2" s="619" t="str">
        <f t="shared" ref="K2:K13" si="0">TEXT(J2*29,"MMM")</f>
        <v>ม.ค.</v>
      </c>
      <c r="L2" s="619" t="s">
        <v>1329</v>
      </c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  <c r="X2" s="619"/>
      <c r="Y2" s="619"/>
      <c r="Z2" s="619"/>
    </row>
    <row r="3" spans="1:26" ht="11.25" customHeight="1">
      <c r="A3" s="619"/>
      <c r="B3" s="619"/>
      <c r="C3" s="619" t="e">
        <v>#NULL!</v>
      </c>
      <c r="D3" s="623" t="s">
        <v>1330</v>
      </c>
      <c r="E3" s="624" t="s">
        <v>1331</v>
      </c>
      <c r="F3" s="619" t="str">
        <v>homm_train</v>
      </c>
      <c r="G3" s="621"/>
      <c r="H3" s="619"/>
      <c r="I3" s="619"/>
      <c r="J3" s="626" t="s">
        <v>1332</v>
      </c>
      <c r="K3" s="619" t="str">
        <f t="shared" si="0"/>
        <v>ก.พ.</v>
      </c>
      <c r="L3" s="619"/>
      <c r="M3" s="619"/>
      <c r="N3" s="619"/>
      <c r="O3" s="619"/>
      <c r="P3" s="619"/>
      <c r="Q3" s="619"/>
      <c r="R3" s="619"/>
      <c r="S3" s="619"/>
      <c r="T3" s="619"/>
      <c r="U3" s="619"/>
      <c r="V3" s="619"/>
      <c r="W3" s="619"/>
      <c r="X3" s="619"/>
      <c r="Y3" s="619"/>
      <c r="Z3" s="619"/>
    </row>
    <row r="4" spans="1:26" ht="11.25" customHeight="1">
      <c r="A4" s="619"/>
      <c r="B4" s="619"/>
      <c r="C4" s="619" t="e">
        <v>#NULL!</v>
      </c>
      <c r="D4" s="623" t="s">
        <v>1333</v>
      </c>
      <c r="E4" s="624" t="s">
        <v>1334</v>
      </c>
      <c r="F4" s="619"/>
      <c r="G4" s="621"/>
      <c r="H4" s="619"/>
      <c r="I4" s="619"/>
      <c r="J4" s="626" t="s">
        <v>1335</v>
      </c>
      <c r="K4" s="619" t="str">
        <f t="shared" si="0"/>
        <v>มี.ค.</v>
      </c>
      <c r="L4" s="619"/>
      <c r="M4" s="619"/>
      <c r="N4" s="619"/>
      <c r="O4" s="619"/>
      <c r="P4" s="619"/>
      <c r="Q4" s="619"/>
      <c r="R4" s="619"/>
      <c r="S4" s="619"/>
      <c r="T4" s="619"/>
      <c r="U4" s="619"/>
      <c r="V4" s="619"/>
      <c r="W4" s="619"/>
      <c r="X4" s="619"/>
      <c r="Y4" s="619"/>
      <c r="Z4" s="619"/>
    </row>
    <row r="5" spans="1:26" ht="11.25" customHeight="1">
      <c r="A5" s="619"/>
      <c r="B5" s="619"/>
      <c r="C5" s="619" t="e">
        <v>#NULL!</v>
      </c>
      <c r="D5" s="623" t="s">
        <v>1336</v>
      </c>
      <c r="E5" s="624" t="s">
        <v>1337</v>
      </c>
      <c r="F5" s="619"/>
      <c r="G5" s="621"/>
      <c r="H5" s="619"/>
      <c r="I5" s="619"/>
      <c r="J5" s="626" t="s">
        <v>1338</v>
      </c>
      <c r="K5" s="619" t="str">
        <f t="shared" si="0"/>
        <v>เม.ย.</v>
      </c>
      <c r="L5" s="619"/>
      <c r="M5" s="619"/>
      <c r="N5" s="619"/>
      <c r="O5" s="619"/>
      <c r="P5" s="619"/>
      <c r="Q5" s="619"/>
      <c r="R5" s="619"/>
      <c r="S5" s="619"/>
      <c r="T5" s="619"/>
      <c r="U5" s="619"/>
      <c r="V5" s="619"/>
      <c r="W5" s="619"/>
      <c r="X5" s="619"/>
      <c r="Y5" s="619"/>
      <c r="Z5" s="619"/>
    </row>
    <row r="6" spans="1:26" ht="11.25" customHeight="1">
      <c r="A6" s="619"/>
      <c r="B6" s="619"/>
      <c r="C6" s="619" t="e">
        <v>#NULL!</v>
      </c>
      <c r="D6" s="623" t="s">
        <v>1339</v>
      </c>
      <c r="E6" s="624" t="s">
        <v>1340</v>
      </c>
      <c r="F6" s="619"/>
      <c r="G6" s="621"/>
      <c r="H6" s="619"/>
      <c r="I6" s="619"/>
      <c r="J6" s="626" t="s">
        <v>1341</v>
      </c>
      <c r="K6" s="619" t="str">
        <f t="shared" si="0"/>
        <v>พ.ค.</v>
      </c>
      <c r="L6" s="619"/>
      <c r="M6" s="619"/>
      <c r="N6" s="619"/>
      <c r="O6" s="619"/>
      <c r="P6" s="619"/>
      <c r="Q6" s="619"/>
      <c r="R6" s="619"/>
      <c r="S6" s="619"/>
      <c r="T6" s="619"/>
      <c r="U6" s="619"/>
      <c r="V6" s="619"/>
      <c r="W6" s="619"/>
      <c r="X6" s="619"/>
      <c r="Y6" s="619"/>
      <c r="Z6" s="619"/>
    </row>
    <row r="7" spans="1:26" ht="11.25" customHeight="1">
      <c r="A7" s="619"/>
      <c r="B7" s="619"/>
      <c r="C7" s="619" t="e">
        <v>#NULL!</v>
      </c>
      <c r="D7" s="623" t="s">
        <v>1342</v>
      </c>
      <c r="E7" s="624" t="s">
        <v>1343</v>
      </c>
      <c r="F7" s="619"/>
      <c r="G7" s="621"/>
      <c r="H7" s="619"/>
      <c r="I7" s="619"/>
      <c r="J7" s="626" t="s">
        <v>1344</v>
      </c>
      <c r="K7" s="619" t="str">
        <f t="shared" si="0"/>
        <v>มิ.ย.</v>
      </c>
      <c r="L7" s="619"/>
      <c r="M7" s="619"/>
      <c r="N7" s="619"/>
      <c r="O7" s="619"/>
      <c r="P7" s="619"/>
      <c r="Q7" s="619"/>
      <c r="R7" s="619"/>
      <c r="S7" s="619"/>
      <c r="T7" s="619"/>
      <c r="U7" s="619"/>
      <c r="V7" s="619"/>
      <c r="W7" s="619"/>
      <c r="X7" s="619"/>
      <c r="Y7" s="619"/>
      <c r="Z7" s="619"/>
    </row>
    <row r="8" spans="1:26" ht="11.25" customHeight="1">
      <c r="A8" s="619"/>
      <c r="B8" s="619"/>
      <c r="C8" s="619" t="e">
        <v>#NULL!</v>
      </c>
      <c r="D8" s="619"/>
      <c r="E8" s="624" t="s">
        <v>1345</v>
      </c>
      <c r="F8" s="619"/>
      <c r="G8" s="621"/>
      <c r="H8" s="619"/>
      <c r="I8" s="619"/>
      <c r="J8" s="626" t="s">
        <v>1346</v>
      </c>
      <c r="K8" s="619" t="str">
        <f t="shared" si="0"/>
        <v>ก.ค.</v>
      </c>
      <c r="L8" s="619"/>
      <c r="M8" s="619"/>
      <c r="N8" s="619"/>
      <c r="O8" s="619"/>
      <c r="P8" s="619"/>
      <c r="Q8" s="619"/>
      <c r="R8" s="619"/>
      <c r="S8" s="619"/>
      <c r="T8" s="619"/>
      <c r="U8" s="619"/>
      <c r="V8" s="619"/>
      <c r="W8" s="619"/>
      <c r="X8" s="619"/>
      <c r="Y8" s="619"/>
      <c r="Z8" s="619"/>
    </row>
    <row r="9" spans="1:26" ht="11.25" customHeight="1">
      <c r="A9" s="619"/>
      <c r="B9" s="619"/>
      <c r="C9" s="619" t="e">
        <v>#NULL!</v>
      </c>
      <c r="D9" s="619"/>
      <c r="E9" s="624" t="s">
        <v>618</v>
      </c>
      <c r="F9" s="619"/>
      <c r="G9" s="621"/>
      <c r="H9" s="619"/>
      <c r="I9" s="619"/>
      <c r="J9" s="626" t="s">
        <v>1347</v>
      </c>
      <c r="K9" s="619" t="str">
        <f t="shared" si="0"/>
        <v>ส.ค.</v>
      </c>
      <c r="L9" s="619"/>
      <c r="M9" s="619"/>
      <c r="N9" s="619"/>
      <c r="O9" s="619"/>
      <c r="P9" s="619"/>
      <c r="Q9" s="619"/>
      <c r="R9" s="619"/>
      <c r="S9" s="619"/>
      <c r="T9" s="619"/>
      <c r="U9" s="619"/>
      <c r="V9" s="619"/>
      <c r="W9" s="619"/>
      <c r="X9" s="619"/>
      <c r="Y9" s="619"/>
      <c r="Z9" s="619"/>
    </row>
    <row r="10" spans="1:26" ht="11.25" customHeight="1">
      <c r="A10" s="619"/>
      <c r="B10" s="619"/>
      <c r="C10" s="619" t="e">
        <v>#NULL!</v>
      </c>
      <c r="D10" s="619"/>
      <c r="E10" s="627" t="s">
        <v>1348</v>
      </c>
      <c r="F10" s="627"/>
      <c r="G10" s="621"/>
      <c r="H10" s="619"/>
      <c r="I10" s="619"/>
      <c r="J10" s="626" t="s">
        <v>1349</v>
      </c>
      <c r="K10" s="619" t="str">
        <f t="shared" si="0"/>
        <v>ก.ย.</v>
      </c>
      <c r="L10" s="619"/>
      <c r="M10" s="619"/>
      <c r="N10" s="619"/>
      <c r="O10" s="619"/>
      <c r="P10" s="619"/>
      <c r="Q10" s="619"/>
      <c r="R10" s="619"/>
      <c r="S10" s="619"/>
      <c r="T10" s="619"/>
      <c r="U10" s="619"/>
      <c r="V10" s="619"/>
      <c r="W10" s="619"/>
      <c r="X10" s="619"/>
      <c r="Y10" s="619"/>
      <c r="Z10" s="619"/>
    </row>
    <row r="11" spans="1:26" ht="11.25" customHeight="1">
      <c r="A11" s="619"/>
      <c r="B11" s="619"/>
      <c r="C11" s="619" t="e">
        <v>#NULL!</v>
      </c>
      <c r="D11" s="619"/>
      <c r="E11" s="619" t="s">
        <v>1350</v>
      </c>
      <c r="F11" s="619"/>
      <c r="G11" s="621"/>
      <c r="H11" s="619"/>
      <c r="I11" s="619"/>
      <c r="J11" s="626" t="s">
        <v>1351</v>
      </c>
      <c r="K11" s="619" t="str">
        <f t="shared" si="0"/>
        <v>ต.ค.</v>
      </c>
      <c r="L11" s="619"/>
      <c r="M11" s="619"/>
      <c r="N11" s="619"/>
      <c r="O11" s="619"/>
      <c r="P11" s="619"/>
      <c r="Q11" s="619"/>
      <c r="R11" s="619"/>
      <c r="S11" s="619"/>
      <c r="T11" s="619"/>
      <c r="U11" s="619"/>
      <c r="V11" s="619"/>
      <c r="W11" s="619"/>
      <c r="X11" s="619"/>
      <c r="Y11" s="619"/>
      <c r="Z11" s="619"/>
    </row>
    <row r="12" spans="1:26" ht="11.25" customHeight="1">
      <c r="A12" s="619"/>
      <c r="B12" s="619"/>
      <c r="C12" s="619" t="e">
        <v>#NULL!</v>
      </c>
      <c r="D12" s="619"/>
      <c r="E12" s="619" t="s">
        <v>1352</v>
      </c>
      <c r="F12" s="619"/>
      <c r="G12" s="621"/>
      <c r="H12" s="619"/>
      <c r="I12" s="619"/>
      <c r="J12" s="626" t="s">
        <v>1353</v>
      </c>
      <c r="K12" s="619" t="str">
        <f t="shared" si="0"/>
        <v>พ.ย.</v>
      </c>
      <c r="L12" s="619"/>
      <c r="M12" s="619"/>
      <c r="N12" s="619"/>
      <c r="O12" s="619"/>
      <c r="P12" s="619"/>
      <c r="Q12" s="619"/>
      <c r="R12" s="619"/>
      <c r="S12" s="619"/>
      <c r="T12" s="619"/>
      <c r="U12" s="619"/>
      <c r="V12" s="619"/>
      <c r="W12" s="619"/>
      <c r="X12" s="619"/>
      <c r="Y12" s="619"/>
      <c r="Z12" s="619"/>
    </row>
    <row r="13" spans="1:26" ht="11.25" customHeight="1">
      <c r="A13" s="619"/>
      <c r="B13" s="619"/>
      <c r="C13" s="619" t="e">
        <v>#NULL!</v>
      </c>
      <c r="D13" s="619"/>
      <c r="E13" s="619"/>
      <c r="F13" s="619"/>
      <c r="G13" s="621"/>
      <c r="H13" s="619" t="str">
        <f>IF($G13=1,"Janury","")</f>
        <v/>
      </c>
      <c r="I13" s="619"/>
      <c r="J13" s="626" t="s">
        <v>1354</v>
      </c>
      <c r="K13" s="619" t="str">
        <f t="shared" si="0"/>
        <v>ธ.ค.</v>
      </c>
      <c r="L13" s="619"/>
      <c r="M13" s="619"/>
      <c r="N13" s="619"/>
      <c r="O13" s="619"/>
      <c r="P13" s="619"/>
      <c r="Q13" s="619"/>
      <c r="R13" s="619"/>
      <c r="S13" s="619"/>
      <c r="T13" s="619"/>
      <c r="U13" s="619"/>
      <c r="V13" s="619"/>
      <c r="W13" s="619"/>
      <c r="X13" s="619"/>
      <c r="Y13" s="619"/>
      <c r="Z13" s="619"/>
    </row>
    <row r="14" spans="1:26" ht="11.25" customHeight="1">
      <c r="A14" s="619"/>
      <c r="B14" s="619"/>
      <c r="C14" s="619" t="e">
        <v>#NULL!</v>
      </c>
      <c r="D14" s="619"/>
      <c r="E14" s="619" t="s">
        <v>1355</v>
      </c>
      <c r="F14" s="619"/>
      <c r="G14" s="621"/>
      <c r="H14" s="619"/>
      <c r="I14" s="619"/>
      <c r="J14" s="619"/>
      <c r="K14" s="619"/>
      <c r="L14" s="619"/>
      <c r="M14" s="619"/>
      <c r="N14" s="619"/>
      <c r="O14" s="619"/>
      <c r="P14" s="619"/>
      <c r="Q14" s="619"/>
      <c r="R14" s="619"/>
      <c r="S14" s="619"/>
      <c r="T14" s="619"/>
      <c r="U14" s="619"/>
      <c r="V14" s="619"/>
      <c r="W14" s="619"/>
      <c r="X14" s="619"/>
      <c r="Y14" s="619"/>
      <c r="Z14" s="619"/>
    </row>
    <row r="15" spans="1:26" ht="11.25" customHeight="1">
      <c r="A15" s="619"/>
      <c r="B15" s="619"/>
      <c r="C15" s="619" t="e">
        <v>#NULL!</v>
      </c>
      <c r="D15" s="619"/>
      <c r="E15" s="673" t="s">
        <v>32</v>
      </c>
      <c r="F15" s="674"/>
      <c r="G15" s="674"/>
      <c r="H15" s="675"/>
      <c r="I15" s="673" t="s">
        <v>32</v>
      </c>
      <c r="J15" s="674"/>
      <c r="K15" s="674"/>
      <c r="L15" s="675"/>
      <c r="M15" s="619"/>
      <c r="N15" s="619"/>
      <c r="O15" s="619"/>
      <c r="P15" s="619"/>
      <c r="Q15" s="619"/>
      <c r="R15" s="619"/>
      <c r="S15" s="619"/>
      <c r="T15" s="619"/>
      <c r="U15" s="619"/>
      <c r="V15" s="619"/>
      <c r="W15" s="619"/>
      <c r="X15" s="619"/>
      <c r="Y15" s="619"/>
      <c r="Z15" s="619"/>
    </row>
    <row r="16" spans="1:26" ht="11.25" customHeight="1">
      <c r="A16" s="619"/>
      <c r="B16" s="619"/>
      <c r="C16" s="619" t="e">
        <v>#NULL!</v>
      </c>
      <c r="D16" s="619"/>
      <c r="E16" s="676"/>
      <c r="F16" s="677"/>
      <c r="G16" s="677"/>
      <c r="H16" s="678"/>
      <c r="I16" s="676"/>
      <c r="J16" s="677"/>
      <c r="K16" s="677"/>
      <c r="L16" s="678"/>
      <c r="M16" s="619"/>
      <c r="N16" s="619"/>
      <c r="O16" s="619"/>
      <c r="P16" s="619"/>
      <c r="Q16" s="619"/>
      <c r="R16" s="619"/>
      <c r="S16" s="619"/>
      <c r="T16" s="619"/>
      <c r="U16" s="619"/>
      <c r="V16" s="619"/>
      <c r="W16" s="619"/>
      <c r="X16" s="619"/>
      <c r="Y16" s="619"/>
      <c r="Z16" s="619"/>
    </row>
    <row r="17" spans="1:26" ht="11.25" customHeight="1">
      <c r="A17" s="619"/>
      <c r="B17" s="619"/>
      <c r="C17" s="619" t="e">
        <v>#NULL!</v>
      </c>
      <c r="D17" s="619"/>
      <c r="E17" s="64" t="s">
        <v>58</v>
      </c>
      <c r="F17" s="64" t="s">
        <v>59</v>
      </c>
      <c r="G17" s="64" t="s">
        <v>60</v>
      </c>
      <c r="H17" s="91" t="s">
        <v>61</v>
      </c>
      <c r="I17" s="64" t="s">
        <v>58</v>
      </c>
      <c r="J17" s="64" t="s">
        <v>59</v>
      </c>
      <c r="K17" s="64" t="s">
        <v>60</v>
      </c>
      <c r="L17" s="91" t="s">
        <v>61</v>
      </c>
      <c r="M17" s="619"/>
      <c r="N17" s="619"/>
      <c r="O17" s="619"/>
      <c r="P17" s="619"/>
      <c r="Q17" s="619"/>
      <c r="R17" s="619"/>
      <c r="S17" s="619"/>
      <c r="T17" s="619"/>
      <c r="U17" s="619"/>
      <c r="V17" s="619"/>
      <c r="W17" s="619"/>
      <c r="X17" s="619"/>
      <c r="Y17" s="619"/>
      <c r="Z17" s="619"/>
    </row>
    <row r="18" spans="1:26" ht="11.25" customHeight="1">
      <c r="A18" s="619"/>
      <c r="B18" s="619"/>
      <c r="C18" s="619" t="e">
        <v>#NULL!</v>
      </c>
      <c r="D18" s="619"/>
      <c r="E18" s="95" t="s">
        <v>616</v>
      </c>
      <c r="F18" s="100" t="s">
        <v>617</v>
      </c>
      <c r="G18" s="96" t="s">
        <v>618</v>
      </c>
      <c r="H18" s="98" t="s">
        <v>619</v>
      </c>
      <c r="I18" s="95" t="s">
        <v>616</v>
      </c>
      <c r="J18" s="100" t="s">
        <v>620</v>
      </c>
      <c r="K18" s="96" t="s">
        <v>618</v>
      </c>
      <c r="L18" s="98" t="s">
        <v>621</v>
      </c>
      <c r="M18" s="619"/>
      <c r="N18" s="619"/>
      <c r="O18" s="619"/>
      <c r="P18" s="619"/>
      <c r="Q18" s="619"/>
      <c r="R18" s="619"/>
      <c r="S18" s="619"/>
      <c r="T18" s="619"/>
      <c r="U18" s="619"/>
      <c r="V18" s="619"/>
      <c r="W18" s="619"/>
      <c r="X18" s="619"/>
      <c r="Y18" s="619"/>
      <c r="Z18" s="619"/>
    </row>
    <row r="19" spans="1:26" ht="11.25" customHeight="1">
      <c r="A19" s="619"/>
      <c r="B19" s="619"/>
      <c r="C19" s="619" t="e">
        <v>#NULL!</v>
      </c>
      <c r="D19" s="619"/>
      <c r="E19" s="95"/>
      <c r="F19" s="96"/>
      <c r="G19" s="96"/>
      <c r="H19" s="98"/>
      <c r="I19" s="95"/>
      <c r="J19" s="96"/>
      <c r="K19" s="96"/>
      <c r="L19" s="98"/>
      <c r="M19" s="619"/>
      <c r="N19" s="619"/>
      <c r="O19" s="619"/>
      <c r="P19" s="619"/>
      <c r="Q19" s="619"/>
      <c r="R19" s="619"/>
      <c r="S19" s="619"/>
      <c r="T19" s="619"/>
      <c r="U19" s="619"/>
      <c r="V19" s="619"/>
      <c r="W19" s="619"/>
      <c r="X19" s="619"/>
      <c r="Y19" s="619"/>
      <c r="Z19" s="619"/>
    </row>
    <row r="20" spans="1:26" ht="11.25" customHeight="1">
      <c r="A20" s="619"/>
      <c r="B20" s="619"/>
      <c r="C20" s="619" t="e">
        <v>#NULL!</v>
      </c>
      <c r="D20" s="619"/>
      <c r="E20" s="95"/>
      <c r="F20" s="96"/>
      <c r="G20" s="96"/>
      <c r="H20" s="98"/>
      <c r="I20" s="95"/>
      <c r="J20" s="96"/>
      <c r="K20" s="96"/>
      <c r="L20" s="98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</row>
    <row r="21" spans="1:26" ht="11.25" customHeight="1">
      <c r="A21" s="619"/>
      <c r="B21" s="619"/>
      <c r="C21" s="619" t="e">
        <v>#NULL!</v>
      </c>
      <c r="D21" s="619"/>
      <c r="E21" s="619"/>
      <c r="F21" s="619"/>
      <c r="G21" s="621"/>
      <c r="H21" s="619"/>
      <c r="I21" s="619"/>
      <c r="J21" s="619"/>
      <c r="K21" s="619"/>
      <c r="L21" s="619"/>
      <c r="M21" s="619"/>
      <c r="N21" s="619"/>
      <c r="O21" s="619"/>
      <c r="P21" s="619"/>
      <c r="Q21" s="619"/>
      <c r="R21" s="619"/>
      <c r="S21" s="619"/>
      <c r="T21" s="619"/>
      <c r="U21" s="619"/>
      <c r="V21" s="619"/>
      <c r="W21" s="619"/>
      <c r="X21" s="619"/>
      <c r="Y21" s="619"/>
      <c r="Z21" s="619"/>
    </row>
    <row r="22" spans="1:26" ht="11.25" customHeight="1">
      <c r="A22" s="619"/>
      <c r="B22" s="619"/>
      <c r="C22" s="619" t="e">
        <v>#NULL!</v>
      </c>
      <c r="D22" s="619"/>
      <c r="E22" s="619"/>
      <c r="F22" s="619"/>
      <c r="G22" s="621"/>
      <c r="H22" s="619"/>
      <c r="I22" s="619"/>
      <c r="J22" s="619"/>
      <c r="K22" s="619"/>
      <c r="L22" s="619"/>
      <c r="M22" s="619"/>
      <c r="N22" s="619"/>
      <c r="O22" s="619"/>
      <c r="P22" s="619"/>
      <c r="Q22" s="619"/>
      <c r="R22" s="619"/>
      <c r="S22" s="619"/>
      <c r="T22" s="619"/>
      <c r="U22" s="619"/>
      <c r="V22" s="619"/>
      <c r="W22" s="619"/>
      <c r="X22" s="619"/>
      <c r="Y22" s="619"/>
      <c r="Z22" s="619"/>
    </row>
    <row r="23" spans="1:26" ht="11.25" customHeight="1">
      <c r="A23" s="619"/>
      <c r="B23" s="619"/>
      <c r="C23" s="619" t="e">
        <v>#NULL!</v>
      </c>
      <c r="D23" s="619"/>
      <c r="E23" s="619"/>
      <c r="F23" s="619"/>
      <c r="G23" s="621"/>
      <c r="H23" s="619"/>
      <c r="I23" s="619"/>
      <c r="J23" s="619"/>
      <c r="K23" s="619"/>
      <c r="L23" s="619"/>
      <c r="M23" s="619"/>
      <c r="N23" s="619"/>
      <c r="O23" s="619"/>
      <c r="P23" s="619"/>
      <c r="Q23" s="619"/>
      <c r="R23" s="619"/>
      <c r="S23" s="619"/>
      <c r="T23" s="619"/>
      <c r="U23" s="619"/>
      <c r="V23" s="619"/>
      <c r="W23" s="619"/>
      <c r="X23" s="619"/>
      <c r="Y23" s="619"/>
      <c r="Z23" s="619"/>
    </row>
    <row r="24" spans="1:26" ht="11.25" customHeight="1">
      <c r="A24" s="619"/>
      <c r="B24" s="619"/>
      <c r="C24" s="619" t="e">
        <v>#NULL!</v>
      </c>
      <c r="D24" s="619"/>
      <c r="E24" s="619"/>
      <c r="F24" s="619"/>
      <c r="G24" s="621"/>
      <c r="H24" s="619"/>
      <c r="I24" s="619"/>
      <c r="J24" s="619"/>
      <c r="K24" s="619"/>
      <c r="L24" s="619"/>
      <c r="M24" s="619"/>
      <c r="N24" s="619"/>
      <c r="O24" s="619"/>
      <c r="P24" s="619"/>
      <c r="Q24" s="619"/>
      <c r="R24" s="619"/>
      <c r="S24" s="619"/>
      <c r="T24" s="619"/>
      <c r="U24" s="619"/>
      <c r="V24" s="619"/>
      <c r="W24" s="619"/>
      <c r="X24" s="619"/>
      <c r="Y24" s="619"/>
      <c r="Z24" s="619"/>
    </row>
    <row r="25" spans="1:26" ht="11.25" customHeight="1">
      <c r="A25" s="619"/>
      <c r="B25" s="619"/>
      <c r="C25" s="619" t="e">
        <v>#NULL!</v>
      </c>
      <c r="D25" s="619"/>
      <c r="E25" s="619"/>
      <c r="F25" s="619"/>
      <c r="G25" s="621"/>
      <c r="H25" s="619"/>
      <c r="I25" s="619"/>
      <c r="J25" s="619"/>
      <c r="K25" s="619"/>
      <c r="L25" s="619"/>
      <c r="M25" s="619"/>
      <c r="N25" s="619"/>
      <c r="O25" s="619"/>
      <c r="P25" s="619"/>
      <c r="Q25" s="619"/>
      <c r="R25" s="619"/>
      <c r="S25" s="619"/>
      <c r="T25" s="619"/>
      <c r="U25" s="619"/>
      <c r="V25" s="619"/>
      <c r="W25" s="619"/>
      <c r="X25" s="619"/>
      <c r="Y25" s="619"/>
      <c r="Z25" s="619"/>
    </row>
    <row r="26" spans="1:26" ht="11.25" customHeight="1">
      <c r="A26" s="619"/>
      <c r="B26" s="619"/>
      <c r="C26" s="619" t="e">
        <v>#NULL!</v>
      </c>
      <c r="D26" s="619"/>
      <c r="E26" s="619"/>
      <c r="F26" s="619"/>
      <c r="G26" s="621"/>
      <c r="H26" s="619"/>
      <c r="I26" s="619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</row>
    <row r="27" spans="1:26" ht="11.25" customHeight="1">
      <c r="A27" s="619"/>
      <c r="B27" s="619"/>
      <c r="C27" s="619" t="e">
        <v>#NULL!</v>
      </c>
      <c r="D27" s="619"/>
      <c r="E27" s="619"/>
      <c r="F27" s="619"/>
      <c r="G27" s="621"/>
      <c r="H27" s="619"/>
      <c r="I27" s="619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</row>
    <row r="28" spans="1:26" ht="11.25" customHeight="1">
      <c r="A28" s="619"/>
      <c r="B28" s="619"/>
      <c r="C28" s="619" t="e">
        <v>#NULL!</v>
      </c>
      <c r="D28" s="619"/>
      <c r="E28" s="619"/>
      <c r="F28" s="619"/>
      <c r="G28" s="621"/>
      <c r="H28" s="619"/>
      <c r="I28" s="619"/>
      <c r="J28" s="619"/>
      <c r="K28" s="619"/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</row>
    <row r="29" spans="1:26" ht="11.25" customHeight="1">
      <c r="A29" s="619"/>
      <c r="B29" s="619"/>
      <c r="C29" s="619" t="e">
        <v>#NULL!</v>
      </c>
      <c r="D29" s="619"/>
      <c r="E29" s="619"/>
      <c r="F29" s="619"/>
      <c r="G29" s="621"/>
      <c r="H29" s="619"/>
      <c r="I29" s="619"/>
      <c r="J29" s="619"/>
      <c r="K29" s="619"/>
      <c r="L29" s="619"/>
      <c r="M29" s="619"/>
      <c r="N29" s="619"/>
      <c r="O29" s="619"/>
      <c r="P29" s="619"/>
      <c r="Q29" s="619"/>
      <c r="R29" s="619"/>
      <c r="S29" s="619"/>
      <c r="T29" s="619"/>
      <c r="U29" s="619"/>
      <c r="V29" s="619"/>
      <c r="W29" s="619"/>
      <c r="X29" s="619"/>
      <c r="Y29" s="619"/>
      <c r="Z29" s="619"/>
    </row>
    <row r="30" spans="1:26" ht="11.25" customHeight="1">
      <c r="A30" s="619"/>
      <c r="B30" s="619"/>
      <c r="C30" s="619" t="e">
        <v>#NULL!</v>
      </c>
      <c r="D30" s="619"/>
      <c r="E30" s="619"/>
      <c r="F30" s="619"/>
      <c r="G30" s="621"/>
      <c r="H30" s="619"/>
      <c r="I30" s="619"/>
      <c r="J30" s="619"/>
      <c r="K30" s="619"/>
      <c r="L30" s="619"/>
      <c r="M30" s="619"/>
      <c r="N30" s="619"/>
      <c r="O30" s="619"/>
      <c r="P30" s="619"/>
      <c r="Q30" s="619"/>
      <c r="R30" s="619"/>
      <c r="S30" s="619"/>
      <c r="T30" s="619"/>
      <c r="U30" s="619"/>
      <c r="V30" s="619"/>
      <c r="W30" s="619"/>
      <c r="X30" s="619"/>
      <c r="Y30" s="619"/>
      <c r="Z30" s="619"/>
    </row>
    <row r="31" spans="1:26" ht="11.25" customHeight="1">
      <c r="A31" s="619"/>
      <c r="B31" s="619"/>
      <c r="C31" s="619" t="e">
        <v>#NULL!</v>
      </c>
      <c r="D31" s="619"/>
      <c r="E31" s="619"/>
      <c r="F31" s="619"/>
      <c r="G31" s="621"/>
      <c r="H31" s="619"/>
      <c r="I31" s="619"/>
      <c r="J31" s="619"/>
      <c r="K31" s="619"/>
      <c r="L31" s="619"/>
      <c r="M31" s="619"/>
      <c r="N31" s="619"/>
      <c r="O31" s="619"/>
      <c r="P31" s="619"/>
      <c r="Q31" s="619"/>
      <c r="R31" s="619"/>
      <c r="S31" s="619"/>
      <c r="T31" s="619"/>
      <c r="U31" s="619"/>
      <c r="V31" s="619"/>
      <c r="W31" s="619"/>
      <c r="X31" s="619"/>
      <c r="Y31" s="619"/>
      <c r="Z31" s="619"/>
    </row>
    <row r="32" spans="1:26" ht="11.25" customHeight="1">
      <c r="A32" s="619"/>
      <c r="B32" s="619"/>
      <c r="C32" s="619" t="e">
        <v>#NULL!</v>
      </c>
      <c r="D32" s="619"/>
      <c r="E32" s="619"/>
      <c r="F32" s="619"/>
      <c r="G32" s="621"/>
      <c r="H32" s="619"/>
      <c r="I32" s="619"/>
      <c r="J32" s="619"/>
      <c r="K32" s="619"/>
      <c r="L32" s="619"/>
      <c r="M32" s="619"/>
      <c r="N32" s="619"/>
      <c r="O32" s="619"/>
      <c r="P32" s="619"/>
      <c r="Q32" s="619"/>
      <c r="R32" s="619"/>
      <c r="S32" s="619"/>
      <c r="T32" s="619"/>
      <c r="U32" s="619"/>
      <c r="V32" s="619"/>
      <c r="W32" s="619"/>
      <c r="X32" s="619"/>
      <c r="Y32" s="619"/>
      <c r="Z32" s="619"/>
    </row>
    <row r="33" spans="1:26" ht="11.25" customHeight="1">
      <c r="A33" s="619"/>
      <c r="B33" s="619"/>
      <c r="C33" s="619" t="e">
        <v>#NULL!</v>
      </c>
      <c r="D33" s="619"/>
      <c r="E33" s="619"/>
      <c r="F33" s="619"/>
      <c r="G33" s="621"/>
      <c r="H33" s="619"/>
      <c r="I33" s="619"/>
      <c r="J33" s="619"/>
      <c r="K33" s="619"/>
      <c r="L33" s="619"/>
      <c r="M33" s="619"/>
      <c r="N33" s="619"/>
      <c r="O33" s="619"/>
      <c r="P33" s="619"/>
      <c r="Q33" s="619"/>
      <c r="R33" s="619"/>
      <c r="S33" s="619"/>
      <c r="T33" s="619"/>
      <c r="U33" s="619"/>
      <c r="V33" s="619"/>
      <c r="W33" s="619"/>
      <c r="X33" s="619"/>
      <c r="Y33" s="619"/>
      <c r="Z33" s="619"/>
    </row>
    <row r="34" spans="1:26" ht="11.25" customHeight="1">
      <c r="A34" s="619"/>
      <c r="B34" s="619"/>
      <c r="C34" s="619" t="e">
        <v>#NULL!</v>
      </c>
      <c r="D34" s="619"/>
      <c r="E34" s="619"/>
      <c r="F34" s="619"/>
      <c r="G34" s="621"/>
      <c r="H34" s="619"/>
      <c r="I34" s="619"/>
      <c r="J34" s="619"/>
      <c r="K34" s="619"/>
      <c r="L34" s="619"/>
      <c r="M34" s="619"/>
      <c r="N34" s="619"/>
      <c r="O34" s="619"/>
      <c r="P34" s="619"/>
      <c r="Q34" s="619"/>
      <c r="R34" s="619"/>
      <c r="S34" s="619"/>
      <c r="T34" s="619"/>
      <c r="U34" s="619"/>
      <c r="V34" s="619"/>
      <c r="W34" s="619"/>
      <c r="X34" s="619"/>
      <c r="Y34" s="619"/>
      <c r="Z34" s="619"/>
    </row>
    <row r="35" spans="1:26" ht="11.25" customHeight="1">
      <c r="A35" s="619"/>
      <c r="B35" s="619"/>
      <c r="C35" s="619" t="e">
        <v>#NULL!</v>
      </c>
      <c r="D35" s="619"/>
      <c r="E35" s="619"/>
      <c r="F35" s="619"/>
      <c r="G35" s="621"/>
      <c r="H35" s="619"/>
      <c r="I35" s="619"/>
      <c r="J35" s="619"/>
      <c r="K35" s="619"/>
      <c r="L35" s="619"/>
      <c r="M35" s="619"/>
      <c r="N35" s="619"/>
      <c r="O35" s="619"/>
      <c r="P35" s="619"/>
      <c r="Q35" s="619"/>
      <c r="R35" s="619"/>
      <c r="S35" s="619"/>
      <c r="T35" s="619"/>
      <c r="U35" s="619"/>
      <c r="V35" s="619"/>
      <c r="W35" s="619"/>
      <c r="X35" s="619"/>
      <c r="Y35" s="619"/>
      <c r="Z35" s="619"/>
    </row>
    <row r="36" spans="1:26" ht="11.25" customHeight="1">
      <c r="A36" s="619"/>
      <c r="B36" s="619"/>
      <c r="C36" s="619" t="e">
        <v>#NULL!</v>
      </c>
      <c r="D36" s="619"/>
      <c r="E36" s="619"/>
      <c r="F36" s="619"/>
      <c r="G36" s="621"/>
      <c r="H36" s="619"/>
      <c r="I36" s="619"/>
      <c r="J36" s="619"/>
      <c r="K36" s="619"/>
      <c r="L36" s="619"/>
      <c r="M36" s="619"/>
      <c r="N36" s="619"/>
      <c r="O36" s="619"/>
      <c r="P36" s="619"/>
      <c r="Q36" s="619"/>
      <c r="R36" s="619"/>
      <c r="S36" s="619"/>
      <c r="T36" s="619"/>
      <c r="U36" s="619"/>
      <c r="V36" s="619"/>
      <c r="W36" s="619"/>
      <c r="X36" s="619"/>
      <c r="Y36" s="619"/>
      <c r="Z36" s="619"/>
    </row>
    <row r="37" spans="1:26" ht="11.25" customHeight="1">
      <c r="A37" s="619"/>
      <c r="B37" s="619"/>
      <c r="C37" s="619" t="e">
        <v>#NULL!</v>
      </c>
      <c r="D37" s="619"/>
      <c r="E37" s="619"/>
      <c r="F37" s="619"/>
      <c r="G37" s="621"/>
      <c r="H37" s="619"/>
      <c r="I37" s="619"/>
      <c r="J37" s="619"/>
      <c r="K37" s="619"/>
      <c r="L37" s="619"/>
      <c r="M37" s="619"/>
      <c r="N37" s="619"/>
      <c r="O37" s="619"/>
      <c r="P37" s="619"/>
      <c r="Q37" s="619"/>
      <c r="R37" s="619"/>
      <c r="S37" s="619"/>
      <c r="T37" s="619"/>
      <c r="U37" s="619"/>
      <c r="V37" s="619"/>
      <c r="W37" s="619"/>
      <c r="X37" s="619"/>
      <c r="Y37" s="619"/>
      <c r="Z37" s="619"/>
    </row>
    <row r="38" spans="1:26" ht="11.25" customHeight="1">
      <c r="A38" s="619"/>
      <c r="B38" s="619"/>
      <c r="C38" s="619" t="e">
        <v>#NULL!</v>
      </c>
      <c r="D38" s="619"/>
      <c r="E38" s="619"/>
      <c r="F38" s="619"/>
      <c r="G38" s="621"/>
      <c r="H38" s="619"/>
      <c r="I38" s="619"/>
      <c r="J38" s="619"/>
      <c r="K38" s="619"/>
      <c r="L38" s="619"/>
      <c r="M38" s="619"/>
      <c r="N38" s="619"/>
      <c r="O38" s="619"/>
      <c r="P38" s="619"/>
      <c r="Q38" s="619"/>
      <c r="R38" s="619"/>
      <c r="S38" s="619"/>
      <c r="T38" s="619"/>
      <c r="U38" s="619"/>
      <c r="V38" s="619"/>
      <c r="W38" s="619"/>
      <c r="X38" s="619"/>
      <c r="Y38" s="619"/>
      <c r="Z38" s="619"/>
    </row>
    <row r="39" spans="1:26" ht="11.25" customHeight="1">
      <c r="A39" s="619"/>
      <c r="B39" s="619"/>
      <c r="C39" s="619" t="e">
        <v>#NULL!</v>
      </c>
      <c r="D39" s="619"/>
      <c r="E39" s="619"/>
      <c r="F39" s="619"/>
      <c r="G39" s="621"/>
      <c r="H39" s="619"/>
      <c r="I39" s="619"/>
      <c r="J39" s="619"/>
      <c r="K39" s="619"/>
      <c r="L39" s="619"/>
      <c r="M39" s="619"/>
      <c r="N39" s="619"/>
      <c r="O39" s="619"/>
      <c r="P39" s="619"/>
      <c r="Q39" s="619"/>
      <c r="R39" s="619"/>
      <c r="S39" s="619"/>
      <c r="T39" s="619"/>
      <c r="U39" s="619"/>
      <c r="V39" s="619"/>
      <c r="W39" s="619"/>
      <c r="X39" s="619"/>
      <c r="Y39" s="619"/>
      <c r="Z39" s="619"/>
    </row>
    <row r="40" spans="1:26" ht="11.25" customHeight="1">
      <c r="A40" s="619"/>
      <c r="B40" s="619"/>
      <c r="C40" s="619" t="e">
        <v>#NULL!</v>
      </c>
      <c r="D40" s="619"/>
      <c r="E40" s="619"/>
      <c r="F40" s="619"/>
      <c r="G40" s="621"/>
      <c r="H40" s="619"/>
      <c r="I40" s="619"/>
      <c r="J40" s="619"/>
      <c r="K40" s="619"/>
      <c r="L40" s="619"/>
      <c r="M40" s="619"/>
      <c r="N40" s="619"/>
      <c r="O40" s="619"/>
      <c r="P40" s="619"/>
      <c r="Q40" s="619"/>
      <c r="R40" s="619"/>
      <c r="S40" s="619"/>
      <c r="T40" s="619"/>
      <c r="U40" s="619"/>
      <c r="V40" s="619"/>
      <c r="W40" s="619"/>
      <c r="X40" s="619"/>
      <c r="Y40" s="619"/>
      <c r="Z40" s="619"/>
    </row>
    <row r="41" spans="1:26" ht="11.25" customHeight="1">
      <c r="A41" s="619"/>
      <c r="B41" s="619"/>
      <c r="C41" s="619" t="e">
        <v>#NULL!</v>
      </c>
      <c r="D41" s="619"/>
      <c r="E41" s="619"/>
      <c r="F41" s="619"/>
      <c r="G41" s="621"/>
      <c r="H41" s="619"/>
      <c r="I41" s="619"/>
      <c r="J41" s="619"/>
      <c r="K41" s="619"/>
      <c r="L41" s="619"/>
      <c r="M41" s="619"/>
      <c r="N41" s="619"/>
      <c r="O41" s="619"/>
      <c r="P41" s="619"/>
      <c r="Q41" s="619"/>
      <c r="R41" s="619"/>
      <c r="S41" s="619"/>
      <c r="T41" s="619"/>
      <c r="U41" s="619"/>
      <c r="V41" s="619"/>
      <c r="W41" s="619"/>
      <c r="X41" s="619"/>
      <c r="Y41" s="619"/>
      <c r="Z41" s="619"/>
    </row>
    <row r="42" spans="1:26" ht="11.25" customHeight="1">
      <c r="A42" s="619"/>
      <c r="B42" s="619"/>
      <c r="C42" s="619" t="e">
        <v>#NULL!</v>
      </c>
      <c r="D42" s="619"/>
      <c r="E42" s="619"/>
      <c r="F42" s="619"/>
      <c r="G42" s="621"/>
      <c r="H42" s="619"/>
      <c r="I42" s="619"/>
      <c r="J42" s="619"/>
      <c r="K42" s="619"/>
      <c r="L42" s="619"/>
      <c r="M42" s="619"/>
      <c r="N42" s="619"/>
      <c r="O42" s="619"/>
      <c r="P42" s="619"/>
      <c r="Q42" s="619"/>
      <c r="R42" s="619"/>
      <c r="S42" s="619"/>
      <c r="T42" s="619"/>
      <c r="U42" s="619"/>
      <c r="V42" s="619"/>
      <c r="W42" s="619"/>
      <c r="X42" s="619"/>
      <c r="Y42" s="619"/>
      <c r="Z42" s="619"/>
    </row>
    <row r="43" spans="1:26" ht="11.25" customHeight="1">
      <c r="A43" s="619"/>
      <c r="B43" s="619"/>
      <c r="C43" s="619" t="e">
        <v>#NULL!</v>
      </c>
      <c r="D43" s="619"/>
      <c r="E43" s="619"/>
      <c r="F43" s="619"/>
      <c r="G43" s="621"/>
      <c r="H43" s="619"/>
      <c r="I43" s="619"/>
      <c r="J43" s="619"/>
      <c r="K43" s="619"/>
      <c r="L43" s="619"/>
      <c r="M43" s="619"/>
      <c r="N43" s="619"/>
      <c r="O43" s="619"/>
      <c r="P43" s="619"/>
      <c r="Q43" s="619"/>
      <c r="R43" s="619"/>
      <c r="S43" s="619"/>
      <c r="T43" s="619"/>
      <c r="U43" s="619"/>
      <c r="V43" s="619"/>
      <c r="W43" s="619"/>
      <c r="X43" s="619"/>
      <c r="Y43" s="619"/>
      <c r="Z43" s="619"/>
    </row>
    <row r="44" spans="1:26" ht="11.25" customHeight="1">
      <c r="A44" s="619"/>
      <c r="B44" s="619"/>
      <c r="C44" s="619" t="e">
        <v>#NULL!</v>
      </c>
      <c r="D44" s="619"/>
      <c r="E44" s="619"/>
      <c r="F44" s="619"/>
      <c r="G44" s="621"/>
      <c r="H44" s="619"/>
      <c r="I44" s="619"/>
      <c r="J44" s="619"/>
      <c r="K44" s="619"/>
      <c r="L44" s="619"/>
      <c r="M44" s="619"/>
      <c r="N44" s="619"/>
      <c r="O44" s="619"/>
      <c r="P44" s="619"/>
      <c r="Q44" s="619"/>
      <c r="R44" s="619"/>
      <c r="S44" s="619"/>
      <c r="T44" s="619"/>
      <c r="U44" s="619"/>
      <c r="V44" s="619"/>
      <c r="W44" s="619"/>
      <c r="X44" s="619"/>
      <c r="Y44" s="619"/>
      <c r="Z44" s="619"/>
    </row>
    <row r="45" spans="1:26" ht="11.25" customHeight="1">
      <c r="A45" s="619"/>
      <c r="B45" s="619"/>
      <c r="C45" s="619" t="e">
        <v>#NULL!</v>
      </c>
      <c r="D45" s="619"/>
      <c r="E45" s="619"/>
      <c r="F45" s="619"/>
      <c r="G45" s="621"/>
      <c r="H45" s="619"/>
      <c r="I45" s="619"/>
      <c r="J45" s="619"/>
      <c r="K45" s="619"/>
      <c r="L45" s="619"/>
      <c r="M45" s="619"/>
      <c r="N45" s="619"/>
      <c r="O45" s="619"/>
      <c r="P45" s="619"/>
      <c r="Q45" s="619"/>
      <c r="R45" s="619"/>
      <c r="S45" s="619"/>
      <c r="T45" s="619"/>
      <c r="U45" s="619"/>
      <c r="V45" s="619"/>
      <c r="W45" s="619"/>
      <c r="X45" s="619"/>
      <c r="Y45" s="619"/>
      <c r="Z45" s="619"/>
    </row>
    <row r="46" spans="1:26" ht="11.25" customHeight="1">
      <c r="A46" s="619"/>
      <c r="B46" s="619"/>
      <c r="C46" s="619" t="e">
        <v>#NULL!</v>
      </c>
      <c r="D46" s="619"/>
      <c r="E46" s="619"/>
      <c r="F46" s="619"/>
      <c r="G46" s="621"/>
      <c r="H46" s="619"/>
      <c r="I46" s="619"/>
      <c r="J46" s="619"/>
      <c r="K46" s="619"/>
      <c r="L46" s="619"/>
      <c r="M46" s="619"/>
      <c r="N46" s="619"/>
      <c r="O46" s="619"/>
      <c r="P46" s="619"/>
      <c r="Q46" s="619"/>
      <c r="R46" s="619"/>
      <c r="S46" s="619"/>
      <c r="T46" s="619"/>
      <c r="U46" s="619"/>
      <c r="V46" s="619"/>
      <c r="W46" s="619"/>
      <c r="X46" s="619"/>
      <c r="Y46" s="619"/>
      <c r="Z46" s="619"/>
    </row>
    <row r="47" spans="1:26" ht="11.25" customHeight="1">
      <c r="A47" s="619"/>
      <c r="B47" s="619"/>
      <c r="C47" s="619" t="e">
        <v>#NULL!</v>
      </c>
      <c r="D47" s="619"/>
      <c r="E47" s="619"/>
      <c r="F47" s="619"/>
      <c r="G47" s="621"/>
      <c r="H47" s="619"/>
      <c r="I47" s="619"/>
      <c r="J47" s="619"/>
      <c r="K47" s="619"/>
      <c r="L47" s="619"/>
      <c r="M47" s="619"/>
      <c r="N47" s="619"/>
      <c r="O47" s="619"/>
      <c r="P47" s="619"/>
      <c r="Q47" s="619"/>
      <c r="R47" s="619"/>
      <c r="S47" s="619"/>
      <c r="T47" s="619"/>
      <c r="U47" s="619"/>
      <c r="V47" s="619"/>
      <c r="W47" s="619"/>
      <c r="X47" s="619"/>
      <c r="Y47" s="619"/>
      <c r="Z47" s="619"/>
    </row>
    <row r="48" spans="1:26" ht="11.25" customHeight="1">
      <c r="A48" s="619"/>
      <c r="B48" s="619"/>
      <c r="C48" s="619" t="e">
        <v>#NULL!</v>
      </c>
      <c r="D48" s="619"/>
      <c r="E48" s="619"/>
      <c r="F48" s="619"/>
      <c r="G48" s="621"/>
      <c r="H48" s="619"/>
      <c r="I48" s="619"/>
      <c r="J48" s="619"/>
      <c r="K48" s="619"/>
      <c r="L48" s="619"/>
      <c r="M48" s="619"/>
      <c r="N48" s="619"/>
      <c r="O48" s="619"/>
      <c r="P48" s="619"/>
      <c r="Q48" s="619"/>
      <c r="R48" s="619"/>
      <c r="S48" s="619"/>
      <c r="T48" s="619"/>
      <c r="U48" s="619"/>
      <c r="V48" s="619"/>
      <c r="W48" s="619"/>
      <c r="X48" s="619"/>
      <c r="Y48" s="619"/>
      <c r="Z48" s="619"/>
    </row>
    <row r="49" spans="1:26" ht="11.25" customHeight="1">
      <c r="A49" s="619"/>
      <c r="B49" s="619"/>
      <c r="C49" s="619" t="e">
        <v>#NULL!</v>
      </c>
      <c r="D49" s="619"/>
      <c r="E49" s="619"/>
      <c r="F49" s="619"/>
      <c r="G49" s="621"/>
      <c r="H49" s="619"/>
      <c r="I49" s="619"/>
      <c r="J49" s="619"/>
      <c r="K49" s="619"/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</row>
    <row r="50" spans="1:26" ht="11.25" customHeight="1">
      <c r="A50" s="619"/>
      <c r="B50" s="619"/>
      <c r="C50" s="619" t="e">
        <v>#NULL!</v>
      </c>
      <c r="D50" s="619"/>
      <c r="E50" s="619"/>
      <c r="F50" s="619"/>
      <c r="G50" s="621"/>
      <c r="H50" s="619"/>
      <c r="I50" s="619"/>
      <c r="J50" s="619"/>
      <c r="K50" s="619"/>
      <c r="L50" s="619"/>
      <c r="M50" s="619"/>
      <c r="N50" s="619"/>
      <c r="O50" s="619"/>
      <c r="P50" s="619"/>
      <c r="Q50" s="619"/>
      <c r="R50" s="619"/>
      <c r="S50" s="619"/>
      <c r="T50" s="619"/>
      <c r="U50" s="619"/>
      <c r="V50" s="619"/>
      <c r="W50" s="619"/>
      <c r="X50" s="619"/>
      <c r="Y50" s="619"/>
      <c r="Z50" s="619"/>
    </row>
    <row r="51" spans="1:26" ht="11.25" customHeight="1">
      <c r="A51" s="619"/>
      <c r="B51" s="619"/>
      <c r="C51" s="619" t="e">
        <v>#NULL!</v>
      </c>
      <c r="D51" s="619"/>
      <c r="E51" s="619"/>
      <c r="F51" s="619"/>
      <c r="G51" s="621"/>
      <c r="H51" s="619"/>
      <c r="I51" s="619"/>
      <c r="J51" s="619"/>
      <c r="K51" s="619"/>
      <c r="L51" s="619"/>
      <c r="M51" s="619"/>
      <c r="N51" s="619"/>
      <c r="O51" s="619"/>
      <c r="P51" s="619"/>
      <c r="Q51" s="619"/>
      <c r="R51" s="619"/>
      <c r="S51" s="619"/>
      <c r="T51" s="619"/>
      <c r="U51" s="619"/>
      <c r="V51" s="619"/>
      <c r="W51" s="619"/>
      <c r="X51" s="619"/>
      <c r="Y51" s="619"/>
      <c r="Z51" s="619"/>
    </row>
    <row r="52" spans="1:26" ht="11.25" customHeight="1">
      <c r="A52" s="619"/>
      <c r="B52" s="619"/>
      <c r="C52" s="619" t="e">
        <v>#NULL!</v>
      </c>
      <c r="D52" s="619"/>
      <c r="E52" s="619"/>
      <c r="F52" s="619"/>
      <c r="G52" s="621"/>
      <c r="H52" s="619"/>
      <c r="I52" s="619"/>
      <c r="J52" s="619"/>
      <c r="K52" s="619"/>
      <c r="L52" s="619"/>
      <c r="M52" s="619"/>
      <c r="N52" s="619"/>
      <c r="O52" s="619"/>
      <c r="P52" s="619"/>
      <c r="Q52" s="619"/>
      <c r="R52" s="619"/>
      <c r="S52" s="619"/>
      <c r="T52" s="619"/>
      <c r="U52" s="619"/>
      <c r="V52" s="619"/>
      <c r="W52" s="619"/>
      <c r="X52" s="619"/>
      <c r="Y52" s="619"/>
      <c r="Z52" s="619"/>
    </row>
    <row r="53" spans="1:26" ht="11.25" customHeight="1">
      <c r="A53" s="619"/>
      <c r="B53" s="619"/>
      <c r="C53" s="619" t="e">
        <v>#NULL!</v>
      </c>
      <c r="D53" s="619"/>
      <c r="E53" s="619"/>
      <c r="F53" s="619"/>
      <c r="G53" s="621"/>
      <c r="H53" s="619"/>
      <c r="I53" s="619"/>
      <c r="J53" s="619"/>
      <c r="K53" s="619"/>
      <c r="L53" s="619"/>
      <c r="M53" s="619"/>
      <c r="N53" s="619"/>
      <c r="O53" s="619"/>
      <c r="P53" s="619"/>
      <c r="Q53" s="619"/>
      <c r="R53" s="619"/>
      <c r="S53" s="619"/>
      <c r="T53" s="619"/>
      <c r="U53" s="619"/>
      <c r="V53" s="619"/>
      <c r="W53" s="619"/>
      <c r="X53" s="619"/>
      <c r="Y53" s="619"/>
      <c r="Z53" s="619"/>
    </row>
    <row r="54" spans="1:26" ht="11.25" customHeight="1">
      <c r="A54" s="619"/>
      <c r="B54" s="619"/>
      <c r="C54" s="619" t="e">
        <v>#NULL!</v>
      </c>
      <c r="D54" s="619"/>
      <c r="E54" s="619"/>
      <c r="F54" s="619"/>
      <c r="G54" s="621"/>
      <c r="H54" s="619"/>
      <c r="I54" s="619"/>
      <c r="J54" s="619"/>
      <c r="K54" s="619"/>
      <c r="L54" s="619"/>
      <c r="M54" s="619"/>
      <c r="N54" s="619"/>
      <c r="O54" s="619"/>
      <c r="P54" s="619"/>
      <c r="Q54" s="619"/>
      <c r="R54" s="619"/>
      <c r="S54" s="619"/>
      <c r="T54" s="619"/>
      <c r="U54" s="619"/>
      <c r="V54" s="619"/>
      <c r="W54" s="619"/>
      <c r="X54" s="619"/>
      <c r="Y54" s="619"/>
      <c r="Z54" s="619"/>
    </row>
    <row r="55" spans="1:26" ht="11.25" customHeight="1">
      <c r="A55" s="619"/>
      <c r="B55" s="619"/>
      <c r="C55" s="619" t="e">
        <v>#NULL!</v>
      </c>
      <c r="D55" s="619"/>
      <c r="E55" s="619"/>
      <c r="F55" s="619"/>
      <c r="G55" s="621"/>
      <c r="H55" s="619"/>
      <c r="I55" s="619"/>
      <c r="J55" s="619"/>
      <c r="K55" s="619"/>
      <c r="L55" s="619"/>
      <c r="M55" s="619"/>
      <c r="N55" s="619"/>
      <c r="O55" s="619"/>
      <c r="P55" s="619"/>
      <c r="Q55" s="619"/>
      <c r="R55" s="619"/>
      <c r="S55" s="619"/>
      <c r="T55" s="619"/>
      <c r="U55" s="619"/>
      <c r="V55" s="619"/>
      <c r="W55" s="619"/>
      <c r="X55" s="619"/>
      <c r="Y55" s="619"/>
      <c r="Z55" s="619"/>
    </row>
    <row r="56" spans="1:26" ht="11.25" customHeight="1">
      <c r="A56" s="619"/>
      <c r="B56" s="619"/>
      <c r="C56" s="619" t="e">
        <v>#NULL!</v>
      </c>
      <c r="D56" s="619"/>
      <c r="E56" s="619"/>
      <c r="F56" s="619"/>
      <c r="G56" s="621"/>
      <c r="H56" s="619"/>
      <c r="I56" s="619"/>
      <c r="J56" s="619"/>
      <c r="K56" s="619"/>
      <c r="L56" s="619"/>
      <c r="M56" s="619"/>
      <c r="N56" s="619"/>
      <c r="O56" s="619"/>
      <c r="P56" s="619"/>
      <c r="Q56" s="619"/>
      <c r="R56" s="619"/>
      <c r="S56" s="619"/>
      <c r="T56" s="619"/>
      <c r="U56" s="619"/>
      <c r="V56" s="619"/>
      <c r="W56" s="619"/>
      <c r="X56" s="619"/>
      <c r="Y56" s="619"/>
      <c r="Z56" s="619"/>
    </row>
    <row r="57" spans="1:26" ht="11.25" customHeight="1">
      <c r="A57" s="619"/>
      <c r="B57" s="619"/>
      <c r="C57" s="619" t="e">
        <v>#NULL!</v>
      </c>
      <c r="D57" s="619"/>
      <c r="E57" s="619"/>
      <c r="F57" s="619"/>
      <c r="G57" s="621"/>
      <c r="H57" s="619"/>
      <c r="I57" s="619"/>
      <c r="J57" s="619"/>
      <c r="K57" s="619"/>
      <c r="L57" s="619"/>
      <c r="M57" s="619"/>
      <c r="N57" s="619"/>
      <c r="O57" s="619"/>
      <c r="P57" s="619"/>
      <c r="Q57" s="619"/>
      <c r="R57" s="619"/>
      <c r="S57" s="619"/>
      <c r="T57" s="619"/>
      <c r="U57" s="619"/>
      <c r="V57" s="619"/>
      <c r="W57" s="619"/>
      <c r="X57" s="619"/>
      <c r="Y57" s="619"/>
      <c r="Z57" s="619"/>
    </row>
    <row r="58" spans="1:26" ht="11.25" customHeight="1">
      <c r="A58" s="619"/>
      <c r="B58" s="619"/>
      <c r="C58" s="619" t="e">
        <v>#NULL!</v>
      </c>
      <c r="D58" s="619"/>
      <c r="E58" s="619"/>
      <c r="F58" s="619"/>
      <c r="G58" s="621"/>
      <c r="H58" s="619"/>
      <c r="I58" s="619"/>
      <c r="J58" s="619"/>
      <c r="K58" s="619"/>
      <c r="L58" s="619"/>
      <c r="M58" s="619"/>
      <c r="N58" s="619"/>
      <c r="O58" s="619"/>
      <c r="P58" s="619"/>
      <c r="Q58" s="619"/>
      <c r="R58" s="619"/>
      <c r="S58" s="619"/>
      <c r="T58" s="619"/>
      <c r="U58" s="619"/>
      <c r="V58" s="619"/>
      <c r="W58" s="619"/>
      <c r="X58" s="619"/>
      <c r="Y58" s="619"/>
      <c r="Z58" s="619"/>
    </row>
    <row r="59" spans="1:26" ht="11.25" customHeight="1">
      <c r="A59" s="619"/>
      <c r="B59" s="619"/>
      <c r="C59" s="619" t="e">
        <v>#NULL!</v>
      </c>
      <c r="D59" s="619"/>
      <c r="E59" s="619"/>
      <c r="F59" s="619"/>
      <c r="G59" s="621"/>
      <c r="H59" s="619"/>
      <c r="I59" s="619"/>
      <c r="J59" s="619"/>
      <c r="K59" s="619"/>
      <c r="L59" s="619"/>
      <c r="M59" s="619"/>
      <c r="N59" s="619"/>
      <c r="O59" s="619"/>
      <c r="P59" s="619"/>
      <c r="Q59" s="619"/>
      <c r="R59" s="619"/>
      <c r="S59" s="619"/>
      <c r="T59" s="619"/>
      <c r="U59" s="619"/>
      <c r="V59" s="619"/>
      <c r="W59" s="619"/>
      <c r="X59" s="619"/>
      <c r="Y59" s="619"/>
      <c r="Z59" s="619"/>
    </row>
    <row r="60" spans="1:26" ht="11.25" customHeight="1">
      <c r="A60" s="619"/>
      <c r="B60" s="619"/>
      <c r="C60" s="619" t="e">
        <v>#NULL!</v>
      </c>
      <c r="D60" s="619"/>
      <c r="E60" s="619"/>
      <c r="F60" s="619"/>
      <c r="G60" s="621"/>
      <c r="H60" s="619"/>
      <c r="I60" s="619"/>
      <c r="J60" s="619"/>
      <c r="K60" s="619"/>
      <c r="L60" s="619"/>
      <c r="M60" s="619"/>
      <c r="N60" s="619"/>
      <c r="O60" s="619"/>
      <c r="P60" s="619"/>
      <c r="Q60" s="619"/>
      <c r="R60" s="619"/>
      <c r="S60" s="619"/>
      <c r="T60" s="619"/>
      <c r="U60" s="619"/>
      <c r="V60" s="619"/>
      <c r="W60" s="619"/>
      <c r="X60" s="619"/>
      <c r="Y60" s="619"/>
      <c r="Z60" s="619"/>
    </row>
    <row r="61" spans="1:26" ht="11.25" customHeight="1">
      <c r="A61" s="619"/>
      <c r="B61" s="619"/>
      <c r="C61" s="619" t="e">
        <v>#NULL!</v>
      </c>
      <c r="D61" s="619"/>
      <c r="E61" s="619"/>
      <c r="F61" s="619"/>
      <c r="G61" s="621"/>
      <c r="H61" s="619"/>
      <c r="I61" s="619"/>
      <c r="J61" s="619"/>
      <c r="K61" s="619"/>
      <c r="L61" s="619"/>
      <c r="M61" s="619"/>
      <c r="N61" s="619"/>
      <c r="O61" s="619"/>
      <c r="P61" s="619"/>
      <c r="Q61" s="619"/>
      <c r="R61" s="619"/>
      <c r="S61" s="619"/>
      <c r="T61" s="619"/>
      <c r="U61" s="619"/>
      <c r="V61" s="619"/>
      <c r="W61" s="619"/>
      <c r="X61" s="619"/>
      <c r="Y61" s="619"/>
      <c r="Z61" s="619"/>
    </row>
    <row r="62" spans="1:26" ht="11.25" customHeight="1">
      <c r="A62" s="619"/>
      <c r="B62" s="619"/>
      <c r="C62" s="619" t="e">
        <v>#NULL!</v>
      </c>
      <c r="D62" s="619"/>
      <c r="E62" s="619"/>
      <c r="F62" s="619"/>
      <c r="G62" s="621"/>
      <c r="H62" s="619"/>
      <c r="I62" s="619"/>
      <c r="J62" s="619"/>
      <c r="K62" s="619"/>
      <c r="L62" s="619"/>
      <c r="M62" s="619"/>
      <c r="N62" s="619"/>
      <c r="O62" s="619"/>
      <c r="P62" s="619"/>
      <c r="Q62" s="619"/>
      <c r="R62" s="619"/>
      <c r="S62" s="619"/>
      <c r="T62" s="619"/>
      <c r="U62" s="619"/>
      <c r="V62" s="619"/>
      <c r="W62" s="619"/>
      <c r="X62" s="619"/>
      <c r="Y62" s="619"/>
      <c r="Z62" s="619"/>
    </row>
    <row r="63" spans="1:26" ht="11.25" customHeight="1">
      <c r="A63" s="619"/>
      <c r="B63" s="619"/>
      <c r="C63" s="619" t="e">
        <v>#NULL!</v>
      </c>
      <c r="D63" s="619"/>
      <c r="E63" s="619"/>
      <c r="F63" s="619"/>
      <c r="G63" s="621"/>
      <c r="H63" s="619"/>
      <c r="I63" s="619"/>
      <c r="J63" s="619"/>
      <c r="K63" s="619"/>
      <c r="L63" s="619"/>
      <c r="M63" s="619"/>
      <c r="N63" s="619"/>
      <c r="O63" s="619"/>
      <c r="P63" s="619"/>
      <c r="Q63" s="619"/>
      <c r="R63" s="619"/>
      <c r="S63" s="619"/>
      <c r="T63" s="619"/>
      <c r="U63" s="619"/>
      <c r="V63" s="619"/>
      <c r="W63" s="619"/>
      <c r="X63" s="619"/>
      <c r="Y63" s="619"/>
      <c r="Z63" s="619"/>
    </row>
    <row r="64" spans="1:26" ht="11.25" customHeight="1">
      <c r="A64" s="619"/>
      <c r="B64" s="619"/>
      <c r="C64" s="619" t="e">
        <v>#NULL!</v>
      </c>
      <c r="D64" s="619"/>
      <c r="E64" s="619"/>
      <c r="F64" s="619"/>
      <c r="G64" s="621"/>
      <c r="H64" s="619"/>
      <c r="I64" s="619"/>
      <c r="J64" s="619"/>
      <c r="K64" s="619"/>
      <c r="L64" s="619"/>
      <c r="M64" s="619"/>
      <c r="N64" s="619"/>
      <c r="O64" s="619"/>
      <c r="P64" s="619"/>
      <c r="Q64" s="619"/>
      <c r="R64" s="619"/>
      <c r="S64" s="619"/>
      <c r="T64" s="619"/>
      <c r="U64" s="619"/>
      <c r="V64" s="619"/>
      <c r="W64" s="619"/>
      <c r="X64" s="619"/>
      <c r="Y64" s="619"/>
      <c r="Z64" s="619"/>
    </row>
    <row r="65" spans="1:26" ht="11.25" customHeight="1">
      <c r="A65" s="619"/>
      <c r="B65" s="619"/>
      <c r="C65" s="619" t="e">
        <v>#NULL!</v>
      </c>
      <c r="D65" s="619"/>
      <c r="E65" s="619"/>
      <c r="F65" s="619"/>
      <c r="G65" s="621"/>
      <c r="H65" s="619"/>
      <c r="I65" s="619"/>
      <c r="J65" s="619"/>
      <c r="K65" s="619"/>
      <c r="L65" s="619"/>
      <c r="M65" s="619"/>
      <c r="N65" s="619"/>
      <c r="O65" s="619"/>
      <c r="P65" s="619"/>
      <c r="Q65" s="619"/>
      <c r="R65" s="619"/>
      <c r="S65" s="619"/>
      <c r="T65" s="619"/>
      <c r="U65" s="619"/>
      <c r="V65" s="619"/>
      <c r="W65" s="619"/>
      <c r="X65" s="619"/>
      <c r="Y65" s="619"/>
      <c r="Z65" s="619"/>
    </row>
    <row r="66" spans="1:26" ht="11.25" customHeight="1">
      <c r="A66" s="619"/>
      <c r="B66" s="619"/>
      <c r="C66" s="619" t="e">
        <v>#NULL!</v>
      </c>
      <c r="D66" s="619"/>
      <c r="E66" s="619"/>
      <c r="F66" s="619"/>
      <c r="G66" s="621"/>
      <c r="H66" s="619"/>
      <c r="I66" s="619"/>
      <c r="J66" s="619"/>
      <c r="K66" s="619"/>
      <c r="L66" s="619"/>
      <c r="M66" s="619"/>
      <c r="N66" s="619"/>
      <c r="O66" s="619"/>
      <c r="P66" s="619"/>
      <c r="Q66" s="619"/>
      <c r="R66" s="619"/>
      <c r="S66" s="619"/>
      <c r="T66" s="619"/>
      <c r="U66" s="619"/>
      <c r="V66" s="619"/>
      <c r="W66" s="619"/>
      <c r="X66" s="619"/>
      <c r="Y66" s="619"/>
      <c r="Z66" s="619"/>
    </row>
    <row r="67" spans="1:26" ht="11.25" customHeight="1">
      <c r="A67" s="619"/>
      <c r="B67" s="619"/>
      <c r="C67" s="619" t="e">
        <v>#NULL!</v>
      </c>
      <c r="D67" s="619"/>
      <c r="E67" s="619"/>
      <c r="F67" s="619"/>
      <c r="G67" s="621"/>
      <c r="H67" s="619"/>
      <c r="I67" s="619"/>
      <c r="J67" s="619"/>
      <c r="K67" s="619"/>
      <c r="L67" s="619"/>
      <c r="M67" s="619"/>
      <c r="N67" s="619"/>
      <c r="O67" s="619"/>
      <c r="P67" s="619"/>
      <c r="Q67" s="619"/>
      <c r="R67" s="619"/>
      <c r="S67" s="619"/>
      <c r="T67" s="619"/>
      <c r="U67" s="619"/>
      <c r="V67" s="619"/>
      <c r="W67" s="619"/>
      <c r="X67" s="619"/>
      <c r="Y67" s="619"/>
      <c r="Z67" s="619"/>
    </row>
    <row r="68" spans="1:26" ht="11.25" customHeight="1">
      <c r="A68" s="619"/>
      <c r="B68" s="619"/>
      <c r="C68" s="619" t="e">
        <v>#NULL!</v>
      </c>
      <c r="D68" s="619"/>
      <c r="E68" s="619"/>
      <c r="F68" s="619"/>
      <c r="G68" s="621"/>
      <c r="H68" s="619"/>
      <c r="I68" s="619"/>
      <c r="J68" s="619"/>
      <c r="K68" s="619"/>
      <c r="L68" s="619"/>
      <c r="M68" s="619"/>
      <c r="N68" s="619"/>
      <c r="O68" s="619"/>
      <c r="P68" s="619"/>
      <c r="Q68" s="619"/>
      <c r="R68" s="619"/>
      <c r="S68" s="619"/>
      <c r="T68" s="619"/>
      <c r="U68" s="619"/>
      <c r="V68" s="619"/>
      <c r="W68" s="619"/>
      <c r="X68" s="619"/>
      <c r="Y68" s="619"/>
      <c r="Z68" s="619"/>
    </row>
    <row r="69" spans="1:26" ht="11.25" customHeight="1">
      <c r="A69" s="619"/>
      <c r="B69" s="619"/>
      <c r="C69" s="619" t="e">
        <v>#NULL!</v>
      </c>
      <c r="D69" s="619"/>
      <c r="E69" s="619"/>
      <c r="F69" s="619"/>
      <c r="G69" s="621"/>
      <c r="H69" s="619"/>
      <c r="I69" s="619"/>
      <c r="J69" s="619"/>
      <c r="K69" s="619"/>
      <c r="L69" s="619"/>
      <c r="M69" s="619"/>
      <c r="N69" s="619"/>
      <c r="O69" s="619"/>
      <c r="P69" s="619"/>
      <c r="Q69" s="619"/>
      <c r="R69" s="619"/>
      <c r="S69" s="619"/>
      <c r="T69" s="619"/>
      <c r="U69" s="619"/>
      <c r="V69" s="619"/>
      <c r="W69" s="619"/>
      <c r="X69" s="619"/>
      <c r="Y69" s="619"/>
      <c r="Z69" s="619"/>
    </row>
    <row r="70" spans="1:26" ht="11.25" customHeight="1">
      <c r="A70" s="619"/>
      <c r="B70" s="619"/>
      <c r="C70" s="619" t="e">
        <v>#NULL!</v>
      </c>
      <c r="D70" s="619"/>
      <c r="E70" s="619"/>
      <c r="F70" s="619"/>
      <c r="G70" s="621"/>
      <c r="H70" s="619"/>
      <c r="I70" s="619"/>
      <c r="J70" s="619"/>
      <c r="K70" s="619"/>
      <c r="L70" s="619"/>
      <c r="M70" s="619"/>
      <c r="N70" s="619"/>
      <c r="O70" s="619"/>
      <c r="P70" s="619"/>
      <c r="Q70" s="619"/>
      <c r="R70" s="619"/>
      <c r="S70" s="619"/>
      <c r="T70" s="619"/>
      <c r="U70" s="619"/>
      <c r="V70" s="619"/>
      <c r="W70" s="619"/>
      <c r="X70" s="619"/>
      <c r="Y70" s="619"/>
      <c r="Z70" s="619"/>
    </row>
    <row r="71" spans="1:26" ht="11.25" customHeight="1">
      <c r="A71" s="619"/>
      <c r="B71" s="619"/>
      <c r="C71" s="619" t="e">
        <v>#NULL!</v>
      </c>
      <c r="D71" s="619"/>
      <c r="E71" s="619"/>
      <c r="F71" s="619"/>
      <c r="G71" s="621"/>
      <c r="H71" s="619"/>
      <c r="I71" s="619"/>
      <c r="J71" s="619"/>
      <c r="K71" s="619"/>
      <c r="L71" s="619"/>
      <c r="M71" s="619"/>
      <c r="N71" s="619"/>
      <c r="O71" s="619"/>
      <c r="P71" s="619"/>
      <c r="Q71" s="619"/>
      <c r="R71" s="619"/>
      <c r="S71" s="619"/>
      <c r="T71" s="619"/>
      <c r="U71" s="619"/>
      <c r="V71" s="619"/>
      <c r="W71" s="619"/>
      <c r="X71" s="619"/>
      <c r="Y71" s="619"/>
      <c r="Z71" s="619"/>
    </row>
    <row r="72" spans="1:26" ht="11.25" customHeight="1">
      <c r="A72" s="619"/>
      <c r="B72" s="619"/>
      <c r="C72" s="619" t="e">
        <v>#NULL!</v>
      </c>
      <c r="D72" s="619"/>
      <c r="E72" s="619"/>
      <c r="F72" s="619"/>
      <c r="G72" s="621"/>
      <c r="H72" s="619"/>
      <c r="I72" s="619"/>
      <c r="J72" s="619"/>
      <c r="K72" s="619"/>
      <c r="L72" s="619"/>
      <c r="M72" s="619"/>
      <c r="N72" s="619"/>
      <c r="O72" s="619"/>
      <c r="P72" s="619"/>
      <c r="Q72" s="619"/>
      <c r="R72" s="619"/>
      <c r="S72" s="619"/>
      <c r="T72" s="619"/>
      <c r="U72" s="619"/>
      <c r="V72" s="619"/>
      <c r="W72" s="619"/>
      <c r="X72" s="619"/>
      <c r="Y72" s="619"/>
      <c r="Z72" s="619"/>
    </row>
    <row r="73" spans="1:26" ht="11.25" customHeight="1">
      <c r="A73" s="619"/>
      <c r="B73" s="619"/>
      <c r="C73" s="619" t="e">
        <v>#NULL!</v>
      </c>
      <c r="D73" s="619"/>
      <c r="E73" s="619"/>
      <c r="F73" s="619"/>
      <c r="G73" s="621"/>
      <c r="H73" s="619"/>
      <c r="I73" s="619"/>
      <c r="J73" s="619"/>
      <c r="K73" s="619"/>
      <c r="L73" s="619"/>
      <c r="M73" s="619"/>
      <c r="N73" s="619"/>
      <c r="O73" s="619"/>
      <c r="P73" s="619"/>
      <c r="Q73" s="619"/>
      <c r="R73" s="619"/>
      <c r="S73" s="619"/>
      <c r="T73" s="619"/>
      <c r="U73" s="619"/>
      <c r="V73" s="619"/>
      <c r="W73" s="619"/>
      <c r="X73" s="619"/>
      <c r="Y73" s="619"/>
      <c r="Z73" s="619"/>
    </row>
    <row r="74" spans="1:26" ht="11.25" customHeight="1">
      <c r="A74" s="619"/>
      <c r="B74" s="619"/>
      <c r="C74" s="619" t="e">
        <v>#NULL!</v>
      </c>
      <c r="D74" s="619"/>
      <c r="E74" s="619"/>
      <c r="F74" s="619"/>
      <c r="G74" s="621"/>
      <c r="H74" s="619"/>
      <c r="I74" s="619"/>
      <c r="J74" s="619"/>
      <c r="K74" s="619"/>
      <c r="L74" s="619"/>
      <c r="M74" s="619"/>
      <c r="N74" s="619"/>
      <c r="O74" s="619"/>
      <c r="P74" s="619"/>
      <c r="Q74" s="619"/>
      <c r="R74" s="619"/>
      <c r="S74" s="619"/>
      <c r="T74" s="619"/>
      <c r="U74" s="619"/>
      <c r="V74" s="619"/>
      <c r="W74" s="619"/>
      <c r="X74" s="619"/>
      <c r="Y74" s="619"/>
      <c r="Z74" s="619"/>
    </row>
    <row r="75" spans="1:26" ht="11.25" customHeight="1">
      <c r="A75" s="619"/>
      <c r="B75" s="619"/>
      <c r="C75" s="619" t="e">
        <v>#NULL!</v>
      </c>
      <c r="D75" s="619"/>
      <c r="E75" s="619"/>
      <c r="F75" s="619"/>
      <c r="G75" s="621"/>
      <c r="H75" s="619"/>
      <c r="I75" s="619"/>
      <c r="J75" s="619"/>
      <c r="K75" s="619"/>
      <c r="L75" s="619"/>
      <c r="M75" s="619"/>
      <c r="N75" s="619"/>
      <c r="O75" s="619"/>
      <c r="P75" s="619"/>
      <c r="Q75" s="619"/>
      <c r="R75" s="619"/>
      <c r="S75" s="619"/>
      <c r="T75" s="619"/>
      <c r="U75" s="619"/>
      <c r="V75" s="619"/>
      <c r="W75" s="619"/>
      <c r="X75" s="619"/>
      <c r="Y75" s="619"/>
      <c r="Z75" s="619"/>
    </row>
    <row r="76" spans="1:26" ht="11.25" customHeight="1">
      <c r="A76" s="619"/>
      <c r="B76" s="619"/>
      <c r="C76" s="619" t="e">
        <v>#NULL!</v>
      </c>
      <c r="D76" s="619"/>
      <c r="E76" s="619"/>
      <c r="F76" s="619"/>
      <c r="G76" s="621"/>
      <c r="H76" s="619"/>
      <c r="I76" s="619"/>
      <c r="J76" s="619"/>
      <c r="K76" s="619"/>
      <c r="L76" s="619"/>
      <c r="M76" s="619"/>
      <c r="N76" s="619"/>
      <c r="O76" s="619"/>
      <c r="P76" s="619"/>
      <c r="Q76" s="619"/>
      <c r="R76" s="619"/>
      <c r="S76" s="619"/>
      <c r="T76" s="619"/>
      <c r="U76" s="619"/>
      <c r="V76" s="619"/>
      <c r="W76" s="619"/>
      <c r="X76" s="619"/>
      <c r="Y76" s="619"/>
      <c r="Z76" s="619"/>
    </row>
    <row r="77" spans="1:26" ht="11.25" customHeight="1">
      <c r="A77" s="619"/>
      <c r="B77" s="619"/>
      <c r="C77" s="619" t="e">
        <v>#NULL!</v>
      </c>
      <c r="D77" s="619"/>
      <c r="E77" s="619"/>
      <c r="F77" s="619"/>
      <c r="G77" s="621"/>
      <c r="H77" s="619"/>
      <c r="I77" s="619"/>
      <c r="J77" s="619"/>
      <c r="K77" s="619"/>
      <c r="L77" s="619"/>
      <c r="M77" s="619"/>
      <c r="N77" s="619"/>
      <c r="O77" s="619"/>
      <c r="P77" s="619"/>
      <c r="Q77" s="619"/>
      <c r="R77" s="619"/>
      <c r="S77" s="619"/>
      <c r="T77" s="619"/>
      <c r="U77" s="619"/>
      <c r="V77" s="619"/>
      <c r="W77" s="619"/>
      <c r="X77" s="619"/>
      <c r="Y77" s="619"/>
      <c r="Z77" s="619"/>
    </row>
    <row r="78" spans="1:26" ht="11.25" customHeight="1">
      <c r="A78" s="619"/>
      <c r="B78" s="619"/>
      <c r="C78" s="619" t="e">
        <v>#NULL!</v>
      </c>
      <c r="D78" s="619"/>
      <c r="E78" s="619"/>
      <c r="F78" s="619"/>
      <c r="G78" s="621"/>
      <c r="H78" s="619"/>
      <c r="I78" s="619"/>
      <c r="J78" s="619"/>
      <c r="K78" s="619"/>
      <c r="L78" s="619"/>
      <c r="M78" s="619"/>
      <c r="N78" s="619"/>
      <c r="O78" s="619"/>
      <c r="P78" s="619"/>
      <c r="Q78" s="619"/>
      <c r="R78" s="619"/>
      <c r="S78" s="619"/>
      <c r="T78" s="619"/>
      <c r="U78" s="619"/>
      <c r="V78" s="619"/>
      <c r="W78" s="619"/>
      <c r="X78" s="619"/>
      <c r="Y78" s="619"/>
      <c r="Z78" s="619"/>
    </row>
    <row r="79" spans="1:26" ht="11.25" customHeight="1">
      <c r="A79" s="619"/>
      <c r="B79" s="619"/>
      <c r="C79" s="619" t="e">
        <v>#NULL!</v>
      </c>
      <c r="D79" s="619"/>
      <c r="E79" s="619"/>
      <c r="F79" s="619"/>
      <c r="G79" s="621"/>
      <c r="H79" s="619"/>
      <c r="I79" s="619"/>
      <c r="J79" s="619"/>
      <c r="K79" s="619"/>
      <c r="L79" s="619"/>
      <c r="M79" s="619"/>
      <c r="N79" s="619"/>
      <c r="O79" s="619"/>
      <c r="P79" s="619"/>
      <c r="Q79" s="619"/>
      <c r="R79" s="619"/>
      <c r="S79" s="619"/>
      <c r="T79" s="619"/>
      <c r="U79" s="619"/>
      <c r="V79" s="619"/>
      <c r="W79" s="619"/>
      <c r="X79" s="619"/>
      <c r="Y79" s="619"/>
      <c r="Z79" s="619"/>
    </row>
    <row r="80" spans="1:26" ht="11.25" customHeight="1">
      <c r="A80" s="619"/>
      <c r="B80" s="619"/>
      <c r="C80" s="619" t="e">
        <v>#NULL!</v>
      </c>
      <c r="D80" s="619"/>
      <c r="E80" s="619"/>
      <c r="F80" s="619"/>
      <c r="G80" s="621"/>
      <c r="H80" s="619"/>
      <c r="I80" s="619"/>
      <c r="J80" s="619"/>
      <c r="K80" s="619"/>
      <c r="L80" s="619"/>
      <c r="M80" s="619"/>
      <c r="N80" s="619"/>
      <c r="O80" s="619"/>
      <c r="P80" s="619"/>
      <c r="Q80" s="619"/>
      <c r="R80" s="619"/>
      <c r="S80" s="619"/>
      <c r="T80" s="619"/>
      <c r="U80" s="619"/>
      <c r="V80" s="619"/>
      <c r="W80" s="619"/>
      <c r="X80" s="619"/>
      <c r="Y80" s="619"/>
      <c r="Z80" s="619"/>
    </row>
    <row r="81" spans="1:26" ht="11.25" customHeight="1">
      <c r="A81" s="619"/>
      <c r="B81" s="619"/>
      <c r="C81" s="619" t="e">
        <v>#NULL!</v>
      </c>
      <c r="D81" s="619"/>
      <c r="E81" s="619"/>
      <c r="F81" s="619"/>
      <c r="G81" s="621"/>
      <c r="H81" s="619"/>
      <c r="I81" s="619"/>
      <c r="J81" s="619"/>
      <c r="K81" s="619"/>
      <c r="L81" s="619"/>
      <c r="M81" s="619"/>
      <c r="N81" s="619"/>
      <c r="O81" s="619"/>
      <c r="P81" s="619"/>
      <c r="Q81" s="619"/>
      <c r="R81" s="619"/>
      <c r="S81" s="619"/>
      <c r="T81" s="619"/>
      <c r="U81" s="619"/>
      <c r="V81" s="619"/>
      <c r="W81" s="619"/>
      <c r="X81" s="619"/>
      <c r="Y81" s="619"/>
      <c r="Z81" s="619"/>
    </row>
    <row r="82" spans="1:26" ht="11.25" customHeight="1">
      <c r="A82" s="619"/>
      <c r="B82" s="619"/>
      <c r="C82" s="619" t="e">
        <v>#NULL!</v>
      </c>
      <c r="D82" s="619"/>
      <c r="E82" s="619"/>
      <c r="F82" s="619"/>
      <c r="G82" s="621"/>
      <c r="H82" s="619"/>
      <c r="I82" s="619"/>
      <c r="J82" s="619"/>
      <c r="K82" s="619"/>
      <c r="L82" s="619"/>
      <c r="M82" s="619"/>
      <c r="N82" s="619"/>
      <c r="O82" s="619"/>
      <c r="P82" s="619"/>
      <c r="Q82" s="619"/>
      <c r="R82" s="619"/>
      <c r="S82" s="619"/>
      <c r="T82" s="619"/>
      <c r="U82" s="619"/>
      <c r="V82" s="619"/>
      <c r="W82" s="619"/>
      <c r="X82" s="619"/>
      <c r="Y82" s="619"/>
      <c r="Z82" s="619"/>
    </row>
    <row r="83" spans="1:26" ht="11.25" customHeight="1">
      <c r="A83" s="619"/>
      <c r="B83" s="619"/>
      <c r="C83" s="619" t="e">
        <v>#NULL!</v>
      </c>
      <c r="D83" s="619"/>
      <c r="E83" s="619"/>
      <c r="F83" s="619"/>
      <c r="G83" s="621"/>
      <c r="H83" s="619"/>
      <c r="I83" s="619"/>
      <c r="J83" s="619"/>
      <c r="K83" s="619"/>
      <c r="L83" s="619"/>
      <c r="M83" s="619"/>
      <c r="N83" s="619"/>
      <c r="O83" s="619"/>
      <c r="P83" s="619"/>
      <c r="Q83" s="619"/>
      <c r="R83" s="619"/>
      <c r="S83" s="619"/>
      <c r="T83" s="619"/>
      <c r="U83" s="619"/>
      <c r="V83" s="619"/>
      <c r="W83" s="619"/>
      <c r="X83" s="619"/>
      <c r="Y83" s="619"/>
      <c r="Z83" s="619"/>
    </row>
    <row r="84" spans="1:26" ht="11.25" customHeight="1">
      <c r="A84" s="619"/>
      <c r="B84" s="619"/>
      <c r="C84" s="619" t="e">
        <v>#NULL!</v>
      </c>
      <c r="D84" s="619"/>
      <c r="E84" s="619"/>
      <c r="F84" s="619"/>
      <c r="G84" s="621"/>
      <c r="H84" s="619"/>
      <c r="I84" s="619"/>
      <c r="J84" s="619"/>
      <c r="K84" s="619"/>
      <c r="L84" s="619"/>
      <c r="M84" s="619"/>
      <c r="N84" s="619"/>
      <c r="O84" s="619"/>
      <c r="P84" s="619"/>
      <c r="Q84" s="619"/>
      <c r="R84" s="619"/>
      <c r="S84" s="619"/>
      <c r="T84" s="619"/>
      <c r="U84" s="619"/>
      <c r="V84" s="619"/>
      <c r="W84" s="619"/>
      <c r="X84" s="619"/>
      <c r="Y84" s="619"/>
      <c r="Z84" s="619"/>
    </row>
    <row r="85" spans="1:26" ht="11.25" customHeight="1">
      <c r="A85" s="619"/>
      <c r="B85" s="619"/>
      <c r="C85" s="619" t="e">
        <v>#NULL!</v>
      </c>
      <c r="D85" s="619"/>
      <c r="E85" s="619"/>
      <c r="F85" s="619"/>
      <c r="G85" s="621"/>
      <c r="H85" s="619"/>
      <c r="I85" s="619"/>
      <c r="J85" s="619"/>
      <c r="K85" s="619"/>
      <c r="L85" s="619"/>
      <c r="M85" s="619"/>
      <c r="N85" s="619"/>
      <c r="O85" s="619"/>
      <c r="P85" s="619"/>
      <c r="Q85" s="619"/>
      <c r="R85" s="619"/>
      <c r="S85" s="619"/>
      <c r="T85" s="619"/>
      <c r="U85" s="619"/>
      <c r="V85" s="619"/>
      <c r="W85" s="619"/>
      <c r="X85" s="619"/>
      <c r="Y85" s="619"/>
      <c r="Z85" s="619"/>
    </row>
    <row r="86" spans="1:26" ht="11.25" customHeight="1">
      <c r="A86" s="619"/>
      <c r="B86" s="619"/>
      <c r="C86" s="619" t="e">
        <v>#NULL!</v>
      </c>
      <c r="D86" s="619"/>
      <c r="E86" s="619"/>
      <c r="F86" s="619"/>
      <c r="G86" s="621"/>
      <c r="H86" s="619"/>
      <c r="I86" s="619"/>
      <c r="J86" s="619"/>
      <c r="K86" s="619"/>
      <c r="L86" s="619"/>
      <c r="M86" s="619"/>
      <c r="N86" s="619"/>
      <c r="O86" s="619"/>
      <c r="P86" s="619"/>
      <c r="Q86" s="619"/>
      <c r="R86" s="619"/>
      <c r="S86" s="619"/>
      <c r="T86" s="619"/>
      <c r="U86" s="619"/>
      <c r="V86" s="619"/>
      <c r="W86" s="619"/>
      <c r="X86" s="619"/>
      <c r="Y86" s="619"/>
      <c r="Z86" s="619"/>
    </row>
    <row r="87" spans="1:26" ht="11.25" customHeight="1">
      <c r="A87" s="619"/>
      <c r="B87" s="619"/>
      <c r="C87" s="619" t="e">
        <v>#NULL!</v>
      </c>
      <c r="D87" s="619"/>
      <c r="E87" s="619"/>
      <c r="F87" s="619"/>
      <c r="G87" s="621"/>
      <c r="H87" s="619"/>
      <c r="I87" s="619"/>
      <c r="J87" s="619"/>
      <c r="K87" s="619"/>
      <c r="L87" s="619"/>
      <c r="M87" s="619"/>
      <c r="N87" s="619"/>
      <c r="O87" s="619"/>
      <c r="P87" s="619"/>
      <c r="Q87" s="619"/>
      <c r="R87" s="619"/>
      <c r="S87" s="619"/>
      <c r="T87" s="619"/>
      <c r="U87" s="619"/>
      <c r="V87" s="619"/>
      <c r="W87" s="619"/>
      <c r="X87" s="619"/>
      <c r="Y87" s="619"/>
      <c r="Z87" s="619"/>
    </row>
    <row r="88" spans="1:26" ht="11.25" customHeight="1">
      <c r="A88" s="619"/>
      <c r="B88" s="619"/>
      <c r="C88" s="619" t="e">
        <v>#NULL!</v>
      </c>
      <c r="D88" s="619"/>
      <c r="E88" s="619"/>
      <c r="F88" s="619"/>
      <c r="G88" s="621"/>
      <c r="H88" s="619"/>
      <c r="I88" s="619"/>
      <c r="J88" s="619"/>
      <c r="K88" s="619"/>
      <c r="L88" s="619"/>
      <c r="M88" s="619"/>
      <c r="N88" s="619"/>
      <c r="O88" s="619"/>
      <c r="P88" s="619"/>
      <c r="Q88" s="619"/>
      <c r="R88" s="619"/>
      <c r="S88" s="619"/>
      <c r="T88" s="619"/>
      <c r="U88" s="619"/>
      <c r="V88" s="619"/>
      <c r="W88" s="619"/>
      <c r="X88" s="619"/>
      <c r="Y88" s="619"/>
      <c r="Z88" s="619"/>
    </row>
    <row r="89" spans="1:26" ht="11.25" customHeight="1">
      <c r="A89" s="619"/>
      <c r="B89" s="619"/>
      <c r="C89" s="619" t="e">
        <v>#NULL!</v>
      </c>
      <c r="D89" s="619"/>
      <c r="E89" s="619"/>
      <c r="F89" s="619"/>
      <c r="G89" s="621"/>
      <c r="H89" s="619"/>
      <c r="I89" s="619"/>
      <c r="J89" s="619"/>
      <c r="K89" s="619"/>
      <c r="L89" s="619"/>
      <c r="M89" s="619"/>
      <c r="N89" s="619"/>
      <c r="O89" s="619"/>
      <c r="P89" s="619"/>
      <c r="Q89" s="619"/>
      <c r="R89" s="619"/>
      <c r="S89" s="619"/>
      <c r="T89" s="619"/>
      <c r="U89" s="619"/>
      <c r="V89" s="619"/>
      <c r="W89" s="619"/>
      <c r="X89" s="619"/>
      <c r="Y89" s="619"/>
      <c r="Z89" s="619"/>
    </row>
    <row r="90" spans="1:26" ht="11.25" customHeight="1">
      <c r="A90" s="619"/>
      <c r="B90" s="619"/>
      <c r="C90" s="619" t="e">
        <v>#NULL!</v>
      </c>
      <c r="D90" s="619"/>
      <c r="E90" s="619"/>
      <c r="F90" s="619"/>
      <c r="G90" s="621"/>
      <c r="H90" s="619"/>
      <c r="I90" s="619"/>
      <c r="J90" s="619"/>
      <c r="K90" s="619"/>
      <c r="L90" s="619"/>
      <c r="M90" s="619"/>
      <c r="N90" s="619"/>
      <c r="O90" s="619"/>
      <c r="P90" s="619"/>
      <c r="Q90" s="619"/>
      <c r="R90" s="619"/>
      <c r="S90" s="619"/>
      <c r="T90" s="619"/>
      <c r="U90" s="619"/>
      <c r="V90" s="619"/>
      <c r="W90" s="619"/>
      <c r="X90" s="619"/>
      <c r="Y90" s="619"/>
      <c r="Z90" s="619"/>
    </row>
    <row r="91" spans="1:26" ht="11.25" customHeight="1">
      <c r="A91" s="619"/>
      <c r="B91" s="619"/>
      <c r="C91" s="619" t="e">
        <v>#NULL!</v>
      </c>
      <c r="D91" s="619"/>
      <c r="E91" s="619"/>
      <c r="F91" s="619"/>
      <c r="G91" s="621"/>
      <c r="H91" s="619"/>
      <c r="I91" s="619"/>
      <c r="J91" s="619"/>
      <c r="K91" s="619"/>
      <c r="L91" s="619"/>
      <c r="M91" s="619"/>
      <c r="N91" s="619"/>
      <c r="O91" s="619"/>
      <c r="P91" s="619"/>
      <c r="Q91" s="619"/>
      <c r="R91" s="619"/>
      <c r="S91" s="619"/>
      <c r="T91" s="619"/>
      <c r="U91" s="619"/>
      <c r="V91" s="619"/>
      <c r="W91" s="619"/>
      <c r="X91" s="619"/>
      <c r="Y91" s="619"/>
      <c r="Z91" s="619"/>
    </row>
    <row r="92" spans="1:26" ht="11.25" customHeight="1">
      <c r="A92" s="619"/>
      <c r="B92" s="619"/>
      <c r="C92" s="619" t="e">
        <v>#NULL!</v>
      </c>
      <c r="D92" s="619"/>
      <c r="E92" s="619"/>
      <c r="F92" s="619"/>
      <c r="G92" s="621"/>
      <c r="H92" s="619"/>
      <c r="I92" s="619"/>
      <c r="J92" s="619"/>
      <c r="K92" s="619"/>
      <c r="L92" s="619"/>
      <c r="M92" s="619"/>
      <c r="N92" s="619"/>
      <c r="O92" s="619"/>
      <c r="P92" s="619"/>
      <c r="Q92" s="619"/>
      <c r="R92" s="619"/>
      <c r="S92" s="619"/>
      <c r="T92" s="619"/>
      <c r="U92" s="619"/>
      <c r="V92" s="619"/>
      <c r="W92" s="619"/>
      <c r="X92" s="619"/>
      <c r="Y92" s="619"/>
      <c r="Z92" s="619"/>
    </row>
    <row r="93" spans="1:26" ht="11.25" customHeight="1">
      <c r="A93" s="619"/>
      <c r="B93" s="619"/>
      <c r="C93" s="619" t="e">
        <v>#NULL!</v>
      </c>
      <c r="D93" s="619"/>
      <c r="E93" s="619"/>
      <c r="F93" s="619"/>
      <c r="G93" s="621"/>
      <c r="H93" s="619"/>
      <c r="I93" s="619"/>
      <c r="J93" s="619"/>
      <c r="K93" s="619"/>
      <c r="L93" s="619"/>
      <c r="M93" s="619"/>
      <c r="N93" s="619"/>
      <c r="O93" s="619"/>
      <c r="P93" s="619"/>
      <c r="Q93" s="619"/>
      <c r="R93" s="619"/>
      <c r="S93" s="619"/>
      <c r="T93" s="619"/>
      <c r="U93" s="619"/>
      <c r="V93" s="619"/>
      <c r="W93" s="619"/>
      <c r="X93" s="619"/>
      <c r="Y93" s="619"/>
      <c r="Z93" s="619"/>
    </row>
    <row r="94" spans="1:26" ht="11.25" customHeight="1">
      <c r="A94" s="619"/>
      <c r="B94" s="619"/>
      <c r="C94" s="619" t="e">
        <v>#NULL!</v>
      </c>
      <c r="D94" s="619"/>
      <c r="E94" s="619"/>
      <c r="F94" s="619"/>
      <c r="G94" s="621"/>
      <c r="H94" s="619"/>
      <c r="I94" s="619"/>
      <c r="J94" s="619"/>
      <c r="K94" s="619"/>
      <c r="L94" s="619"/>
      <c r="M94" s="619"/>
      <c r="N94" s="619"/>
      <c r="O94" s="619"/>
      <c r="P94" s="619"/>
      <c r="Q94" s="619"/>
      <c r="R94" s="619"/>
      <c r="S94" s="619"/>
      <c r="T94" s="619"/>
      <c r="U94" s="619"/>
      <c r="V94" s="619"/>
      <c r="W94" s="619"/>
      <c r="X94" s="619"/>
      <c r="Y94" s="619"/>
      <c r="Z94" s="619"/>
    </row>
    <row r="95" spans="1:26" ht="11.25" customHeight="1">
      <c r="A95" s="619"/>
      <c r="B95" s="619"/>
      <c r="C95" s="619" t="e">
        <v>#NULL!</v>
      </c>
      <c r="D95" s="619"/>
      <c r="E95" s="619"/>
      <c r="F95" s="619"/>
      <c r="G95" s="621"/>
      <c r="H95" s="619"/>
      <c r="I95" s="619"/>
      <c r="J95" s="619"/>
      <c r="K95" s="619"/>
      <c r="L95" s="619"/>
      <c r="M95" s="619"/>
      <c r="N95" s="619"/>
      <c r="O95" s="619"/>
      <c r="P95" s="619"/>
      <c r="Q95" s="619"/>
      <c r="R95" s="619"/>
      <c r="S95" s="619"/>
      <c r="T95" s="619"/>
      <c r="U95" s="619"/>
      <c r="V95" s="619"/>
      <c r="W95" s="619"/>
      <c r="X95" s="619"/>
      <c r="Y95" s="619"/>
      <c r="Z95" s="619"/>
    </row>
    <row r="96" spans="1:26" ht="11.25" customHeight="1">
      <c r="A96" s="619"/>
      <c r="B96" s="619"/>
      <c r="C96" s="619" t="e">
        <v>#NULL!</v>
      </c>
      <c r="D96" s="619"/>
      <c r="E96" s="619"/>
      <c r="F96" s="619"/>
      <c r="G96" s="621"/>
      <c r="H96" s="619"/>
      <c r="I96" s="619"/>
      <c r="J96" s="619"/>
      <c r="K96" s="619"/>
      <c r="L96" s="619"/>
      <c r="M96" s="619"/>
      <c r="N96" s="619"/>
      <c r="O96" s="619"/>
      <c r="P96" s="619"/>
      <c r="Q96" s="619"/>
      <c r="R96" s="619"/>
      <c r="S96" s="619"/>
      <c r="T96" s="619"/>
      <c r="U96" s="619"/>
      <c r="V96" s="619"/>
      <c r="W96" s="619"/>
      <c r="X96" s="619"/>
      <c r="Y96" s="619"/>
      <c r="Z96" s="619"/>
    </row>
    <row r="97" spans="1:26" ht="11.25" customHeight="1">
      <c r="A97" s="619"/>
      <c r="B97" s="619"/>
      <c r="C97" s="619" t="e">
        <v>#NULL!</v>
      </c>
      <c r="D97" s="619"/>
      <c r="E97" s="619"/>
      <c r="F97" s="619"/>
      <c r="G97" s="621"/>
      <c r="H97" s="619"/>
      <c r="I97" s="619"/>
      <c r="J97" s="619"/>
      <c r="K97" s="619"/>
      <c r="L97" s="619"/>
      <c r="M97" s="619"/>
      <c r="N97" s="619"/>
      <c r="O97" s="619"/>
      <c r="P97" s="619"/>
      <c r="Q97" s="619"/>
      <c r="R97" s="619"/>
      <c r="S97" s="619"/>
      <c r="T97" s="619"/>
      <c r="U97" s="619"/>
      <c r="V97" s="619"/>
      <c r="W97" s="619"/>
      <c r="X97" s="619"/>
      <c r="Y97" s="619"/>
      <c r="Z97" s="619"/>
    </row>
    <row r="98" spans="1:26" ht="11.25" customHeight="1">
      <c r="A98" s="619"/>
      <c r="B98" s="619"/>
      <c r="C98" s="619" t="e">
        <v>#NULL!</v>
      </c>
      <c r="D98" s="619"/>
      <c r="E98" s="619"/>
      <c r="F98" s="619"/>
      <c r="G98" s="621"/>
      <c r="H98" s="619"/>
      <c r="I98" s="619"/>
      <c r="J98" s="619"/>
      <c r="K98" s="619"/>
      <c r="L98" s="619"/>
      <c r="M98" s="619"/>
      <c r="N98" s="619"/>
      <c r="O98" s="619"/>
      <c r="P98" s="619"/>
      <c r="Q98" s="619"/>
      <c r="R98" s="619"/>
      <c r="S98" s="619"/>
      <c r="T98" s="619"/>
      <c r="U98" s="619"/>
      <c r="V98" s="619"/>
      <c r="W98" s="619"/>
      <c r="X98" s="619"/>
      <c r="Y98" s="619"/>
      <c r="Z98" s="619"/>
    </row>
    <row r="99" spans="1:26" ht="11.25" customHeight="1">
      <c r="A99" s="619"/>
      <c r="B99" s="619"/>
      <c r="C99" s="619" t="e">
        <v>#NULL!</v>
      </c>
      <c r="D99" s="619"/>
      <c r="E99" s="619"/>
      <c r="F99" s="619"/>
      <c r="G99" s="621"/>
      <c r="H99" s="619"/>
      <c r="I99" s="619"/>
      <c r="J99" s="619"/>
      <c r="K99" s="619"/>
      <c r="L99" s="619"/>
      <c r="M99" s="619"/>
      <c r="N99" s="619"/>
      <c r="O99" s="619"/>
      <c r="P99" s="619"/>
      <c r="Q99" s="619"/>
      <c r="R99" s="619"/>
      <c r="S99" s="619"/>
      <c r="T99" s="619"/>
      <c r="U99" s="619"/>
      <c r="V99" s="619"/>
      <c r="W99" s="619"/>
      <c r="X99" s="619"/>
      <c r="Y99" s="619"/>
      <c r="Z99" s="619"/>
    </row>
    <row r="100" spans="1:26" ht="11.25" customHeight="1">
      <c r="A100" s="619"/>
      <c r="B100" s="619"/>
      <c r="C100" s="619" t="e">
        <v>#NULL!</v>
      </c>
      <c r="D100" s="619"/>
      <c r="E100" s="619"/>
      <c r="F100" s="619"/>
      <c r="G100" s="621"/>
      <c r="H100" s="619"/>
      <c r="I100" s="619"/>
      <c r="J100" s="619"/>
      <c r="K100" s="619"/>
      <c r="L100" s="619"/>
      <c r="M100" s="619"/>
      <c r="N100" s="619"/>
      <c r="O100" s="619"/>
      <c r="P100" s="619"/>
      <c r="Q100" s="619"/>
      <c r="R100" s="619"/>
      <c r="S100" s="619"/>
      <c r="T100" s="619"/>
      <c r="U100" s="619"/>
      <c r="V100" s="619"/>
      <c r="W100" s="619"/>
      <c r="X100" s="619"/>
      <c r="Y100" s="619"/>
      <c r="Z100" s="619"/>
    </row>
    <row r="101" spans="1:26" ht="11.25" customHeight="1">
      <c r="A101" s="619"/>
      <c r="B101" s="619"/>
      <c r="C101" s="619" t="e">
        <v>#NULL!</v>
      </c>
      <c r="D101" s="619"/>
      <c r="E101" s="619"/>
      <c r="F101" s="619"/>
      <c r="G101" s="621"/>
      <c r="H101" s="619"/>
      <c r="I101" s="619"/>
      <c r="J101" s="619"/>
      <c r="K101" s="619"/>
      <c r="L101" s="619"/>
      <c r="M101" s="619"/>
      <c r="N101" s="619"/>
      <c r="O101" s="619"/>
      <c r="P101" s="619"/>
      <c r="Q101" s="619"/>
      <c r="R101" s="619"/>
      <c r="S101" s="619"/>
      <c r="T101" s="619"/>
      <c r="U101" s="619"/>
      <c r="V101" s="619"/>
      <c r="W101" s="619"/>
      <c r="X101" s="619"/>
      <c r="Y101" s="619"/>
      <c r="Z101" s="619"/>
    </row>
    <row r="102" spans="1:26" ht="11.25" customHeight="1">
      <c r="A102" s="619"/>
      <c r="B102" s="619"/>
      <c r="C102" s="619" t="e">
        <v>#NULL!</v>
      </c>
      <c r="D102" s="619"/>
      <c r="E102" s="619"/>
      <c r="F102" s="619"/>
      <c r="G102" s="621"/>
      <c r="H102" s="619"/>
      <c r="I102" s="619"/>
      <c r="J102" s="619"/>
      <c r="K102" s="619"/>
      <c r="L102" s="619"/>
      <c r="M102" s="619"/>
      <c r="N102" s="619"/>
      <c r="O102" s="619"/>
      <c r="P102" s="619"/>
      <c r="Q102" s="619"/>
      <c r="R102" s="619"/>
      <c r="S102" s="619"/>
      <c r="T102" s="619"/>
      <c r="U102" s="619"/>
      <c r="V102" s="619"/>
      <c r="W102" s="619"/>
      <c r="X102" s="619"/>
      <c r="Y102" s="619"/>
      <c r="Z102" s="619"/>
    </row>
    <row r="103" spans="1:26" ht="11.25" customHeight="1">
      <c r="A103" s="619"/>
      <c r="B103" s="619"/>
      <c r="C103" s="619" t="e">
        <v>#NULL!</v>
      </c>
      <c r="D103" s="619"/>
      <c r="E103" s="619"/>
      <c r="F103" s="619"/>
      <c r="G103" s="621"/>
      <c r="H103" s="619"/>
      <c r="I103" s="619"/>
      <c r="J103" s="619"/>
      <c r="K103" s="619"/>
      <c r="L103" s="619"/>
      <c r="M103" s="619"/>
      <c r="N103" s="619"/>
      <c r="O103" s="619"/>
      <c r="P103" s="619"/>
      <c r="Q103" s="619"/>
      <c r="R103" s="619"/>
      <c r="S103" s="619"/>
      <c r="T103" s="619"/>
      <c r="U103" s="619"/>
      <c r="V103" s="619"/>
      <c r="W103" s="619"/>
      <c r="X103" s="619"/>
      <c r="Y103" s="619"/>
      <c r="Z103" s="619"/>
    </row>
    <row r="104" spans="1:26" ht="11.25" customHeight="1">
      <c r="A104" s="619"/>
      <c r="B104" s="619"/>
      <c r="C104" s="619" t="e">
        <v>#NULL!</v>
      </c>
      <c r="D104" s="619"/>
      <c r="E104" s="619"/>
      <c r="F104" s="619"/>
      <c r="G104" s="621"/>
      <c r="H104" s="619"/>
      <c r="I104" s="619"/>
      <c r="J104" s="619"/>
      <c r="K104" s="619"/>
      <c r="L104" s="619"/>
      <c r="M104" s="619"/>
      <c r="N104" s="619"/>
      <c r="O104" s="619"/>
      <c r="P104" s="619"/>
      <c r="Q104" s="619"/>
      <c r="R104" s="619"/>
      <c r="S104" s="619"/>
      <c r="T104" s="619"/>
      <c r="U104" s="619"/>
      <c r="V104" s="619"/>
      <c r="W104" s="619"/>
      <c r="X104" s="619"/>
      <c r="Y104" s="619"/>
      <c r="Z104" s="619"/>
    </row>
    <row r="105" spans="1:26" ht="11.25" customHeight="1">
      <c r="A105" s="619"/>
      <c r="B105" s="619"/>
      <c r="C105" s="619" t="e">
        <v>#NULL!</v>
      </c>
      <c r="D105" s="619"/>
      <c r="E105" s="619"/>
      <c r="F105" s="619"/>
      <c r="G105" s="621"/>
      <c r="H105" s="619"/>
      <c r="I105" s="619"/>
      <c r="J105" s="619"/>
      <c r="K105" s="619"/>
      <c r="L105" s="619"/>
      <c r="M105" s="619"/>
      <c r="N105" s="619"/>
      <c r="O105" s="619"/>
      <c r="P105" s="619"/>
      <c r="Q105" s="619"/>
      <c r="R105" s="619"/>
      <c r="S105" s="619"/>
      <c r="T105" s="619"/>
      <c r="U105" s="619"/>
      <c r="V105" s="619"/>
      <c r="W105" s="619"/>
      <c r="X105" s="619"/>
      <c r="Y105" s="619"/>
      <c r="Z105" s="619"/>
    </row>
    <row r="106" spans="1:26" ht="11.25" customHeight="1">
      <c r="A106" s="619"/>
      <c r="B106" s="619"/>
      <c r="C106" s="619" t="e">
        <v>#NULL!</v>
      </c>
      <c r="D106" s="619"/>
      <c r="E106" s="619"/>
      <c r="F106" s="619"/>
      <c r="G106" s="621"/>
      <c r="H106" s="619"/>
      <c r="I106" s="619"/>
      <c r="J106" s="619"/>
      <c r="K106" s="619"/>
      <c r="L106" s="619"/>
      <c r="M106" s="619"/>
      <c r="N106" s="619"/>
      <c r="O106" s="619"/>
      <c r="P106" s="619"/>
      <c r="Q106" s="619"/>
      <c r="R106" s="619"/>
      <c r="S106" s="619"/>
      <c r="T106" s="619"/>
      <c r="U106" s="619"/>
      <c r="V106" s="619"/>
      <c r="W106" s="619"/>
      <c r="X106" s="619"/>
      <c r="Y106" s="619"/>
      <c r="Z106" s="619"/>
    </row>
    <row r="107" spans="1:26" ht="11.25" customHeight="1">
      <c r="A107" s="619"/>
      <c r="B107" s="619"/>
      <c r="C107" s="619" t="e">
        <v>#NULL!</v>
      </c>
      <c r="D107" s="619"/>
      <c r="E107" s="619"/>
      <c r="F107" s="619"/>
      <c r="G107" s="621"/>
      <c r="H107" s="619"/>
      <c r="I107" s="619"/>
      <c r="J107" s="619"/>
      <c r="K107" s="619"/>
      <c r="L107" s="619"/>
      <c r="M107" s="619"/>
      <c r="N107" s="619"/>
      <c r="O107" s="619"/>
      <c r="P107" s="619"/>
      <c r="Q107" s="619"/>
      <c r="R107" s="619"/>
      <c r="S107" s="619"/>
      <c r="T107" s="619"/>
      <c r="U107" s="619"/>
      <c r="V107" s="619"/>
      <c r="W107" s="619"/>
      <c r="X107" s="619"/>
      <c r="Y107" s="619"/>
      <c r="Z107" s="619"/>
    </row>
    <row r="108" spans="1:26" ht="11.25" customHeight="1">
      <c r="A108" s="619"/>
      <c r="B108" s="619"/>
      <c r="C108" s="619" t="e">
        <v>#NULL!</v>
      </c>
      <c r="D108" s="619"/>
      <c r="E108" s="619"/>
      <c r="F108" s="619"/>
      <c r="G108" s="621"/>
      <c r="H108" s="619"/>
      <c r="I108" s="619"/>
      <c r="J108" s="619"/>
      <c r="K108" s="619"/>
      <c r="L108" s="619"/>
      <c r="M108" s="619"/>
      <c r="N108" s="619"/>
      <c r="O108" s="619"/>
      <c r="P108" s="619"/>
      <c r="Q108" s="619"/>
      <c r="R108" s="619"/>
      <c r="S108" s="619"/>
      <c r="T108" s="619"/>
      <c r="U108" s="619"/>
      <c r="V108" s="619"/>
      <c r="W108" s="619"/>
      <c r="X108" s="619"/>
      <c r="Y108" s="619"/>
      <c r="Z108" s="619"/>
    </row>
    <row r="109" spans="1:26" ht="11.25" customHeight="1">
      <c r="A109" s="619"/>
      <c r="B109" s="619"/>
      <c r="C109" s="619" t="e">
        <v>#NULL!</v>
      </c>
      <c r="D109" s="619"/>
      <c r="E109" s="619"/>
      <c r="F109" s="619"/>
      <c r="G109" s="621"/>
      <c r="H109" s="619"/>
      <c r="I109" s="619"/>
      <c r="J109" s="619"/>
      <c r="K109" s="619"/>
      <c r="L109" s="619"/>
      <c r="M109" s="619"/>
      <c r="N109" s="619"/>
      <c r="O109" s="619"/>
      <c r="P109" s="619"/>
      <c r="Q109" s="619"/>
      <c r="R109" s="619"/>
      <c r="S109" s="619"/>
      <c r="T109" s="619"/>
      <c r="U109" s="619"/>
      <c r="V109" s="619"/>
      <c r="W109" s="619"/>
      <c r="X109" s="619"/>
      <c r="Y109" s="619"/>
      <c r="Z109" s="619"/>
    </row>
    <row r="110" spans="1:26" ht="11.25" customHeight="1">
      <c r="A110" s="619"/>
      <c r="B110" s="619"/>
      <c r="C110" s="619" t="e">
        <v>#NULL!</v>
      </c>
      <c r="D110" s="619"/>
      <c r="E110" s="619"/>
      <c r="F110" s="619"/>
      <c r="G110" s="621"/>
      <c r="H110" s="619"/>
      <c r="I110" s="619"/>
      <c r="J110" s="619"/>
      <c r="K110" s="619"/>
      <c r="L110" s="619"/>
      <c r="M110" s="619"/>
      <c r="N110" s="619"/>
      <c r="O110" s="619"/>
      <c r="P110" s="619"/>
      <c r="Q110" s="619"/>
      <c r="R110" s="619"/>
      <c r="S110" s="619"/>
      <c r="T110" s="619"/>
      <c r="U110" s="619"/>
      <c r="V110" s="619"/>
      <c r="W110" s="619"/>
      <c r="X110" s="619"/>
      <c r="Y110" s="619"/>
      <c r="Z110" s="619"/>
    </row>
    <row r="111" spans="1:26" ht="11.25" customHeight="1">
      <c r="A111" s="619"/>
      <c r="B111" s="619"/>
      <c r="C111" s="619" t="e">
        <v>#NULL!</v>
      </c>
      <c r="D111" s="619"/>
      <c r="E111" s="619"/>
      <c r="F111" s="619"/>
      <c r="G111" s="621"/>
      <c r="H111" s="619"/>
      <c r="I111" s="619"/>
      <c r="J111" s="619"/>
      <c r="K111" s="619"/>
      <c r="L111" s="619"/>
      <c r="M111" s="619"/>
      <c r="N111" s="619"/>
      <c r="O111" s="619"/>
      <c r="P111" s="619"/>
      <c r="Q111" s="619"/>
      <c r="R111" s="619"/>
      <c r="S111" s="619"/>
      <c r="T111" s="619"/>
      <c r="U111" s="619"/>
      <c r="V111" s="619"/>
      <c r="W111" s="619"/>
      <c r="X111" s="619"/>
      <c r="Y111" s="619"/>
      <c r="Z111" s="619"/>
    </row>
    <row r="112" spans="1:26" ht="11.25" customHeight="1">
      <c r="A112" s="619"/>
      <c r="B112" s="619"/>
      <c r="C112" s="619" t="e">
        <v>#NULL!</v>
      </c>
      <c r="D112" s="619"/>
      <c r="E112" s="619"/>
      <c r="F112" s="619"/>
      <c r="G112" s="621"/>
      <c r="H112" s="619"/>
      <c r="I112" s="619"/>
      <c r="J112" s="619"/>
      <c r="K112" s="619"/>
      <c r="L112" s="619"/>
      <c r="M112" s="619"/>
      <c r="N112" s="619"/>
      <c r="O112" s="619"/>
      <c r="P112" s="619"/>
      <c r="Q112" s="619"/>
      <c r="R112" s="619"/>
      <c r="S112" s="619"/>
      <c r="T112" s="619"/>
      <c r="U112" s="619"/>
      <c r="V112" s="619"/>
      <c r="W112" s="619"/>
      <c r="X112" s="619"/>
      <c r="Y112" s="619"/>
      <c r="Z112" s="619"/>
    </row>
    <row r="113" spans="1:26" ht="11.25" customHeight="1">
      <c r="A113" s="619"/>
      <c r="B113" s="619"/>
      <c r="C113" s="619" t="e">
        <v>#NULL!</v>
      </c>
      <c r="D113" s="619"/>
      <c r="E113" s="619"/>
      <c r="F113" s="619"/>
      <c r="G113" s="621"/>
      <c r="H113" s="619"/>
      <c r="I113" s="619"/>
      <c r="J113" s="619"/>
      <c r="K113" s="619"/>
      <c r="L113" s="619"/>
      <c r="M113" s="619"/>
      <c r="N113" s="619"/>
      <c r="O113" s="619"/>
      <c r="P113" s="619"/>
      <c r="Q113" s="619"/>
      <c r="R113" s="619"/>
      <c r="S113" s="619"/>
      <c r="T113" s="619"/>
      <c r="U113" s="619"/>
      <c r="V113" s="619"/>
      <c r="W113" s="619"/>
      <c r="X113" s="619"/>
      <c r="Y113" s="619"/>
      <c r="Z113" s="619"/>
    </row>
    <row r="114" spans="1:26" ht="11.25" customHeight="1">
      <c r="A114" s="619"/>
      <c r="B114" s="619"/>
      <c r="C114" s="619" t="e">
        <v>#NULL!</v>
      </c>
      <c r="D114" s="619"/>
      <c r="E114" s="619"/>
      <c r="F114" s="619"/>
      <c r="G114" s="621"/>
      <c r="H114" s="619"/>
      <c r="I114" s="619"/>
      <c r="J114" s="619"/>
      <c r="K114" s="619"/>
      <c r="L114" s="619"/>
      <c r="M114" s="619"/>
      <c r="N114" s="619"/>
      <c r="O114" s="619"/>
      <c r="P114" s="619"/>
      <c r="Q114" s="619"/>
      <c r="R114" s="619"/>
      <c r="S114" s="619"/>
      <c r="T114" s="619"/>
      <c r="U114" s="619"/>
      <c r="V114" s="619"/>
      <c r="W114" s="619"/>
      <c r="X114" s="619"/>
      <c r="Y114" s="619"/>
      <c r="Z114" s="619"/>
    </row>
    <row r="115" spans="1:26" ht="11.25" customHeight="1">
      <c r="A115" s="619"/>
      <c r="B115" s="619"/>
      <c r="C115" s="619" t="e">
        <v>#NULL!</v>
      </c>
      <c r="D115" s="619"/>
      <c r="E115" s="619"/>
      <c r="F115" s="619"/>
      <c r="G115" s="621"/>
      <c r="H115" s="619"/>
      <c r="I115" s="619"/>
      <c r="J115" s="619"/>
      <c r="K115" s="619"/>
      <c r="L115" s="619"/>
      <c r="M115" s="619"/>
      <c r="N115" s="619"/>
      <c r="O115" s="619"/>
      <c r="P115" s="619"/>
      <c r="Q115" s="619"/>
      <c r="R115" s="619"/>
      <c r="S115" s="619"/>
      <c r="T115" s="619"/>
      <c r="U115" s="619"/>
      <c r="V115" s="619"/>
      <c r="W115" s="619"/>
      <c r="X115" s="619"/>
      <c r="Y115" s="619"/>
      <c r="Z115" s="619"/>
    </row>
    <row r="116" spans="1:26" ht="11.25" customHeight="1">
      <c r="A116" s="619"/>
      <c r="B116" s="619"/>
      <c r="C116" s="619" t="e">
        <v>#NULL!</v>
      </c>
      <c r="D116" s="619"/>
      <c r="E116" s="619"/>
      <c r="F116" s="619"/>
      <c r="G116" s="621"/>
      <c r="H116" s="619"/>
      <c r="I116" s="619"/>
      <c r="J116" s="619"/>
      <c r="K116" s="619"/>
      <c r="L116" s="619"/>
      <c r="M116" s="619"/>
      <c r="N116" s="619"/>
      <c r="O116" s="619"/>
      <c r="P116" s="619"/>
      <c r="Q116" s="619"/>
      <c r="R116" s="619"/>
      <c r="S116" s="619"/>
      <c r="T116" s="619"/>
      <c r="U116" s="619"/>
      <c r="V116" s="619"/>
      <c r="W116" s="619"/>
      <c r="X116" s="619"/>
      <c r="Y116" s="619"/>
      <c r="Z116" s="619"/>
    </row>
    <row r="117" spans="1:26" ht="11.25" customHeight="1">
      <c r="A117" s="619"/>
      <c r="B117" s="619"/>
      <c r="C117" s="619" t="e">
        <v>#NULL!</v>
      </c>
      <c r="D117" s="619"/>
      <c r="E117" s="619"/>
      <c r="F117" s="619"/>
      <c r="G117" s="621"/>
      <c r="H117" s="619"/>
      <c r="I117" s="619"/>
      <c r="J117" s="619"/>
      <c r="K117" s="619"/>
      <c r="L117" s="619"/>
      <c r="M117" s="619"/>
      <c r="N117" s="619"/>
      <c r="O117" s="619"/>
      <c r="P117" s="619"/>
      <c r="Q117" s="619"/>
      <c r="R117" s="619"/>
      <c r="S117" s="619"/>
      <c r="T117" s="619"/>
      <c r="U117" s="619"/>
      <c r="V117" s="619"/>
      <c r="W117" s="619"/>
      <c r="X117" s="619"/>
      <c r="Y117" s="619"/>
      <c r="Z117" s="619"/>
    </row>
    <row r="118" spans="1:26" ht="11.25" customHeight="1">
      <c r="A118" s="619"/>
      <c r="B118" s="619"/>
      <c r="C118" s="619" t="e">
        <v>#NULL!</v>
      </c>
      <c r="D118" s="619"/>
      <c r="E118" s="619"/>
      <c r="F118" s="619"/>
      <c r="G118" s="621"/>
      <c r="H118" s="619"/>
      <c r="I118" s="619"/>
      <c r="J118" s="619"/>
      <c r="K118" s="619"/>
      <c r="L118" s="619"/>
      <c r="M118" s="619"/>
      <c r="N118" s="619"/>
      <c r="O118" s="619"/>
      <c r="P118" s="619"/>
      <c r="Q118" s="619"/>
      <c r="R118" s="619"/>
      <c r="S118" s="619"/>
      <c r="T118" s="619"/>
      <c r="U118" s="619"/>
      <c r="V118" s="619"/>
      <c r="W118" s="619"/>
      <c r="X118" s="619"/>
      <c r="Y118" s="619"/>
      <c r="Z118" s="619"/>
    </row>
    <row r="119" spans="1:26" ht="11.25" customHeight="1">
      <c r="A119" s="619"/>
      <c r="B119" s="619"/>
      <c r="C119" s="619" t="e">
        <v>#NULL!</v>
      </c>
      <c r="D119" s="619"/>
      <c r="E119" s="619"/>
      <c r="F119" s="619"/>
      <c r="G119" s="621"/>
      <c r="H119" s="619"/>
      <c r="I119" s="619"/>
      <c r="J119" s="619"/>
      <c r="K119" s="619"/>
      <c r="L119" s="619"/>
      <c r="M119" s="619"/>
      <c r="N119" s="619"/>
      <c r="O119" s="619"/>
      <c r="P119" s="619"/>
      <c r="Q119" s="619"/>
      <c r="R119" s="619"/>
      <c r="S119" s="619"/>
      <c r="T119" s="619"/>
      <c r="U119" s="619"/>
      <c r="V119" s="619"/>
      <c r="W119" s="619"/>
      <c r="X119" s="619"/>
      <c r="Y119" s="619"/>
      <c r="Z119" s="619"/>
    </row>
    <row r="120" spans="1:26" ht="11.25" customHeight="1">
      <c r="A120" s="619"/>
      <c r="B120" s="619"/>
      <c r="C120" s="619" t="e">
        <v>#NULL!</v>
      </c>
      <c r="D120" s="619"/>
      <c r="E120" s="619"/>
      <c r="F120" s="619"/>
      <c r="G120" s="621"/>
      <c r="H120" s="619"/>
      <c r="I120" s="619"/>
      <c r="J120" s="619"/>
      <c r="K120" s="619"/>
      <c r="L120" s="619"/>
      <c r="M120" s="619"/>
      <c r="N120" s="619"/>
      <c r="O120" s="619"/>
      <c r="P120" s="619"/>
      <c r="Q120" s="619"/>
      <c r="R120" s="619"/>
      <c r="S120" s="619"/>
      <c r="T120" s="619"/>
      <c r="U120" s="619"/>
      <c r="V120" s="619"/>
      <c r="W120" s="619"/>
      <c r="X120" s="619"/>
      <c r="Y120" s="619"/>
      <c r="Z120" s="619"/>
    </row>
    <row r="121" spans="1:26" ht="11.25" customHeight="1">
      <c r="A121" s="619"/>
      <c r="B121" s="619"/>
      <c r="C121" s="619" t="e">
        <v>#NULL!</v>
      </c>
      <c r="D121" s="619"/>
      <c r="E121" s="619"/>
      <c r="F121" s="619"/>
      <c r="G121" s="621"/>
      <c r="H121" s="619"/>
      <c r="I121" s="619"/>
      <c r="J121" s="619"/>
      <c r="K121" s="619"/>
      <c r="L121" s="619"/>
      <c r="M121" s="619"/>
      <c r="N121" s="619"/>
      <c r="O121" s="619"/>
      <c r="P121" s="619"/>
      <c r="Q121" s="619"/>
      <c r="R121" s="619"/>
      <c r="S121" s="619"/>
      <c r="T121" s="619"/>
      <c r="U121" s="619"/>
      <c r="V121" s="619"/>
      <c r="W121" s="619"/>
      <c r="X121" s="619"/>
      <c r="Y121" s="619"/>
      <c r="Z121" s="619"/>
    </row>
    <row r="122" spans="1:26" ht="11.25" customHeight="1">
      <c r="A122" s="619"/>
      <c r="B122" s="619"/>
      <c r="C122" s="619" t="e">
        <v>#NULL!</v>
      </c>
      <c r="D122" s="619"/>
      <c r="E122" s="619"/>
      <c r="F122" s="619"/>
      <c r="G122" s="621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</row>
    <row r="123" spans="1:26" ht="11.25" customHeight="1">
      <c r="A123" s="619"/>
      <c r="B123" s="619"/>
      <c r="C123" s="619" t="e">
        <v>#NULL!</v>
      </c>
      <c r="D123" s="619"/>
      <c r="E123" s="619"/>
      <c r="F123" s="619"/>
      <c r="G123" s="621"/>
      <c r="H123" s="619"/>
      <c r="I123" s="619"/>
      <c r="J123" s="619"/>
      <c r="K123" s="619"/>
      <c r="L123" s="619"/>
      <c r="M123" s="619"/>
      <c r="N123" s="619"/>
      <c r="O123" s="619"/>
      <c r="P123" s="619"/>
      <c r="Q123" s="619"/>
      <c r="R123" s="619"/>
      <c r="S123" s="619"/>
      <c r="T123" s="619"/>
      <c r="U123" s="619"/>
      <c r="V123" s="619"/>
      <c r="W123" s="619"/>
      <c r="X123" s="619"/>
      <c r="Y123" s="619"/>
      <c r="Z123" s="619"/>
    </row>
    <row r="124" spans="1:26" ht="11.25" customHeight="1">
      <c r="A124" s="619"/>
      <c r="B124" s="619"/>
      <c r="C124" s="619" t="e">
        <v>#NULL!</v>
      </c>
      <c r="D124" s="619"/>
      <c r="E124" s="619"/>
      <c r="F124" s="619"/>
      <c r="G124" s="621"/>
      <c r="H124" s="619"/>
      <c r="I124" s="619"/>
      <c r="J124" s="619"/>
      <c r="K124" s="619"/>
      <c r="L124" s="619"/>
      <c r="M124" s="619"/>
      <c r="N124" s="619"/>
      <c r="O124" s="619"/>
      <c r="P124" s="619"/>
      <c r="Q124" s="619"/>
      <c r="R124" s="619"/>
      <c r="S124" s="619"/>
      <c r="T124" s="619"/>
      <c r="U124" s="619"/>
      <c r="V124" s="619"/>
      <c r="W124" s="619"/>
      <c r="X124" s="619"/>
      <c r="Y124" s="619"/>
      <c r="Z124" s="619"/>
    </row>
    <row r="125" spans="1:26" ht="11.25" customHeight="1">
      <c r="A125" s="619"/>
      <c r="B125" s="619"/>
      <c r="C125" s="619" t="e">
        <v>#NULL!</v>
      </c>
      <c r="D125" s="619"/>
      <c r="E125" s="619"/>
      <c r="F125" s="619"/>
      <c r="G125" s="621"/>
      <c r="H125" s="619"/>
      <c r="I125" s="619"/>
      <c r="J125" s="619"/>
      <c r="K125" s="619"/>
      <c r="L125" s="619"/>
      <c r="M125" s="619"/>
      <c r="N125" s="619"/>
      <c r="O125" s="619"/>
      <c r="P125" s="619"/>
      <c r="Q125" s="619"/>
      <c r="R125" s="619"/>
      <c r="S125" s="619"/>
      <c r="T125" s="619"/>
      <c r="U125" s="619"/>
      <c r="V125" s="619"/>
      <c r="W125" s="619"/>
      <c r="X125" s="619"/>
      <c r="Y125" s="619"/>
      <c r="Z125" s="619"/>
    </row>
    <row r="126" spans="1:26" ht="11.25" customHeight="1">
      <c r="A126" s="619"/>
      <c r="B126" s="619"/>
      <c r="C126" s="619" t="e">
        <v>#NULL!</v>
      </c>
      <c r="D126" s="619"/>
      <c r="E126" s="619"/>
      <c r="F126" s="619"/>
      <c r="G126" s="621"/>
      <c r="H126" s="619"/>
      <c r="I126" s="619"/>
      <c r="J126" s="619"/>
      <c r="K126" s="619"/>
      <c r="L126" s="619"/>
      <c r="M126" s="619"/>
      <c r="N126" s="619"/>
      <c r="O126" s="619"/>
      <c r="P126" s="619"/>
      <c r="Q126" s="619"/>
      <c r="R126" s="619"/>
      <c r="S126" s="619"/>
      <c r="T126" s="619"/>
      <c r="U126" s="619"/>
      <c r="V126" s="619"/>
      <c r="W126" s="619"/>
      <c r="X126" s="619"/>
      <c r="Y126" s="619"/>
      <c r="Z126" s="619"/>
    </row>
    <row r="127" spans="1:26" ht="11.25" customHeight="1">
      <c r="A127" s="619"/>
      <c r="B127" s="619"/>
      <c r="C127" s="619" t="e">
        <v>#NULL!</v>
      </c>
      <c r="D127" s="619"/>
      <c r="E127" s="619"/>
      <c r="F127" s="619"/>
      <c r="G127" s="621"/>
      <c r="H127" s="619"/>
      <c r="I127" s="619"/>
      <c r="J127" s="619"/>
      <c r="K127" s="619"/>
      <c r="L127" s="619"/>
      <c r="M127" s="619"/>
      <c r="N127" s="619"/>
      <c r="O127" s="619"/>
      <c r="P127" s="619"/>
      <c r="Q127" s="619"/>
      <c r="R127" s="619"/>
      <c r="S127" s="619"/>
      <c r="T127" s="619"/>
      <c r="U127" s="619"/>
      <c r="V127" s="619"/>
      <c r="W127" s="619"/>
      <c r="X127" s="619"/>
      <c r="Y127" s="619"/>
      <c r="Z127" s="619"/>
    </row>
    <row r="128" spans="1:26" ht="11.25" customHeight="1">
      <c r="A128" s="619"/>
      <c r="B128" s="619"/>
      <c r="C128" s="619" t="e">
        <v>#NULL!</v>
      </c>
      <c r="D128" s="619"/>
      <c r="E128" s="619"/>
      <c r="F128" s="619"/>
      <c r="G128" s="621"/>
      <c r="H128" s="619"/>
      <c r="I128" s="619"/>
      <c r="J128" s="619"/>
      <c r="K128" s="619"/>
      <c r="L128" s="619"/>
      <c r="M128" s="619"/>
      <c r="N128" s="619"/>
      <c r="O128" s="619"/>
      <c r="P128" s="619"/>
      <c r="Q128" s="619"/>
      <c r="R128" s="619"/>
      <c r="S128" s="619"/>
      <c r="T128" s="619"/>
      <c r="U128" s="619"/>
      <c r="V128" s="619"/>
      <c r="W128" s="619"/>
      <c r="X128" s="619"/>
      <c r="Y128" s="619"/>
      <c r="Z128" s="619"/>
    </row>
    <row r="129" spans="1:26" ht="11.25" customHeight="1">
      <c r="A129" s="619"/>
      <c r="B129" s="619"/>
      <c r="C129" s="619" t="e">
        <v>#NULL!</v>
      </c>
      <c r="D129" s="619"/>
      <c r="E129" s="619"/>
      <c r="F129" s="619"/>
      <c r="G129" s="621"/>
      <c r="H129" s="619"/>
      <c r="I129" s="619"/>
      <c r="J129" s="619"/>
      <c r="K129" s="619"/>
      <c r="L129" s="619"/>
      <c r="M129" s="619"/>
      <c r="N129" s="619"/>
      <c r="O129" s="619"/>
      <c r="P129" s="619"/>
      <c r="Q129" s="619"/>
      <c r="R129" s="619"/>
      <c r="S129" s="619"/>
      <c r="T129" s="619"/>
      <c r="U129" s="619"/>
      <c r="V129" s="619"/>
      <c r="W129" s="619"/>
      <c r="X129" s="619"/>
      <c r="Y129" s="619"/>
      <c r="Z129" s="619"/>
    </row>
    <row r="130" spans="1:26" ht="11.25" customHeight="1">
      <c r="A130" s="619"/>
      <c r="B130" s="619"/>
      <c r="C130" s="619" t="e">
        <v>#NULL!</v>
      </c>
      <c r="D130" s="619"/>
      <c r="E130" s="619"/>
      <c r="F130" s="619"/>
      <c r="G130" s="621"/>
      <c r="H130" s="619"/>
      <c r="I130" s="619"/>
      <c r="J130" s="619"/>
      <c r="K130" s="619"/>
      <c r="L130" s="619"/>
      <c r="M130" s="619"/>
      <c r="N130" s="619"/>
      <c r="O130" s="619"/>
      <c r="P130" s="619"/>
      <c r="Q130" s="619"/>
      <c r="R130" s="619"/>
      <c r="S130" s="619"/>
      <c r="T130" s="619"/>
      <c r="U130" s="619"/>
      <c r="V130" s="619"/>
      <c r="W130" s="619"/>
      <c r="X130" s="619"/>
      <c r="Y130" s="619"/>
      <c r="Z130" s="619"/>
    </row>
    <row r="131" spans="1:26" ht="11.25" customHeight="1">
      <c r="A131" s="619"/>
      <c r="B131" s="619"/>
      <c r="C131" s="619" t="e">
        <v>#NULL!</v>
      </c>
      <c r="D131" s="619"/>
      <c r="E131" s="619"/>
      <c r="F131" s="619"/>
      <c r="G131" s="621"/>
      <c r="H131" s="619"/>
      <c r="I131" s="619"/>
      <c r="J131" s="619"/>
      <c r="K131" s="619"/>
      <c r="L131" s="619"/>
      <c r="M131" s="619"/>
      <c r="N131" s="619"/>
      <c r="O131" s="619"/>
      <c r="P131" s="619"/>
      <c r="Q131" s="619"/>
      <c r="R131" s="619"/>
      <c r="S131" s="619"/>
      <c r="T131" s="619"/>
      <c r="U131" s="619"/>
      <c r="V131" s="619"/>
      <c r="W131" s="619"/>
      <c r="X131" s="619"/>
      <c r="Y131" s="619"/>
      <c r="Z131" s="619"/>
    </row>
    <row r="132" spans="1:26" ht="11.25" customHeight="1">
      <c r="A132" s="619"/>
      <c r="B132" s="619"/>
      <c r="C132" s="619" t="e">
        <v>#NULL!</v>
      </c>
      <c r="D132" s="619"/>
      <c r="E132" s="619"/>
      <c r="F132" s="619"/>
      <c r="G132" s="621"/>
      <c r="H132" s="619"/>
      <c r="I132" s="619"/>
      <c r="J132" s="619"/>
      <c r="K132" s="619"/>
      <c r="L132" s="619"/>
      <c r="M132" s="619"/>
      <c r="N132" s="619"/>
      <c r="O132" s="619"/>
      <c r="P132" s="619"/>
      <c r="Q132" s="619"/>
      <c r="R132" s="619"/>
      <c r="S132" s="619"/>
      <c r="T132" s="619"/>
      <c r="U132" s="619"/>
      <c r="V132" s="619"/>
      <c r="W132" s="619"/>
      <c r="X132" s="619"/>
      <c r="Y132" s="619"/>
      <c r="Z132" s="619"/>
    </row>
    <row r="133" spans="1:26" ht="11.25" customHeight="1">
      <c r="A133" s="619"/>
      <c r="B133" s="619"/>
      <c r="C133" s="619" t="e">
        <v>#NULL!</v>
      </c>
      <c r="D133" s="619"/>
      <c r="E133" s="619"/>
      <c r="F133" s="619"/>
      <c r="G133" s="621"/>
      <c r="H133" s="619"/>
      <c r="I133" s="619"/>
      <c r="J133" s="619"/>
      <c r="K133" s="619"/>
      <c r="L133" s="619"/>
      <c r="M133" s="619"/>
      <c r="N133" s="619"/>
      <c r="O133" s="619"/>
      <c r="P133" s="619"/>
      <c r="Q133" s="619"/>
      <c r="R133" s="619"/>
      <c r="S133" s="619"/>
      <c r="T133" s="619"/>
      <c r="U133" s="619"/>
      <c r="V133" s="619"/>
      <c r="W133" s="619"/>
      <c r="X133" s="619"/>
      <c r="Y133" s="619"/>
      <c r="Z133" s="619"/>
    </row>
    <row r="134" spans="1:26" ht="11.25" customHeight="1">
      <c r="A134" s="619"/>
      <c r="B134" s="619"/>
      <c r="C134" s="619" t="e">
        <v>#NULL!</v>
      </c>
      <c r="D134" s="619"/>
      <c r="E134" s="619"/>
      <c r="F134" s="619"/>
      <c r="G134" s="621"/>
      <c r="H134" s="619"/>
      <c r="I134" s="619"/>
      <c r="J134" s="619"/>
      <c r="K134" s="619"/>
      <c r="L134" s="619"/>
      <c r="M134" s="619"/>
      <c r="N134" s="619"/>
      <c r="O134" s="619"/>
      <c r="P134" s="619"/>
      <c r="Q134" s="619"/>
      <c r="R134" s="619"/>
      <c r="S134" s="619"/>
      <c r="T134" s="619"/>
      <c r="U134" s="619"/>
      <c r="V134" s="619"/>
      <c r="W134" s="619"/>
      <c r="X134" s="619"/>
      <c r="Y134" s="619"/>
      <c r="Z134" s="619"/>
    </row>
    <row r="135" spans="1:26" ht="11.25" customHeight="1">
      <c r="A135" s="619"/>
      <c r="B135" s="619"/>
      <c r="C135" s="619" t="e">
        <v>#NULL!</v>
      </c>
      <c r="D135" s="619"/>
      <c r="E135" s="619"/>
      <c r="F135" s="619"/>
      <c r="G135" s="621"/>
      <c r="H135" s="619"/>
      <c r="I135" s="619"/>
      <c r="J135" s="619"/>
      <c r="K135" s="619"/>
      <c r="L135" s="619"/>
      <c r="M135" s="619"/>
      <c r="N135" s="619"/>
      <c r="O135" s="619"/>
      <c r="P135" s="619"/>
      <c r="Q135" s="619"/>
      <c r="R135" s="619"/>
      <c r="S135" s="619"/>
      <c r="T135" s="619"/>
      <c r="U135" s="619"/>
      <c r="V135" s="619"/>
      <c r="W135" s="619"/>
      <c r="X135" s="619"/>
      <c r="Y135" s="619"/>
      <c r="Z135" s="619"/>
    </row>
    <row r="136" spans="1:26" ht="11.25" customHeight="1">
      <c r="A136" s="619"/>
      <c r="B136" s="619"/>
      <c r="C136" s="619" t="e">
        <v>#NULL!</v>
      </c>
      <c r="D136" s="619"/>
      <c r="E136" s="619"/>
      <c r="F136" s="619"/>
      <c r="G136" s="621"/>
      <c r="H136" s="619"/>
      <c r="I136" s="619"/>
      <c r="J136" s="619"/>
      <c r="K136" s="619"/>
      <c r="L136" s="619"/>
      <c r="M136" s="619"/>
      <c r="N136" s="619"/>
      <c r="O136" s="619"/>
      <c r="P136" s="619"/>
      <c r="Q136" s="619"/>
      <c r="R136" s="619"/>
      <c r="S136" s="619"/>
      <c r="T136" s="619"/>
      <c r="U136" s="619"/>
      <c r="V136" s="619"/>
      <c r="W136" s="619"/>
      <c r="X136" s="619"/>
      <c r="Y136" s="619"/>
      <c r="Z136" s="619"/>
    </row>
    <row r="137" spans="1:26" ht="11.25" customHeight="1">
      <c r="A137" s="619"/>
      <c r="B137" s="619"/>
      <c r="C137" s="619" t="e">
        <v>#NULL!</v>
      </c>
      <c r="D137" s="619"/>
      <c r="E137" s="619"/>
      <c r="F137" s="619"/>
      <c r="G137" s="621"/>
      <c r="H137" s="619"/>
      <c r="I137" s="619"/>
      <c r="J137" s="619"/>
      <c r="K137" s="619"/>
      <c r="L137" s="619"/>
      <c r="M137" s="619"/>
      <c r="N137" s="619"/>
      <c r="O137" s="619"/>
      <c r="P137" s="619"/>
      <c r="Q137" s="619"/>
      <c r="R137" s="619"/>
      <c r="S137" s="619"/>
      <c r="T137" s="619"/>
      <c r="U137" s="619"/>
      <c r="V137" s="619"/>
      <c r="W137" s="619"/>
      <c r="X137" s="619"/>
      <c r="Y137" s="619"/>
      <c r="Z137" s="619"/>
    </row>
    <row r="138" spans="1:26" ht="11.25" customHeight="1">
      <c r="A138" s="619"/>
      <c r="B138" s="619"/>
      <c r="C138" s="619" t="e">
        <v>#NULL!</v>
      </c>
      <c r="D138" s="619"/>
      <c r="E138" s="619"/>
      <c r="F138" s="619"/>
      <c r="G138" s="621"/>
      <c r="H138" s="619"/>
      <c r="I138" s="619"/>
      <c r="J138" s="619"/>
      <c r="K138" s="619"/>
      <c r="L138" s="619"/>
      <c r="M138" s="619"/>
      <c r="N138" s="619"/>
      <c r="O138" s="619"/>
      <c r="P138" s="619"/>
      <c r="Q138" s="619"/>
      <c r="R138" s="619"/>
      <c r="S138" s="619"/>
      <c r="T138" s="619"/>
      <c r="U138" s="619"/>
      <c r="V138" s="619"/>
      <c r="W138" s="619"/>
      <c r="X138" s="619"/>
      <c r="Y138" s="619"/>
      <c r="Z138" s="619"/>
    </row>
    <row r="139" spans="1:26" ht="11.25" customHeight="1">
      <c r="A139" s="619"/>
      <c r="B139" s="619"/>
      <c r="C139" s="619" t="e">
        <v>#NULL!</v>
      </c>
      <c r="D139" s="619"/>
      <c r="E139" s="619"/>
      <c r="F139" s="619"/>
      <c r="G139" s="621"/>
      <c r="H139" s="619"/>
      <c r="I139" s="619"/>
      <c r="J139" s="619"/>
      <c r="K139" s="619"/>
      <c r="L139" s="619"/>
      <c r="M139" s="619"/>
      <c r="N139" s="619"/>
      <c r="O139" s="619"/>
      <c r="P139" s="619"/>
      <c r="Q139" s="619"/>
      <c r="R139" s="619"/>
      <c r="S139" s="619"/>
      <c r="T139" s="619"/>
      <c r="U139" s="619"/>
      <c r="V139" s="619"/>
      <c r="W139" s="619"/>
      <c r="X139" s="619"/>
      <c r="Y139" s="619"/>
      <c r="Z139" s="619"/>
    </row>
    <row r="140" spans="1:26" ht="11.25" customHeight="1">
      <c r="A140" s="619"/>
      <c r="B140" s="619"/>
      <c r="C140" s="619" t="e">
        <v>#NULL!</v>
      </c>
      <c r="D140" s="619"/>
      <c r="E140" s="619"/>
      <c r="F140" s="619"/>
      <c r="G140" s="621"/>
      <c r="H140" s="619"/>
      <c r="I140" s="619"/>
      <c r="J140" s="619"/>
      <c r="K140" s="619"/>
      <c r="L140" s="619"/>
      <c r="M140" s="619"/>
      <c r="N140" s="619"/>
      <c r="O140" s="619"/>
      <c r="P140" s="619"/>
      <c r="Q140" s="619"/>
      <c r="R140" s="619"/>
      <c r="S140" s="619"/>
      <c r="T140" s="619"/>
      <c r="U140" s="619"/>
      <c r="V140" s="619"/>
      <c r="W140" s="619"/>
      <c r="X140" s="619"/>
      <c r="Y140" s="619"/>
      <c r="Z140" s="619"/>
    </row>
    <row r="141" spans="1:26" ht="11.25" customHeight="1">
      <c r="A141" s="619"/>
      <c r="B141" s="619"/>
      <c r="C141" s="619" t="e">
        <v>#NULL!</v>
      </c>
      <c r="D141" s="619"/>
      <c r="E141" s="619"/>
      <c r="F141" s="619"/>
      <c r="G141" s="621"/>
      <c r="H141" s="619"/>
      <c r="I141" s="619"/>
      <c r="J141" s="619"/>
      <c r="K141" s="619"/>
      <c r="L141" s="619"/>
      <c r="M141" s="619"/>
      <c r="N141" s="619"/>
      <c r="O141" s="619"/>
      <c r="P141" s="619"/>
      <c r="Q141" s="619"/>
      <c r="R141" s="619"/>
      <c r="S141" s="619"/>
      <c r="T141" s="619"/>
      <c r="U141" s="619"/>
      <c r="V141" s="619"/>
      <c r="W141" s="619"/>
      <c r="X141" s="619"/>
      <c r="Y141" s="619"/>
      <c r="Z141" s="619"/>
    </row>
    <row r="142" spans="1:26" ht="11.25" customHeight="1">
      <c r="A142" s="619"/>
      <c r="B142" s="619"/>
      <c r="C142" s="619" t="e">
        <v>#NULL!</v>
      </c>
      <c r="D142" s="619"/>
      <c r="E142" s="619"/>
      <c r="F142" s="619"/>
      <c r="G142" s="621"/>
      <c r="H142" s="619"/>
      <c r="I142" s="619"/>
      <c r="J142" s="619"/>
      <c r="K142" s="619"/>
      <c r="L142" s="619"/>
      <c r="M142" s="619"/>
      <c r="N142" s="619"/>
      <c r="O142" s="619"/>
      <c r="P142" s="619"/>
      <c r="Q142" s="619"/>
      <c r="R142" s="619"/>
      <c r="S142" s="619"/>
      <c r="T142" s="619"/>
      <c r="U142" s="619"/>
      <c r="V142" s="619"/>
      <c r="W142" s="619"/>
      <c r="X142" s="619"/>
      <c r="Y142" s="619"/>
      <c r="Z142" s="619"/>
    </row>
    <row r="143" spans="1:26" ht="11.25" customHeight="1">
      <c r="A143" s="619"/>
      <c r="B143" s="619"/>
      <c r="C143" s="619" t="e">
        <v>#NULL!</v>
      </c>
      <c r="D143" s="619"/>
      <c r="E143" s="619"/>
      <c r="F143" s="619"/>
      <c r="G143" s="621"/>
      <c r="H143" s="619"/>
      <c r="I143" s="619"/>
      <c r="J143" s="619"/>
      <c r="K143" s="619"/>
      <c r="L143" s="619"/>
      <c r="M143" s="619"/>
      <c r="N143" s="619"/>
      <c r="O143" s="619"/>
      <c r="P143" s="619"/>
      <c r="Q143" s="619"/>
      <c r="R143" s="619"/>
      <c r="S143" s="619"/>
      <c r="T143" s="619"/>
      <c r="U143" s="619"/>
      <c r="V143" s="619"/>
      <c r="W143" s="619"/>
      <c r="X143" s="619"/>
      <c r="Y143" s="619"/>
      <c r="Z143" s="619"/>
    </row>
    <row r="144" spans="1:26" ht="11.25" customHeight="1">
      <c r="A144" s="619"/>
      <c r="B144" s="619"/>
      <c r="C144" s="619" t="e">
        <v>#NULL!</v>
      </c>
      <c r="D144" s="619"/>
      <c r="E144" s="619"/>
      <c r="F144" s="619"/>
      <c r="G144" s="621"/>
      <c r="H144" s="619"/>
      <c r="I144" s="619"/>
      <c r="J144" s="619"/>
      <c r="K144" s="619"/>
      <c r="L144" s="619"/>
      <c r="M144" s="619"/>
      <c r="N144" s="619"/>
      <c r="O144" s="619"/>
      <c r="P144" s="619"/>
      <c r="Q144" s="619"/>
      <c r="R144" s="619"/>
      <c r="S144" s="619"/>
      <c r="T144" s="619"/>
      <c r="U144" s="619"/>
      <c r="V144" s="619"/>
      <c r="W144" s="619"/>
      <c r="X144" s="619"/>
      <c r="Y144" s="619"/>
      <c r="Z144" s="619"/>
    </row>
    <row r="145" spans="1:26" ht="11.25" customHeight="1">
      <c r="A145" s="619"/>
      <c r="B145" s="619"/>
      <c r="C145" s="619" t="e">
        <v>#NULL!</v>
      </c>
      <c r="D145" s="619"/>
      <c r="E145" s="619"/>
      <c r="F145" s="619"/>
      <c r="G145" s="621"/>
      <c r="H145" s="619"/>
      <c r="I145" s="619"/>
      <c r="J145" s="619"/>
      <c r="K145" s="619"/>
      <c r="L145" s="619"/>
      <c r="M145" s="619"/>
      <c r="N145" s="619"/>
      <c r="O145" s="619"/>
      <c r="P145" s="619"/>
      <c r="Q145" s="619"/>
      <c r="R145" s="619"/>
      <c r="S145" s="619"/>
      <c r="T145" s="619"/>
      <c r="U145" s="619"/>
      <c r="V145" s="619"/>
      <c r="W145" s="619"/>
      <c r="X145" s="619"/>
      <c r="Y145" s="619"/>
      <c r="Z145" s="619"/>
    </row>
    <row r="146" spans="1:26" ht="11.25" customHeight="1">
      <c r="A146" s="619"/>
      <c r="B146" s="619"/>
      <c r="C146" s="619" t="e">
        <v>#NULL!</v>
      </c>
      <c r="D146" s="619"/>
      <c r="E146" s="619"/>
      <c r="F146" s="619"/>
      <c r="G146" s="621"/>
      <c r="H146" s="619"/>
      <c r="I146" s="619"/>
      <c r="J146" s="619"/>
      <c r="K146" s="619"/>
      <c r="L146" s="619"/>
      <c r="M146" s="619"/>
      <c r="N146" s="619"/>
      <c r="O146" s="619"/>
      <c r="P146" s="619"/>
      <c r="Q146" s="619"/>
      <c r="R146" s="619"/>
      <c r="S146" s="619"/>
      <c r="T146" s="619"/>
      <c r="U146" s="619"/>
      <c r="V146" s="619"/>
      <c r="W146" s="619"/>
      <c r="X146" s="619"/>
      <c r="Y146" s="619"/>
      <c r="Z146" s="619"/>
    </row>
    <row r="147" spans="1:26" ht="11.25" customHeight="1">
      <c r="A147" s="619"/>
      <c r="B147" s="619"/>
      <c r="C147" s="619" t="e">
        <v>#NULL!</v>
      </c>
      <c r="D147" s="619"/>
      <c r="E147" s="619"/>
      <c r="F147" s="619"/>
      <c r="G147" s="621"/>
      <c r="H147" s="619"/>
      <c r="I147" s="619"/>
      <c r="J147" s="619"/>
      <c r="K147" s="619"/>
      <c r="L147" s="619"/>
      <c r="M147" s="619"/>
      <c r="N147" s="619"/>
      <c r="O147" s="619"/>
      <c r="P147" s="619"/>
      <c r="Q147" s="619"/>
      <c r="R147" s="619"/>
      <c r="S147" s="619"/>
      <c r="T147" s="619"/>
      <c r="U147" s="619"/>
      <c r="V147" s="619"/>
      <c r="W147" s="619"/>
      <c r="X147" s="619"/>
      <c r="Y147" s="619"/>
      <c r="Z147" s="619"/>
    </row>
    <row r="148" spans="1:26" ht="11.25" customHeight="1">
      <c r="A148" s="619"/>
      <c r="B148" s="619"/>
      <c r="C148" s="619" t="e">
        <v>#NULL!</v>
      </c>
      <c r="D148" s="619"/>
      <c r="E148" s="619"/>
      <c r="F148" s="619"/>
      <c r="G148" s="621"/>
      <c r="H148" s="619"/>
      <c r="I148" s="619"/>
      <c r="J148" s="619"/>
      <c r="K148" s="619"/>
      <c r="L148" s="619"/>
      <c r="M148" s="619"/>
      <c r="N148" s="619"/>
      <c r="O148" s="619"/>
      <c r="P148" s="619"/>
      <c r="Q148" s="619"/>
      <c r="R148" s="619"/>
      <c r="S148" s="619"/>
      <c r="T148" s="619"/>
      <c r="U148" s="619"/>
      <c r="V148" s="619"/>
      <c r="W148" s="619"/>
      <c r="X148" s="619"/>
      <c r="Y148" s="619"/>
      <c r="Z148" s="619"/>
    </row>
    <row r="149" spans="1:26" ht="11.25" customHeight="1">
      <c r="A149" s="619"/>
      <c r="B149" s="619"/>
      <c r="C149" s="619" t="e">
        <v>#NULL!</v>
      </c>
      <c r="D149" s="619"/>
      <c r="E149" s="619"/>
      <c r="F149" s="619"/>
      <c r="G149" s="621"/>
      <c r="H149" s="619"/>
      <c r="I149" s="619"/>
      <c r="J149" s="619"/>
      <c r="K149" s="619"/>
      <c r="L149" s="619"/>
      <c r="M149" s="619"/>
      <c r="N149" s="619"/>
      <c r="O149" s="619"/>
      <c r="P149" s="619"/>
      <c r="Q149" s="619"/>
      <c r="R149" s="619"/>
      <c r="S149" s="619"/>
      <c r="T149" s="619"/>
      <c r="U149" s="619"/>
      <c r="V149" s="619"/>
      <c r="W149" s="619"/>
      <c r="X149" s="619"/>
      <c r="Y149" s="619"/>
      <c r="Z149" s="619"/>
    </row>
    <row r="150" spans="1:26" ht="11.25" customHeight="1">
      <c r="A150" s="619"/>
      <c r="B150" s="619"/>
      <c r="C150" s="619" t="e">
        <v>#NULL!</v>
      </c>
      <c r="D150" s="619"/>
      <c r="E150" s="619"/>
      <c r="F150" s="619"/>
      <c r="G150" s="621"/>
      <c r="H150" s="619"/>
      <c r="I150" s="619"/>
      <c r="J150" s="619"/>
      <c r="K150" s="619"/>
      <c r="L150" s="619"/>
      <c r="M150" s="619"/>
      <c r="N150" s="619"/>
      <c r="O150" s="619"/>
      <c r="P150" s="619"/>
      <c r="Q150" s="619"/>
      <c r="R150" s="619"/>
      <c r="S150" s="619"/>
      <c r="T150" s="619"/>
      <c r="U150" s="619"/>
      <c r="V150" s="619"/>
      <c r="W150" s="619"/>
      <c r="X150" s="619"/>
      <c r="Y150" s="619"/>
      <c r="Z150" s="619"/>
    </row>
    <row r="151" spans="1:26" ht="11.25" customHeight="1">
      <c r="A151" s="619"/>
      <c r="B151" s="619"/>
      <c r="C151" s="619" t="e">
        <v>#NULL!</v>
      </c>
      <c r="D151" s="619"/>
      <c r="E151" s="619"/>
      <c r="F151" s="619"/>
      <c r="G151" s="621"/>
      <c r="H151" s="619"/>
      <c r="I151" s="619"/>
      <c r="J151" s="619"/>
      <c r="K151" s="619"/>
      <c r="L151" s="619"/>
      <c r="M151" s="619"/>
      <c r="N151" s="619"/>
      <c r="O151" s="619"/>
      <c r="P151" s="619"/>
      <c r="Q151" s="619"/>
      <c r="R151" s="619"/>
      <c r="S151" s="619"/>
      <c r="T151" s="619"/>
      <c r="U151" s="619"/>
      <c r="V151" s="619"/>
      <c r="W151" s="619"/>
      <c r="X151" s="619"/>
      <c r="Y151" s="619"/>
      <c r="Z151" s="619"/>
    </row>
    <row r="152" spans="1:26" ht="11.25" customHeight="1">
      <c r="A152" s="619"/>
      <c r="B152" s="619"/>
      <c r="C152" s="619" t="e">
        <v>#NULL!</v>
      </c>
      <c r="D152" s="619"/>
      <c r="E152" s="619"/>
      <c r="F152" s="619"/>
      <c r="G152" s="621"/>
      <c r="H152" s="619"/>
      <c r="I152" s="619"/>
      <c r="J152" s="619"/>
      <c r="K152" s="619"/>
      <c r="L152" s="619"/>
      <c r="M152" s="619"/>
      <c r="N152" s="619"/>
      <c r="O152" s="619"/>
      <c r="P152" s="619"/>
      <c r="Q152" s="619"/>
      <c r="R152" s="619"/>
      <c r="S152" s="619"/>
      <c r="T152" s="619"/>
      <c r="U152" s="619"/>
      <c r="V152" s="619"/>
      <c r="W152" s="619"/>
      <c r="X152" s="619"/>
      <c r="Y152" s="619"/>
      <c r="Z152" s="619"/>
    </row>
    <row r="153" spans="1:26" ht="11.25" customHeight="1">
      <c r="A153" s="619"/>
      <c r="B153" s="619"/>
      <c r="C153" s="619" t="e">
        <v>#NULL!</v>
      </c>
      <c r="D153" s="619"/>
      <c r="E153" s="619"/>
      <c r="F153" s="619"/>
      <c r="G153" s="621"/>
      <c r="H153" s="619"/>
      <c r="I153" s="619"/>
      <c r="J153" s="619"/>
      <c r="K153" s="619"/>
      <c r="L153" s="619"/>
      <c r="M153" s="619"/>
      <c r="N153" s="619"/>
      <c r="O153" s="619"/>
      <c r="P153" s="619"/>
      <c r="Q153" s="619"/>
      <c r="R153" s="619"/>
      <c r="S153" s="619"/>
      <c r="T153" s="619"/>
      <c r="U153" s="619"/>
      <c r="V153" s="619"/>
      <c r="W153" s="619"/>
      <c r="X153" s="619"/>
      <c r="Y153" s="619"/>
      <c r="Z153" s="619"/>
    </row>
    <row r="154" spans="1:26" ht="11.25" customHeight="1">
      <c r="A154" s="619"/>
      <c r="B154" s="619"/>
      <c r="C154" s="619" t="e">
        <v>#NULL!</v>
      </c>
      <c r="D154" s="619"/>
      <c r="E154" s="619"/>
      <c r="F154" s="619"/>
      <c r="G154" s="621"/>
      <c r="H154" s="619"/>
      <c r="I154" s="619"/>
      <c r="J154" s="619"/>
      <c r="K154" s="619"/>
      <c r="L154" s="619"/>
      <c r="M154" s="619"/>
      <c r="N154" s="619"/>
      <c r="O154" s="619"/>
      <c r="P154" s="619"/>
      <c r="Q154" s="619"/>
      <c r="R154" s="619"/>
      <c r="S154" s="619"/>
      <c r="T154" s="619"/>
      <c r="U154" s="619"/>
      <c r="V154" s="619"/>
      <c r="W154" s="619"/>
      <c r="X154" s="619"/>
      <c r="Y154" s="619"/>
      <c r="Z154" s="619"/>
    </row>
    <row r="155" spans="1:26" ht="11.25" customHeight="1">
      <c r="A155" s="619"/>
      <c r="B155" s="619"/>
      <c r="C155" s="619" t="e">
        <v>#NULL!</v>
      </c>
      <c r="D155" s="619"/>
      <c r="E155" s="619"/>
      <c r="F155" s="619"/>
      <c r="G155" s="621"/>
      <c r="H155" s="619"/>
      <c r="I155" s="619"/>
      <c r="J155" s="619"/>
      <c r="K155" s="619"/>
      <c r="L155" s="619"/>
      <c r="M155" s="619"/>
      <c r="N155" s="619"/>
      <c r="O155" s="619"/>
      <c r="P155" s="619"/>
      <c r="Q155" s="619"/>
      <c r="R155" s="619"/>
      <c r="S155" s="619"/>
      <c r="T155" s="619"/>
      <c r="U155" s="619"/>
      <c r="V155" s="619"/>
      <c r="W155" s="619"/>
      <c r="X155" s="619"/>
      <c r="Y155" s="619"/>
      <c r="Z155" s="619"/>
    </row>
    <row r="156" spans="1:26" ht="11.25" customHeight="1">
      <c r="A156" s="619"/>
      <c r="B156" s="619"/>
      <c r="C156" s="619" t="e">
        <v>#NULL!</v>
      </c>
      <c r="D156" s="619"/>
      <c r="E156" s="619"/>
      <c r="F156" s="619"/>
      <c r="G156" s="621"/>
      <c r="H156" s="619"/>
      <c r="I156" s="619"/>
      <c r="J156" s="619"/>
      <c r="K156" s="619"/>
      <c r="L156" s="619"/>
      <c r="M156" s="619"/>
      <c r="N156" s="619"/>
      <c r="O156" s="619"/>
      <c r="P156" s="619"/>
      <c r="Q156" s="619"/>
      <c r="R156" s="619"/>
      <c r="S156" s="619"/>
      <c r="T156" s="619"/>
      <c r="U156" s="619"/>
      <c r="V156" s="619"/>
      <c r="W156" s="619"/>
      <c r="X156" s="619"/>
      <c r="Y156" s="619"/>
      <c r="Z156" s="619"/>
    </row>
    <row r="157" spans="1:26" ht="11.25" customHeight="1">
      <c r="A157" s="619"/>
      <c r="B157" s="619"/>
      <c r="C157" s="619" t="e">
        <v>#NULL!</v>
      </c>
      <c r="D157" s="619"/>
      <c r="E157" s="619"/>
      <c r="F157" s="619"/>
      <c r="G157" s="621"/>
      <c r="H157" s="619"/>
      <c r="I157" s="619"/>
      <c r="J157" s="619"/>
      <c r="K157" s="619"/>
      <c r="L157" s="619"/>
      <c r="M157" s="619"/>
      <c r="N157" s="619"/>
      <c r="O157" s="619"/>
      <c r="P157" s="619"/>
      <c r="Q157" s="619"/>
      <c r="R157" s="619"/>
      <c r="S157" s="619"/>
      <c r="T157" s="619"/>
      <c r="U157" s="619"/>
      <c r="V157" s="619"/>
      <c r="W157" s="619"/>
      <c r="X157" s="619"/>
      <c r="Y157" s="619"/>
      <c r="Z157" s="619"/>
    </row>
    <row r="158" spans="1:26" ht="11.25" customHeight="1">
      <c r="A158" s="619"/>
      <c r="B158" s="619"/>
      <c r="C158" s="619" t="e">
        <v>#NULL!</v>
      </c>
      <c r="D158" s="619"/>
      <c r="E158" s="619"/>
      <c r="F158" s="619"/>
      <c r="G158" s="621"/>
      <c r="H158" s="619"/>
      <c r="I158" s="619"/>
      <c r="J158" s="619"/>
      <c r="K158" s="619"/>
      <c r="L158" s="619"/>
      <c r="M158" s="619"/>
      <c r="N158" s="619"/>
      <c r="O158" s="619"/>
      <c r="P158" s="619"/>
      <c r="Q158" s="619"/>
      <c r="R158" s="619"/>
      <c r="S158" s="619"/>
      <c r="T158" s="619"/>
      <c r="U158" s="619"/>
      <c r="V158" s="619"/>
      <c r="W158" s="619"/>
      <c r="X158" s="619"/>
      <c r="Y158" s="619"/>
      <c r="Z158" s="619"/>
    </row>
    <row r="159" spans="1:26" ht="11.25" customHeight="1">
      <c r="A159" s="619"/>
      <c r="B159" s="619"/>
      <c r="C159" s="619" t="e">
        <v>#NULL!</v>
      </c>
      <c r="D159" s="619"/>
      <c r="E159" s="619"/>
      <c r="F159" s="619"/>
      <c r="G159" s="621"/>
      <c r="H159" s="619"/>
      <c r="I159" s="619"/>
      <c r="J159" s="619"/>
      <c r="K159" s="619"/>
      <c r="L159" s="619"/>
      <c r="M159" s="619"/>
      <c r="N159" s="619"/>
      <c r="O159" s="619"/>
      <c r="P159" s="619"/>
      <c r="Q159" s="619"/>
      <c r="R159" s="619"/>
      <c r="S159" s="619"/>
      <c r="T159" s="619"/>
      <c r="U159" s="619"/>
      <c r="V159" s="619"/>
      <c r="W159" s="619"/>
      <c r="X159" s="619"/>
      <c r="Y159" s="619"/>
      <c r="Z159" s="619"/>
    </row>
    <row r="160" spans="1:26" ht="11.25" customHeight="1">
      <c r="A160" s="619"/>
      <c r="B160" s="619"/>
      <c r="C160" s="619" t="e">
        <v>#NULL!</v>
      </c>
      <c r="D160" s="619"/>
      <c r="E160" s="619"/>
      <c r="F160" s="619"/>
      <c r="G160" s="621"/>
      <c r="H160" s="619"/>
      <c r="I160" s="619"/>
      <c r="J160" s="619"/>
      <c r="K160" s="619"/>
      <c r="L160" s="619"/>
      <c r="M160" s="619"/>
      <c r="N160" s="619"/>
      <c r="O160" s="619"/>
      <c r="P160" s="619"/>
      <c r="Q160" s="619"/>
      <c r="R160" s="619"/>
      <c r="S160" s="619"/>
      <c r="T160" s="619"/>
      <c r="U160" s="619"/>
      <c r="V160" s="619"/>
      <c r="W160" s="619"/>
      <c r="X160" s="619"/>
      <c r="Y160" s="619"/>
      <c r="Z160" s="619"/>
    </row>
    <row r="161" spans="1:26" ht="11.25" customHeight="1">
      <c r="A161" s="619"/>
      <c r="B161" s="619"/>
      <c r="C161" s="619" t="e">
        <v>#NULL!</v>
      </c>
      <c r="D161" s="619"/>
      <c r="E161" s="619"/>
      <c r="F161" s="619"/>
      <c r="G161" s="621"/>
      <c r="H161" s="619"/>
      <c r="I161" s="619"/>
      <c r="J161" s="619"/>
      <c r="K161" s="619"/>
      <c r="L161" s="619"/>
      <c r="M161" s="619"/>
      <c r="N161" s="619"/>
      <c r="O161" s="619"/>
      <c r="P161" s="619"/>
      <c r="Q161" s="619"/>
      <c r="R161" s="619"/>
      <c r="S161" s="619"/>
      <c r="T161" s="619"/>
      <c r="U161" s="619"/>
      <c r="V161" s="619"/>
      <c r="W161" s="619"/>
      <c r="X161" s="619"/>
      <c r="Y161" s="619"/>
      <c r="Z161" s="619"/>
    </row>
    <row r="162" spans="1:26" ht="11.25" customHeight="1">
      <c r="A162" s="619"/>
      <c r="B162" s="619"/>
      <c r="C162" s="619" t="e">
        <v>#NULL!</v>
      </c>
      <c r="D162" s="619"/>
      <c r="E162" s="619"/>
      <c r="F162" s="619"/>
      <c r="G162" s="621"/>
      <c r="H162" s="619"/>
      <c r="I162" s="619"/>
      <c r="J162" s="619"/>
      <c r="K162" s="619"/>
      <c r="L162" s="619"/>
      <c r="M162" s="619"/>
      <c r="N162" s="619"/>
      <c r="O162" s="619"/>
      <c r="P162" s="619"/>
      <c r="Q162" s="619"/>
      <c r="R162" s="619"/>
      <c r="S162" s="619"/>
      <c r="T162" s="619"/>
      <c r="U162" s="619"/>
      <c r="V162" s="619"/>
      <c r="W162" s="619"/>
      <c r="X162" s="619"/>
      <c r="Y162" s="619"/>
      <c r="Z162" s="619"/>
    </row>
    <row r="163" spans="1:26" ht="11.25" customHeight="1">
      <c r="A163" s="619"/>
      <c r="B163" s="619"/>
      <c r="C163" s="619" t="e">
        <v>#NULL!</v>
      </c>
      <c r="D163" s="619"/>
      <c r="E163" s="619"/>
      <c r="F163" s="619"/>
      <c r="G163" s="621"/>
      <c r="H163" s="619"/>
      <c r="I163" s="619"/>
      <c r="J163" s="619"/>
      <c r="K163" s="619"/>
      <c r="L163" s="619"/>
      <c r="M163" s="619"/>
      <c r="N163" s="619"/>
      <c r="O163" s="619"/>
      <c r="P163" s="619"/>
      <c r="Q163" s="619"/>
      <c r="R163" s="619"/>
      <c r="S163" s="619"/>
      <c r="T163" s="619"/>
      <c r="U163" s="619"/>
      <c r="V163" s="619"/>
      <c r="W163" s="619"/>
      <c r="X163" s="619"/>
      <c r="Y163" s="619"/>
      <c r="Z163" s="619"/>
    </row>
    <row r="164" spans="1:26" ht="11.25" customHeight="1">
      <c r="A164" s="619"/>
      <c r="B164" s="619"/>
      <c r="C164" s="619" t="e">
        <v>#NULL!</v>
      </c>
      <c r="D164" s="619"/>
      <c r="E164" s="619"/>
      <c r="F164" s="619"/>
      <c r="G164" s="621"/>
      <c r="H164" s="619"/>
      <c r="I164" s="619"/>
      <c r="J164" s="619"/>
      <c r="K164" s="619"/>
      <c r="L164" s="619"/>
      <c r="M164" s="619"/>
      <c r="N164" s="619"/>
      <c r="O164" s="619"/>
      <c r="P164" s="619"/>
      <c r="Q164" s="619"/>
      <c r="R164" s="619"/>
      <c r="S164" s="619"/>
      <c r="T164" s="619"/>
      <c r="U164" s="619"/>
      <c r="V164" s="619"/>
      <c r="W164" s="619"/>
      <c r="X164" s="619"/>
      <c r="Y164" s="619"/>
      <c r="Z164" s="619"/>
    </row>
    <row r="165" spans="1:26" ht="11.25" customHeight="1">
      <c r="A165" s="619"/>
      <c r="B165" s="619"/>
      <c r="C165" s="619" t="e">
        <v>#NULL!</v>
      </c>
      <c r="D165" s="619"/>
      <c r="E165" s="619"/>
      <c r="F165" s="619"/>
      <c r="G165" s="621"/>
      <c r="H165" s="619"/>
      <c r="I165" s="619"/>
      <c r="J165" s="619"/>
      <c r="K165" s="619"/>
      <c r="L165" s="619"/>
      <c r="M165" s="619"/>
      <c r="N165" s="619"/>
      <c r="O165" s="619"/>
      <c r="P165" s="619"/>
      <c r="Q165" s="619"/>
      <c r="R165" s="619"/>
      <c r="S165" s="619"/>
      <c r="T165" s="619"/>
      <c r="U165" s="619"/>
      <c r="V165" s="619"/>
      <c r="W165" s="619"/>
      <c r="X165" s="619"/>
      <c r="Y165" s="619"/>
      <c r="Z165" s="619"/>
    </row>
    <row r="166" spans="1:26" ht="11.25" customHeight="1">
      <c r="A166" s="619"/>
      <c r="B166" s="619"/>
      <c r="C166" s="619" t="e">
        <v>#NULL!</v>
      </c>
      <c r="D166" s="619"/>
      <c r="E166" s="619"/>
      <c r="F166" s="619"/>
      <c r="G166" s="621"/>
      <c r="H166" s="619"/>
      <c r="I166" s="619"/>
      <c r="J166" s="619"/>
      <c r="K166" s="619"/>
      <c r="L166" s="619"/>
      <c r="M166" s="619"/>
      <c r="N166" s="619"/>
      <c r="O166" s="619"/>
      <c r="P166" s="619"/>
      <c r="Q166" s="619"/>
      <c r="R166" s="619"/>
      <c r="S166" s="619"/>
      <c r="T166" s="619"/>
      <c r="U166" s="619"/>
      <c r="V166" s="619"/>
      <c r="W166" s="619"/>
      <c r="X166" s="619"/>
      <c r="Y166" s="619"/>
      <c r="Z166" s="619"/>
    </row>
    <row r="167" spans="1:26" ht="11.25" customHeight="1">
      <c r="A167" s="619"/>
      <c r="B167" s="619"/>
      <c r="C167" s="619" t="e">
        <v>#NULL!</v>
      </c>
      <c r="D167" s="619"/>
      <c r="E167" s="619"/>
      <c r="F167" s="619"/>
      <c r="G167" s="621"/>
      <c r="H167" s="619"/>
      <c r="I167" s="619"/>
      <c r="J167" s="619"/>
      <c r="K167" s="619"/>
      <c r="L167" s="619"/>
      <c r="M167" s="619"/>
      <c r="N167" s="619"/>
      <c r="O167" s="619"/>
      <c r="P167" s="619"/>
      <c r="Q167" s="619"/>
      <c r="R167" s="619"/>
      <c r="S167" s="619"/>
      <c r="T167" s="619"/>
      <c r="U167" s="619"/>
      <c r="V167" s="619"/>
      <c r="W167" s="619"/>
      <c r="X167" s="619"/>
      <c r="Y167" s="619"/>
      <c r="Z167" s="619"/>
    </row>
    <row r="168" spans="1:26" ht="11.25" customHeight="1">
      <c r="A168" s="619"/>
      <c r="B168" s="619"/>
      <c r="C168" s="619" t="e">
        <v>#NULL!</v>
      </c>
      <c r="D168" s="619"/>
      <c r="E168" s="619"/>
      <c r="F168" s="619"/>
      <c r="G168" s="621"/>
      <c r="H168" s="619"/>
      <c r="I168" s="619"/>
      <c r="J168" s="619"/>
      <c r="K168" s="619"/>
      <c r="L168" s="619"/>
      <c r="M168" s="619"/>
      <c r="N168" s="619"/>
      <c r="O168" s="619"/>
      <c r="P168" s="619"/>
      <c r="Q168" s="619"/>
      <c r="R168" s="619"/>
      <c r="S168" s="619"/>
      <c r="T168" s="619"/>
      <c r="U168" s="619"/>
      <c r="V168" s="619"/>
      <c r="W168" s="619"/>
      <c r="X168" s="619"/>
      <c r="Y168" s="619"/>
      <c r="Z168" s="619"/>
    </row>
    <row r="169" spans="1:26" ht="11.25" customHeight="1">
      <c r="A169" s="619"/>
      <c r="B169" s="619"/>
      <c r="C169" s="619" t="e">
        <v>#NULL!</v>
      </c>
      <c r="D169" s="619"/>
      <c r="E169" s="619"/>
      <c r="F169" s="619"/>
      <c r="G169" s="621"/>
      <c r="H169" s="619"/>
      <c r="I169" s="619"/>
      <c r="J169" s="619"/>
      <c r="K169" s="619"/>
      <c r="L169" s="619"/>
      <c r="M169" s="619"/>
      <c r="N169" s="619"/>
      <c r="O169" s="619"/>
      <c r="P169" s="619"/>
      <c r="Q169" s="619"/>
      <c r="R169" s="619"/>
      <c r="S169" s="619"/>
      <c r="T169" s="619"/>
      <c r="U169" s="619"/>
      <c r="V169" s="619"/>
      <c r="W169" s="619"/>
      <c r="X169" s="619"/>
      <c r="Y169" s="619"/>
      <c r="Z169" s="619"/>
    </row>
    <row r="170" spans="1:26" ht="11.25" customHeight="1">
      <c r="A170" s="619"/>
      <c r="B170" s="619"/>
      <c r="C170" s="619" t="e">
        <v>#NULL!</v>
      </c>
      <c r="D170" s="619"/>
      <c r="E170" s="619"/>
      <c r="F170" s="619"/>
      <c r="G170" s="621"/>
      <c r="H170" s="619"/>
      <c r="I170" s="619"/>
      <c r="J170" s="619"/>
      <c r="K170" s="619"/>
      <c r="L170" s="619"/>
      <c r="M170" s="619"/>
      <c r="N170" s="619"/>
      <c r="O170" s="619"/>
      <c r="P170" s="619"/>
      <c r="Q170" s="619"/>
      <c r="R170" s="619"/>
      <c r="S170" s="619"/>
      <c r="T170" s="619"/>
      <c r="U170" s="619"/>
      <c r="V170" s="619"/>
      <c r="W170" s="619"/>
      <c r="X170" s="619"/>
      <c r="Y170" s="619"/>
      <c r="Z170" s="619"/>
    </row>
    <row r="171" spans="1:26" ht="11.25" customHeight="1">
      <c r="A171" s="619"/>
      <c r="B171" s="619"/>
      <c r="C171" s="619" t="e">
        <v>#NULL!</v>
      </c>
      <c r="D171" s="619"/>
      <c r="E171" s="619"/>
      <c r="F171" s="619"/>
      <c r="G171" s="621"/>
      <c r="H171" s="619"/>
      <c r="I171" s="619"/>
      <c r="J171" s="619"/>
      <c r="K171" s="619"/>
      <c r="L171" s="619"/>
      <c r="M171" s="619"/>
      <c r="N171" s="619"/>
      <c r="O171" s="619"/>
      <c r="P171" s="619"/>
      <c r="Q171" s="619"/>
      <c r="R171" s="619"/>
      <c r="S171" s="619"/>
      <c r="T171" s="619"/>
      <c r="U171" s="619"/>
      <c r="V171" s="619"/>
      <c r="W171" s="619"/>
      <c r="X171" s="619"/>
      <c r="Y171" s="619"/>
      <c r="Z171" s="619"/>
    </row>
    <row r="172" spans="1:26" ht="11.25" customHeight="1">
      <c r="A172" s="619"/>
      <c r="B172" s="619"/>
      <c r="C172" s="619" t="e">
        <v>#NULL!</v>
      </c>
      <c r="D172" s="619"/>
      <c r="E172" s="619"/>
      <c r="F172" s="619"/>
      <c r="G172" s="621"/>
      <c r="H172" s="619"/>
      <c r="I172" s="619"/>
      <c r="J172" s="619"/>
      <c r="K172" s="619"/>
      <c r="L172" s="619"/>
      <c r="M172" s="619"/>
      <c r="N172" s="619"/>
      <c r="O172" s="619"/>
      <c r="P172" s="619"/>
      <c r="Q172" s="619"/>
      <c r="R172" s="619"/>
      <c r="S172" s="619"/>
      <c r="T172" s="619"/>
      <c r="U172" s="619"/>
      <c r="V172" s="619"/>
      <c r="W172" s="619"/>
      <c r="X172" s="619"/>
      <c r="Y172" s="619"/>
      <c r="Z172" s="619"/>
    </row>
    <row r="173" spans="1:26" ht="11.25" customHeight="1">
      <c r="A173" s="619"/>
      <c r="B173" s="619"/>
      <c r="C173" s="619" t="e">
        <v>#NULL!</v>
      </c>
      <c r="D173" s="619"/>
      <c r="E173" s="619"/>
      <c r="F173" s="619"/>
      <c r="G173" s="621"/>
      <c r="H173" s="619"/>
      <c r="I173" s="619"/>
      <c r="J173" s="619"/>
      <c r="K173" s="619"/>
      <c r="L173" s="619"/>
      <c r="M173" s="619"/>
      <c r="N173" s="619"/>
      <c r="O173" s="619"/>
      <c r="P173" s="619"/>
      <c r="Q173" s="619"/>
      <c r="R173" s="619"/>
      <c r="S173" s="619"/>
      <c r="T173" s="619"/>
      <c r="U173" s="619"/>
      <c r="V173" s="619"/>
      <c r="W173" s="619"/>
      <c r="X173" s="619"/>
      <c r="Y173" s="619"/>
      <c r="Z173" s="619"/>
    </row>
    <row r="174" spans="1:26" ht="11.25" customHeight="1">
      <c r="A174" s="619"/>
      <c r="B174" s="619"/>
      <c r="C174" s="619" t="e">
        <v>#NULL!</v>
      </c>
      <c r="D174" s="619"/>
      <c r="E174" s="619"/>
      <c r="F174" s="619"/>
      <c r="G174" s="621"/>
      <c r="H174" s="619"/>
      <c r="I174" s="619"/>
      <c r="J174" s="619"/>
      <c r="K174" s="619"/>
      <c r="L174" s="619"/>
      <c r="M174" s="619"/>
      <c r="N174" s="619"/>
      <c r="O174" s="619"/>
      <c r="P174" s="619"/>
      <c r="Q174" s="619"/>
      <c r="R174" s="619"/>
      <c r="S174" s="619"/>
      <c r="T174" s="619"/>
      <c r="U174" s="619"/>
      <c r="V174" s="619"/>
      <c r="W174" s="619"/>
      <c r="X174" s="619"/>
      <c r="Y174" s="619"/>
      <c r="Z174" s="619"/>
    </row>
    <row r="175" spans="1:26" ht="11.25" customHeight="1">
      <c r="A175" s="619"/>
      <c r="B175" s="619"/>
      <c r="C175" s="619" t="e">
        <v>#NULL!</v>
      </c>
      <c r="D175" s="619"/>
      <c r="E175" s="619"/>
      <c r="F175" s="619"/>
      <c r="G175" s="621"/>
      <c r="H175" s="619"/>
      <c r="I175" s="619"/>
      <c r="J175" s="619"/>
      <c r="K175" s="619"/>
      <c r="L175" s="619"/>
      <c r="M175" s="619"/>
      <c r="N175" s="619"/>
      <c r="O175" s="619"/>
      <c r="P175" s="619"/>
      <c r="Q175" s="619"/>
      <c r="R175" s="619"/>
      <c r="S175" s="619"/>
      <c r="T175" s="619"/>
      <c r="U175" s="619"/>
      <c r="V175" s="619"/>
      <c r="W175" s="619"/>
      <c r="X175" s="619"/>
      <c r="Y175" s="619"/>
      <c r="Z175" s="619"/>
    </row>
    <row r="176" spans="1:26" ht="11.25" customHeight="1">
      <c r="A176" s="619"/>
      <c r="B176" s="619"/>
      <c r="C176" s="619" t="e">
        <v>#NULL!</v>
      </c>
      <c r="D176" s="619"/>
      <c r="E176" s="619"/>
      <c r="F176" s="619"/>
      <c r="G176" s="621"/>
      <c r="H176" s="619"/>
      <c r="I176" s="619"/>
      <c r="J176" s="619"/>
      <c r="K176" s="619"/>
      <c r="L176" s="619"/>
      <c r="M176" s="619"/>
      <c r="N176" s="619"/>
      <c r="O176" s="619"/>
      <c r="P176" s="619"/>
      <c r="Q176" s="619"/>
      <c r="R176" s="619"/>
      <c r="S176" s="619"/>
      <c r="T176" s="619"/>
      <c r="U176" s="619"/>
      <c r="V176" s="619"/>
      <c r="W176" s="619"/>
      <c r="X176" s="619"/>
      <c r="Y176" s="619"/>
      <c r="Z176" s="619"/>
    </row>
    <row r="177" spans="1:26" ht="11.25" customHeight="1">
      <c r="A177" s="619"/>
      <c r="B177" s="619"/>
      <c r="C177" s="619" t="e">
        <v>#NULL!</v>
      </c>
      <c r="D177" s="619"/>
      <c r="E177" s="619"/>
      <c r="F177" s="619"/>
      <c r="G177" s="621"/>
      <c r="H177" s="619"/>
      <c r="I177" s="619"/>
      <c r="J177" s="619"/>
      <c r="K177" s="619"/>
      <c r="L177" s="619"/>
      <c r="M177" s="619"/>
      <c r="N177" s="619"/>
      <c r="O177" s="619"/>
      <c r="P177" s="619"/>
      <c r="Q177" s="619"/>
      <c r="R177" s="619"/>
      <c r="S177" s="619"/>
      <c r="T177" s="619"/>
      <c r="U177" s="619"/>
      <c r="V177" s="619"/>
      <c r="W177" s="619"/>
      <c r="X177" s="619"/>
      <c r="Y177" s="619"/>
      <c r="Z177" s="619"/>
    </row>
    <row r="178" spans="1:26" ht="11.25" customHeight="1">
      <c r="A178" s="619"/>
      <c r="B178" s="619"/>
      <c r="C178" s="619" t="e">
        <v>#NULL!</v>
      </c>
      <c r="D178" s="619"/>
      <c r="E178" s="619"/>
      <c r="F178" s="619"/>
      <c r="G178" s="621"/>
      <c r="H178" s="619"/>
      <c r="I178" s="619"/>
      <c r="J178" s="619"/>
      <c r="K178" s="619"/>
      <c r="L178" s="619"/>
      <c r="M178" s="619"/>
      <c r="N178" s="619"/>
      <c r="O178" s="619"/>
      <c r="P178" s="619"/>
      <c r="Q178" s="619"/>
      <c r="R178" s="619"/>
      <c r="S178" s="619"/>
      <c r="T178" s="619"/>
      <c r="U178" s="619"/>
      <c r="V178" s="619"/>
      <c r="W178" s="619"/>
      <c r="X178" s="619"/>
      <c r="Y178" s="619"/>
      <c r="Z178" s="619"/>
    </row>
    <row r="179" spans="1:26" ht="11.25" customHeight="1">
      <c r="A179" s="619"/>
      <c r="B179" s="619"/>
      <c r="C179" s="619" t="e">
        <v>#NULL!</v>
      </c>
      <c r="D179" s="619"/>
      <c r="E179" s="619"/>
      <c r="F179" s="619"/>
      <c r="G179" s="621"/>
      <c r="H179" s="619"/>
      <c r="I179" s="619"/>
      <c r="J179" s="619"/>
      <c r="K179" s="619"/>
      <c r="L179" s="619"/>
      <c r="M179" s="619"/>
      <c r="N179" s="619"/>
      <c r="O179" s="619"/>
      <c r="P179" s="619"/>
      <c r="Q179" s="619"/>
      <c r="R179" s="619"/>
      <c r="S179" s="619"/>
      <c r="T179" s="619"/>
      <c r="U179" s="619"/>
      <c r="V179" s="619"/>
      <c r="W179" s="619"/>
      <c r="X179" s="619"/>
      <c r="Y179" s="619"/>
      <c r="Z179" s="619"/>
    </row>
    <row r="180" spans="1:26" ht="11.25" customHeight="1">
      <c r="A180" s="619"/>
      <c r="B180" s="619"/>
      <c r="C180" s="619" t="e">
        <v>#NULL!</v>
      </c>
      <c r="D180" s="619"/>
      <c r="E180" s="619"/>
      <c r="F180" s="619"/>
      <c r="G180" s="621"/>
      <c r="H180" s="619"/>
      <c r="I180" s="619"/>
      <c r="J180" s="619"/>
      <c r="K180" s="619"/>
      <c r="L180" s="619"/>
      <c r="M180" s="619"/>
      <c r="N180" s="619"/>
      <c r="O180" s="619"/>
      <c r="P180" s="619"/>
      <c r="Q180" s="619"/>
      <c r="R180" s="619"/>
      <c r="S180" s="619"/>
      <c r="T180" s="619"/>
      <c r="U180" s="619"/>
      <c r="V180" s="619"/>
      <c r="W180" s="619"/>
      <c r="X180" s="619"/>
      <c r="Y180" s="619"/>
      <c r="Z180" s="619"/>
    </row>
    <row r="181" spans="1:26" ht="11.25" customHeight="1">
      <c r="A181" s="619"/>
      <c r="B181" s="619"/>
      <c r="C181" s="619" t="e">
        <v>#NULL!</v>
      </c>
      <c r="D181" s="619"/>
      <c r="E181" s="619"/>
      <c r="F181" s="619"/>
      <c r="G181" s="621"/>
      <c r="H181" s="619"/>
      <c r="I181" s="619"/>
      <c r="J181" s="619"/>
      <c r="K181" s="619"/>
      <c r="L181" s="619"/>
      <c r="M181" s="619"/>
      <c r="N181" s="619"/>
      <c r="O181" s="619"/>
      <c r="P181" s="619"/>
      <c r="Q181" s="619"/>
      <c r="R181" s="619"/>
      <c r="S181" s="619"/>
      <c r="T181" s="619"/>
      <c r="U181" s="619"/>
      <c r="V181" s="619"/>
      <c r="W181" s="619"/>
      <c r="X181" s="619"/>
      <c r="Y181" s="619"/>
      <c r="Z181" s="619"/>
    </row>
    <row r="182" spans="1:26" ht="11.25" customHeight="1">
      <c r="A182" s="619"/>
      <c r="B182" s="619"/>
      <c r="C182" s="619" t="e">
        <v>#NULL!</v>
      </c>
      <c r="D182" s="619"/>
      <c r="E182" s="619"/>
      <c r="F182" s="619"/>
      <c r="G182" s="621"/>
      <c r="H182" s="619"/>
      <c r="I182" s="619"/>
      <c r="J182" s="619"/>
      <c r="K182" s="619"/>
      <c r="L182" s="619"/>
      <c r="M182" s="619"/>
      <c r="N182" s="619"/>
      <c r="O182" s="619"/>
      <c r="P182" s="619"/>
      <c r="Q182" s="619"/>
      <c r="R182" s="619"/>
      <c r="S182" s="619"/>
      <c r="T182" s="619"/>
      <c r="U182" s="619"/>
      <c r="V182" s="619"/>
      <c r="W182" s="619"/>
      <c r="X182" s="619"/>
      <c r="Y182" s="619"/>
      <c r="Z182" s="619"/>
    </row>
    <row r="183" spans="1:26" ht="11.25" customHeight="1">
      <c r="A183" s="619"/>
      <c r="B183" s="619"/>
      <c r="C183" s="619" t="e">
        <v>#NULL!</v>
      </c>
      <c r="D183" s="619"/>
      <c r="E183" s="619"/>
      <c r="F183" s="619"/>
      <c r="G183" s="621"/>
      <c r="H183" s="619"/>
      <c r="I183" s="619"/>
      <c r="J183" s="619"/>
      <c r="K183" s="619"/>
      <c r="L183" s="619"/>
      <c r="M183" s="619"/>
      <c r="N183" s="619"/>
      <c r="O183" s="619"/>
      <c r="P183" s="619"/>
      <c r="Q183" s="619"/>
      <c r="R183" s="619"/>
      <c r="S183" s="619"/>
      <c r="T183" s="619"/>
      <c r="U183" s="619"/>
      <c r="V183" s="619"/>
      <c r="W183" s="619"/>
      <c r="X183" s="619"/>
      <c r="Y183" s="619"/>
      <c r="Z183" s="619"/>
    </row>
    <row r="184" spans="1:26" ht="11.25" customHeight="1">
      <c r="A184" s="619"/>
      <c r="B184" s="619"/>
      <c r="C184" s="619" t="e">
        <v>#NULL!</v>
      </c>
      <c r="D184" s="619"/>
      <c r="E184" s="619"/>
      <c r="F184" s="619"/>
      <c r="G184" s="621"/>
      <c r="H184" s="619"/>
      <c r="I184" s="619"/>
      <c r="J184" s="619"/>
      <c r="K184" s="619"/>
      <c r="L184" s="619"/>
      <c r="M184" s="619"/>
      <c r="N184" s="619"/>
      <c r="O184" s="619"/>
      <c r="P184" s="619"/>
      <c r="Q184" s="619"/>
      <c r="R184" s="619"/>
      <c r="S184" s="619"/>
      <c r="T184" s="619"/>
      <c r="U184" s="619"/>
      <c r="V184" s="619"/>
      <c r="W184" s="619"/>
      <c r="X184" s="619"/>
      <c r="Y184" s="619"/>
      <c r="Z184" s="619"/>
    </row>
    <row r="185" spans="1:26" ht="11.25" customHeight="1">
      <c r="A185" s="619"/>
      <c r="B185" s="619"/>
      <c r="C185" s="619" t="e">
        <v>#NULL!</v>
      </c>
      <c r="D185" s="619"/>
      <c r="E185" s="619"/>
      <c r="F185" s="619"/>
      <c r="G185" s="621"/>
      <c r="H185" s="619"/>
      <c r="I185" s="619"/>
      <c r="J185" s="619"/>
      <c r="K185" s="619"/>
      <c r="L185" s="619"/>
      <c r="M185" s="619"/>
      <c r="N185" s="619"/>
      <c r="O185" s="619"/>
      <c r="P185" s="619"/>
      <c r="Q185" s="619"/>
      <c r="R185" s="619"/>
      <c r="S185" s="619"/>
      <c r="T185" s="619"/>
      <c r="U185" s="619"/>
      <c r="V185" s="619"/>
      <c r="W185" s="619"/>
      <c r="X185" s="619"/>
      <c r="Y185" s="619"/>
      <c r="Z185" s="619"/>
    </row>
    <row r="186" spans="1:26" ht="11.25" customHeight="1">
      <c r="A186" s="619"/>
      <c r="B186" s="619"/>
      <c r="C186" s="619" t="e">
        <v>#NULL!</v>
      </c>
      <c r="D186" s="619"/>
      <c r="E186" s="619"/>
      <c r="F186" s="619"/>
      <c r="G186" s="621"/>
      <c r="H186" s="619"/>
      <c r="I186" s="619"/>
      <c r="J186" s="619"/>
      <c r="K186" s="619"/>
      <c r="L186" s="619"/>
      <c r="M186" s="619"/>
      <c r="N186" s="619"/>
      <c r="O186" s="619"/>
      <c r="P186" s="619"/>
      <c r="Q186" s="619"/>
      <c r="R186" s="619"/>
      <c r="S186" s="619"/>
      <c r="T186" s="619"/>
      <c r="U186" s="619"/>
      <c r="V186" s="619"/>
      <c r="W186" s="619"/>
      <c r="X186" s="619"/>
      <c r="Y186" s="619"/>
      <c r="Z186" s="619"/>
    </row>
    <row r="187" spans="1:26" ht="11.25" customHeight="1">
      <c r="A187" s="619"/>
      <c r="B187" s="619"/>
      <c r="C187" s="619" t="e">
        <v>#NULL!</v>
      </c>
      <c r="D187" s="619"/>
      <c r="E187" s="619"/>
      <c r="F187" s="619"/>
      <c r="G187" s="621"/>
      <c r="H187" s="619"/>
      <c r="I187" s="619"/>
      <c r="J187" s="619"/>
      <c r="K187" s="619"/>
      <c r="L187" s="619"/>
      <c r="M187" s="619"/>
      <c r="N187" s="619"/>
      <c r="O187" s="619"/>
      <c r="P187" s="619"/>
      <c r="Q187" s="619"/>
      <c r="R187" s="619"/>
      <c r="S187" s="619"/>
      <c r="T187" s="619"/>
      <c r="U187" s="619"/>
      <c r="V187" s="619"/>
      <c r="W187" s="619"/>
      <c r="X187" s="619"/>
      <c r="Y187" s="619"/>
      <c r="Z187" s="619"/>
    </row>
    <row r="188" spans="1:26" ht="11.25" customHeight="1">
      <c r="A188" s="619"/>
      <c r="B188" s="619"/>
      <c r="C188" s="619" t="e">
        <v>#NULL!</v>
      </c>
      <c r="D188" s="619"/>
      <c r="E188" s="619"/>
      <c r="F188" s="619"/>
      <c r="G188" s="621"/>
      <c r="H188" s="619"/>
      <c r="I188" s="619"/>
      <c r="J188" s="619"/>
      <c r="K188" s="619"/>
      <c r="L188" s="619"/>
      <c r="M188" s="619"/>
      <c r="N188" s="619"/>
      <c r="O188" s="619"/>
      <c r="P188" s="619"/>
      <c r="Q188" s="619"/>
      <c r="R188" s="619"/>
      <c r="S188" s="619"/>
      <c r="T188" s="619"/>
      <c r="U188" s="619"/>
      <c r="V188" s="619"/>
      <c r="W188" s="619"/>
      <c r="X188" s="619"/>
      <c r="Y188" s="619"/>
      <c r="Z188" s="619"/>
    </row>
    <row r="189" spans="1:26" ht="11.25" customHeight="1">
      <c r="A189" s="619"/>
      <c r="B189" s="619"/>
      <c r="C189" s="619" t="e">
        <v>#NULL!</v>
      </c>
      <c r="D189" s="619"/>
      <c r="E189" s="619"/>
      <c r="F189" s="619"/>
      <c r="G189" s="621"/>
      <c r="H189" s="619"/>
      <c r="I189" s="619"/>
      <c r="J189" s="619"/>
      <c r="K189" s="619"/>
      <c r="L189" s="619"/>
      <c r="M189" s="619"/>
      <c r="N189" s="619"/>
      <c r="O189" s="619"/>
      <c r="P189" s="619"/>
      <c r="Q189" s="619"/>
      <c r="R189" s="619"/>
      <c r="S189" s="619"/>
      <c r="T189" s="619"/>
      <c r="U189" s="619"/>
      <c r="V189" s="619"/>
      <c r="W189" s="619"/>
      <c r="X189" s="619"/>
      <c r="Y189" s="619"/>
      <c r="Z189" s="619"/>
    </row>
    <row r="190" spans="1:26" ht="11.25" customHeight="1">
      <c r="A190" s="619"/>
      <c r="B190" s="619"/>
      <c r="C190" s="619" t="e">
        <v>#NULL!</v>
      </c>
      <c r="D190" s="619"/>
      <c r="E190" s="619"/>
      <c r="F190" s="619"/>
      <c r="G190" s="621"/>
      <c r="H190" s="619"/>
      <c r="I190" s="619"/>
      <c r="J190" s="619"/>
      <c r="K190" s="619"/>
      <c r="L190" s="619"/>
      <c r="M190" s="619"/>
      <c r="N190" s="619"/>
      <c r="O190" s="619"/>
      <c r="P190" s="619"/>
      <c r="Q190" s="619"/>
      <c r="R190" s="619"/>
      <c r="S190" s="619"/>
      <c r="T190" s="619"/>
      <c r="U190" s="619"/>
      <c r="V190" s="619"/>
      <c r="W190" s="619"/>
      <c r="X190" s="619"/>
      <c r="Y190" s="619"/>
      <c r="Z190" s="619"/>
    </row>
    <row r="191" spans="1:26" ht="11.25" customHeight="1">
      <c r="A191" s="619"/>
      <c r="B191" s="619"/>
      <c r="C191" s="619" t="e">
        <v>#NULL!</v>
      </c>
      <c r="D191" s="619"/>
      <c r="E191" s="619"/>
      <c r="F191" s="619"/>
      <c r="G191" s="621"/>
      <c r="H191" s="619"/>
      <c r="I191" s="619"/>
      <c r="J191" s="619"/>
      <c r="K191" s="619"/>
      <c r="L191" s="619"/>
      <c r="M191" s="619"/>
      <c r="N191" s="619"/>
      <c r="O191" s="619"/>
      <c r="P191" s="619"/>
      <c r="Q191" s="619"/>
      <c r="R191" s="619"/>
      <c r="S191" s="619"/>
      <c r="T191" s="619"/>
      <c r="U191" s="619"/>
      <c r="V191" s="619"/>
      <c r="W191" s="619"/>
      <c r="X191" s="619"/>
      <c r="Y191" s="619"/>
      <c r="Z191" s="619"/>
    </row>
    <row r="192" spans="1:26" ht="11.25" customHeight="1">
      <c r="A192" s="619"/>
      <c r="B192" s="619"/>
      <c r="C192" s="619" t="e">
        <v>#NULL!</v>
      </c>
      <c r="D192" s="619"/>
      <c r="E192" s="619"/>
      <c r="F192" s="619"/>
      <c r="G192" s="621"/>
      <c r="H192" s="619"/>
      <c r="I192" s="619"/>
      <c r="J192" s="619"/>
      <c r="K192" s="619"/>
      <c r="L192" s="619"/>
      <c r="M192" s="619"/>
      <c r="N192" s="619"/>
      <c r="O192" s="619"/>
      <c r="P192" s="619"/>
      <c r="Q192" s="619"/>
      <c r="R192" s="619"/>
      <c r="S192" s="619"/>
      <c r="T192" s="619"/>
      <c r="U192" s="619"/>
      <c r="V192" s="619"/>
      <c r="W192" s="619"/>
      <c r="X192" s="619"/>
      <c r="Y192" s="619"/>
      <c r="Z192" s="619"/>
    </row>
    <row r="193" spans="1:26" ht="11.25" customHeight="1">
      <c r="A193" s="619"/>
      <c r="B193" s="619"/>
      <c r="C193" s="619" t="e">
        <v>#NULL!</v>
      </c>
      <c r="D193" s="619"/>
      <c r="E193" s="619"/>
      <c r="F193" s="619"/>
      <c r="G193" s="621"/>
      <c r="H193" s="619"/>
      <c r="I193" s="619"/>
      <c r="J193" s="619"/>
      <c r="K193" s="619"/>
      <c r="L193" s="619"/>
      <c r="M193" s="619"/>
      <c r="N193" s="619"/>
      <c r="O193" s="619"/>
      <c r="P193" s="619"/>
      <c r="Q193" s="619"/>
      <c r="R193" s="619"/>
      <c r="S193" s="619"/>
      <c r="T193" s="619"/>
      <c r="U193" s="619"/>
      <c r="V193" s="619"/>
      <c r="W193" s="619"/>
      <c r="X193" s="619"/>
      <c r="Y193" s="619"/>
      <c r="Z193" s="619"/>
    </row>
    <row r="194" spans="1:26" ht="11.25" customHeight="1">
      <c r="A194" s="619"/>
      <c r="B194" s="619"/>
      <c r="C194" s="619" t="e">
        <v>#NULL!</v>
      </c>
      <c r="D194" s="619"/>
      <c r="E194" s="619"/>
      <c r="F194" s="619"/>
      <c r="G194" s="621"/>
      <c r="H194" s="619"/>
      <c r="I194" s="619"/>
      <c r="J194" s="619"/>
      <c r="K194" s="619"/>
      <c r="L194" s="619"/>
      <c r="M194" s="619"/>
      <c r="N194" s="619"/>
      <c r="O194" s="619"/>
      <c r="P194" s="619"/>
      <c r="Q194" s="619"/>
      <c r="R194" s="619"/>
      <c r="S194" s="619"/>
      <c r="T194" s="619"/>
      <c r="U194" s="619"/>
      <c r="V194" s="619"/>
      <c r="W194" s="619"/>
      <c r="X194" s="619"/>
      <c r="Y194" s="619"/>
      <c r="Z194" s="619"/>
    </row>
    <row r="195" spans="1:26" ht="11.25" customHeight="1">
      <c r="A195" s="619"/>
      <c r="B195" s="619"/>
      <c r="C195" s="619" t="e">
        <v>#NULL!</v>
      </c>
      <c r="D195" s="619"/>
      <c r="E195" s="619"/>
      <c r="F195" s="619"/>
      <c r="G195" s="621"/>
      <c r="H195" s="619"/>
      <c r="I195" s="619"/>
      <c r="J195" s="619"/>
      <c r="K195" s="619"/>
      <c r="L195" s="619"/>
      <c r="M195" s="619"/>
      <c r="N195" s="619"/>
      <c r="O195" s="619"/>
      <c r="P195" s="619"/>
      <c r="Q195" s="619"/>
      <c r="R195" s="619"/>
      <c r="S195" s="619"/>
      <c r="T195" s="619"/>
      <c r="U195" s="619"/>
      <c r="V195" s="619"/>
      <c r="W195" s="619"/>
      <c r="X195" s="619"/>
      <c r="Y195" s="619"/>
      <c r="Z195" s="619"/>
    </row>
    <row r="196" spans="1:26" ht="11.25" customHeight="1">
      <c r="A196" s="619"/>
      <c r="B196" s="619"/>
      <c r="C196" s="619" t="e">
        <v>#NULL!</v>
      </c>
      <c r="D196" s="619"/>
      <c r="E196" s="619"/>
      <c r="F196" s="619"/>
      <c r="G196" s="621"/>
      <c r="H196" s="619"/>
      <c r="I196" s="619"/>
      <c r="J196" s="619"/>
      <c r="K196" s="619"/>
      <c r="L196" s="619"/>
      <c r="M196" s="619"/>
      <c r="N196" s="619"/>
      <c r="O196" s="619"/>
      <c r="P196" s="619"/>
      <c r="Q196" s="619"/>
      <c r="R196" s="619"/>
      <c r="S196" s="619"/>
      <c r="T196" s="619"/>
      <c r="U196" s="619"/>
      <c r="V196" s="619"/>
      <c r="W196" s="619"/>
      <c r="X196" s="619"/>
      <c r="Y196" s="619"/>
      <c r="Z196" s="619"/>
    </row>
    <row r="197" spans="1:26" ht="11.25" customHeight="1">
      <c r="A197" s="619"/>
      <c r="B197" s="619"/>
      <c r="C197" s="619" t="e">
        <v>#NULL!</v>
      </c>
      <c r="D197" s="619"/>
      <c r="E197" s="619"/>
      <c r="F197" s="619"/>
      <c r="G197" s="621"/>
      <c r="H197" s="619"/>
      <c r="I197" s="619"/>
      <c r="J197" s="619"/>
      <c r="K197" s="619"/>
      <c r="L197" s="619"/>
      <c r="M197" s="619"/>
      <c r="N197" s="619"/>
      <c r="O197" s="619"/>
      <c r="P197" s="619"/>
      <c r="Q197" s="619"/>
      <c r="R197" s="619"/>
      <c r="S197" s="619"/>
      <c r="T197" s="619"/>
      <c r="U197" s="619"/>
      <c r="V197" s="619"/>
      <c r="W197" s="619"/>
      <c r="X197" s="619"/>
      <c r="Y197" s="619"/>
      <c r="Z197" s="619"/>
    </row>
    <row r="198" spans="1:26" ht="11.25" customHeight="1">
      <c r="A198" s="619"/>
      <c r="B198" s="619"/>
      <c r="C198" s="619" t="e">
        <v>#NULL!</v>
      </c>
      <c r="D198" s="619"/>
      <c r="E198" s="619"/>
      <c r="F198" s="619"/>
      <c r="G198" s="621"/>
      <c r="H198" s="619"/>
      <c r="I198" s="619"/>
      <c r="J198" s="619"/>
      <c r="K198" s="619"/>
      <c r="L198" s="619"/>
      <c r="M198" s="619"/>
      <c r="N198" s="619"/>
      <c r="O198" s="619"/>
      <c r="P198" s="619"/>
      <c r="Q198" s="619"/>
      <c r="R198" s="619"/>
      <c r="S198" s="619"/>
      <c r="T198" s="619"/>
      <c r="U198" s="619"/>
      <c r="V198" s="619"/>
      <c r="W198" s="619"/>
      <c r="X198" s="619"/>
      <c r="Y198" s="619"/>
      <c r="Z198" s="619"/>
    </row>
    <row r="199" spans="1:26" ht="11.25" customHeight="1">
      <c r="A199" s="619"/>
      <c r="B199" s="619"/>
      <c r="C199" s="619" t="e">
        <v>#NULL!</v>
      </c>
      <c r="D199" s="619"/>
      <c r="E199" s="619"/>
      <c r="F199" s="619"/>
      <c r="G199" s="621"/>
      <c r="H199" s="619"/>
      <c r="I199" s="619"/>
      <c r="J199" s="619"/>
      <c r="K199" s="619"/>
      <c r="L199" s="619"/>
      <c r="M199" s="619"/>
      <c r="N199" s="619"/>
      <c r="O199" s="619"/>
      <c r="P199" s="619"/>
      <c r="Q199" s="619"/>
      <c r="R199" s="619"/>
      <c r="S199" s="619"/>
      <c r="T199" s="619"/>
      <c r="U199" s="619"/>
      <c r="V199" s="619"/>
      <c r="W199" s="619"/>
      <c r="X199" s="619"/>
      <c r="Y199" s="619"/>
      <c r="Z199" s="619"/>
    </row>
    <row r="200" spans="1:26" ht="11.25" customHeight="1">
      <c r="A200" s="619"/>
      <c r="B200" s="619"/>
      <c r="C200" s="619" t="e">
        <v>#NULL!</v>
      </c>
      <c r="D200" s="619"/>
      <c r="E200" s="619"/>
      <c r="F200" s="619"/>
      <c r="G200" s="621"/>
      <c r="H200" s="619"/>
      <c r="I200" s="619"/>
      <c r="J200" s="619"/>
      <c r="K200" s="619"/>
      <c r="L200" s="619"/>
      <c r="M200" s="619"/>
      <c r="N200" s="619"/>
      <c r="O200" s="619"/>
      <c r="P200" s="619"/>
      <c r="Q200" s="619"/>
      <c r="R200" s="619"/>
      <c r="S200" s="619"/>
      <c r="T200" s="619"/>
      <c r="U200" s="619"/>
      <c r="V200" s="619"/>
      <c r="W200" s="619"/>
      <c r="X200" s="619"/>
      <c r="Y200" s="619"/>
      <c r="Z200" s="619"/>
    </row>
    <row r="201" spans="1:26" ht="11.25" customHeight="1">
      <c r="A201" s="619"/>
      <c r="B201" s="619"/>
      <c r="C201" s="619" t="e">
        <v>#NULL!</v>
      </c>
      <c r="D201" s="619"/>
      <c r="E201" s="619"/>
      <c r="F201" s="619"/>
      <c r="G201" s="621"/>
      <c r="H201" s="619"/>
      <c r="I201" s="619"/>
      <c r="J201" s="619"/>
      <c r="K201" s="619"/>
      <c r="L201" s="619"/>
      <c r="M201" s="619"/>
      <c r="N201" s="619"/>
      <c r="O201" s="619"/>
      <c r="P201" s="619"/>
      <c r="Q201" s="619"/>
      <c r="R201" s="619"/>
      <c r="S201" s="619"/>
      <c r="T201" s="619"/>
      <c r="U201" s="619"/>
      <c r="V201" s="619"/>
      <c r="W201" s="619"/>
      <c r="X201" s="619"/>
      <c r="Y201" s="619"/>
      <c r="Z201" s="619"/>
    </row>
    <row r="202" spans="1:26" ht="11.25" customHeight="1">
      <c r="A202" s="619"/>
      <c r="B202" s="619"/>
      <c r="C202" s="619" t="e">
        <v>#NULL!</v>
      </c>
      <c r="D202" s="619"/>
      <c r="E202" s="619"/>
      <c r="F202" s="619"/>
      <c r="G202" s="621"/>
      <c r="H202" s="619"/>
      <c r="I202" s="619"/>
      <c r="J202" s="619"/>
      <c r="K202" s="619"/>
      <c r="L202" s="619"/>
      <c r="M202" s="619"/>
      <c r="N202" s="619"/>
      <c r="O202" s="619"/>
      <c r="P202" s="619"/>
      <c r="Q202" s="619"/>
      <c r="R202" s="619"/>
      <c r="S202" s="619"/>
      <c r="T202" s="619"/>
      <c r="U202" s="619"/>
      <c r="V202" s="619"/>
      <c r="W202" s="619"/>
      <c r="X202" s="619"/>
      <c r="Y202" s="619"/>
      <c r="Z202" s="619"/>
    </row>
    <row r="203" spans="1:26" ht="11.25" customHeight="1">
      <c r="A203" s="619"/>
      <c r="B203" s="619"/>
      <c r="C203" s="619" t="e">
        <v>#NULL!</v>
      </c>
      <c r="D203" s="619"/>
      <c r="E203" s="619"/>
      <c r="F203" s="619"/>
      <c r="G203" s="621"/>
      <c r="H203" s="619"/>
      <c r="I203" s="619"/>
      <c r="J203" s="619"/>
      <c r="K203" s="619"/>
      <c r="L203" s="619"/>
      <c r="M203" s="619"/>
      <c r="N203" s="619"/>
      <c r="O203" s="619"/>
      <c r="P203" s="619"/>
      <c r="Q203" s="619"/>
      <c r="R203" s="619"/>
      <c r="S203" s="619"/>
      <c r="T203" s="619"/>
      <c r="U203" s="619"/>
      <c r="V203" s="619"/>
      <c r="W203" s="619"/>
      <c r="X203" s="619"/>
      <c r="Y203" s="619"/>
      <c r="Z203" s="619"/>
    </row>
    <row r="204" spans="1:26" ht="11.25" customHeight="1">
      <c r="A204" s="619"/>
      <c r="B204" s="619"/>
      <c r="C204" s="619" t="e">
        <v>#NULL!</v>
      </c>
      <c r="D204" s="619"/>
      <c r="E204" s="619"/>
      <c r="F204" s="619"/>
      <c r="G204" s="621"/>
      <c r="H204" s="619"/>
      <c r="I204" s="619"/>
      <c r="J204" s="619"/>
      <c r="K204" s="619"/>
      <c r="L204" s="619"/>
      <c r="M204" s="619"/>
      <c r="N204" s="619"/>
      <c r="O204" s="619"/>
      <c r="P204" s="619"/>
      <c r="Q204" s="619"/>
      <c r="R204" s="619"/>
      <c r="S204" s="619"/>
      <c r="T204" s="619"/>
      <c r="U204" s="619"/>
      <c r="V204" s="619"/>
      <c r="W204" s="619"/>
      <c r="X204" s="619"/>
      <c r="Y204" s="619"/>
      <c r="Z204" s="619"/>
    </row>
    <row r="205" spans="1:26" ht="11.25" customHeight="1">
      <c r="A205" s="619"/>
      <c r="B205" s="619"/>
      <c r="C205" s="619" t="e">
        <v>#NULL!</v>
      </c>
      <c r="D205" s="619"/>
      <c r="E205" s="619"/>
      <c r="F205" s="619"/>
      <c r="G205" s="621"/>
      <c r="H205" s="619"/>
      <c r="I205" s="619"/>
      <c r="J205" s="619"/>
      <c r="K205" s="619"/>
      <c r="L205" s="619"/>
      <c r="M205" s="619"/>
      <c r="N205" s="619"/>
      <c r="O205" s="619"/>
      <c r="P205" s="619"/>
      <c r="Q205" s="619"/>
      <c r="R205" s="619"/>
      <c r="S205" s="619"/>
      <c r="T205" s="619"/>
      <c r="U205" s="619"/>
      <c r="V205" s="619"/>
      <c r="W205" s="619"/>
      <c r="X205" s="619"/>
      <c r="Y205" s="619"/>
      <c r="Z205" s="619"/>
    </row>
    <row r="206" spans="1:26" ht="11.25" customHeight="1">
      <c r="A206" s="619"/>
      <c r="B206" s="619"/>
      <c r="C206" s="619" t="e">
        <v>#NULL!</v>
      </c>
      <c r="D206" s="619"/>
      <c r="E206" s="619"/>
      <c r="F206" s="619"/>
      <c r="G206" s="621"/>
      <c r="H206" s="619"/>
      <c r="I206" s="619"/>
      <c r="J206" s="619"/>
      <c r="K206" s="619"/>
      <c r="L206" s="619"/>
      <c r="M206" s="619"/>
      <c r="N206" s="619"/>
      <c r="O206" s="619"/>
      <c r="P206" s="619"/>
      <c r="Q206" s="619"/>
      <c r="R206" s="619"/>
      <c r="S206" s="619"/>
      <c r="T206" s="619"/>
      <c r="U206" s="619"/>
      <c r="V206" s="619"/>
      <c r="W206" s="619"/>
      <c r="X206" s="619"/>
      <c r="Y206" s="619"/>
      <c r="Z206" s="619"/>
    </row>
    <row r="207" spans="1:26" ht="11.25" customHeight="1">
      <c r="A207" s="619"/>
      <c r="B207" s="619"/>
      <c r="C207" s="619" t="e">
        <v>#NULL!</v>
      </c>
      <c r="D207" s="619"/>
      <c r="E207" s="619"/>
      <c r="F207" s="619"/>
      <c r="G207" s="621"/>
      <c r="H207" s="619"/>
      <c r="I207" s="619"/>
      <c r="J207" s="619"/>
      <c r="K207" s="619"/>
      <c r="L207" s="619"/>
      <c r="M207" s="619"/>
      <c r="N207" s="619"/>
      <c r="O207" s="619"/>
      <c r="P207" s="619"/>
      <c r="Q207" s="619"/>
      <c r="R207" s="619"/>
      <c r="S207" s="619"/>
      <c r="T207" s="619"/>
      <c r="U207" s="619"/>
      <c r="V207" s="619"/>
      <c r="W207" s="619"/>
      <c r="X207" s="619"/>
      <c r="Y207" s="619"/>
      <c r="Z207" s="619"/>
    </row>
    <row r="208" spans="1:26" ht="11.25" customHeight="1">
      <c r="A208" s="619"/>
      <c r="B208" s="619"/>
      <c r="C208" s="619" t="e">
        <v>#NULL!</v>
      </c>
      <c r="D208" s="619"/>
      <c r="E208" s="619"/>
      <c r="F208" s="619"/>
      <c r="G208" s="621"/>
      <c r="H208" s="619"/>
      <c r="I208" s="619"/>
      <c r="J208" s="619"/>
      <c r="K208" s="619"/>
      <c r="L208" s="619"/>
      <c r="M208" s="619"/>
      <c r="N208" s="619"/>
      <c r="O208" s="619"/>
      <c r="P208" s="619"/>
      <c r="Q208" s="619"/>
      <c r="R208" s="619"/>
      <c r="S208" s="619"/>
      <c r="T208" s="619"/>
      <c r="U208" s="619"/>
      <c r="V208" s="619"/>
      <c r="W208" s="619"/>
      <c r="X208" s="619"/>
      <c r="Y208" s="619"/>
      <c r="Z208" s="619"/>
    </row>
    <row r="209" spans="1:26" ht="11.25" customHeight="1">
      <c r="A209" s="619"/>
      <c r="B209" s="619"/>
      <c r="C209" s="619" t="e">
        <v>#NULL!</v>
      </c>
      <c r="D209" s="619"/>
      <c r="E209" s="619"/>
      <c r="F209" s="619"/>
      <c r="G209" s="621"/>
      <c r="H209" s="619"/>
      <c r="I209" s="619"/>
      <c r="J209" s="619"/>
      <c r="K209" s="619"/>
      <c r="L209" s="619"/>
      <c r="M209" s="619"/>
      <c r="N209" s="619"/>
      <c r="O209" s="619"/>
      <c r="P209" s="619"/>
      <c r="Q209" s="619"/>
      <c r="R209" s="619"/>
      <c r="S209" s="619"/>
      <c r="T209" s="619"/>
      <c r="U209" s="619"/>
      <c r="V209" s="619"/>
      <c r="W209" s="619"/>
      <c r="X209" s="619"/>
      <c r="Y209" s="619"/>
      <c r="Z209" s="619"/>
    </row>
    <row r="210" spans="1:26" ht="11.25" customHeight="1">
      <c r="A210" s="619"/>
      <c r="B210" s="619"/>
      <c r="C210" s="619" t="e">
        <v>#NULL!</v>
      </c>
      <c r="D210" s="619"/>
      <c r="E210" s="619"/>
      <c r="F210" s="619"/>
      <c r="G210" s="621"/>
      <c r="H210" s="619"/>
      <c r="I210" s="619"/>
      <c r="J210" s="619"/>
      <c r="K210" s="619"/>
      <c r="L210" s="619"/>
      <c r="M210" s="619"/>
      <c r="N210" s="619"/>
      <c r="O210" s="619"/>
      <c r="P210" s="619"/>
      <c r="Q210" s="619"/>
      <c r="R210" s="619"/>
      <c r="S210" s="619"/>
      <c r="T210" s="619"/>
      <c r="U210" s="619"/>
      <c r="V210" s="619"/>
      <c r="W210" s="619"/>
      <c r="X210" s="619"/>
      <c r="Y210" s="619"/>
      <c r="Z210" s="619"/>
    </row>
    <row r="211" spans="1:26" ht="11.25" customHeight="1">
      <c r="A211" s="619"/>
      <c r="B211" s="619"/>
      <c r="C211" s="619" t="e">
        <v>#NULL!</v>
      </c>
      <c r="D211" s="619"/>
      <c r="E211" s="619"/>
      <c r="F211" s="619"/>
      <c r="G211" s="621"/>
      <c r="H211" s="619"/>
      <c r="I211" s="619"/>
      <c r="J211" s="619"/>
      <c r="K211" s="619"/>
      <c r="L211" s="619"/>
      <c r="M211" s="619"/>
      <c r="N211" s="619"/>
      <c r="O211" s="619"/>
      <c r="P211" s="619"/>
      <c r="Q211" s="619"/>
      <c r="R211" s="619"/>
      <c r="S211" s="619"/>
      <c r="T211" s="619"/>
      <c r="U211" s="619"/>
      <c r="V211" s="619"/>
      <c r="W211" s="619"/>
      <c r="X211" s="619"/>
      <c r="Y211" s="619"/>
      <c r="Z211" s="619"/>
    </row>
    <row r="212" spans="1:26" ht="11.25" customHeight="1">
      <c r="A212" s="619"/>
      <c r="B212" s="619"/>
      <c r="C212" s="619" t="e">
        <v>#NULL!</v>
      </c>
      <c r="D212" s="619"/>
      <c r="E212" s="619"/>
      <c r="F212" s="619"/>
      <c r="G212" s="621"/>
      <c r="H212" s="619"/>
      <c r="I212" s="619"/>
      <c r="J212" s="619"/>
      <c r="K212" s="619"/>
      <c r="L212" s="619"/>
      <c r="M212" s="619"/>
      <c r="N212" s="619"/>
      <c r="O212" s="619"/>
      <c r="P212" s="619"/>
      <c r="Q212" s="619"/>
      <c r="R212" s="619"/>
      <c r="S212" s="619"/>
      <c r="T212" s="619"/>
      <c r="U212" s="619"/>
      <c r="V212" s="619"/>
      <c r="W212" s="619"/>
      <c r="X212" s="619"/>
      <c r="Y212" s="619"/>
      <c r="Z212" s="619"/>
    </row>
    <row r="213" spans="1:26" ht="11.25" customHeight="1">
      <c r="A213" s="619"/>
      <c r="B213" s="619"/>
      <c r="C213" s="619" t="e">
        <v>#NULL!</v>
      </c>
      <c r="D213" s="619"/>
      <c r="E213" s="619"/>
      <c r="F213" s="619"/>
      <c r="G213" s="621"/>
      <c r="H213" s="619"/>
      <c r="I213" s="619"/>
      <c r="J213" s="619"/>
      <c r="K213" s="619"/>
      <c r="L213" s="619"/>
      <c r="M213" s="619"/>
      <c r="N213" s="619"/>
      <c r="O213" s="619"/>
      <c r="P213" s="619"/>
      <c r="Q213" s="619"/>
      <c r="R213" s="619"/>
      <c r="S213" s="619"/>
      <c r="T213" s="619"/>
      <c r="U213" s="619"/>
      <c r="V213" s="619"/>
      <c r="W213" s="619"/>
      <c r="X213" s="619"/>
      <c r="Y213" s="619"/>
      <c r="Z213" s="619"/>
    </row>
    <row r="214" spans="1:26" ht="11.25" customHeight="1">
      <c r="A214" s="619"/>
      <c r="B214" s="619"/>
      <c r="C214" s="619" t="e">
        <v>#NULL!</v>
      </c>
      <c r="D214" s="619"/>
      <c r="E214" s="619"/>
      <c r="F214" s="619"/>
      <c r="G214" s="621"/>
      <c r="H214" s="619"/>
      <c r="I214" s="619"/>
      <c r="J214" s="619"/>
      <c r="K214" s="619"/>
      <c r="L214" s="619"/>
      <c r="M214" s="619"/>
      <c r="N214" s="619"/>
      <c r="O214" s="619"/>
      <c r="P214" s="619"/>
      <c r="Q214" s="619"/>
      <c r="R214" s="619"/>
      <c r="S214" s="619"/>
      <c r="T214" s="619"/>
      <c r="U214" s="619"/>
      <c r="V214" s="619"/>
      <c r="W214" s="619"/>
      <c r="X214" s="619"/>
      <c r="Y214" s="619"/>
      <c r="Z214" s="619"/>
    </row>
    <row r="215" spans="1:26" ht="11.25" customHeight="1">
      <c r="A215" s="619"/>
      <c r="B215" s="619"/>
      <c r="C215" s="619" t="e">
        <v>#NULL!</v>
      </c>
      <c r="D215" s="619"/>
      <c r="E215" s="619"/>
      <c r="F215" s="619"/>
      <c r="G215" s="621"/>
      <c r="H215" s="619"/>
      <c r="I215" s="619"/>
      <c r="J215" s="619"/>
      <c r="K215" s="619"/>
      <c r="L215" s="619"/>
      <c r="M215" s="619"/>
      <c r="N215" s="619"/>
      <c r="O215" s="619"/>
      <c r="P215" s="619"/>
      <c r="Q215" s="619"/>
      <c r="R215" s="619"/>
      <c r="S215" s="619"/>
      <c r="T215" s="619"/>
      <c r="U215" s="619"/>
      <c r="V215" s="619"/>
      <c r="W215" s="619"/>
      <c r="X215" s="619"/>
      <c r="Y215" s="619"/>
      <c r="Z215" s="619"/>
    </row>
    <row r="216" spans="1:26" ht="11.25" customHeight="1">
      <c r="A216" s="619"/>
      <c r="B216" s="619"/>
      <c r="C216" s="619" t="e">
        <v>#NULL!</v>
      </c>
      <c r="D216" s="619"/>
      <c r="E216" s="619"/>
      <c r="F216" s="619"/>
      <c r="G216" s="621"/>
      <c r="H216" s="619"/>
      <c r="I216" s="619"/>
      <c r="J216" s="619"/>
      <c r="K216" s="619"/>
      <c r="L216" s="619"/>
      <c r="M216" s="619"/>
      <c r="N216" s="619"/>
      <c r="O216" s="619"/>
      <c r="P216" s="619"/>
      <c r="Q216" s="619"/>
      <c r="R216" s="619"/>
      <c r="S216" s="619"/>
      <c r="T216" s="619"/>
      <c r="U216" s="619"/>
      <c r="V216" s="619"/>
      <c r="W216" s="619"/>
      <c r="X216" s="619"/>
      <c r="Y216" s="619"/>
      <c r="Z216" s="619"/>
    </row>
    <row r="217" spans="1:26" ht="11.25" customHeight="1">
      <c r="A217" s="619"/>
      <c r="B217" s="619"/>
      <c r="C217" s="619" t="e">
        <v>#NULL!</v>
      </c>
      <c r="D217" s="619"/>
      <c r="E217" s="619"/>
      <c r="F217" s="619"/>
      <c r="G217" s="621"/>
      <c r="H217" s="619"/>
      <c r="I217" s="619"/>
      <c r="J217" s="619"/>
      <c r="K217" s="619"/>
      <c r="L217" s="619"/>
      <c r="M217" s="619"/>
      <c r="N217" s="619"/>
      <c r="O217" s="619"/>
      <c r="P217" s="619"/>
      <c r="Q217" s="619"/>
      <c r="R217" s="619"/>
      <c r="S217" s="619"/>
      <c r="T217" s="619"/>
      <c r="U217" s="619"/>
      <c r="V217" s="619"/>
      <c r="W217" s="619"/>
      <c r="X217" s="619"/>
      <c r="Y217" s="619"/>
      <c r="Z217" s="619"/>
    </row>
    <row r="218" spans="1:26" ht="11.25" customHeight="1">
      <c r="A218" s="619"/>
      <c r="B218" s="619"/>
      <c r="C218" s="619" t="e">
        <v>#NULL!</v>
      </c>
      <c r="D218" s="619"/>
      <c r="E218" s="619"/>
      <c r="F218" s="619"/>
      <c r="G218" s="621"/>
      <c r="H218" s="619"/>
      <c r="I218" s="619"/>
      <c r="J218" s="619"/>
      <c r="K218" s="619"/>
      <c r="L218" s="619"/>
      <c r="M218" s="619"/>
      <c r="N218" s="619"/>
      <c r="O218" s="619"/>
      <c r="P218" s="619"/>
      <c r="Q218" s="619"/>
      <c r="R218" s="619"/>
      <c r="S218" s="619"/>
      <c r="T218" s="619"/>
      <c r="U218" s="619"/>
      <c r="V218" s="619"/>
      <c r="W218" s="619"/>
      <c r="X218" s="619"/>
      <c r="Y218" s="619"/>
      <c r="Z218" s="619"/>
    </row>
    <row r="219" spans="1:26" ht="11.25" customHeight="1">
      <c r="A219" s="619"/>
      <c r="B219" s="619"/>
      <c r="C219" s="619" t="e">
        <v>#NULL!</v>
      </c>
      <c r="D219" s="619"/>
      <c r="E219" s="619"/>
      <c r="F219" s="619"/>
      <c r="G219" s="621"/>
      <c r="H219" s="619"/>
      <c r="I219" s="619"/>
      <c r="J219" s="619"/>
      <c r="K219" s="619"/>
      <c r="L219" s="619"/>
      <c r="M219" s="619"/>
      <c r="N219" s="619"/>
      <c r="O219" s="619"/>
      <c r="P219" s="619"/>
      <c r="Q219" s="619"/>
      <c r="R219" s="619"/>
      <c r="S219" s="619"/>
      <c r="T219" s="619"/>
      <c r="U219" s="619"/>
      <c r="V219" s="619"/>
      <c r="W219" s="619"/>
      <c r="X219" s="619"/>
      <c r="Y219" s="619"/>
      <c r="Z219" s="619"/>
    </row>
    <row r="220" spans="1:26" ht="11.25" customHeight="1">
      <c r="A220" s="619"/>
      <c r="B220" s="619"/>
      <c r="C220" s="619" t="e">
        <v>#NULL!</v>
      </c>
      <c r="D220" s="619"/>
      <c r="E220" s="619"/>
      <c r="F220" s="619"/>
      <c r="G220" s="621"/>
      <c r="H220" s="619"/>
      <c r="I220" s="619"/>
      <c r="J220" s="619"/>
      <c r="K220" s="619"/>
      <c r="L220" s="619"/>
      <c r="M220" s="619"/>
      <c r="N220" s="619"/>
      <c r="O220" s="619"/>
      <c r="P220" s="619"/>
      <c r="Q220" s="619"/>
      <c r="R220" s="619"/>
      <c r="S220" s="619"/>
      <c r="T220" s="619"/>
      <c r="U220" s="619"/>
      <c r="V220" s="619"/>
      <c r="W220" s="619"/>
      <c r="X220" s="619"/>
      <c r="Y220" s="619"/>
      <c r="Z220" s="619"/>
    </row>
    <row r="221" spans="1:26" ht="11.25" customHeight="1">
      <c r="A221" s="619"/>
      <c r="B221" s="619"/>
      <c r="C221" s="619" t="e">
        <v>#NULL!</v>
      </c>
      <c r="D221" s="619"/>
      <c r="E221" s="619"/>
      <c r="F221" s="619"/>
      <c r="G221" s="621"/>
      <c r="H221" s="619"/>
      <c r="I221" s="619"/>
      <c r="J221" s="619"/>
      <c r="K221" s="619"/>
      <c r="L221" s="619"/>
      <c r="M221" s="619"/>
      <c r="N221" s="619"/>
      <c r="O221" s="619"/>
      <c r="P221" s="619"/>
      <c r="Q221" s="619"/>
      <c r="R221" s="619"/>
      <c r="S221" s="619"/>
      <c r="T221" s="619"/>
      <c r="U221" s="619"/>
      <c r="V221" s="619"/>
      <c r="W221" s="619"/>
      <c r="X221" s="619"/>
      <c r="Y221" s="619"/>
      <c r="Z221" s="619"/>
    </row>
    <row r="222" spans="1:26" ht="11.25" customHeight="1">
      <c r="A222" s="619"/>
      <c r="B222" s="619"/>
      <c r="C222" s="619" t="e">
        <v>#NULL!</v>
      </c>
      <c r="D222" s="619"/>
      <c r="E222" s="619"/>
      <c r="F222" s="619"/>
      <c r="G222" s="621"/>
      <c r="H222" s="619"/>
      <c r="I222" s="619"/>
      <c r="J222" s="619"/>
      <c r="K222" s="619"/>
      <c r="L222" s="619"/>
      <c r="M222" s="619"/>
      <c r="N222" s="619"/>
      <c r="O222" s="619"/>
      <c r="P222" s="619"/>
      <c r="Q222" s="619"/>
      <c r="R222" s="619"/>
      <c r="S222" s="619"/>
      <c r="T222" s="619"/>
      <c r="U222" s="619"/>
      <c r="V222" s="619"/>
      <c r="W222" s="619"/>
      <c r="X222" s="619"/>
      <c r="Y222" s="619"/>
      <c r="Z222" s="619"/>
    </row>
    <row r="223" spans="1:26" ht="11.25" customHeight="1">
      <c r="A223" s="619"/>
      <c r="B223" s="619"/>
      <c r="C223" s="619" t="e">
        <v>#NULL!</v>
      </c>
      <c r="D223" s="619"/>
      <c r="E223" s="619"/>
      <c r="F223" s="619"/>
      <c r="G223" s="621"/>
      <c r="H223" s="619"/>
      <c r="I223" s="619"/>
      <c r="J223" s="619"/>
      <c r="K223" s="619"/>
      <c r="L223" s="619"/>
      <c r="M223" s="619"/>
      <c r="N223" s="619"/>
      <c r="O223" s="619"/>
      <c r="P223" s="619"/>
      <c r="Q223" s="619"/>
      <c r="R223" s="619"/>
      <c r="S223" s="619"/>
      <c r="T223" s="619"/>
      <c r="U223" s="619"/>
      <c r="V223" s="619"/>
      <c r="W223" s="619"/>
      <c r="X223" s="619"/>
      <c r="Y223" s="619"/>
      <c r="Z223" s="619"/>
    </row>
    <row r="224" spans="1:26" ht="11.25" customHeight="1">
      <c r="A224" s="619"/>
      <c r="B224" s="619"/>
      <c r="C224" s="619" t="e">
        <v>#NULL!</v>
      </c>
      <c r="D224" s="619"/>
      <c r="E224" s="619"/>
      <c r="F224" s="619"/>
      <c r="G224" s="621"/>
      <c r="H224" s="619"/>
      <c r="I224" s="619"/>
      <c r="J224" s="619"/>
      <c r="K224" s="619"/>
      <c r="L224" s="619"/>
      <c r="M224" s="619"/>
      <c r="N224" s="619"/>
      <c r="O224" s="619"/>
      <c r="P224" s="619"/>
      <c r="Q224" s="619"/>
      <c r="R224" s="619"/>
      <c r="S224" s="619"/>
      <c r="T224" s="619"/>
      <c r="U224" s="619"/>
      <c r="V224" s="619"/>
      <c r="W224" s="619"/>
      <c r="X224" s="619"/>
      <c r="Y224" s="619"/>
      <c r="Z224" s="619"/>
    </row>
    <row r="225" spans="1:26" ht="11.25" customHeight="1">
      <c r="A225" s="619"/>
      <c r="B225" s="619"/>
      <c r="C225" s="619" t="e">
        <v>#NULL!</v>
      </c>
      <c r="D225" s="619"/>
      <c r="E225" s="619"/>
      <c r="F225" s="619"/>
      <c r="G225" s="621"/>
      <c r="H225" s="619"/>
      <c r="I225" s="619"/>
      <c r="J225" s="619"/>
      <c r="K225" s="619"/>
      <c r="L225" s="619"/>
      <c r="M225" s="619"/>
      <c r="N225" s="619"/>
      <c r="O225" s="619"/>
      <c r="P225" s="619"/>
      <c r="Q225" s="619"/>
      <c r="R225" s="619"/>
      <c r="S225" s="619"/>
      <c r="T225" s="619"/>
      <c r="U225" s="619"/>
      <c r="V225" s="619"/>
      <c r="W225" s="619"/>
      <c r="X225" s="619"/>
      <c r="Y225" s="619"/>
      <c r="Z225" s="619"/>
    </row>
    <row r="226" spans="1:26" ht="11.25" customHeight="1">
      <c r="A226" s="619"/>
      <c r="B226" s="619"/>
      <c r="C226" s="619" t="e">
        <v>#NULL!</v>
      </c>
      <c r="D226" s="619"/>
      <c r="E226" s="619"/>
      <c r="F226" s="619"/>
      <c r="G226" s="621"/>
      <c r="H226" s="619"/>
      <c r="I226" s="619"/>
      <c r="J226" s="619"/>
      <c r="K226" s="619"/>
      <c r="L226" s="619"/>
      <c r="M226" s="619"/>
      <c r="N226" s="619"/>
      <c r="O226" s="619"/>
      <c r="P226" s="619"/>
      <c r="Q226" s="619"/>
      <c r="R226" s="619"/>
      <c r="S226" s="619"/>
      <c r="T226" s="619"/>
      <c r="U226" s="619"/>
      <c r="V226" s="619"/>
      <c r="W226" s="619"/>
      <c r="X226" s="619"/>
      <c r="Y226" s="619"/>
      <c r="Z226" s="619"/>
    </row>
    <row r="227" spans="1:26" ht="11.25" customHeight="1">
      <c r="A227" s="619"/>
      <c r="B227" s="619"/>
      <c r="C227" s="619" t="e">
        <v>#NULL!</v>
      </c>
      <c r="D227" s="619"/>
      <c r="E227" s="619"/>
      <c r="F227" s="619"/>
      <c r="G227" s="621"/>
      <c r="H227" s="619"/>
      <c r="I227" s="619"/>
      <c r="J227" s="619"/>
      <c r="K227" s="619"/>
      <c r="L227" s="619"/>
      <c r="M227" s="619"/>
      <c r="N227" s="619"/>
      <c r="O227" s="619"/>
      <c r="P227" s="619"/>
      <c r="Q227" s="619"/>
      <c r="R227" s="619"/>
      <c r="S227" s="619"/>
      <c r="T227" s="619"/>
      <c r="U227" s="619"/>
      <c r="V227" s="619"/>
      <c r="W227" s="619"/>
      <c r="X227" s="619"/>
      <c r="Y227" s="619"/>
      <c r="Z227" s="619"/>
    </row>
    <row r="228" spans="1:26" ht="11.25" customHeight="1">
      <c r="A228" s="619"/>
      <c r="B228" s="619"/>
      <c r="C228" s="619" t="e">
        <v>#NULL!</v>
      </c>
      <c r="D228" s="619"/>
      <c r="E228" s="619"/>
      <c r="F228" s="619"/>
      <c r="G228" s="621"/>
      <c r="H228" s="619"/>
      <c r="I228" s="619"/>
      <c r="J228" s="619"/>
      <c r="K228" s="619"/>
      <c r="L228" s="619"/>
      <c r="M228" s="619"/>
      <c r="N228" s="619"/>
      <c r="O228" s="619"/>
      <c r="P228" s="619"/>
      <c r="Q228" s="619"/>
      <c r="R228" s="619"/>
      <c r="S228" s="619"/>
      <c r="T228" s="619"/>
      <c r="U228" s="619"/>
      <c r="V228" s="619"/>
      <c r="W228" s="619"/>
      <c r="X228" s="619"/>
      <c r="Y228" s="619"/>
      <c r="Z228" s="619"/>
    </row>
    <row r="229" spans="1:26" ht="11.25" customHeight="1">
      <c r="A229" s="619"/>
      <c r="B229" s="619"/>
      <c r="C229" s="619" t="e">
        <v>#NULL!</v>
      </c>
      <c r="D229" s="619"/>
      <c r="E229" s="619"/>
      <c r="F229" s="619"/>
      <c r="G229" s="621"/>
      <c r="H229" s="619"/>
      <c r="I229" s="619"/>
      <c r="J229" s="619"/>
      <c r="K229" s="619"/>
      <c r="L229" s="619"/>
      <c r="M229" s="619"/>
      <c r="N229" s="619"/>
      <c r="O229" s="619"/>
      <c r="P229" s="619"/>
      <c r="Q229" s="619"/>
      <c r="R229" s="619"/>
      <c r="S229" s="619"/>
      <c r="T229" s="619"/>
      <c r="U229" s="619"/>
      <c r="V229" s="619"/>
      <c r="W229" s="619"/>
      <c r="X229" s="619"/>
      <c r="Y229" s="619"/>
      <c r="Z229" s="619"/>
    </row>
    <row r="230" spans="1:26" ht="11.25" customHeight="1">
      <c r="A230" s="619"/>
      <c r="B230" s="619"/>
      <c r="C230" s="619" t="e">
        <v>#NULL!</v>
      </c>
      <c r="D230" s="619"/>
      <c r="E230" s="619"/>
      <c r="F230" s="619"/>
      <c r="G230" s="621"/>
      <c r="H230" s="619"/>
      <c r="I230" s="619"/>
      <c r="J230" s="619"/>
      <c r="K230" s="619"/>
      <c r="L230" s="619"/>
      <c r="M230" s="619"/>
      <c r="N230" s="619"/>
      <c r="O230" s="619"/>
      <c r="P230" s="619"/>
      <c r="Q230" s="619"/>
      <c r="R230" s="619"/>
      <c r="S230" s="619"/>
      <c r="T230" s="619"/>
      <c r="U230" s="619"/>
      <c r="V230" s="619"/>
      <c r="W230" s="619"/>
      <c r="X230" s="619"/>
      <c r="Y230" s="619"/>
      <c r="Z230" s="619"/>
    </row>
    <row r="231" spans="1:26" ht="11.25" customHeight="1">
      <c r="A231" s="619"/>
      <c r="B231" s="619"/>
      <c r="C231" s="619" t="e">
        <v>#NULL!</v>
      </c>
      <c r="D231" s="619"/>
      <c r="E231" s="619"/>
      <c r="F231" s="619"/>
      <c r="G231" s="621"/>
      <c r="H231" s="619"/>
      <c r="I231" s="619"/>
      <c r="J231" s="619"/>
      <c r="K231" s="619"/>
      <c r="L231" s="619"/>
      <c r="M231" s="619"/>
      <c r="N231" s="619"/>
      <c r="O231" s="619"/>
      <c r="P231" s="619"/>
      <c r="Q231" s="619"/>
      <c r="R231" s="619"/>
      <c r="S231" s="619"/>
      <c r="T231" s="619"/>
      <c r="U231" s="619"/>
      <c r="V231" s="619"/>
      <c r="W231" s="619"/>
      <c r="X231" s="619"/>
      <c r="Y231" s="619"/>
      <c r="Z231" s="619"/>
    </row>
    <row r="232" spans="1:26" ht="11.25" customHeight="1">
      <c r="A232" s="619"/>
      <c r="B232" s="619"/>
      <c r="C232" s="619" t="e">
        <v>#NULL!</v>
      </c>
      <c r="D232" s="619"/>
      <c r="E232" s="619"/>
      <c r="F232" s="619"/>
      <c r="G232" s="621"/>
      <c r="H232" s="619"/>
      <c r="I232" s="619"/>
      <c r="J232" s="619"/>
      <c r="K232" s="619"/>
      <c r="L232" s="619"/>
      <c r="M232" s="619"/>
      <c r="N232" s="619"/>
      <c r="O232" s="619"/>
      <c r="P232" s="619"/>
      <c r="Q232" s="619"/>
      <c r="R232" s="619"/>
      <c r="S232" s="619"/>
      <c r="T232" s="619"/>
      <c r="U232" s="619"/>
      <c r="V232" s="619"/>
      <c r="W232" s="619"/>
      <c r="X232" s="619"/>
      <c r="Y232" s="619"/>
      <c r="Z232" s="619"/>
    </row>
    <row r="233" spans="1:26" ht="11.25" customHeight="1">
      <c r="A233" s="619"/>
      <c r="B233" s="619"/>
      <c r="C233" s="619" t="e">
        <v>#NULL!</v>
      </c>
      <c r="D233" s="619"/>
      <c r="E233" s="619"/>
      <c r="F233" s="619"/>
      <c r="G233" s="621"/>
      <c r="H233" s="619"/>
      <c r="I233" s="619"/>
      <c r="J233" s="619"/>
      <c r="K233" s="619"/>
      <c r="L233" s="619"/>
      <c r="M233" s="619"/>
      <c r="N233" s="619"/>
      <c r="O233" s="619"/>
      <c r="P233" s="619"/>
      <c r="Q233" s="619"/>
      <c r="R233" s="619"/>
      <c r="S233" s="619"/>
      <c r="T233" s="619"/>
      <c r="U233" s="619"/>
      <c r="V233" s="619"/>
      <c r="W233" s="619"/>
      <c r="X233" s="619"/>
      <c r="Y233" s="619"/>
      <c r="Z233" s="619"/>
    </row>
    <row r="234" spans="1:26" ht="11.25" customHeight="1">
      <c r="A234" s="619"/>
      <c r="B234" s="619"/>
      <c r="C234" s="619" t="e">
        <v>#NULL!</v>
      </c>
      <c r="D234" s="619"/>
      <c r="E234" s="619"/>
      <c r="F234" s="619"/>
      <c r="G234" s="621"/>
      <c r="H234" s="619"/>
      <c r="I234" s="619"/>
      <c r="J234" s="619"/>
      <c r="K234" s="619"/>
      <c r="L234" s="619"/>
      <c r="M234" s="619"/>
      <c r="N234" s="619"/>
      <c r="O234" s="619"/>
      <c r="P234" s="619"/>
      <c r="Q234" s="619"/>
      <c r="R234" s="619"/>
      <c r="S234" s="619"/>
      <c r="T234" s="619"/>
      <c r="U234" s="619"/>
      <c r="V234" s="619"/>
      <c r="W234" s="619"/>
      <c r="X234" s="619"/>
      <c r="Y234" s="619"/>
      <c r="Z234" s="619"/>
    </row>
    <row r="235" spans="1:26" ht="11.25" customHeight="1">
      <c r="A235" s="619"/>
      <c r="B235" s="619"/>
      <c r="C235" s="619" t="e">
        <v>#NULL!</v>
      </c>
      <c r="D235" s="619"/>
      <c r="E235" s="619"/>
      <c r="F235" s="619"/>
      <c r="G235" s="621"/>
      <c r="H235" s="619"/>
      <c r="I235" s="619"/>
      <c r="J235" s="619"/>
      <c r="K235" s="619"/>
      <c r="L235" s="619"/>
      <c r="M235" s="619"/>
      <c r="N235" s="619"/>
      <c r="O235" s="619"/>
      <c r="P235" s="619"/>
      <c r="Q235" s="619"/>
      <c r="R235" s="619"/>
      <c r="S235" s="619"/>
      <c r="T235" s="619"/>
      <c r="U235" s="619"/>
      <c r="V235" s="619"/>
      <c r="W235" s="619"/>
      <c r="X235" s="619"/>
      <c r="Y235" s="619"/>
      <c r="Z235" s="619"/>
    </row>
    <row r="236" spans="1:26" ht="11.25" customHeight="1">
      <c r="A236" s="619"/>
      <c r="B236" s="619"/>
      <c r="C236" s="619" t="e">
        <v>#NULL!</v>
      </c>
      <c r="D236" s="619"/>
      <c r="E236" s="619"/>
      <c r="F236" s="619"/>
      <c r="G236" s="621"/>
      <c r="H236" s="619"/>
      <c r="I236" s="619"/>
      <c r="J236" s="619"/>
      <c r="K236" s="619"/>
      <c r="L236" s="619"/>
      <c r="M236" s="619"/>
      <c r="N236" s="619"/>
      <c r="O236" s="619"/>
      <c r="P236" s="619"/>
      <c r="Q236" s="619"/>
      <c r="R236" s="619"/>
      <c r="S236" s="619"/>
      <c r="T236" s="619"/>
      <c r="U236" s="619"/>
      <c r="V236" s="619"/>
      <c r="W236" s="619"/>
      <c r="X236" s="619"/>
      <c r="Y236" s="619"/>
      <c r="Z236" s="619"/>
    </row>
    <row r="237" spans="1:26" ht="11.25" customHeight="1">
      <c r="A237" s="619"/>
      <c r="B237" s="619"/>
      <c r="C237" s="619" t="e">
        <v>#NULL!</v>
      </c>
      <c r="D237" s="619"/>
      <c r="E237" s="619"/>
      <c r="F237" s="619"/>
      <c r="G237" s="621"/>
      <c r="H237" s="619"/>
      <c r="I237" s="619"/>
      <c r="J237" s="619"/>
      <c r="K237" s="619"/>
      <c r="L237" s="619"/>
      <c r="M237" s="619"/>
      <c r="N237" s="619"/>
      <c r="O237" s="619"/>
      <c r="P237" s="619"/>
      <c r="Q237" s="619"/>
      <c r="R237" s="619"/>
      <c r="S237" s="619"/>
      <c r="T237" s="619"/>
      <c r="U237" s="619"/>
      <c r="V237" s="619"/>
      <c r="W237" s="619"/>
      <c r="X237" s="619"/>
      <c r="Y237" s="619"/>
      <c r="Z237" s="619"/>
    </row>
    <row r="238" spans="1:26" ht="11.25" customHeight="1">
      <c r="A238" s="619"/>
      <c r="B238" s="619"/>
      <c r="C238" s="619" t="e">
        <v>#NULL!</v>
      </c>
      <c r="D238" s="619"/>
      <c r="E238" s="619"/>
      <c r="F238" s="619"/>
      <c r="G238" s="621"/>
      <c r="H238" s="619"/>
      <c r="I238" s="619"/>
      <c r="J238" s="619"/>
      <c r="K238" s="619"/>
      <c r="L238" s="619"/>
      <c r="M238" s="619"/>
      <c r="N238" s="619"/>
      <c r="O238" s="619"/>
      <c r="P238" s="619"/>
      <c r="Q238" s="619"/>
      <c r="R238" s="619"/>
      <c r="S238" s="619"/>
      <c r="T238" s="619"/>
      <c r="U238" s="619"/>
      <c r="V238" s="619"/>
      <c r="W238" s="619"/>
      <c r="X238" s="619"/>
      <c r="Y238" s="619"/>
      <c r="Z238" s="619"/>
    </row>
    <row r="239" spans="1:26" ht="11.25" customHeight="1">
      <c r="A239" s="619"/>
      <c r="B239" s="619"/>
      <c r="C239" s="619" t="e">
        <v>#NULL!</v>
      </c>
      <c r="D239" s="619"/>
      <c r="E239" s="619"/>
      <c r="F239" s="619"/>
      <c r="G239" s="621"/>
      <c r="H239" s="619"/>
      <c r="I239" s="619"/>
      <c r="J239" s="619"/>
      <c r="K239" s="619"/>
      <c r="L239" s="619"/>
      <c r="M239" s="619"/>
      <c r="N239" s="619"/>
      <c r="O239" s="619"/>
      <c r="P239" s="619"/>
      <c r="Q239" s="619"/>
      <c r="R239" s="619"/>
      <c r="S239" s="619"/>
      <c r="T239" s="619"/>
      <c r="U239" s="619"/>
      <c r="V239" s="619"/>
      <c r="W239" s="619"/>
      <c r="X239" s="619"/>
      <c r="Y239" s="619"/>
      <c r="Z239" s="619"/>
    </row>
    <row r="240" spans="1:26" ht="11.25" customHeight="1">
      <c r="A240" s="619"/>
      <c r="B240" s="619"/>
      <c r="C240" s="619" t="e">
        <v>#NULL!</v>
      </c>
      <c r="D240" s="619"/>
      <c r="E240" s="619"/>
      <c r="F240" s="619"/>
      <c r="G240" s="621"/>
      <c r="H240" s="619"/>
      <c r="I240" s="619"/>
      <c r="J240" s="619"/>
      <c r="K240" s="619"/>
      <c r="L240" s="619"/>
      <c r="M240" s="619"/>
      <c r="N240" s="619"/>
      <c r="O240" s="619"/>
      <c r="P240" s="619"/>
      <c r="Q240" s="619"/>
      <c r="R240" s="619"/>
      <c r="S240" s="619"/>
      <c r="T240" s="619"/>
      <c r="U240" s="619"/>
      <c r="V240" s="619"/>
      <c r="W240" s="619"/>
      <c r="X240" s="619"/>
      <c r="Y240" s="619"/>
      <c r="Z240" s="619"/>
    </row>
    <row r="241" spans="1:26" ht="11.25" customHeight="1">
      <c r="A241" s="619"/>
      <c r="B241" s="619"/>
      <c r="C241" s="619" t="e">
        <v>#NULL!</v>
      </c>
      <c r="D241" s="619"/>
      <c r="E241" s="619"/>
      <c r="F241" s="619"/>
      <c r="G241" s="621"/>
      <c r="H241" s="619"/>
      <c r="I241" s="619"/>
      <c r="J241" s="619"/>
      <c r="K241" s="619"/>
      <c r="L241" s="619"/>
      <c r="M241" s="619"/>
      <c r="N241" s="619"/>
      <c r="O241" s="619"/>
      <c r="P241" s="619"/>
      <c r="Q241" s="619"/>
      <c r="R241" s="619"/>
      <c r="S241" s="619"/>
      <c r="T241" s="619"/>
      <c r="U241" s="619"/>
      <c r="V241" s="619"/>
      <c r="W241" s="619"/>
      <c r="X241" s="619"/>
      <c r="Y241" s="619"/>
      <c r="Z241" s="619"/>
    </row>
    <row r="242" spans="1:26" ht="11.25" customHeight="1">
      <c r="A242" s="619"/>
      <c r="B242" s="619"/>
      <c r="C242" s="619" t="e">
        <v>#NULL!</v>
      </c>
      <c r="D242" s="619"/>
      <c r="E242" s="619"/>
      <c r="F242" s="619"/>
      <c r="G242" s="621"/>
      <c r="H242" s="619"/>
      <c r="I242" s="619"/>
      <c r="J242" s="619"/>
      <c r="K242" s="619"/>
      <c r="L242" s="619"/>
      <c r="M242" s="619"/>
      <c r="N242" s="619"/>
      <c r="O242" s="619"/>
      <c r="P242" s="619"/>
      <c r="Q242" s="619"/>
      <c r="R242" s="619"/>
      <c r="S242" s="619"/>
      <c r="T242" s="619"/>
      <c r="U242" s="619"/>
      <c r="V242" s="619"/>
      <c r="W242" s="619"/>
      <c r="X242" s="619"/>
      <c r="Y242" s="619"/>
      <c r="Z242" s="619"/>
    </row>
    <row r="243" spans="1:26" ht="11.25" customHeight="1">
      <c r="A243" s="619"/>
      <c r="B243" s="619"/>
      <c r="C243" s="619" t="e">
        <v>#NULL!</v>
      </c>
      <c r="D243" s="619"/>
      <c r="E243" s="619"/>
      <c r="F243" s="619"/>
      <c r="G243" s="621"/>
      <c r="H243" s="619"/>
      <c r="I243" s="619"/>
      <c r="J243" s="619"/>
      <c r="K243" s="619"/>
      <c r="L243" s="619"/>
      <c r="M243" s="619"/>
      <c r="N243" s="619"/>
      <c r="O243" s="619"/>
      <c r="P243" s="619"/>
      <c r="Q243" s="619"/>
      <c r="R243" s="619"/>
      <c r="S243" s="619"/>
      <c r="T243" s="619"/>
      <c r="U243" s="619"/>
      <c r="V243" s="619"/>
      <c r="W243" s="619"/>
      <c r="X243" s="619"/>
      <c r="Y243" s="619"/>
      <c r="Z243" s="619"/>
    </row>
    <row r="244" spans="1:26" ht="11.25" customHeight="1">
      <c r="A244" s="619"/>
      <c r="B244" s="619"/>
      <c r="C244" s="619" t="e">
        <v>#NULL!</v>
      </c>
      <c r="D244" s="619"/>
      <c r="E244" s="619"/>
      <c r="F244" s="619"/>
      <c r="G244" s="621"/>
      <c r="H244" s="619"/>
      <c r="I244" s="619"/>
      <c r="J244" s="619"/>
      <c r="K244" s="619"/>
      <c r="L244" s="619"/>
      <c r="M244" s="619"/>
      <c r="N244" s="619"/>
      <c r="O244" s="619"/>
      <c r="P244" s="619"/>
      <c r="Q244" s="619"/>
      <c r="R244" s="619"/>
      <c r="S244" s="619"/>
      <c r="T244" s="619"/>
      <c r="U244" s="619"/>
      <c r="V244" s="619"/>
      <c r="W244" s="619"/>
      <c r="X244" s="619"/>
      <c r="Y244" s="619"/>
      <c r="Z244" s="619"/>
    </row>
    <row r="245" spans="1:26" ht="11.25" customHeight="1">
      <c r="A245" s="619"/>
      <c r="B245" s="619"/>
      <c r="C245" s="619" t="e">
        <v>#NULL!</v>
      </c>
      <c r="D245" s="619"/>
      <c r="E245" s="619"/>
      <c r="F245" s="619"/>
      <c r="G245" s="621"/>
      <c r="H245" s="619"/>
      <c r="I245" s="619"/>
      <c r="J245" s="619"/>
      <c r="K245" s="619"/>
      <c r="L245" s="619"/>
      <c r="M245" s="619"/>
      <c r="N245" s="619"/>
      <c r="O245" s="619"/>
      <c r="P245" s="619"/>
      <c r="Q245" s="619"/>
      <c r="R245" s="619"/>
      <c r="S245" s="619"/>
      <c r="T245" s="619"/>
      <c r="U245" s="619"/>
      <c r="V245" s="619"/>
      <c r="W245" s="619"/>
      <c r="X245" s="619"/>
      <c r="Y245" s="619"/>
      <c r="Z245" s="619"/>
    </row>
    <row r="246" spans="1:26" ht="11.25" customHeight="1">
      <c r="A246" s="619"/>
      <c r="B246" s="619"/>
      <c r="C246" s="619" t="e">
        <v>#NULL!</v>
      </c>
      <c r="D246" s="619"/>
      <c r="E246" s="619"/>
      <c r="F246" s="619"/>
      <c r="G246" s="621"/>
      <c r="H246" s="619"/>
      <c r="I246" s="619"/>
      <c r="J246" s="619"/>
      <c r="K246" s="619"/>
      <c r="L246" s="619"/>
      <c r="M246" s="619"/>
      <c r="N246" s="619"/>
      <c r="O246" s="619"/>
      <c r="P246" s="619"/>
      <c r="Q246" s="619"/>
      <c r="R246" s="619"/>
      <c r="S246" s="619"/>
      <c r="T246" s="619"/>
      <c r="U246" s="619"/>
      <c r="V246" s="619"/>
      <c r="W246" s="619"/>
      <c r="X246" s="619"/>
      <c r="Y246" s="619"/>
      <c r="Z246" s="619"/>
    </row>
    <row r="247" spans="1:26" ht="11.25" customHeight="1">
      <c r="A247" s="619"/>
      <c r="B247" s="619"/>
      <c r="C247" s="619" t="e">
        <v>#NULL!</v>
      </c>
      <c r="D247" s="619"/>
      <c r="E247" s="619"/>
      <c r="F247" s="619"/>
      <c r="G247" s="621"/>
      <c r="H247" s="619"/>
      <c r="I247" s="619"/>
      <c r="J247" s="619"/>
      <c r="K247" s="619"/>
      <c r="L247" s="619"/>
      <c r="M247" s="619"/>
      <c r="N247" s="619"/>
      <c r="O247" s="619"/>
      <c r="P247" s="619"/>
      <c r="Q247" s="619"/>
      <c r="R247" s="619"/>
      <c r="S247" s="619"/>
      <c r="T247" s="619"/>
      <c r="U247" s="619"/>
      <c r="V247" s="619"/>
      <c r="W247" s="619"/>
      <c r="X247" s="619"/>
      <c r="Y247" s="619"/>
      <c r="Z247" s="619"/>
    </row>
    <row r="248" spans="1:26" ht="11.25" customHeight="1">
      <c r="A248" s="619"/>
      <c r="B248" s="619"/>
      <c r="C248" s="619" t="e">
        <v>#NULL!</v>
      </c>
      <c r="D248" s="619"/>
      <c r="E248" s="619"/>
      <c r="F248" s="619"/>
      <c r="G248" s="621"/>
      <c r="H248" s="619"/>
      <c r="I248" s="619"/>
      <c r="J248" s="619"/>
      <c r="K248" s="619"/>
      <c r="L248" s="619"/>
      <c r="M248" s="619"/>
      <c r="N248" s="619"/>
      <c r="O248" s="619"/>
      <c r="P248" s="619"/>
      <c r="Q248" s="619"/>
      <c r="R248" s="619"/>
      <c r="S248" s="619"/>
      <c r="T248" s="619"/>
      <c r="U248" s="619"/>
      <c r="V248" s="619"/>
      <c r="W248" s="619"/>
      <c r="X248" s="619"/>
      <c r="Y248" s="619"/>
      <c r="Z248" s="619"/>
    </row>
    <row r="249" spans="1:26" ht="11.25" customHeight="1">
      <c r="A249" s="619"/>
      <c r="B249" s="619"/>
      <c r="C249" s="619" t="e">
        <v>#NULL!</v>
      </c>
      <c r="D249" s="619"/>
      <c r="E249" s="619"/>
      <c r="F249" s="619"/>
      <c r="G249" s="621"/>
      <c r="H249" s="619"/>
      <c r="I249" s="619"/>
      <c r="J249" s="619"/>
      <c r="K249" s="619"/>
      <c r="L249" s="619"/>
      <c r="M249" s="619"/>
      <c r="N249" s="619"/>
      <c r="O249" s="619"/>
      <c r="P249" s="619"/>
      <c r="Q249" s="619"/>
      <c r="R249" s="619"/>
      <c r="S249" s="619"/>
      <c r="T249" s="619"/>
      <c r="U249" s="619"/>
      <c r="V249" s="619"/>
      <c r="W249" s="619"/>
      <c r="X249" s="619"/>
      <c r="Y249" s="619"/>
      <c r="Z249" s="619"/>
    </row>
    <row r="250" spans="1:26" ht="11.25" customHeight="1">
      <c r="A250" s="619"/>
      <c r="B250" s="619"/>
      <c r="C250" s="619" t="e">
        <v>#NULL!</v>
      </c>
      <c r="D250" s="619"/>
      <c r="E250" s="619"/>
      <c r="F250" s="619"/>
      <c r="G250" s="621"/>
      <c r="H250" s="619"/>
      <c r="I250" s="619"/>
      <c r="J250" s="619"/>
      <c r="K250" s="619"/>
      <c r="L250" s="619"/>
      <c r="M250" s="619"/>
      <c r="N250" s="619"/>
      <c r="O250" s="619"/>
      <c r="P250" s="619"/>
      <c r="Q250" s="619"/>
      <c r="R250" s="619"/>
      <c r="S250" s="619"/>
      <c r="T250" s="619"/>
      <c r="U250" s="619"/>
      <c r="V250" s="619"/>
      <c r="W250" s="619"/>
      <c r="X250" s="619"/>
      <c r="Y250" s="619"/>
      <c r="Z250" s="619"/>
    </row>
    <row r="251" spans="1:26" ht="11.25" customHeight="1">
      <c r="A251" s="619"/>
      <c r="B251" s="619"/>
      <c r="C251" s="619" t="e">
        <v>#NULL!</v>
      </c>
      <c r="D251" s="619"/>
      <c r="E251" s="619"/>
      <c r="F251" s="619"/>
      <c r="G251" s="621"/>
      <c r="H251" s="619"/>
      <c r="I251" s="619"/>
      <c r="J251" s="619"/>
      <c r="K251" s="619"/>
      <c r="L251" s="619"/>
      <c r="M251" s="619"/>
      <c r="N251" s="619"/>
      <c r="O251" s="619"/>
      <c r="P251" s="619"/>
      <c r="Q251" s="619"/>
      <c r="R251" s="619"/>
      <c r="S251" s="619"/>
      <c r="T251" s="619"/>
      <c r="U251" s="619"/>
      <c r="V251" s="619"/>
      <c r="W251" s="619"/>
      <c r="X251" s="619"/>
      <c r="Y251" s="619"/>
      <c r="Z251" s="619"/>
    </row>
    <row r="252" spans="1:26" ht="11.25" customHeight="1">
      <c r="A252" s="619"/>
      <c r="B252" s="619"/>
      <c r="C252" s="619" t="e">
        <v>#NULL!</v>
      </c>
      <c r="D252" s="619"/>
      <c r="E252" s="619"/>
      <c r="F252" s="619"/>
      <c r="G252" s="621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</row>
    <row r="253" spans="1:26" ht="11.25" customHeight="1">
      <c r="A253" s="619"/>
      <c r="B253" s="619"/>
      <c r="C253" s="619" t="e">
        <v>#NULL!</v>
      </c>
      <c r="D253" s="619"/>
      <c r="E253" s="619"/>
      <c r="F253" s="619"/>
      <c r="G253" s="621"/>
      <c r="H253" s="619"/>
      <c r="I253" s="619"/>
      <c r="J253" s="619"/>
      <c r="K253" s="619"/>
      <c r="L253" s="619"/>
      <c r="M253" s="619"/>
      <c r="N253" s="619"/>
      <c r="O253" s="619"/>
      <c r="P253" s="619"/>
      <c r="Q253" s="619"/>
      <c r="R253" s="619"/>
      <c r="S253" s="619"/>
      <c r="T253" s="619"/>
      <c r="U253" s="619"/>
      <c r="V253" s="619"/>
      <c r="W253" s="619"/>
      <c r="X253" s="619"/>
      <c r="Y253" s="619"/>
      <c r="Z253" s="619"/>
    </row>
    <row r="254" spans="1:26" ht="11.25" customHeight="1">
      <c r="A254" s="619"/>
      <c r="B254" s="619"/>
      <c r="C254" s="619" t="e">
        <v>#NULL!</v>
      </c>
      <c r="D254" s="619"/>
      <c r="E254" s="619"/>
      <c r="F254" s="619"/>
      <c r="G254" s="621"/>
      <c r="H254" s="619"/>
      <c r="I254" s="619"/>
      <c r="J254" s="619"/>
      <c r="K254" s="619"/>
      <c r="L254" s="619"/>
      <c r="M254" s="619"/>
      <c r="N254" s="619"/>
      <c r="O254" s="619"/>
      <c r="P254" s="619"/>
      <c r="Q254" s="619"/>
      <c r="R254" s="619"/>
      <c r="S254" s="619"/>
      <c r="T254" s="619"/>
      <c r="U254" s="619"/>
      <c r="V254" s="619"/>
      <c r="W254" s="619"/>
      <c r="X254" s="619"/>
      <c r="Y254" s="619"/>
      <c r="Z254" s="619"/>
    </row>
    <row r="255" spans="1:26" ht="11.25" customHeight="1">
      <c r="A255" s="619"/>
      <c r="B255" s="619"/>
      <c r="C255" s="619" t="e">
        <v>#NULL!</v>
      </c>
      <c r="D255" s="619"/>
      <c r="E255" s="619"/>
      <c r="F255" s="619"/>
      <c r="G255" s="621"/>
      <c r="H255" s="619"/>
      <c r="I255" s="619"/>
      <c r="J255" s="619"/>
      <c r="K255" s="619"/>
      <c r="L255" s="619"/>
      <c r="M255" s="619"/>
      <c r="N255" s="619"/>
      <c r="O255" s="619"/>
      <c r="P255" s="619"/>
      <c r="Q255" s="619"/>
      <c r="R255" s="619"/>
      <c r="S255" s="619"/>
      <c r="T255" s="619"/>
      <c r="U255" s="619"/>
      <c r="V255" s="619"/>
      <c r="W255" s="619"/>
      <c r="X255" s="619"/>
      <c r="Y255" s="619"/>
      <c r="Z255" s="619"/>
    </row>
    <row r="256" spans="1:26" ht="11.25" customHeight="1">
      <c r="A256" s="619"/>
      <c r="B256" s="619"/>
      <c r="C256" s="619" t="e">
        <v>#NULL!</v>
      </c>
      <c r="D256" s="619"/>
      <c r="E256" s="619"/>
      <c r="F256" s="619"/>
      <c r="G256" s="621"/>
      <c r="H256" s="619"/>
      <c r="I256" s="619"/>
      <c r="J256" s="619"/>
      <c r="K256" s="619"/>
      <c r="L256" s="619"/>
      <c r="M256" s="619"/>
      <c r="N256" s="619"/>
      <c r="O256" s="619"/>
      <c r="P256" s="619"/>
      <c r="Q256" s="619"/>
      <c r="R256" s="619"/>
      <c r="S256" s="619"/>
      <c r="T256" s="619"/>
      <c r="U256" s="619"/>
      <c r="V256" s="619"/>
      <c r="W256" s="619"/>
      <c r="X256" s="619"/>
      <c r="Y256" s="619"/>
      <c r="Z256" s="619"/>
    </row>
    <row r="257" spans="1:26" ht="11.25" customHeight="1">
      <c r="A257" s="619"/>
      <c r="B257" s="619"/>
      <c r="C257" s="619" t="e">
        <v>#NULL!</v>
      </c>
      <c r="D257" s="619"/>
      <c r="E257" s="619"/>
      <c r="F257" s="619"/>
      <c r="G257" s="621"/>
      <c r="H257" s="619"/>
      <c r="I257" s="619"/>
      <c r="J257" s="619"/>
      <c r="K257" s="619"/>
      <c r="L257" s="619"/>
      <c r="M257" s="619"/>
      <c r="N257" s="619"/>
      <c r="O257" s="619"/>
      <c r="P257" s="619"/>
      <c r="Q257" s="619"/>
      <c r="R257" s="619"/>
      <c r="S257" s="619"/>
      <c r="T257" s="619"/>
      <c r="U257" s="619"/>
      <c r="V257" s="619"/>
      <c r="W257" s="619"/>
      <c r="X257" s="619"/>
      <c r="Y257" s="619"/>
      <c r="Z257" s="619"/>
    </row>
    <row r="258" spans="1:26" ht="11.25" customHeight="1">
      <c r="A258" s="619"/>
      <c r="B258" s="619"/>
      <c r="C258" s="619" t="e">
        <v>#NULL!</v>
      </c>
      <c r="D258" s="619"/>
      <c r="E258" s="619"/>
      <c r="F258" s="619"/>
      <c r="G258" s="621"/>
      <c r="H258" s="619"/>
      <c r="I258" s="619"/>
      <c r="J258" s="619"/>
      <c r="K258" s="619"/>
      <c r="L258" s="619"/>
      <c r="M258" s="619"/>
      <c r="N258" s="619"/>
      <c r="O258" s="619"/>
      <c r="P258" s="619"/>
      <c r="Q258" s="619"/>
      <c r="R258" s="619"/>
      <c r="S258" s="619"/>
      <c r="T258" s="619"/>
      <c r="U258" s="619"/>
      <c r="V258" s="619"/>
      <c r="W258" s="619"/>
      <c r="X258" s="619"/>
      <c r="Y258" s="619"/>
      <c r="Z258" s="619"/>
    </row>
    <row r="259" spans="1:26" ht="11.25" customHeight="1">
      <c r="A259" s="619"/>
      <c r="B259" s="619"/>
      <c r="C259" s="619" t="e">
        <v>#NULL!</v>
      </c>
      <c r="D259" s="619"/>
      <c r="E259" s="619"/>
      <c r="F259" s="619"/>
      <c r="G259" s="621"/>
      <c r="H259" s="619"/>
      <c r="I259" s="619"/>
      <c r="J259" s="619"/>
      <c r="K259" s="619"/>
      <c r="L259" s="619"/>
      <c r="M259" s="619"/>
      <c r="N259" s="619"/>
      <c r="O259" s="619"/>
      <c r="P259" s="619"/>
      <c r="Q259" s="619"/>
      <c r="R259" s="619"/>
      <c r="S259" s="619"/>
      <c r="T259" s="619"/>
      <c r="U259" s="619"/>
      <c r="V259" s="619"/>
      <c r="W259" s="619"/>
      <c r="X259" s="619"/>
      <c r="Y259" s="619"/>
      <c r="Z259" s="619"/>
    </row>
    <row r="260" spans="1:26" ht="11.25" customHeight="1">
      <c r="A260" s="619"/>
      <c r="B260" s="619"/>
      <c r="C260" s="619" t="e">
        <v>#NULL!</v>
      </c>
      <c r="D260" s="619"/>
      <c r="E260" s="619"/>
      <c r="F260" s="619"/>
      <c r="G260" s="621"/>
      <c r="H260" s="619"/>
      <c r="I260" s="619"/>
      <c r="J260" s="619"/>
      <c r="K260" s="619"/>
      <c r="L260" s="619"/>
      <c r="M260" s="619"/>
      <c r="N260" s="619"/>
      <c r="O260" s="619"/>
      <c r="P260" s="619"/>
      <c r="Q260" s="619"/>
      <c r="R260" s="619"/>
      <c r="S260" s="619"/>
      <c r="T260" s="619"/>
      <c r="U260" s="619"/>
      <c r="V260" s="619"/>
      <c r="W260" s="619"/>
      <c r="X260" s="619"/>
      <c r="Y260" s="619"/>
      <c r="Z260" s="619"/>
    </row>
    <row r="261" spans="1:26" ht="11.25" customHeight="1">
      <c r="A261" s="619"/>
      <c r="B261" s="619"/>
      <c r="C261" s="619" t="e">
        <v>#NULL!</v>
      </c>
      <c r="D261" s="619"/>
      <c r="E261" s="619"/>
      <c r="F261" s="619"/>
      <c r="G261" s="621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</row>
    <row r="262" spans="1:26" ht="11.25" customHeight="1">
      <c r="A262" s="619"/>
      <c r="B262" s="619"/>
      <c r="C262" s="619" t="e">
        <v>#NULL!</v>
      </c>
      <c r="D262" s="619"/>
      <c r="E262" s="619"/>
      <c r="F262" s="619"/>
      <c r="G262" s="621"/>
      <c r="H262" s="619"/>
      <c r="I262" s="619"/>
      <c r="J262" s="619"/>
      <c r="K262" s="619"/>
      <c r="L262" s="619"/>
      <c r="M262" s="619"/>
      <c r="N262" s="619"/>
      <c r="O262" s="619"/>
      <c r="P262" s="619"/>
      <c r="Q262" s="619"/>
      <c r="R262" s="619"/>
      <c r="S262" s="619"/>
      <c r="T262" s="619"/>
      <c r="U262" s="619"/>
      <c r="V262" s="619"/>
      <c r="W262" s="619"/>
      <c r="X262" s="619"/>
      <c r="Y262" s="619"/>
      <c r="Z262" s="619"/>
    </row>
    <row r="263" spans="1:26" ht="11.25" customHeight="1">
      <c r="A263" s="619"/>
      <c r="B263" s="619"/>
      <c r="C263" s="619" t="e">
        <v>#NULL!</v>
      </c>
      <c r="D263" s="619"/>
      <c r="E263" s="619"/>
      <c r="F263" s="619"/>
      <c r="G263" s="621"/>
      <c r="H263" s="619"/>
      <c r="I263" s="619"/>
      <c r="J263" s="619"/>
      <c r="K263" s="619"/>
      <c r="L263" s="619"/>
      <c r="M263" s="619"/>
      <c r="N263" s="619"/>
      <c r="O263" s="619"/>
      <c r="P263" s="619"/>
      <c r="Q263" s="619"/>
      <c r="R263" s="619"/>
      <c r="S263" s="619"/>
      <c r="T263" s="619"/>
      <c r="U263" s="619"/>
      <c r="V263" s="619"/>
      <c r="W263" s="619"/>
      <c r="X263" s="619"/>
      <c r="Y263" s="619"/>
      <c r="Z263" s="619"/>
    </row>
    <row r="264" spans="1:26" ht="11.25" customHeight="1">
      <c r="A264" s="619"/>
      <c r="B264" s="619"/>
      <c r="C264" s="619" t="e">
        <v>#NULL!</v>
      </c>
      <c r="D264" s="619"/>
      <c r="E264" s="619"/>
      <c r="F264" s="619"/>
      <c r="G264" s="621"/>
      <c r="H264" s="619"/>
      <c r="I264" s="619"/>
      <c r="J264" s="619"/>
      <c r="K264" s="619"/>
      <c r="L264" s="619"/>
      <c r="M264" s="619"/>
      <c r="N264" s="619"/>
      <c r="O264" s="619"/>
      <c r="P264" s="619"/>
      <c r="Q264" s="619"/>
      <c r="R264" s="619"/>
      <c r="S264" s="619"/>
      <c r="T264" s="619"/>
      <c r="U264" s="619"/>
      <c r="V264" s="619"/>
      <c r="W264" s="619"/>
      <c r="X264" s="619"/>
      <c r="Y264" s="619"/>
      <c r="Z264" s="619"/>
    </row>
    <row r="265" spans="1:26" ht="11.25" customHeight="1">
      <c r="A265" s="619"/>
      <c r="B265" s="619"/>
      <c r="C265" s="619" t="e">
        <v>#NULL!</v>
      </c>
      <c r="D265" s="619"/>
      <c r="E265" s="619"/>
      <c r="F265" s="619"/>
      <c r="G265" s="621"/>
      <c r="H265" s="619"/>
      <c r="I265" s="619"/>
      <c r="J265" s="619"/>
      <c r="K265" s="619"/>
      <c r="L265" s="619"/>
      <c r="M265" s="619"/>
      <c r="N265" s="619"/>
      <c r="O265" s="619"/>
      <c r="P265" s="619"/>
      <c r="Q265" s="619"/>
      <c r="R265" s="619"/>
      <c r="S265" s="619"/>
      <c r="T265" s="619"/>
      <c r="U265" s="619"/>
      <c r="V265" s="619"/>
      <c r="W265" s="619"/>
      <c r="X265" s="619"/>
      <c r="Y265" s="619"/>
      <c r="Z265" s="619"/>
    </row>
    <row r="266" spans="1:26" ht="11.25" customHeight="1">
      <c r="A266" s="619"/>
      <c r="B266" s="619"/>
      <c r="C266" s="619" t="e">
        <v>#NULL!</v>
      </c>
      <c r="D266" s="619"/>
      <c r="E266" s="619"/>
      <c r="F266" s="619"/>
      <c r="G266" s="621"/>
      <c r="H266" s="619"/>
      <c r="I266" s="619"/>
      <c r="J266" s="619"/>
      <c r="K266" s="619"/>
      <c r="L266" s="619"/>
      <c r="M266" s="619"/>
      <c r="N266" s="619"/>
      <c r="O266" s="619"/>
      <c r="P266" s="619"/>
      <c r="Q266" s="619"/>
      <c r="R266" s="619"/>
      <c r="S266" s="619"/>
      <c r="T266" s="619"/>
      <c r="U266" s="619"/>
      <c r="V266" s="619"/>
      <c r="W266" s="619"/>
      <c r="X266" s="619"/>
      <c r="Y266" s="619"/>
      <c r="Z266" s="619"/>
    </row>
    <row r="267" spans="1:26" ht="11.25" customHeight="1">
      <c r="A267" s="619"/>
      <c r="B267" s="619"/>
      <c r="C267" s="619" t="e">
        <v>#NULL!</v>
      </c>
      <c r="D267" s="619"/>
      <c r="E267" s="619"/>
      <c r="F267" s="619"/>
      <c r="G267" s="621"/>
      <c r="H267" s="619"/>
      <c r="I267" s="619"/>
      <c r="J267" s="619"/>
      <c r="K267" s="619"/>
      <c r="L267" s="619"/>
      <c r="M267" s="619"/>
      <c r="N267" s="619"/>
      <c r="O267" s="619"/>
      <c r="P267" s="619"/>
      <c r="Q267" s="619"/>
      <c r="R267" s="619"/>
      <c r="S267" s="619"/>
      <c r="T267" s="619"/>
      <c r="U267" s="619"/>
      <c r="V267" s="619"/>
      <c r="W267" s="619"/>
      <c r="X267" s="619"/>
      <c r="Y267" s="619"/>
      <c r="Z267" s="619"/>
    </row>
    <row r="268" spans="1:26" ht="11.25" customHeight="1">
      <c r="A268" s="619"/>
      <c r="B268" s="619"/>
      <c r="C268" s="619" t="e">
        <v>#NULL!</v>
      </c>
      <c r="D268" s="619"/>
      <c r="E268" s="619"/>
      <c r="F268" s="619"/>
      <c r="G268" s="621"/>
      <c r="H268" s="619"/>
      <c r="I268" s="619"/>
      <c r="J268" s="619"/>
      <c r="K268" s="619"/>
      <c r="L268" s="619"/>
      <c r="M268" s="619"/>
      <c r="N268" s="619"/>
      <c r="O268" s="619"/>
      <c r="P268" s="619"/>
      <c r="Q268" s="619"/>
      <c r="R268" s="619"/>
      <c r="S268" s="619"/>
      <c r="T268" s="619"/>
      <c r="U268" s="619"/>
      <c r="V268" s="619"/>
      <c r="W268" s="619"/>
      <c r="X268" s="619"/>
      <c r="Y268" s="619"/>
      <c r="Z268" s="619"/>
    </row>
    <row r="269" spans="1:26" ht="11.25" customHeight="1">
      <c r="A269" s="619"/>
      <c r="B269" s="619"/>
      <c r="C269" s="619" t="e">
        <v>#NULL!</v>
      </c>
      <c r="D269" s="619"/>
      <c r="E269" s="619"/>
      <c r="F269" s="619"/>
      <c r="G269" s="621"/>
      <c r="H269" s="619"/>
      <c r="I269" s="619"/>
      <c r="J269" s="619"/>
      <c r="K269" s="619"/>
      <c r="L269" s="619"/>
      <c r="M269" s="619"/>
      <c r="N269" s="619"/>
      <c r="O269" s="619"/>
      <c r="P269" s="619"/>
      <c r="Q269" s="619"/>
      <c r="R269" s="619"/>
      <c r="S269" s="619"/>
      <c r="T269" s="619"/>
      <c r="U269" s="619"/>
      <c r="V269" s="619"/>
      <c r="W269" s="619"/>
      <c r="X269" s="619"/>
      <c r="Y269" s="619"/>
      <c r="Z269" s="619"/>
    </row>
    <row r="270" spans="1:26" ht="11.25" customHeight="1">
      <c r="A270" s="619"/>
      <c r="B270" s="619"/>
      <c r="C270" s="619" t="e">
        <v>#NULL!</v>
      </c>
      <c r="D270" s="619"/>
      <c r="E270" s="619"/>
      <c r="F270" s="619"/>
      <c r="G270" s="621"/>
      <c r="H270" s="619"/>
      <c r="I270" s="619"/>
      <c r="J270" s="619"/>
      <c r="K270" s="619"/>
      <c r="L270" s="619"/>
      <c r="M270" s="619"/>
      <c r="N270" s="619"/>
      <c r="O270" s="619"/>
      <c r="P270" s="619"/>
      <c r="Q270" s="619"/>
      <c r="R270" s="619"/>
      <c r="S270" s="619"/>
      <c r="T270" s="619"/>
      <c r="U270" s="619"/>
      <c r="V270" s="619"/>
      <c r="W270" s="619"/>
      <c r="X270" s="619"/>
      <c r="Y270" s="619"/>
      <c r="Z270" s="619"/>
    </row>
    <row r="271" spans="1:26" ht="11.25" customHeight="1">
      <c r="A271" s="619"/>
      <c r="B271" s="619"/>
      <c r="C271" s="619" t="e">
        <v>#NULL!</v>
      </c>
      <c r="D271" s="619"/>
      <c r="E271" s="619"/>
      <c r="F271" s="619"/>
      <c r="G271" s="621"/>
      <c r="H271" s="619"/>
      <c r="I271" s="619"/>
      <c r="J271" s="619"/>
      <c r="K271" s="619"/>
      <c r="L271" s="619"/>
      <c r="M271" s="619"/>
      <c r="N271" s="619"/>
      <c r="O271" s="619"/>
      <c r="P271" s="619"/>
      <c r="Q271" s="619"/>
      <c r="R271" s="619"/>
      <c r="S271" s="619"/>
      <c r="T271" s="619"/>
      <c r="U271" s="619"/>
      <c r="V271" s="619"/>
      <c r="W271" s="619"/>
      <c r="X271" s="619"/>
      <c r="Y271" s="619"/>
      <c r="Z271" s="619"/>
    </row>
    <row r="272" spans="1:26" ht="11.25" customHeight="1">
      <c r="A272" s="619"/>
      <c r="B272" s="619"/>
      <c r="C272" s="619" t="e">
        <v>#NULL!</v>
      </c>
      <c r="D272" s="619"/>
      <c r="E272" s="619"/>
      <c r="F272" s="619"/>
      <c r="G272" s="621"/>
      <c r="H272" s="619"/>
      <c r="I272" s="619"/>
      <c r="J272" s="619"/>
      <c r="K272" s="619"/>
      <c r="L272" s="619"/>
      <c r="M272" s="619"/>
      <c r="N272" s="619"/>
      <c r="O272" s="619"/>
      <c r="P272" s="619"/>
      <c r="Q272" s="619"/>
      <c r="R272" s="619"/>
      <c r="S272" s="619"/>
      <c r="T272" s="619"/>
      <c r="U272" s="619"/>
      <c r="V272" s="619"/>
      <c r="W272" s="619"/>
      <c r="X272" s="619"/>
      <c r="Y272" s="619"/>
      <c r="Z272" s="619"/>
    </row>
    <row r="273" spans="1:26" ht="11.25" customHeight="1">
      <c r="A273" s="619"/>
      <c r="B273" s="619"/>
      <c r="C273" s="619" t="e">
        <v>#NULL!</v>
      </c>
      <c r="D273" s="619"/>
      <c r="E273" s="619"/>
      <c r="F273" s="619"/>
      <c r="G273" s="621"/>
      <c r="H273" s="619"/>
      <c r="I273" s="619"/>
      <c r="J273" s="619"/>
      <c r="K273" s="619"/>
      <c r="L273" s="619"/>
      <c r="M273" s="619"/>
      <c r="N273" s="619"/>
      <c r="O273" s="619"/>
      <c r="P273" s="619"/>
      <c r="Q273" s="619"/>
      <c r="R273" s="619"/>
      <c r="S273" s="619"/>
      <c r="T273" s="619"/>
      <c r="U273" s="619"/>
      <c r="V273" s="619"/>
      <c r="W273" s="619"/>
      <c r="X273" s="619"/>
      <c r="Y273" s="619"/>
      <c r="Z273" s="619"/>
    </row>
    <row r="274" spans="1:26" ht="11.25" customHeight="1">
      <c r="A274" s="619"/>
      <c r="B274" s="619"/>
      <c r="C274" s="619" t="e">
        <v>#NULL!</v>
      </c>
      <c r="D274" s="619"/>
      <c r="E274" s="619"/>
      <c r="F274" s="619"/>
      <c r="G274" s="621"/>
      <c r="H274" s="619"/>
      <c r="I274" s="619"/>
      <c r="J274" s="619"/>
      <c r="K274" s="619"/>
      <c r="L274" s="619"/>
      <c r="M274" s="619"/>
      <c r="N274" s="619"/>
      <c r="O274" s="619"/>
      <c r="P274" s="619"/>
      <c r="Q274" s="619"/>
      <c r="R274" s="619"/>
      <c r="S274" s="619"/>
      <c r="T274" s="619"/>
      <c r="U274" s="619"/>
      <c r="V274" s="619"/>
      <c r="W274" s="619"/>
      <c r="X274" s="619"/>
      <c r="Y274" s="619"/>
      <c r="Z274" s="619"/>
    </row>
    <row r="275" spans="1:26" ht="11.25" customHeight="1">
      <c r="A275" s="619"/>
      <c r="B275" s="619"/>
      <c r="C275" s="619" t="e">
        <v>#NULL!</v>
      </c>
      <c r="D275" s="619"/>
      <c r="E275" s="619"/>
      <c r="F275" s="619"/>
      <c r="G275" s="621"/>
      <c r="H275" s="619"/>
      <c r="I275" s="619"/>
      <c r="J275" s="619"/>
      <c r="K275" s="619"/>
      <c r="L275" s="619"/>
      <c r="M275" s="619"/>
      <c r="N275" s="619"/>
      <c r="O275" s="619"/>
      <c r="P275" s="619"/>
      <c r="Q275" s="619"/>
      <c r="R275" s="619"/>
      <c r="S275" s="619"/>
      <c r="T275" s="619"/>
      <c r="U275" s="619"/>
      <c r="V275" s="619"/>
      <c r="W275" s="619"/>
      <c r="X275" s="619"/>
      <c r="Y275" s="619"/>
      <c r="Z275" s="619"/>
    </row>
    <row r="276" spans="1:26" ht="11.25" customHeight="1">
      <c r="A276" s="619"/>
      <c r="B276" s="619"/>
      <c r="C276" s="619" t="e">
        <v>#NULL!</v>
      </c>
      <c r="D276" s="619"/>
      <c r="E276" s="619"/>
      <c r="F276" s="619"/>
      <c r="G276" s="621"/>
      <c r="H276" s="619"/>
      <c r="I276" s="619"/>
      <c r="J276" s="619"/>
      <c r="K276" s="619"/>
      <c r="L276" s="619"/>
      <c r="M276" s="619"/>
      <c r="N276" s="619"/>
      <c r="O276" s="619"/>
      <c r="P276" s="619"/>
      <c r="Q276" s="619"/>
      <c r="R276" s="619"/>
      <c r="S276" s="619"/>
      <c r="T276" s="619"/>
      <c r="U276" s="619"/>
      <c r="V276" s="619"/>
      <c r="W276" s="619"/>
      <c r="X276" s="619"/>
      <c r="Y276" s="619"/>
      <c r="Z276" s="619"/>
    </row>
    <row r="277" spans="1:26" ht="11.25" customHeight="1">
      <c r="A277" s="619"/>
      <c r="B277" s="619"/>
      <c r="C277" s="619" t="e">
        <v>#NULL!</v>
      </c>
      <c r="D277" s="619"/>
      <c r="E277" s="619"/>
      <c r="F277" s="619"/>
      <c r="G277" s="621"/>
      <c r="H277" s="619"/>
      <c r="I277" s="619"/>
      <c r="J277" s="619"/>
      <c r="K277" s="619"/>
      <c r="L277" s="619"/>
      <c r="M277" s="619"/>
      <c r="N277" s="619"/>
      <c r="O277" s="619"/>
      <c r="P277" s="619"/>
      <c r="Q277" s="619"/>
      <c r="R277" s="619"/>
      <c r="S277" s="619"/>
      <c r="T277" s="619"/>
      <c r="U277" s="619"/>
      <c r="V277" s="619"/>
      <c r="W277" s="619"/>
      <c r="X277" s="619"/>
      <c r="Y277" s="619"/>
      <c r="Z277" s="619"/>
    </row>
    <row r="278" spans="1:26" ht="11.25" customHeight="1">
      <c r="A278" s="619"/>
      <c r="B278" s="619"/>
      <c r="C278" s="619" t="e">
        <v>#NULL!</v>
      </c>
      <c r="D278" s="619"/>
      <c r="E278" s="619"/>
      <c r="F278" s="619"/>
      <c r="G278" s="621"/>
      <c r="H278" s="619"/>
      <c r="I278" s="619"/>
      <c r="J278" s="619"/>
      <c r="K278" s="619"/>
      <c r="L278" s="619"/>
      <c r="M278" s="619"/>
      <c r="N278" s="619"/>
      <c r="O278" s="619"/>
      <c r="P278" s="619"/>
      <c r="Q278" s="619"/>
      <c r="R278" s="619"/>
      <c r="S278" s="619"/>
      <c r="T278" s="619"/>
      <c r="U278" s="619"/>
      <c r="V278" s="619"/>
      <c r="W278" s="619"/>
      <c r="X278" s="619"/>
      <c r="Y278" s="619"/>
      <c r="Z278" s="619"/>
    </row>
    <row r="279" spans="1:26" ht="11.25" customHeight="1">
      <c r="A279" s="619"/>
      <c r="B279" s="619"/>
      <c r="C279" s="619" t="e">
        <v>#NULL!</v>
      </c>
      <c r="D279" s="619"/>
      <c r="E279" s="619"/>
      <c r="F279" s="619"/>
      <c r="G279" s="621"/>
      <c r="H279" s="619"/>
      <c r="I279" s="619"/>
      <c r="J279" s="619"/>
      <c r="K279" s="619"/>
      <c r="L279" s="619"/>
      <c r="M279" s="619"/>
      <c r="N279" s="619"/>
      <c r="O279" s="619"/>
      <c r="P279" s="619"/>
      <c r="Q279" s="619"/>
      <c r="R279" s="619"/>
      <c r="S279" s="619"/>
      <c r="T279" s="619"/>
      <c r="U279" s="619"/>
      <c r="V279" s="619"/>
      <c r="W279" s="619"/>
      <c r="X279" s="619"/>
      <c r="Y279" s="619"/>
      <c r="Z279" s="619"/>
    </row>
    <row r="280" spans="1:26" ht="11.25" customHeight="1">
      <c r="A280" s="619"/>
      <c r="B280" s="619"/>
      <c r="C280" s="619" t="e">
        <v>#NULL!</v>
      </c>
      <c r="D280" s="619"/>
      <c r="E280" s="619"/>
      <c r="F280" s="619"/>
      <c r="G280" s="621"/>
      <c r="H280" s="619"/>
      <c r="I280" s="619"/>
      <c r="J280" s="619"/>
      <c r="K280" s="619"/>
      <c r="L280" s="619"/>
      <c r="M280" s="619"/>
      <c r="N280" s="619"/>
      <c r="O280" s="619"/>
      <c r="P280" s="619"/>
      <c r="Q280" s="619"/>
      <c r="R280" s="619"/>
      <c r="S280" s="619"/>
      <c r="T280" s="619"/>
      <c r="U280" s="619"/>
      <c r="V280" s="619"/>
      <c r="W280" s="619"/>
      <c r="X280" s="619"/>
      <c r="Y280" s="619"/>
      <c r="Z280" s="619"/>
    </row>
    <row r="281" spans="1:26" ht="11.25" customHeight="1">
      <c r="A281" s="619"/>
      <c r="B281" s="619"/>
      <c r="C281" s="619" t="e">
        <v>#NULL!</v>
      </c>
      <c r="D281" s="619"/>
      <c r="E281" s="619"/>
      <c r="F281" s="619"/>
      <c r="G281" s="621"/>
      <c r="H281" s="619"/>
      <c r="I281" s="619"/>
      <c r="J281" s="619"/>
      <c r="K281" s="619"/>
      <c r="L281" s="619"/>
      <c r="M281" s="619"/>
      <c r="N281" s="619"/>
      <c r="O281" s="619"/>
      <c r="P281" s="619"/>
      <c r="Q281" s="619"/>
      <c r="R281" s="619"/>
      <c r="S281" s="619"/>
      <c r="T281" s="619"/>
      <c r="U281" s="619"/>
      <c r="V281" s="619"/>
      <c r="W281" s="619"/>
      <c r="X281" s="619"/>
      <c r="Y281" s="619"/>
      <c r="Z281" s="619"/>
    </row>
    <row r="282" spans="1:26" ht="11.25" customHeight="1">
      <c r="A282" s="619"/>
      <c r="B282" s="619"/>
      <c r="C282" s="619" t="e">
        <v>#NULL!</v>
      </c>
      <c r="D282" s="619"/>
      <c r="E282" s="619"/>
      <c r="F282" s="619"/>
      <c r="G282" s="621"/>
      <c r="H282" s="619"/>
      <c r="I282" s="619"/>
      <c r="J282" s="619"/>
      <c r="K282" s="619"/>
      <c r="L282" s="619"/>
      <c r="M282" s="619"/>
      <c r="N282" s="619"/>
      <c r="O282" s="619"/>
      <c r="P282" s="619"/>
      <c r="Q282" s="619"/>
      <c r="R282" s="619"/>
      <c r="S282" s="619"/>
      <c r="T282" s="619"/>
      <c r="U282" s="619"/>
      <c r="V282" s="619"/>
      <c r="W282" s="619"/>
      <c r="X282" s="619"/>
      <c r="Y282" s="619"/>
      <c r="Z282" s="619"/>
    </row>
    <row r="283" spans="1:26" ht="11.25" customHeight="1">
      <c r="A283" s="619"/>
      <c r="B283" s="619"/>
      <c r="C283" s="619" t="e">
        <v>#NULL!</v>
      </c>
      <c r="D283" s="619"/>
      <c r="E283" s="619"/>
      <c r="F283" s="619"/>
      <c r="G283" s="621"/>
      <c r="H283" s="619"/>
      <c r="I283" s="619"/>
      <c r="J283" s="619"/>
      <c r="K283" s="619"/>
      <c r="L283" s="619"/>
      <c r="M283" s="619"/>
      <c r="N283" s="619"/>
      <c r="O283" s="619"/>
      <c r="P283" s="619"/>
      <c r="Q283" s="619"/>
      <c r="R283" s="619"/>
      <c r="S283" s="619"/>
      <c r="T283" s="619"/>
      <c r="U283" s="619"/>
      <c r="V283" s="619"/>
      <c r="W283" s="619"/>
      <c r="X283" s="619"/>
      <c r="Y283" s="619"/>
      <c r="Z283" s="619"/>
    </row>
    <row r="284" spans="1:26" ht="11.25" customHeight="1">
      <c r="A284" s="619"/>
      <c r="B284" s="619"/>
      <c r="C284" s="619" t="e">
        <v>#NULL!</v>
      </c>
      <c r="D284" s="619"/>
      <c r="E284" s="619"/>
      <c r="F284" s="619"/>
      <c r="G284" s="621"/>
      <c r="H284" s="619"/>
      <c r="I284" s="619"/>
      <c r="J284" s="619"/>
      <c r="K284" s="619"/>
      <c r="L284" s="619"/>
      <c r="M284" s="619"/>
      <c r="N284" s="619"/>
      <c r="O284" s="619"/>
      <c r="P284" s="619"/>
      <c r="Q284" s="619"/>
      <c r="R284" s="619"/>
      <c r="S284" s="619"/>
      <c r="T284" s="619"/>
      <c r="U284" s="619"/>
      <c r="V284" s="619"/>
      <c r="W284" s="619"/>
      <c r="X284" s="619"/>
      <c r="Y284" s="619"/>
      <c r="Z284" s="619"/>
    </row>
    <row r="285" spans="1:26" ht="11.25" customHeight="1">
      <c r="A285" s="619"/>
      <c r="B285" s="619"/>
      <c r="C285" s="619" t="e">
        <v>#NULL!</v>
      </c>
      <c r="D285" s="619"/>
      <c r="E285" s="619"/>
      <c r="F285" s="619"/>
      <c r="G285" s="621"/>
      <c r="H285" s="619"/>
      <c r="I285" s="619"/>
      <c r="J285" s="619"/>
      <c r="K285" s="619"/>
      <c r="L285" s="619"/>
      <c r="M285" s="619"/>
      <c r="N285" s="619"/>
      <c r="O285" s="619"/>
      <c r="P285" s="619"/>
      <c r="Q285" s="619"/>
      <c r="R285" s="619"/>
      <c r="S285" s="619"/>
      <c r="T285" s="619"/>
      <c r="U285" s="619"/>
      <c r="V285" s="619"/>
      <c r="W285" s="619"/>
      <c r="X285" s="619"/>
      <c r="Y285" s="619"/>
      <c r="Z285" s="619"/>
    </row>
    <row r="286" spans="1:26" ht="11.25" customHeight="1">
      <c r="A286" s="619"/>
      <c r="B286" s="619"/>
      <c r="C286" s="619" t="e">
        <v>#NULL!</v>
      </c>
      <c r="D286" s="619"/>
      <c r="E286" s="619"/>
      <c r="F286" s="619"/>
      <c r="G286" s="621"/>
      <c r="H286" s="619"/>
      <c r="I286" s="619"/>
      <c r="J286" s="619"/>
      <c r="K286" s="619"/>
      <c r="L286" s="619"/>
      <c r="M286" s="619"/>
      <c r="N286" s="619"/>
      <c r="O286" s="619"/>
      <c r="P286" s="619"/>
      <c r="Q286" s="619"/>
      <c r="R286" s="619"/>
      <c r="S286" s="619"/>
      <c r="T286" s="619"/>
      <c r="U286" s="619"/>
      <c r="V286" s="619"/>
      <c r="W286" s="619"/>
      <c r="X286" s="619"/>
      <c r="Y286" s="619"/>
      <c r="Z286" s="619"/>
    </row>
    <row r="287" spans="1:26" ht="11.25" customHeight="1">
      <c r="A287" s="619"/>
      <c r="B287" s="619"/>
      <c r="C287" s="619" t="e">
        <v>#NULL!</v>
      </c>
      <c r="D287" s="619"/>
      <c r="E287" s="619"/>
      <c r="F287" s="619"/>
      <c r="G287" s="621"/>
      <c r="H287" s="619"/>
      <c r="I287" s="619"/>
      <c r="J287" s="619"/>
      <c r="K287" s="619"/>
      <c r="L287" s="619"/>
      <c r="M287" s="619"/>
      <c r="N287" s="619"/>
      <c r="O287" s="619"/>
      <c r="P287" s="619"/>
      <c r="Q287" s="619"/>
      <c r="R287" s="619"/>
      <c r="S287" s="619"/>
      <c r="T287" s="619"/>
      <c r="U287" s="619"/>
      <c r="V287" s="619"/>
      <c r="W287" s="619"/>
      <c r="X287" s="619"/>
      <c r="Y287" s="619"/>
      <c r="Z287" s="619"/>
    </row>
    <row r="288" spans="1:26" ht="11.25" customHeight="1">
      <c r="A288" s="619"/>
      <c r="B288" s="619"/>
      <c r="C288" s="619" t="e">
        <v>#NULL!</v>
      </c>
      <c r="D288" s="619"/>
      <c r="E288" s="619"/>
      <c r="F288" s="619"/>
      <c r="G288" s="621"/>
      <c r="H288" s="619"/>
      <c r="I288" s="619"/>
      <c r="J288" s="619"/>
      <c r="K288" s="619"/>
      <c r="L288" s="619"/>
      <c r="M288" s="619"/>
      <c r="N288" s="619"/>
      <c r="O288" s="619"/>
      <c r="P288" s="619"/>
      <c r="Q288" s="619"/>
      <c r="R288" s="619"/>
      <c r="S288" s="619"/>
      <c r="T288" s="619"/>
      <c r="U288" s="619"/>
      <c r="V288" s="619"/>
      <c r="W288" s="619"/>
      <c r="X288" s="619"/>
      <c r="Y288" s="619"/>
      <c r="Z288" s="619"/>
    </row>
    <row r="289" spans="1:26" ht="11.25" customHeight="1">
      <c r="A289" s="619"/>
      <c r="B289" s="619"/>
      <c r="C289" s="619" t="e">
        <v>#NULL!</v>
      </c>
      <c r="D289" s="619"/>
      <c r="E289" s="619"/>
      <c r="F289" s="619"/>
      <c r="G289" s="621"/>
      <c r="H289" s="619"/>
      <c r="I289" s="619"/>
      <c r="J289" s="619"/>
      <c r="K289" s="619"/>
      <c r="L289" s="619"/>
      <c r="M289" s="619"/>
      <c r="N289" s="619"/>
      <c r="O289" s="619"/>
      <c r="P289" s="619"/>
      <c r="Q289" s="619"/>
      <c r="R289" s="619"/>
      <c r="S289" s="619"/>
      <c r="T289" s="619"/>
      <c r="U289" s="619"/>
      <c r="V289" s="619"/>
      <c r="W289" s="619"/>
      <c r="X289" s="619"/>
      <c r="Y289" s="619"/>
      <c r="Z289" s="619"/>
    </row>
    <row r="290" spans="1:26" ht="11.25" customHeight="1">
      <c r="A290" s="619"/>
      <c r="B290" s="619"/>
      <c r="C290" s="619" t="e">
        <v>#NULL!</v>
      </c>
      <c r="D290" s="619"/>
      <c r="E290" s="619"/>
      <c r="F290" s="619"/>
      <c r="G290" s="621"/>
      <c r="H290" s="619"/>
      <c r="I290" s="619"/>
      <c r="J290" s="619"/>
      <c r="K290" s="619"/>
      <c r="L290" s="619"/>
      <c r="M290" s="619"/>
      <c r="N290" s="619"/>
      <c r="O290" s="619"/>
      <c r="P290" s="619"/>
      <c r="Q290" s="619"/>
      <c r="R290" s="619"/>
      <c r="S290" s="619"/>
      <c r="T290" s="619"/>
      <c r="U290" s="619"/>
      <c r="V290" s="619"/>
      <c r="W290" s="619"/>
      <c r="X290" s="619"/>
      <c r="Y290" s="619"/>
      <c r="Z290" s="619"/>
    </row>
    <row r="291" spans="1:26" ht="11.25" customHeight="1">
      <c r="A291" s="619"/>
      <c r="B291" s="619"/>
      <c r="C291" s="619" t="e">
        <v>#NULL!</v>
      </c>
      <c r="D291" s="619"/>
      <c r="E291" s="619"/>
      <c r="F291" s="619"/>
      <c r="G291" s="621"/>
      <c r="H291" s="619"/>
      <c r="I291" s="619"/>
      <c r="J291" s="619"/>
      <c r="K291" s="619"/>
      <c r="L291" s="619"/>
      <c r="M291" s="619"/>
      <c r="N291" s="619"/>
      <c r="O291" s="619"/>
      <c r="P291" s="619"/>
      <c r="Q291" s="619"/>
      <c r="R291" s="619"/>
      <c r="S291" s="619"/>
      <c r="T291" s="619"/>
      <c r="U291" s="619"/>
      <c r="V291" s="619"/>
      <c r="W291" s="619"/>
      <c r="X291" s="619"/>
      <c r="Y291" s="619"/>
      <c r="Z291" s="619"/>
    </row>
    <row r="292" spans="1:26" ht="11.25" customHeight="1">
      <c r="A292" s="619"/>
      <c r="B292" s="619"/>
      <c r="C292" s="619" t="e">
        <v>#NULL!</v>
      </c>
      <c r="D292" s="619"/>
      <c r="E292" s="619"/>
      <c r="F292" s="619"/>
      <c r="G292" s="621"/>
      <c r="H292" s="619"/>
      <c r="I292" s="619"/>
      <c r="J292" s="619"/>
      <c r="K292" s="619"/>
      <c r="L292" s="619"/>
      <c r="M292" s="619"/>
      <c r="N292" s="619"/>
      <c r="O292" s="619"/>
      <c r="P292" s="619"/>
      <c r="Q292" s="619"/>
      <c r="R292" s="619"/>
      <c r="S292" s="619"/>
      <c r="T292" s="619"/>
      <c r="U292" s="619"/>
      <c r="V292" s="619"/>
      <c r="W292" s="619"/>
      <c r="X292" s="619"/>
      <c r="Y292" s="619"/>
      <c r="Z292" s="619"/>
    </row>
    <row r="293" spans="1:26" ht="11.25" customHeight="1">
      <c r="A293" s="619"/>
      <c r="B293" s="619"/>
      <c r="C293" s="619" t="e">
        <v>#NULL!</v>
      </c>
      <c r="D293" s="619"/>
      <c r="E293" s="619"/>
      <c r="F293" s="619"/>
      <c r="G293" s="621"/>
      <c r="H293" s="619"/>
      <c r="I293" s="619"/>
      <c r="J293" s="619"/>
      <c r="K293" s="619"/>
      <c r="L293" s="619"/>
      <c r="M293" s="619"/>
      <c r="N293" s="619"/>
      <c r="O293" s="619"/>
      <c r="P293" s="619"/>
      <c r="Q293" s="619"/>
      <c r="R293" s="619"/>
      <c r="S293" s="619"/>
      <c r="T293" s="619"/>
      <c r="U293" s="619"/>
      <c r="V293" s="619"/>
      <c r="W293" s="619"/>
      <c r="X293" s="619"/>
      <c r="Y293" s="619"/>
      <c r="Z293" s="619"/>
    </row>
    <row r="294" spans="1:26" ht="11.25" customHeight="1">
      <c r="A294" s="619"/>
      <c r="B294" s="619"/>
      <c r="C294" s="619" t="e">
        <v>#NULL!</v>
      </c>
      <c r="D294" s="619"/>
      <c r="E294" s="619"/>
      <c r="F294" s="619"/>
      <c r="G294" s="621"/>
      <c r="H294" s="619"/>
      <c r="I294" s="619"/>
      <c r="J294" s="619"/>
      <c r="K294" s="619"/>
      <c r="L294" s="619"/>
      <c r="M294" s="619"/>
      <c r="N294" s="619"/>
      <c r="O294" s="619"/>
      <c r="P294" s="619"/>
      <c r="Q294" s="619"/>
      <c r="R294" s="619"/>
      <c r="S294" s="619"/>
      <c r="T294" s="619"/>
      <c r="U294" s="619"/>
      <c r="V294" s="619"/>
      <c r="W294" s="619"/>
      <c r="X294" s="619"/>
      <c r="Y294" s="619"/>
      <c r="Z294" s="619"/>
    </row>
    <row r="295" spans="1:26" ht="11.25" customHeight="1">
      <c r="A295" s="619"/>
      <c r="B295" s="619"/>
      <c r="C295" s="619" t="e">
        <v>#NULL!</v>
      </c>
      <c r="D295" s="619"/>
      <c r="E295" s="619"/>
      <c r="F295" s="619"/>
      <c r="G295" s="621"/>
      <c r="H295" s="619"/>
      <c r="I295" s="619"/>
      <c r="J295" s="619"/>
      <c r="K295" s="619"/>
      <c r="L295" s="619"/>
      <c r="M295" s="619"/>
      <c r="N295" s="619"/>
      <c r="O295" s="619"/>
      <c r="P295" s="619"/>
      <c r="Q295" s="619"/>
      <c r="R295" s="619"/>
      <c r="S295" s="619"/>
      <c r="T295" s="619"/>
      <c r="U295" s="619"/>
      <c r="V295" s="619"/>
      <c r="W295" s="619"/>
      <c r="X295" s="619"/>
      <c r="Y295" s="619"/>
      <c r="Z295" s="619"/>
    </row>
    <row r="296" spans="1:26" ht="11.25" customHeight="1">
      <c r="A296" s="619"/>
      <c r="B296" s="619"/>
      <c r="C296" s="619" t="e">
        <v>#NULL!</v>
      </c>
      <c r="D296" s="619"/>
      <c r="E296" s="619"/>
      <c r="F296" s="619"/>
      <c r="G296" s="621"/>
      <c r="H296" s="619"/>
      <c r="I296" s="619"/>
      <c r="J296" s="619"/>
      <c r="K296" s="619"/>
      <c r="L296" s="619"/>
      <c r="M296" s="619"/>
      <c r="N296" s="619"/>
      <c r="O296" s="619"/>
      <c r="P296" s="619"/>
      <c r="Q296" s="619"/>
      <c r="R296" s="619"/>
      <c r="S296" s="619"/>
      <c r="T296" s="619"/>
      <c r="U296" s="619"/>
      <c r="V296" s="619"/>
      <c r="W296" s="619"/>
      <c r="X296" s="619"/>
      <c r="Y296" s="619"/>
      <c r="Z296" s="619"/>
    </row>
    <row r="297" spans="1:26" ht="11.25" customHeight="1">
      <c r="A297" s="619"/>
      <c r="B297" s="619"/>
      <c r="C297" s="619" t="e">
        <v>#NULL!</v>
      </c>
      <c r="D297" s="619"/>
      <c r="E297" s="619"/>
      <c r="F297" s="619"/>
      <c r="G297" s="621"/>
      <c r="H297" s="619"/>
      <c r="I297" s="619"/>
      <c r="J297" s="619"/>
      <c r="K297" s="619"/>
      <c r="L297" s="619"/>
      <c r="M297" s="619"/>
      <c r="N297" s="619"/>
      <c r="O297" s="619"/>
      <c r="P297" s="619"/>
      <c r="Q297" s="619"/>
      <c r="R297" s="619"/>
      <c r="S297" s="619"/>
      <c r="T297" s="619"/>
      <c r="U297" s="619"/>
      <c r="V297" s="619"/>
      <c r="W297" s="619"/>
      <c r="X297" s="619"/>
      <c r="Y297" s="619"/>
      <c r="Z297" s="619"/>
    </row>
    <row r="298" spans="1:26" ht="11.25" customHeight="1">
      <c r="A298" s="619"/>
      <c r="B298" s="619"/>
      <c r="C298" s="619" t="e">
        <v>#NULL!</v>
      </c>
      <c r="D298" s="619"/>
      <c r="E298" s="619"/>
      <c r="F298" s="619"/>
      <c r="G298" s="621"/>
      <c r="H298" s="619"/>
      <c r="I298" s="619"/>
      <c r="J298" s="619"/>
      <c r="K298" s="619"/>
      <c r="L298" s="619"/>
      <c r="M298" s="619"/>
      <c r="N298" s="619"/>
      <c r="O298" s="619"/>
      <c r="P298" s="619"/>
      <c r="Q298" s="619"/>
      <c r="R298" s="619"/>
      <c r="S298" s="619"/>
      <c r="T298" s="619"/>
      <c r="U298" s="619"/>
      <c r="V298" s="619"/>
      <c r="W298" s="619"/>
      <c r="X298" s="619"/>
      <c r="Y298" s="619"/>
      <c r="Z298" s="619"/>
    </row>
    <row r="299" spans="1:26" ht="11.25" customHeight="1">
      <c r="A299" s="619"/>
      <c r="B299" s="619"/>
      <c r="C299" s="619" t="e">
        <v>#NULL!</v>
      </c>
      <c r="D299" s="619"/>
      <c r="E299" s="619"/>
      <c r="F299" s="619"/>
      <c r="G299" s="621"/>
      <c r="H299" s="619"/>
      <c r="I299" s="619"/>
      <c r="J299" s="619"/>
      <c r="K299" s="619"/>
      <c r="L299" s="619"/>
      <c r="M299" s="619"/>
      <c r="N299" s="619"/>
      <c r="O299" s="619"/>
      <c r="P299" s="619"/>
      <c r="Q299" s="619"/>
      <c r="R299" s="619"/>
      <c r="S299" s="619"/>
      <c r="T299" s="619"/>
      <c r="U299" s="619"/>
      <c r="V299" s="619"/>
      <c r="W299" s="619"/>
      <c r="X299" s="619"/>
      <c r="Y299" s="619"/>
      <c r="Z299" s="619"/>
    </row>
    <row r="300" spans="1:26" ht="11.25" customHeight="1">
      <c r="A300" s="619"/>
      <c r="B300" s="619"/>
      <c r="C300" s="619" t="e">
        <v>#NULL!</v>
      </c>
      <c r="D300" s="619"/>
      <c r="E300" s="619"/>
      <c r="F300" s="619"/>
      <c r="G300" s="621"/>
      <c r="H300" s="619"/>
      <c r="I300" s="619"/>
      <c r="J300" s="619"/>
      <c r="K300" s="619"/>
      <c r="L300" s="619"/>
      <c r="M300" s="619"/>
      <c r="N300" s="619"/>
      <c r="O300" s="619"/>
      <c r="P300" s="619"/>
      <c r="Q300" s="619"/>
      <c r="R300" s="619"/>
      <c r="S300" s="619"/>
      <c r="T300" s="619"/>
      <c r="U300" s="619"/>
      <c r="V300" s="619"/>
      <c r="W300" s="619"/>
      <c r="X300" s="619"/>
      <c r="Y300" s="619"/>
      <c r="Z300" s="619"/>
    </row>
    <row r="301" spans="1:26" ht="11.25" customHeight="1">
      <c r="A301" s="619"/>
      <c r="B301" s="619"/>
      <c r="C301" s="619" t="e">
        <v>#NULL!</v>
      </c>
      <c r="D301" s="619"/>
      <c r="E301" s="619"/>
      <c r="F301" s="619"/>
      <c r="G301" s="621"/>
      <c r="H301" s="619"/>
      <c r="I301" s="619"/>
      <c r="J301" s="619"/>
      <c r="K301" s="619"/>
      <c r="L301" s="619"/>
      <c r="M301" s="619"/>
      <c r="N301" s="619"/>
      <c r="O301" s="619"/>
      <c r="P301" s="619"/>
      <c r="Q301" s="619"/>
      <c r="R301" s="619"/>
      <c r="S301" s="619"/>
      <c r="T301" s="619"/>
      <c r="U301" s="619"/>
      <c r="V301" s="619"/>
      <c r="W301" s="619"/>
      <c r="X301" s="619"/>
      <c r="Y301" s="619"/>
      <c r="Z301" s="619"/>
    </row>
    <row r="302" spans="1:26" ht="11.25" customHeight="1">
      <c r="A302" s="619"/>
      <c r="B302" s="619"/>
      <c r="C302" s="619" t="e">
        <v>#NULL!</v>
      </c>
      <c r="D302" s="619"/>
      <c r="E302" s="619"/>
      <c r="F302" s="619"/>
      <c r="G302" s="621"/>
      <c r="H302" s="619"/>
      <c r="I302" s="619"/>
      <c r="J302" s="619"/>
      <c r="K302" s="619"/>
      <c r="L302" s="619"/>
      <c r="M302" s="619"/>
      <c r="N302" s="619"/>
      <c r="O302" s="619"/>
      <c r="P302" s="619"/>
      <c r="Q302" s="619"/>
      <c r="R302" s="619"/>
      <c r="S302" s="619"/>
      <c r="T302" s="619"/>
      <c r="U302" s="619"/>
      <c r="V302" s="619"/>
      <c r="W302" s="619"/>
      <c r="X302" s="619"/>
      <c r="Y302" s="619"/>
      <c r="Z302" s="619"/>
    </row>
    <row r="303" spans="1:26" ht="11.25" customHeight="1">
      <c r="A303" s="619"/>
      <c r="B303" s="619"/>
      <c r="C303" s="619" t="e">
        <v>#NULL!</v>
      </c>
      <c r="D303" s="619"/>
      <c r="E303" s="619"/>
      <c r="F303" s="619"/>
      <c r="G303" s="621"/>
      <c r="H303" s="619"/>
      <c r="I303" s="619"/>
      <c r="J303" s="619"/>
      <c r="K303" s="619"/>
      <c r="L303" s="619"/>
      <c r="M303" s="619"/>
      <c r="N303" s="619"/>
      <c r="O303" s="619"/>
      <c r="P303" s="619"/>
      <c r="Q303" s="619"/>
      <c r="R303" s="619"/>
      <c r="S303" s="619"/>
      <c r="T303" s="619"/>
      <c r="U303" s="619"/>
      <c r="V303" s="619"/>
      <c r="W303" s="619"/>
      <c r="X303" s="619"/>
      <c r="Y303" s="619"/>
      <c r="Z303" s="619"/>
    </row>
    <row r="304" spans="1:26" ht="11.25" customHeight="1">
      <c r="A304" s="619"/>
      <c r="B304" s="619"/>
      <c r="C304" s="619" t="e">
        <v>#NULL!</v>
      </c>
      <c r="D304" s="619"/>
      <c r="E304" s="619"/>
      <c r="F304" s="619"/>
      <c r="G304" s="621"/>
      <c r="H304" s="619"/>
      <c r="I304" s="619"/>
      <c r="J304" s="619"/>
      <c r="K304" s="619"/>
      <c r="L304" s="619"/>
      <c r="M304" s="619"/>
      <c r="N304" s="619"/>
      <c r="O304" s="619"/>
      <c r="P304" s="619"/>
      <c r="Q304" s="619"/>
      <c r="R304" s="619"/>
      <c r="S304" s="619"/>
      <c r="T304" s="619"/>
      <c r="U304" s="619"/>
      <c r="V304" s="619"/>
      <c r="W304" s="619"/>
      <c r="X304" s="619"/>
      <c r="Y304" s="619"/>
      <c r="Z304" s="619"/>
    </row>
    <row r="305" spans="1:26" ht="11.25" customHeight="1">
      <c r="A305" s="619"/>
      <c r="B305" s="619"/>
      <c r="C305" s="619" t="e">
        <v>#NULL!</v>
      </c>
      <c r="D305" s="619"/>
      <c r="E305" s="619"/>
      <c r="F305" s="619"/>
      <c r="G305" s="621"/>
      <c r="H305" s="619"/>
      <c r="I305" s="619"/>
      <c r="J305" s="619"/>
      <c r="K305" s="619"/>
      <c r="L305" s="619"/>
      <c r="M305" s="619"/>
      <c r="N305" s="619"/>
      <c r="O305" s="619"/>
      <c r="P305" s="619"/>
      <c r="Q305" s="619"/>
      <c r="R305" s="619"/>
      <c r="S305" s="619"/>
      <c r="T305" s="619"/>
      <c r="U305" s="619"/>
      <c r="V305" s="619"/>
      <c r="W305" s="619"/>
      <c r="X305" s="619"/>
      <c r="Y305" s="619"/>
      <c r="Z305" s="619"/>
    </row>
    <row r="306" spans="1:26" ht="11.25" customHeight="1">
      <c r="A306" s="619"/>
      <c r="B306" s="619"/>
      <c r="C306" s="619" t="e">
        <v>#NULL!</v>
      </c>
      <c r="D306" s="619"/>
      <c r="E306" s="619"/>
      <c r="F306" s="619"/>
      <c r="G306" s="621"/>
      <c r="H306" s="619"/>
      <c r="I306" s="619"/>
      <c r="J306" s="619"/>
      <c r="K306" s="619"/>
      <c r="L306" s="619"/>
      <c r="M306" s="619"/>
      <c r="N306" s="619"/>
      <c r="O306" s="619"/>
      <c r="P306" s="619"/>
      <c r="Q306" s="619"/>
      <c r="R306" s="619"/>
      <c r="S306" s="619"/>
      <c r="T306" s="619"/>
      <c r="U306" s="619"/>
      <c r="V306" s="619"/>
      <c r="W306" s="619"/>
      <c r="X306" s="619"/>
      <c r="Y306" s="619"/>
      <c r="Z306" s="619"/>
    </row>
    <row r="307" spans="1:26" ht="11.25" customHeight="1">
      <c r="A307" s="619"/>
      <c r="B307" s="619"/>
      <c r="C307" s="619" t="e">
        <v>#NULL!</v>
      </c>
      <c r="D307" s="619"/>
      <c r="E307" s="619"/>
      <c r="F307" s="619"/>
      <c r="G307" s="621"/>
      <c r="H307" s="619"/>
      <c r="I307" s="619"/>
      <c r="J307" s="619"/>
      <c r="K307" s="619"/>
      <c r="L307" s="619"/>
      <c r="M307" s="619"/>
      <c r="N307" s="619"/>
      <c r="O307" s="619"/>
      <c r="P307" s="619"/>
      <c r="Q307" s="619"/>
      <c r="R307" s="619"/>
      <c r="S307" s="619"/>
      <c r="T307" s="619"/>
      <c r="U307" s="619"/>
      <c r="V307" s="619"/>
      <c r="W307" s="619"/>
      <c r="X307" s="619"/>
      <c r="Y307" s="619"/>
      <c r="Z307" s="619"/>
    </row>
    <row r="308" spans="1:26" ht="11.25" customHeight="1">
      <c r="A308" s="619"/>
      <c r="B308" s="619"/>
      <c r="C308" s="619" t="e">
        <v>#NULL!</v>
      </c>
      <c r="D308" s="619"/>
      <c r="E308" s="619"/>
      <c r="F308" s="619"/>
      <c r="G308" s="621"/>
      <c r="H308" s="619"/>
      <c r="I308" s="619"/>
      <c r="J308" s="619"/>
      <c r="K308" s="619"/>
      <c r="L308" s="619"/>
      <c r="M308" s="619"/>
      <c r="N308" s="619"/>
      <c r="O308" s="619"/>
      <c r="P308" s="619"/>
      <c r="Q308" s="619"/>
      <c r="R308" s="619"/>
      <c r="S308" s="619"/>
      <c r="T308" s="619"/>
      <c r="U308" s="619"/>
      <c r="V308" s="619"/>
      <c r="W308" s="619"/>
      <c r="X308" s="619"/>
      <c r="Y308" s="619"/>
      <c r="Z308" s="619"/>
    </row>
    <row r="309" spans="1:26" ht="11.25" customHeight="1">
      <c r="A309" s="619"/>
      <c r="B309" s="619"/>
      <c r="C309" s="619" t="e">
        <v>#NULL!</v>
      </c>
      <c r="D309" s="619"/>
      <c r="E309" s="619"/>
      <c r="F309" s="619"/>
      <c r="G309" s="621"/>
      <c r="H309" s="619"/>
      <c r="I309" s="619"/>
      <c r="J309" s="619"/>
      <c r="K309" s="619"/>
      <c r="L309" s="619"/>
      <c r="M309" s="619"/>
      <c r="N309" s="619"/>
      <c r="O309" s="619"/>
      <c r="P309" s="619"/>
      <c r="Q309" s="619"/>
      <c r="R309" s="619"/>
      <c r="S309" s="619"/>
      <c r="T309" s="619"/>
      <c r="U309" s="619"/>
      <c r="V309" s="619"/>
      <c r="W309" s="619"/>
      <c r="X309" s="619"/>
      <c r="Y309" s="619"/>
      <c r="Z309" s="619"/>
    </row>
    <row r="310" spans="1:26" ht="11.25" customHeight="1">
      <c r="A310" s="619"/>
      <c r="B310" s="619"/>
      <c r="C310" s="619" t="e">
        <v>#NULL!</v>
      </c>
      <c r="D310" s="619"/>
      <c r="E310" s="619"/>
      <c r="F310" s="619"/>
      <c r="G310" s="621"/>
      <c r="H310" s="619"/>
      <c r="I310" s="619"/>
      <c r="J310" s="619"/>
      <c r="K310" s="619"/>
      <c r="L310" s="619"/>
      <c r="M310" s="619"/>
      <c r="N310" s="619"/>
      <c r="O310" s="619"/>
      <c r="P310" s="619"/>
      <c r="Q310" s="619"/>
      <c r="R310" s="619"/>
      <c r="S310" s="619"/>
      <c r="T310" s="619"/>
      <c r="U310" s="619"/>
      <c r="V310" s="619"/>
      <c r="W310" s="619"/>
      <c r="X310" s="619"/>
      <c r="Y310" s="619"/>
      <c r="Z310" s="619"/>
    </row>
    <row r="311" spans="1:26" ht="11.25" customHeight="1">
      <c r="A311" s="619"/>
      <c r="B311" s="619"/>
      <c r="C311" s="619" t="e">
        <v>#NULL!</v>
      </c>
      <c r="D311" s="619"/>
      <c r="E311" s="619"/>
      <c r="F311" s="619"/>
      <c r="G311" s="621"/>
      <c r="H311" s="619"/>
      <c r="I311" s="619"/>
      <c r="J311" s="619"/>
      <c r="K311" s="619"/>
      <c r="L311" s="619"/>
      <c r="M311" s="619"/>
      <c r="N311" s="619"/>
      <c r="O311" s="619"/>
      <c r="P311" s="619"/>
      <c r="Q311" s="619"/>
      <c r="R311" s="619"/>
      <c r="S311" s="619"/>
      <c r="T311" s="619"/>
      <c r="U311" s="619"/>
      <c r="V311" s="619"/>
      <c r="W311" s="619"/>
      <c r="X311" s="619"/>
      <c r="Y311" s="619"/>
      <c r="Z311" s="619"/>
    </row>
    <row r="312" spans="1:26" ht="11.25" customHeight="1">
      <c r="A312" s="619"/>
      <c r="B312" s="619"/>
      <c r="C312" s="619" t="e">
        <v>#NULL!</v>
      </c>
      <c r="D312" s="619"/>
      <c r="E312" s="619"/>
      <c r="F312" s="619"/>
      <c r="G312" s="621"/>
      <c r="H312" s="619"/>
      <c r="I312" s="619"/>
      <c r="J312" s="619"/>
      <c r="K312" s="619"/>
      <c r="L312" s="619"/>
      <c r="M312" s="619"/>
      <c r="N312" s="619"/>
      <c r="O312" s="619"/>
      <c r="P312" s="619"/>
      <c r="Q312" s="619"/>
      <c r="R312" s="619"/>
      <c r="S312" s="619"/>
      <c r="T312" s="619"/>
      <c r="U312" s="619"/>
      <c r="V312" s="619"/>
      <c r="W312" s="619"/>
      <c r="X312" s="619"/>
      <c r="Y312" s="619"/>
      <c r="Z312" s="619"/>
    </row>
    <row r="313" spans="1:26" ht="11.25" customHeight="1">
      <c r="A313" s="619"/>
      <c r="B313" s="619"/>
      <c r="C313" s="619" t="e">
        <v>#NULL!</v>
      </c>
      <c r="D313" s="619"/>
      <c r="E313" s="619"/>
      <c r="F313" s="619"/>
      <c r="G313" s="621"/>
      <c r="H313" s="619"/>
      <c r="I313" s="619"/>
      <c r="J313" s="619"/>
      <c r="K313" s="619"/>
      <c r="L313" s="619"/>
      <c r="M313" s="619"/>
      <c r="N313" s="619"/>
      <c r="O313" s="619"/>
      <c r="P313" s="619"/>
      <c r="Q313" s="619"/>
      <c r="R313" s="619"/>
      <c r="S313" s="619"/>
      <c r="T313" s="619"/>
      <c r="U313" s="619"/>
      <c r="V313" s="619"/>
      <c r="W313" s="619"/>
      <c r="X313" s="619"/>
      <c r="Y313" s="619"/>
      <c r="Z313" s="619"/>
    </row>
    <row r="314" spans="1:26" ht="11.25" customHeight="1">
      <c r="A314" s="619"/>
      <c r="B314" s="619"/>
      <c r="C314" s="619" t="e">
        <v>#NULL!</v>
      </c>
      <c r="D314" s="619"/>
      <c r="E314" s="619"/>
      <c r="F314" s="619"/>
      <c r="G314" s="621"/>
      <c r="H314" s="619"/>
      <c r="I314" s="619"/>
      <c r="J314" s="619"/>
      <c r="K314" s="619"/>
      <c r="L314" s="619"/>
      <c r="M314" s="619"/>
      <c r="N314" s="619"/>
      <c r="O314" s="619"/>
      <c r="P314" s="619"/>
      <c r="Q314" s="619"/>
      <c r="R314" s="619"/>
      <c r="S314" s="619"/>
      <c r="T314" s="619"/>
      <c r="U314" s="619"/>
      <c r="V314" s="619"/>
      <c r="W314" s="619"/>
      <c r="X314" s="619"/>
      <c r="Y314" s="619"/>
      <c r="Z314" s="619"/>
    </row>
    <row r="315" spans="1:26" ht="11.25" customHeight="1">
      <c r="A315" s="619"/>
      <c r="B315" s="619"/>
      <c r="C315" s="619" t="e">
        <v>#NULL!</v>
      </c>
      <c r="D315" s="619"/>
      <c r="E315" s="619"/>
      <c r="F315" s="619"/>
      <c r="G315" s="621"/>
      <c r="H315" s="619"/>
      <c r="I315" s="619"/>
      <c r="J315" s="619"/>
      <c r="K315" s="619"/>
      <c r="L315" s="619"/>
      <c r="M315" s="619"/>
      <c r="N315" s="619"/>
      <c r="O315" s="619"/>
      <c r="P315" s="619"/>
      <c r="Q315" s="619"/>
      <c r="R315" s="619"/>
      <c r="S315" s="619"/>
      <c r="T315" s="619"/>
      <c r="U315" s="619"/>
      <c r="V315" s="619"/>
      <c r="W315" s="619"/>
      <c r="X315" s="619"/>
      <c r="Y315" s="619"/>
      <c r="Z315" s="619"/>
    </row>
    <row r="316" spans="1:26" ht="11.25" customHeight="1">
      <c r="A316" s="619"/>
      <c r="B316" s="619"/>
      <c r="C316" s="619" t="e">
        <v>#NULL!</v>
      </c>
      <c r="D316" s="619"/>
      <c r="E316" s="619"/>
      <c r="F316" s="619"/>
      <c r="G316" s="621"/>
      <c r="H316" s="619"/>
      <c r="I316" s="619"/>
      <c r="J316" s="619"/>
      <c r="K316" s="619"/>
      <c r="L316" s="619"/>
      <c r="M316" s="619"/>
      <c r="N316" s="619"/>
      <c r="O316" s="619"/>
      <c r="P316" s="619"/>
      <c r="Q316" s="619"/>
      <c r="R316" s="619"/>
      <c r="S316" s="619"/>
      <c r="T316" s="619"/>
      <c r="U316" s="619"/>
      <c r="V316" s="619"/>
      <c r="W316" s="619"/>
      <c r="X316" s="619"/>
      <c r="Y316" s="619"/>
      <c r="Z316" s="619"/>
    </row>
    <row r="317" spans="1:26" ht="11.25" customHeight="1">
      <c r="A317" s="619"/>
      <c r="B317" s="619"/>
      <c r="C317" s="619" t="e">
        <v>#NULL!</v>
      </c>
      <c r="D317" s="619"/>
      <c r="E317" s="619"/>
      <c r="F317" s="619"/>
      <c r="G317" s="621"/>
      <c r="H317" s="619"/>
      <c r="I317" s="619"/>
      <c r="J317" s="619"/>
      <c r="K317" s="619"/>
      <c r="L317" s="619"/>
      <c r="M317" s="619"/>
      <c r="N317" s="619"/>
      <c r="O317" s="619"/>
      <c r="P317" s="619"/>
      <c r="Q317" s="619"/>
      <c r="R317" s="619"/>
      <c r="S317" s="619"/>
      <c r="T317" s="619"/>
      <c r="U317" s="619"/>
      <c r="V317" s="619"/>
      <c r="W317" s="619"/>
      <c r="X317" s="619"/>
      <c r="Y317" s="619"/>
      <c r="Z317" s="619"/>
    </row>
    <row r="318" spans="1:26" ht="11.25" customHeight="1">
      <c r="A318" s="619"/>
      <c r="B318" s="619"/>
      <c r="C318" s="619" t="e">
        <v>#NULL!</v>
      </c>
      <c r="D318" s="619"/>
      <c r="E318" s="619"/>
      <c r="F318" s="619"/>
      <c r="G318" s="621"/>
      <c r="H318" s="619"/>
      <c r="I318" s="619"/>
      <c r="J318" s="619"/>
      <c r="K318" s="619"/>
      <c r="L318" s="619"/>
      <c r="M318" s="619"/>
      <c r="N318" s="619"/>
      <c r="O318" s="619"/>
      <c r="P318" s="619"/>
      <c r="Q318" s="619"/>
      <c r="R318" s="619"/>
      <c r="S318" s="619"/>
      <c r="T318" s="619"/>
      <c r="U318" s="619"/>
      <c r="V318" s="619"/>
      <c r="W318" s="619"/>
      <c r="X318" s="619"/>
      <c r="Y318" s="619"/>
      <c r="Z318" s="619"/>
    </row>
    <row r="319" spans="1:26" ht="11.25" customHeight="1">
      <c r="A319" s="619"/>
      <c r="B319" s="619"/>
      <c r="C319" s="619" t="e">
        <v>#NULL!</v>
      </c>
      <c r="D319" s="619"/>
      <c r="E319" s="619"/>
      <c r="F319" s="619"/>
      <c r="G319" s="621"/>
      <c r="H319" s="619"/>
      <c r="I319" s="619"/>
      <c r="J319" s="619"/>
      <c r="K319" s="619"/>
      <c r="L319" s="619"/>
      <c r="M319" s="619"/>
      <c r="N319" s="619"/>
      <c r="O319" s="619"/>
      <c r="P319" s="619"/>
      <c r="Q319" s="619"/>
      <c r="R319" s="619"/>
      <c r="S319" s="619"/>
      <c r="T319" s="619"/>
      <c r="U319" s="619"/>
      <c r="V319" s="619"/>
      <c r="W319" s="619"/>
      <c r="X319" s="619"/>
      <c r="Y319" s="619"/>
      <c r="Z319" s="619"/>
    </row>
    <row r="320" spans="1:26" ht="11.25" customHeight="1">
      <c r="A320" s="619"/>
      <c r="B320" s="619"/>
      <c r="C320" s="619" t="e">
        <v>#NULL!</v>
      </c>
      <c r="D320" s="619"/>
      <c r="E320" s="619"/>
      <c r="F320" s="619"/>
      <c r="G320" s="621"/>
      <c r="H320" s="619"/>
      <c r="I320" s="619"/>
      <c r="J320" s="619"/>
      <c r="K320" s="619"/>
      <c r="L320" s="619"/>
      <c r="M320" s="619"/>
      <c r="N320" s="619"/>
      <c r="O320" s="619"/>
      <c r="P320" s="619"/>
      <c r="Q320" s="619"/>
      <c r="R320" s="619"/>
      <c r="S320" s="619"/>
      <c r="T320" s="619"/>
      <c r="U320" s="619"/>
      <c r="V320" s="619"/>
      <c r="W320" s="619"/>
      <c r="X320" s="619"/>
      <c r="Y320" s="619"/>
      <c r="Z320" s="619"/>
    </row>
    <row r="321" spans="1:26" ht="11.25" customHeight="1">
      <c r="A321" s="619"/>
      <c r="B321" s="619"/>
      <c r="C321" s="619" t="e">
        <v>#NULL!</v>
      </c>
      <c r="D321" s="619"/>
      <c r="E321" s="619"/>
      <c r="F321" s="619"/>
      <c r="G321" s="621"/>
      <c r="H321" s="619"/>
      <c r="I321" s="619"/>
      <c r="J321" s="619"/>
      <c r="K321" s="619"/>
      <c r="L321" s="619"/>
      <c r="M321" s="619"/>
      <c r="N321" s="619"/>
      <c r="O321" s="619"/>
      <c r="P321" s="619"/>
      <c r="Q321" s="619"/>
      <c r="R321" s="619"/>
      <c r="S321" s="619"/>
      <c r="T321" s="619"/>
      <c r="U321" s="619"/>
      <c r="V321" s="619"/>
      <c r="W321" s="619"/>
      <c r="X321" s="619"/>
      <c r="Y321" s="619"/>
      <c r="Z321" s="619"/>
    </row>
    <row r="322" spans="1:26" ht="11.25" customHeight="1">
      <c r="A322" s="619"/>
      <c r="B322" s="619"/>
      <c r="C322" s="619" t="e">
        <v>#NULL!</v>
      </c>
      <c r="D322" s="619"/>
      <c r="E322" s="619"/>
      <c r="F322" s="619"/>
      <c r="G322" s="621"/>
      <c r="H322" s="619"/>
      <c r="I322" s="619"/>
      <c r="J322" s="619"/>
      <c r="K322" s="619"/>
      <c r="L322" s="619"/>
      <c r="M322" s="619"/>
      <c r="N322" s="619"/>
      <c r="O322" s="619"/>
      <c r="P322" s="619"/>
      <c r="Q322" s="619"/>
      <c r="R322" s="619"/>
      <c r="S322" s="619"/>
      <c r="T322" s="619"/>
      <c r="U322" s="619"/>
      <c r="V322" s="619"/>
      <c r="W322" s="619"/>
      <c r="X322" s="619"/>
      <c r="Y322" s="619"/>
      <c r="Z322" s="619"/>
    </row>
    <row r="323" spans="1:26" ht="11.25" customHeight="1">
      <c r="A323" s="619"/>
      <c r="B323" s="619"/>
      <c r="C323" s="619" t="e">
        <v>#NULL!</v>
      </c>
      <c r="D323" s="619"/>
      <c r="E323" s="619"/>
      <c r="F323" s="619"/>
      <c r="G323" s="621"/>
      <c r="H323" s="619"/>
      <c r="I323" s="619"/>
      <c r="J323" s="619"/>
      <c r="K323" s="619"/>
      <c r="L323" s="619"/>
      <c r="M323" s="619"/>
      <c r="N323" s="619"/>
      <c r="O323" s="619"/>
      <c r="P323" s="619"/>
      <c r="Q323" s="619"/>
      <c r="R323" s="619"/>
      <c r="S323" s="619"/>
      <c r="T323" s="619"/>
      <c r="U323" s="619"/>
      <c r="V323" s="619"/>
      <c r="W323" s="619"/>
      <c r="X323" s="619"/>
      <c r="Y323" s="619"/>
      <c r="Z323" s="619"/>
    </row>
    <row r="324" spans="1:26" ht="11.25" customHeight="1">
      <c r="A324" s="619"/>
      <c r="B324" s="619"/>
      <c r="C324" s="619" t="e">
        <v>#NULL!</v>
      </c>
      <c r="D324" s="619"/>
      <c r="E324" s="619"/>
      <c r="F324" s="619"/>
      <c r="G324" s="621"/>
      <c r="H324" s="619"/>
      <c r="I324" s="619"/>
      <c r="J324" s="619"/>
      <c r="K324" s="619"/>
      <c r="L324" s="619"/>
      <c r="M324" s="619"/>
      <c r="N324" s="619"/>
      <c r="O324" s="619"/>
      <c r="P324" s="619"/>
      <c r="Q324" s="619"/>
      <c r="R324" s="619"/>
      <c r="S324" s="619"/>
      <c r="T324" s="619"/>
      <c r="U324" s="619"/>
      <c r="V324" s="619"/>
      <c r="W324" s="619"/>
      <c r="X324" s="619"/>
      <c r="Y324" s="619"/>
      <c r="Z324" s="619"/>
    </row>
    <row r="325" spans="1:26" ht="11.25" customHeight="1">
      <c r="A325" s="619"/>
      <c r="B325" s="619"/>
      <c r="C325" s="619" t="e">
        <v>#NULL!</v>
      </c>
      <c r="D325" s="619"/>
      <c r="E325" s="619"/>
      <c r="F325" s="619"/>
      <c r="G325" s="621"/>
      <c r="H325" s="619"/>
      <c r="I325" s="619"/>
      <c r="J325" s="619"/>
      <c r="K325" s="619"/>
      <c r="L325" s="619"/>
      <c r="M325" s="619"/>
      <c r="N325" s="619"/>
      <c r="O325" s="619"/>
      <c r="P325" s="619"/>
      <c r="Q325" s="619"/>
      <c r="R325" s="619"/>
      <c r="S325" s="619"/>
      <c r="T325" s="619"/>
      <c r="U325" s="619"/>
      <c r="V325" s="619"/>
      <c r="W325" s="619"/>
      <c r="X325" s="619"/>
      <c r="Y325" s="619"/>
      <c r="Z325" s="619"/>
    </row>
    <row r="326" spans="1:26" ht="11.25" customHeight="1">
      <c r="A326" s="619"/>
      <c r="B326" s="619"/>
      <c r="C326" s="619" t="e">
        <v>#NULL!</v>
      </c>
      <c r="D326" s="619"/>
      <c r="E326" s="619"/>
      <c r="F326" s="619"/>
      <c r="G326" s="621"/>
      <c r="H326" s="619"/>
      <c r="I326" s="619"/>
      <c r="J326" s="619"/>
      <c r="K326" s="619"/>
      <c r="L326" s="619"/>
      <c r="M326" s="619"/>
      <c r="N326" s="619"/>
      <c r="O326" s="619"/>
      <c r="P326" s="619"/>
      <c r="Q326" s="619"/>
      <c r="R326" s="619"/>
      <c r="S326" s="619"/>
      <c r="T326" s="619"/>
      <c r="U326" s="619"/>
      <c r="V326" s="619"/>
      <c r="W326" s="619"/>
      <c r="X326" s="619"/>
      <c r="Y326" s="619"/>
      <c r="Z326" s="619"/>
    </row>
    <row r="327" spans="1:26" ht="11.25" customHeight="1">
      <c r="A327" s="619"/>
      <c r="B327" s="619"/>
      <c r="C327" s="619" t="e">
        <v>#NULL!</v>
      </c>
      <c r="D327" s="619"/>
      <c r="E327" s="619"/>
      <c r="F327" s="619"/>
      <c r="G327" s="621"/>
      <c r="H327" s="619"/>
      <c r="I327" s="619"/>
      <c r="J327" s="619"/>
      <c r="K327" s="619"/>
      <c r="L327" s="619"/>
      <c r="M327" s="619"/>
      <c r="N327" s="619"/>
      <c r="O327" s="619"/>
      <c r="P327" s="619"/>
      <c r="Q327" s="619"/>
      <c r="R327" s="619"/>
      <c r="S327" s="619"/>
      <c r="T327" s="619"/>
      <c r="U327" s="619"/>
      <c r="V327" s="619"/>
      <c r="W327" s="619"/>
      <c r="X327" s="619"/>
      <c r="Y327" s="619"/>
      <c r="Z327" s="619"/>
    </row>
    <row r="328" spans="1:26" ht="11.25" customHeight="1">
      <c r="A328" s="619"/>
      <c r="B328" s="619"/>
      <c r="C328" s="619" t="e">
        <v>#NULL!</v>
      </c>
      <c r="D328" s="619"/>
      <c r="E328" s="619"/>
      <c r="F328" s="619"/>
      <c r="G328" s="621"/>
      <c r="H328" s="619"/>
      <c r="I328" s="619"/>
      <c r="J328" s="619"/>
      <c r="K328" s="619"/>
      <c r="L328" s="619"/>
      <c r="M328" s="619"/>
      <c r="N328" s="619"/>
      <c r="O328" s="619"/>
      <c r="P328" s="619"/>
      <c r="Q328" s="619"/>
      <c r="R328" s="619"/>
      <c r="S328" s="619"/>
      <c r="T328" s="619"/>
      <c r="U328" s="619"/>
      <c r="V328" s="619"/>
      <c r="W328" s="619"/>
      <c r="X328" s="619"/>
      <c r="Y328" s="619"/>
      <c r="Z328" s="619"/>
    </row>
    <row r="329" spans="1:26" ht="11.25" customHeight="1">
      <c r="A329" s="619"/>
      <c r="B329" s="619"/>
      <c r="C329" s="619" t="e">
        <v>#NULL!</v>
      </c>
      <c r="D329" s="619"/>
      <c r="E329" s="619"/>
      <c r="F329" s="619"/>
      <c r="G329" s="621"/>
      <c r="H329" s="619"/>
      <c r="I329" s="619"/>
      <c r="J329" s="619"/>
      <c r="K329" s="619"/>
      <c r="L329" s="619"/>
      <c r="M329" s="619"/>
      <c r="N329" s="619"/>
      <c r="O329" s="619"/>
      <c r="P329" s="619"/>
      <c r="Q329" s="619"/>
      <c r="R329" s="619"/>
      <c r="S329" s="619"/>
      <c r="T329" s="619"/>
      <c r="U329" s="619"/>
      <c r="V329" s="619"/>
      <c r="W329" s="619"/>
      <c r="X329" s="619"/>
      <c r="Y329" s="619"/>
      <c r="Z329" s="619"/>
    </row>
    <row r="330" spans="1:26" ht="11.25" customHeight="1">
      <c r="A330" s="619"/>
      <c r="B330" s="619"/>
      <c r="C330" s="619" t="e">
        <v>#NULL!</v>
      </c>
      <c r="D330" s="619"/>
      <c r="E330" s="619"/>
      <c r="F330" s="619"/>
      <c r="G330" s="621"/>
      <c r="H330" s="619"/>
      <c r="I330" s="619"/>
      <c r="J330" s="619"/>
      <c r="K330" s="619"/>
      <c r="L330" s="619"/>
      <c r="M330" s="619"/>
      <c r="N330" s="619"/>
      <c r="O330" s="619"/>
      <c r="P330" s="619"/>
      <c r="Q330" s="619"/>
      <c r="R330" s="619"/>
      <c r="S330" s="619"/>
      <c r="T330" s="619"/>
      <c r="U330" s="619"/>
      <c r="V330" s="619"/>
      <c r="W330" s="619"/>
      <c r="X330" s="619"/>
      <c r="Y330" s="619"/>
      <c r="Z330" s="619"/>
    </row>
    <row r="331" spans="1:26" ht="11.25" customHeight="1">
      <c r="A331" s="619"/>
      <c r="B331" s="619"/>
      <c r="C331" s="619" t="e">
        <v>#NULL!</v>
      </c>
      <c r="D331" s="619"/>
      <c r="E331" s="619"/>
      <c r="F331" s="619"/>
      <c r="G331" s="621"/>
      <c r="H331" s="619"/>
      <c r="I331" s="619"/>
      <c r="J331" s="619"/>
      <c r="K331" s="619"/>
      <c r="L331" s="619"/>
      <c r="M331" s="619"/>
      <c r="N331" s="619"/>
      <c r="O331" s="619"/>
      <c r="P331" s="619"/>
      <c r="Q331" s="619"/>
      <c r="R331" s="619"/>
      <c r="S331" s="619"/>
      <c r="T331" s="619"/>
      <c r="U331" s="619"/>
      <c r="V331" s="619"/>
      <c r="W331" s="619"/>
      <c r="X331" s="619"/>
      <c r="Y331" s="619"/>
      <c r="Z331" s="619"/>
    </row>
    <row r="332" spans="1:26" ht="11.25" customHeight="1">
      <c r="A332" s="619"/>
      <c r="B332" s="619"/>
      <c r="C332" s="619" t="e">
        <v>#NULL!</v>
      </c>
      <c r="D332" s="619"/>
      <c r="E332" s="619"/>
      <c r="F332" s="619"/>
      <c r="G332" s="621"/>
      <c r="H332" s="619"/>
      <c r="I332" s="619"/>
      <c r="J332" s="619"/>
      <c r="K332" s="619"/>
      <c r="L332" s="619"/>
      <c r="M332" s="619"/>
      <c r="N332" s="619"/>
      <c r="O332" s="619"/>
      <c r="P332" s="619"/>
      <c r="Q332" s="619"/>
      <c r="R332" s="619"/>
      <c r="S332" s="619"/>
      <c r="T332" s="619"/>
      <c r="U332" s="619"/>
      <c r="V332" s="619"/>
      <c r="W332" s="619"/>
      <c r="X332" s="619"/>
      <c r="Y332" s="619"/>
      <c r="Z332" s="619"/>
    </row>
    <row r="333" spans="1:26" ht="11.25" customHeight="1">
      <c r="A333" s="619"/>
      <c r="B333" s="619"/>
      <c r="C333" s="619" t="e">
        <v>#NULL!</v>
      </c>
      <c r="D333" s="619"/>
      <c r="E333" s="619"/>
      <c r="F333" s="619"/>
      <c r="G333" s="621"/>
      <c r="H333" s="619"/>
      <c r="I333" s="619"/>
      <c r="J333" s="619"/>
      <c r="K333" s="619"/>
      <c r="L333" s="619"/>
      <c r="M333" s="619"/>
      <c r="N333" s="619"/>
      <c r="O333" s="619"/>
      <c r="P333" s="619"/>
      <c r="Q333" s="619"/>
      <c r="R333" s="619"/>
      <c r="S333" s="619"/>
      <c r="T333" s="619"/>
      <c r="U333" s="619"/>
      <c r="V333" s="619"/>
      <c r="W333" s="619"/>
      <c r="X333" s="619"/>
      <c r="Y333" s="619"/>
      <c r="Z333" s="619"/>
    </row>
    <row r="334" spans="1:26" ht="11.25" customHeight="1">
      <c r="A334" s="619"/>
      <c r="B334" s="619"/>
      <c r="C334" s="619" t="e">
        <v>#NULL!</v>
      </c>
      <c r="D334" s="619"/>
      <c r="E334" s="619"/>
      <c r="F334" s="619"/>
      <c r="G334" s="621"/>
      <c r="H334" s="619"/>
      <c r="I334" s="619"/>
      <c r="J334" s="619"/>
      <c r="K334" s="619"/>
      <c r="L334" s="619"/>
      <c r="M334" s="619"/>
      <c r="N334" s="619"/>
      <c r="O334" s="619"/>
      <c r="P334" s="619"/>
      <c r="Q334" s="619"/>
      <c r="R334" s="619"/>
      <c r="S334" s="619"/>
      <c r="T334" s="619"/>
      <c r="U334" s="619"/>
      <c r="V334" s="619"/>
      <c r="W334" s="619"/>
      <c r="X334" s="619"/>
      <c r="Y334" s="619"/>
      <c r="Z334" s="619"/>
    </row>
    <row r="335" spans="1:26" ht="11.25" customHeight="1">
      <c r="A335" s="619"/>
      <c r="B335" s="619"/>
      <c r="C335" s="619" t="e">
        <v>#NULL!</v>
      </c>
      <c r="D335" s="619"/>
      <c r="E335" s="619"/>
      <c r="F335" s="619"/>
      <c r="G335" s="621"/>
      <c r="H335" s="619"/>
      <c r="I335" s="619"/>
      <c r="J335" s="619"/>
      <c r="K335" s="619"/>
      <c r="L335" s="619"/>
      <c r="M335" s="619"/>
      <c r="N335" s="619"/>
      <c r="O335" s="619"/>
      <c r="P335" s="619"/>
      <c r="Q335" s="619"/>
      <c r="R335" s="619"/>
      <c r="S335" s="619"/>
      <c r="T335" s="619"/>
      <c r="U335" s="619"/>
      <c r="V335" s="619"/>
      <c r="W335" s="619"/>
      <c r="X335" s="619"/>
      <c r="Y335" s="619"/>
      <c r="Z335" s="619"/>
    </row>
    <row r="336" spans="1:26" ht="11.25" customHeight="1">
      <c r="A336" s="619"/>
      <c r="B336" s="619"/>
      <c r="C336" s="619" t="e">
        <v>#NULL!</v>
      </c>
      <c r="D336" s="619"/>
      <c r="E336" s="619"/>
      <c r="F336" s="619"/>
      <c r="G336" s="621"/>
      <c r="H336" s="619"/>
      <c r="I336" s="619"/>
      <c r="J336" s="619"/>
      <c r="K336" s="619"/>
      <c r="L336" s="619"/>
      <c r="M336" s="619"/>
      <c r="N336" s="619"/>
      <c r="O336" s="619"/>
      <c r="P336" s="619"/>
      <c r="Q336" s="619"/>
      <c r="R336" s="619"/>
      <c r="S336" s="619"/>
      <c r="T336" s="619"/>
      <c r="U336" s="619"/>
      <c r="V336" s="619"/>
      <c r="W336" s="619"/>
      <c r="X336" s="619"/>
      <c r="Y336" s="619"/>
      <c r="Z336" s="619"/>
    </row>
    <row r="337" spans="1:26" ht="11.25" customHeight="1">
      <c r="A337" s="619"/>
      <c r="B337" s="619"/>
      <c r="C337" s="619" t="e">
        <v>#NULL!</v>
      </c>
      <c r="D337" s="619"/>
      <c r="E337" s="619"/>
      <c r="F337" s="619"/>
      <c r="G337" s="621"/>
      <c r="H337" s="619"/>
      <c r="I337" s="619"/>
      <c r="J337" s="619"/>
      <c r="K337" s="619"/>
      <c r="L337" s="619"/>
      <c r="M337" s="619"/>
      <c r="N337" s="619"/>
      <c r="O337" s="619"/>
      <c r="P337" s="619"/>
      <c r="Q337" s="619"/>
      <c r="R337" s="619"/>
      <c r="S337" s="619"/>
      <c r="T337" s="619"/>
      <c r="U337" s="619"/>
      <c r="V337" s="619"/>
      <c r="W337" s="619"/>
      <c r="X337" s="619"/>
      <c r="Y337" s="619"/>
      <c r="Z337" s="619"/>
    </row>
    <row r="338" spans="1:26" ht="11.25" customHeight="1">
      <c r="A338" s="619"/>
      <c r="B338" s="619"/>
      <c r="C338" s="619" t="e">
        <v>#NULL!</v>
      </c>
      <c r="D338" s="619"/>
      <c r="E338" s="619"/>
      <c r="F338" s="619"/>
      <c r="G338" s="621"/>
      <c r="H338" s="619"/>
      <c r="I338" s="619"/>
      <c r="J338" s="619"/>
      <c r="K338" s="619"/>
      <c r="L338" s="619"/>
      <c r="M338" s="619"/>
      <c r="N338" s="619"/>
      <c r="O338" s="619"/>
      <c r="P338" s="619"/>
      <c r="Q338" s="619"/>
      <c r="R338" s="619"/>
      <c r="S338" s="619"/>
      <c r="T338" s="619"/>
      <c r="U338" s="619"/>
      <c r="V338" s="619"/>
      <c r="W338" s="619"/>
      <c r="X338" s="619"/>
      <c r="Y338" s="619"/>
      <c r="Z338" s="619"/>
    </row>
    <row r="339" spans="1:26" ht="11.25" customHeight="1">
      <c r="A339" s="619"/>
      <c r="B339" s="619"/>
      <c r="C339" s="619" t="e">
        <v>#NULL!</v>
      </c>
      <c r="D339" s="619"/>
      <c r="E339" s="619"/>
      <c r="F339" s="619"/>
      <c r="G339" s="621"/>
      <c r="H339" s="619"/>
      <c r="I339" s="619"/>
      <c r="J339" s="619"/>
      <c r="K339" s="619"/>
      <c r="L339" s="619"/>
      <c r="M339" s="619"/>
      <c r="N339" s="619"/>
      <c r="O339" s="619"/>
      <c r="P339" s="619"/>
      <c r="Q339" s="619"/>
      <c r="R339" s="619"/>
      <c r="S339" s="619"/>
      <c r="T339" s="619"/>
      <c r="U339" s="619"/>
      <c r="V339" s="619"/>
      <c r="W339" s="619"/>
      <c r="X339" s="619"/>
      <c r="Y339" s="619"/>
      <c r="Z339" s="619"/>
    </row>
    <row r="340" spans="1:26" ht="11.25" customHeight="1">
      <c r="A340" s="619"/>
      <c r="B340" s="619"/>
      <c r="C340" s="619" t="e">
        <v>#NULL!</v>
      </c>
      <c r="D340" s="619"/>
      <c r="E340" s="619"/>
      <c r="F340" s="619"/>
      <c r="G340" s="621"/>
      <c r="H340" s="619"/>
      <c r="I340" s="619"/>
      <c r="J340" s="619"/>
      <c r="K340" s="619"/>
      <c r="L340" s="619"/>
      <c r="M340" s="619"/>
      <c r="N340" s="619"/>
      <c r="O340" s="619"/>
      <c r="P340" s="619"/>
      <c r="Q340" s="619"/>
      <c r="R340" s="619"/>
      <c r="S340" s="619"/>
      <c r="T340" s="619"/>
      <c r="U340" s="619"/>
      <c r="V340" s="619"/>
      <c r="W340" s="619"/>
      <c r="X340" s="619"/>
      <c r="Y340" s="619"/>
      <c r="Z340" s="619"/>
    </row>
    <row r="341" spans="1:26" ht="11.25" customHeight="1">
      <c r="A341" s="619"/>
      <c r="B341" s="619"/>
      <c r="C341" s="619" t="e">
        <v>#NULL!</v>
      </c>
      <c r="D341" s="619"/>
      <c r="E341" s="619"/>
      <c r="F341" s="619"/>
      <c r="G341" s="621"/>
      <c r="H341" s="619"/>
      <c r="I341" s="619"/>
      <c r="J341" s="619"/>
      <c r="K341" s="619"/>
      <c r="L341" s="619"/>
      <c r="M341" s="619"/>
      <c r="N341" s="619"/>
      <c r="O341" s="619"/>
      <c r="P341" s="619"/>
      <c r="Q341" s="619"/>
      <c r="R341" s="619"/>
      <c r="S341" s="619"/>
      <c r="T341" s="619"/>
      <c r="U341" s="619"/>
      <c r="V341" s="619"/>
      <c r="W341" s="619"/>
      <c r="X341" s="619"/>
      <c r="Y341" s="619"/>
      <c r="Z341" s="619"/>
    </row>
    <row r="342" spans="1:26" ht="11.25" customHeight="1">
      <c r="A342" s="619"/>
      <c r="B342" s="619"/>
      <c r="C342" s="619" t="e">
        <v>#NULL!</v>
      </c>
      <c r="D342" s="619"/>
      <c r="E342" s="619"/>
      <c r="F342" s="619"/>
      <c r="G342" s="621"/>
      <c r="H342" s="619"/>
      <c r="I342" s="619"/>
      <c r="J342" s="619"/>
      <c r="K342" s="619"/>
      <c r="L342" s="619"/>
      <c r="M342" s="619"/>
      <c r="N342" s="619"/>
      <c r="O342" s="619"/>
      <c r="P342" s="619"/>
      <c r="Q342" s="619"/>
      <c r="R342" s="619"/>
      <c r="S342" s="619"/>
      <c r="T342" s="619"/>
      <c r="U342" s="619"/>
      <c r="V342" s="619"/>
      <c r="W342" s="619"/>
      <c r="X342" s="619"/>
      <c r="Y342" s="619"/>
      <c r="Z342" s="619"/>
    </row>
    <row r="343" spans="1:26" ht="11.25" customHeight="1">
      <c r="A343" s="619"/>
      <c r="B343" s="619"/>
      <c r="C343" s="619" t="e">
        <v>#NULL!</v>
      </c>
      <c r="D343" s="619"/>
      <c r="E343" s="619"/>
      <c r="F343" s="619"/>
      <c r="G343" s="621"/>
      <c r="H343" s="619"/>
      <c r="I343" s="619"/>
      <c r="J343" s="619"/>
      <c r="K343" s="619"/>
      <c r="L343" s="619"/>
      <c r="M343" s="619"/>
      <c r="N343" s="619"/>
      <c r="O343" s="619"/>
      <c r="P343" s="619"/>
      <c r="Q343" s="619"/>
      <c r="R343" s="619"/>
      <c r="S343" s="619"/>
      <c r="T343" s="619"/>
      <c r="U343" s="619"/>
      <c r="V343" s="619"/>
      <c r="W343" s="619"/>
      <c r="X343" s="619"/>
      <c r="Y343" s="619"/>
      <c r="Z343" s="619"/>
    </row>
    <row r="344" spans="1:26" ht="11.25" customHeight="1">
      <c r="A344" s="619"/>
      <c r="B344" s="619"/>
      <c r="C344" s="619" t="e">
        <v>#NULL!</v>
      </c>
      <c r="D344" s="619"/>
      <c r="E344" s="619"/>
      <c r="F344" s="619"/>
      <c r="G344" s="621"/>
      <c r="H344" s="619"/>
      <c r="I344" s="619"/>
      <c r="J344" s="619"/>
      <c r="K344" s="619"/>
      <c r="L344" s="619"/>
      <c r="M344" s="619"/>
      <c r="N344" s="619"/>
      <c r="O344" s="619"/>
      <c r="P344" s="619"/>
      <c r="Q344" s="619"/>
      <c r="R344" s="619"/>
      <c r="S344" s="619"/>
      <c r="T344" s="619"/>
      <c r="U344" s="619"/>
      <c r="V344" s="619"/>
      <c r="W344" s="619"/>
      <c r="X344" s="619"/>
      <c r="Y344" s="619"/>
      <c r="Z344" s="619"/>
    </row>
    <row r="345" spans="1:26" ht="11.25" customHeight="1">
      <c r="A345" s="619"/>
      <c r="B345" s="619"/>
      <c r="C345" s="619" t="e">
        <v>#NULL!</v>
      </c>
      <c r="D345" s="619"/>
      <c r="E345" s="619"/>
      <c r="F345" s="619"/>
      <c r="G345" s="621"/>
      <c r="H345" s="619"/>
      <c r="I345" s="619"/>
      <c r="J345" s="619"/>
      <c r="K345" s="619"/>
      <c r="L345" s="619"/>
      <c r="M345" s="619"/>
      <c r="N345" s="619"/>
      <c r="O345" s="619"/>
      <c r="P345" s="619"/>
      <c r="Q345" s="619"/>
      <c r="R345" s="619"/>
      <c r="S345" s="619"/>
      <c r="T345" s="619"/>
      <c r="U345" s="619"/>
      <c r="V345" s="619"/>
      <c r="W345" s="619"/>
      <c r="X345" s="619"/>
      <c r="Y345" s="619"/>
      <c r="Z345" s="619"/>
    </row>
    <row r="346" spans="1:26" ht="11.25" customHeight="1">
      <c r="A346" s="619"/>
      <c r="B346" s="619"/>
      <c r="C346" s="619" t="e">
        <v>#NULL!</v>
      </c>
      <c r="D346" s="619"/>
      <c r="E346" s="619"/>
      <c r="F346" s="619"/>
      <c r="G346" s="621"/>
      <c r="H346" s="619"/>
      <c r="I346" s="619"/>
      <c r="J346" s="619"/>
      <c r="K346" s="619"/>
      <c r="L346" s="619"/>
      <c r="M346" s="619"/>
      <c r="N346" s="619"/>
      <c r="O346" s="619"/>
      <c r="P346" s="619"/>
      <c r="Q346" s="619"/>
      <c r="R346" s="619"/>
      <c r="S346" s="619"/>
      <c r="T346" s="619"/>
      <c r="U346" s="619"/>
      <c r="V346" s="619"/>
      <c r="W346" s="619"/>
      <c r="X346" s="619"/>
      <c r="Y346" s="619"/>
      <c r="Z346" s="619"/>
    </row>
    <row r="347" spans="1:26" ht="11.25" customHeight="1">
      <c r="A347" s="619"/>
      <c r="B347" s="619"/>
      <c r="C347" s="619" t="e">
        <v>#NULL!</v>
      </c>
      <c r="D347" s="619"/>
      <c r="E347" s="619"/>
      <c r="F347" s="619"/>
      <c r="G347" s="621"/>
      <c r="H347" s="619"/>
      <c r="I347" s="619"/>
      <c r="J347" s="619"/>
      <c r="K347" s="619"/>
      <c r="L347" s="619"/>
      <c r="M347" s="619"/>
      <c r="N347" s="619"/>
      <c r="O347" s="619"/>
      <c r="P347" s="619"/>
      <c r="Q347" s="619"/>
      <c r="R347" s="619"/>
      <c r="S347" s="619"/>
      <c r="T347" s="619"/>
      <c r="U347" s="619"/>
      <c r="V347" s="619"/>
      <c r="W347" s="619"/>
      <c r="X347" s="619"/>
      <c r="Y347" s="619"/>
      <c r="Z347" s="619"/>
    </row>
    <row r="348" spans="1:26" ht="11.25" customHeight="1">
      <c r="A348" s="619"/>
      <c r="B348" s="619"/>
      <c r="C348" s="619" t="e">
        <v>#NULL!</v>
      </c>
      <c r="D348" s="619"/>
      <c r="E348" s="619"/>
      <c r="F348" s="619"/>
      <c r="G348" s="621"/>
      <c r="H348" s="619"/>
      <c r="I348" s="619"/>
      <c r="J348" s="619"/>
      <c r="K348" s="619"/>
      <c r="L348" s="619"/>
      <c r="M348" s="619"/>
      <c r="N348" s="619"/>
      <c r="O348" s="619"/>
      <c r="P348" s="619"/>
      <c r="Q348" s="619"/>
      <c r="R348" s="619"/>
      <c r="S348" s="619"/>
      <c r="T348" s="619"/>
      <c r="U348" s="619"/>
      <c r="V348" s="619"/>
      <c r="W348" s="619"/>
      <c r="X348" s="619"/>
      <c r="Y348" s="619"/>
      <c r="Z348" s="619"/>
    </row>
    <row r="349" spans="1:26" ht="11.25" customHeight="1">
      <c r="A349" s="619"/>
      <c r="B349" s="619"/>
      <c r="C349" s="619" t="e">
        <v>#NULL!</v>
      </c>
      <c r="D349" s="619"/>
      <c r="E349" s="619"/>
      <c r="F349" s="619"/>
      <c r="G349" s="621"/>
      <c r="H349" s="619"/>
      <c r="I349" s="619"/>
      <c r="J349" s="619"/>
      <c r="K349" s="619"/>
      <c r="L349" s="619"/>
      <c r="M349" s="619"/>
      <c r="N349" s="619"/>
      <c r="O349" s="619"/>
      <c r="P349" s="619"/>
      <c r="Q349" s="619"/>
      <c r="R349" s="619"/>
      <c r="S349" s="619"/>
      <c r="T349" s="619"/>
      <c r="U349" s="619"/>
      <c r="V349" s="619"/>
      <c r="W349" s="619"/>
      <c r="X349" s="619"/>
      <c r="Y349" s="619"/>
      <c r="Z349" s="619"/>
    </row>
    <row r="350" spans="1:26" ht="11.25" customHeight="1">
      <c r="A350" s="619"/>
      <c r="B350" s="619"/>
      <c r="C350" s="619" t="e">
        <v>#NULL!</v>
      </c>
      <c r="D350" s="619"/>
      <c r="E350" s="619"/>
      <c r="F350" s="619"/>
      <c r="G350" s="621"/>
      <c r="H350" s="619"/>
      <c r="I350" s="619"/>
      <c r="J350" s="619"/>
      <c r="K350" s="619"/>
      <c r="L350" s="619"/>
      <c r="M350" s="619"/>
      <c r="N350" s="619"/>
      <c r="O350" s="619"/>
      <c r="P350" s="619"/>
      <c r="Q350" s="619"/>
      <c r="R350" s="619"/>
      <c r="S350" s="619"/>
      <c r="T350" s="619"/>
      <c r="U350" s="619"/>
      <c r="V350" s="619"/>
      <c r="W350" s="619"/>
      <c r="X350" s="619"/>
      <c r="Y350" s="619"/>
      <c r="Z350" s="619"/>
    </row>
    <row r="351" spans="1:26" ht="11.25" customHeight="1">
      <c r="A351" s="619"/>
      <c r="B351" s="619"/>
      <c r="C351" s="619" t="e">
        <v>#NULL!</v>
      </c>
      <c r="D351" s="619"/>
      <c r="E351" s="619"/>
      <c r="F351" s="619"/>
      <c r="G351" s="621"/>
      <c r="H351" s="619"/>
      <c r="I351" s="619"/>
      <c r="J351" s="619"/>
      <c r="K351" s="619"/>
      <c r="L351" s="619"/>
      <c r="M351" s="619"/>
      <c r="N351" s="619"/>
      <c r="O351" s="619"/>
      <c r="P351" s="619"/>
      <c r="Q351" s="619"/>
      <c r="R351" s="619"/>
      <c r="S351" s="619"/>
      <c r="T351" s="619"/>
      <c r="U351" s="619"/>
      <c r="V351" s="619"/>
      <c r="W351" s="619"/>
      <c r="X351" s="619"/>
      <c r="Y351" s="619"/>
      <c r="Z351" s="619"/>
    </row>
    <row r="352" spans="1:26" ht="11.25" customHeight="1">
      <c r="A352" s="619"/>
      <c r="B352" s="619"/>
      <c r="C352" s="619" t="e">
        <v>#NULL!</v>
      </c>
      <c r="D352" s="619"/>
      <c r="E352" s="619"/>
      <c r="F352" s="619"/>
      <c r="G352" s="621"/>
      <c r="H352" s="619"/>
      <c r="I352" s="619"/>
      <c r="J352" s="619"/>
      <c r="K352" s="619"/>
      <c r="L352" s="619"/>
      <c r="M352" s="619"/>
      <c r="N352" s="619"/>
      <c r="O352" s="619"/>
      <c r="P352" s="619"/>
      <c r="Q352" s="619"/>
      <c r="R352" s="619"/>
      <c r="S352" s="619"/>
      <c r="T352" s="619"/>
      <c r="U352" s="619"/>
      <c r="V352" s="619"/>
      <c r="W352" s="619"/>
      <c r="X352" s="619"/>
      <c r="Y352" s="619"/>
      <c r="Z352" s="619"/>
    </row>
    <row r="353" spans="1:26" ht="11.25" customHeight="1">
      <c r="A353" s="619"/>
      <c r="B353" s="619"/>
      <c r="C353" s="619" t="e">
        <v>#NULL!</v>
      </c>
      <c r="D353" s="619"/>
      <c r="E353" s="619"/>
      <c r="F353" s="619"/>
      <c r="G353" s="621"/>
      <c r="H353" s="619"/>
      <c r="I353" s="619"/>
      <c r="J353" s="619"/>
      <c r="K353" s="619"/>
      <c r="L353" s="619"/>
      <c r="M353" s="619"/>
      <c r="N353" s="619"/>
      <c r="O353" s="619"/>
      <c r="P353" s="619"/>
      <c r="Q353" s="619"/>
      <c r="R353" s="619"/>
      <c r="S353" s="619"/>
      <c r="T353" s="619"/>
      <c r="U353" s="619"/>
      <c r="V353" s="619"/>
      <c r="W353" s="619"/>
      <c r="X353" s="619"/>
      <c r="Y353" s="619"/>
      <c r="Z353" s="619"/>
    </row>
    <row r="354" spans="1:26" ht="11.25" customHeight="1">
      <c r="A354" s="619"/>
      <c r="B354" s="619"/>
      <c r="C354" s="619" t="e">
        <v>#NULL!</v>
      </c>
      <c r="D354" s="619"/>
      <c r="E354" s="619"/>
      <c r="F354" s="619"/>
      <c r="G354" s="621"/>
      <c r="H354" s="619"/>
      <c r="I354" s="619"/>
      <c r="J354" s="619"/>
      <c r="K354" s="619"/>
      <c r="L354" s="619"/>
      <c r="M354" s="619"/>
      <c r="N354" s="619"/>
      <c r="O354" s="619"/>
      <c r="P354" s="619"/>
      <c r="Q354" s="619"/>
      <c r="R354" s="619"/>
      <c r="S354" s="619"/>
      <c r="T354" s="619"/>
      <c r="U354" s="619"/>
      <c r="V354" s="619"/>
      <c r="W354" s="619"/>
      <c r="X354" s="619"/>
      <c r="Y354" s="619"/>
      <c r="Z354" s="619"/>
    </row>
    <row r="355" spans="1:26" ht="11.25" customHeight="1">
      <c r="A355" s="619"/>
      <c r="B355" s="619"/>
      <c r="C355" s="619" t="e">
        <v>#NULL!</v>
      </c>
      <c r="D355" s="619"/>
      <c r="E355" s="619"/>
      <c r="F355" s="619"/>
      <c r="G355" s="621"/>
      <c r="H355" s="619"/>
      <c r="I355" s="619"/>
      <c r="J355" s="619"/>
      <c r="K355" s="619"/>
      <c r="L355" s="619"/>
      <c r="M355" s="619"/>
      <c r="N355" s="619"/>
      <c r="O355" s="619"/>
      <c r="P355" s="619"/>
      <c r="Q355" s="619"/>
      <c r="R355" s="619"/>
      <c r="S355" s="619"/>
      <c r="T355" s="619"/>
      <c r="U355" s="619"/>
      <c r="V355" s="619"/>
      <c r="W355" s="619"/>
      <c r="X355" s="619"/>
      <c r="Y355" s="619"/>
      <c r="Z355" s="619"/>
    </row>
    <row r="356" spans="1:26" ht="11.25" customHeight="1">
      <c r="A356" s="619"/>
      <c r="B356" s="619"/>
      <c r="C356" s="619" t="e">
        <v>#NULL!</v>
      </c>
      <c r="D356" s="619"/>
      <c r="E356" s="619"/>
      <c r="F356" s="619"/>
      <c r="G356" s="621"/>
      <c r="H356" s="619"/>
      <c r="I356" s="619"/>
      <c r="J356" s="619"/>
      <c r="K356" s="619"/>
      <c r="L356" s="619"/>
      <c r="M356" s="619"/>
      <c r="N356" s="619"/>
      <c r="O356" s="619"/>
      <c r="P356" s="619"/>
      <c r="Q356" s="619"/>
      <c r="R356" s="619"/>
      <c r="S356" s="619"/>
      <c r="T356" s="619"/>
      <c r="U356" s="619"/>
      <c r="V356" s="619"/>
      <c r="W356" s="619"/>
      <c r="X356" s="619"/>
      <c r="Y356" s="619"/>
      <c r="Z356" s="619"/>
    </row>
    <row r="357" spans="1:26" ht="11.25" customHeight="1">
      <c r="A357" s="619"/>
      <c r="B357" s="619"/>
      <c r="C357" s="619" t="e">
        <v>#NULL!</v>
      </c>
      <c r="D357" s="619"/>
      <c r="E357" s="619"/>
      <c r="F357" s="619"/>
      <c r="G357" s="621"/>
      <c r="H357" s="619"/>
      <c r="I357" s="619"/>
      <c r="J357" s="619"/>
      <c r="K357" s="619"/>
      <c r="L357" s="619"/>
      <c r="M357" s="619"/>
      <c r="N357" s="619"/>
      <c r="O357" s="619"/>
      <c r="P357" s="619"/>
      <c r="Q357" s="619"/>
      <c r="R357" s="619"/>
      <c r="S357" s="619"/>
      <c r="T357" s="619"/>
      <c r="U357" s="619"/>
      <c r="V357" s="619"/>
      <c r="W357" s="619"/>
      <c r="X357" s="619"/>
      <c r="Y357" s="619"/>
      <c r="Z357" s="619"/>
    </row>
    <row r="358" spans="1:26" ht="11.25" customHeight="1">
      <c r="A358" s="619"/>
      <c r="B358" s="619"/>
      <c r="C358" s="619" t="e">
        <v>#NULL!</v>
      </c>
      <c r="D358" s="619"/>
      <c r="E358" s="619"/>
      <c r="F358" s="619"/>
      <c r="G358" s="621"/>
      <c r="H358" s="619"/>
      <c r="I358" s="619"/>
      <c r="J358" s="619"/>
      <c r="K358" s="619"/>
      <c r="L358" s="619"/>
      <c r="M358" s="619"/>
      <c r="N358" s="619"/>
      <c r="O358" s="619"/>
      <c r="P358" s="619"/>
      <c r="Q358" s="619"/>
      <c r="R358" s="619"/>
      <c r="S358" s="619"/>
      <c r="T358" s="619"/>
      <c r="U358" s="619"/>
      <c r="V358" s="619"/>
      <c r="W358" s="619"/>
      <c r="X358" s="619"/>
      <c r="Y358" s="619"/>
      <c r="Z358" s="619"/>
    </row>
    <row r="359" spans="1:26" ht="11.25" customHeight="1">
      <c r="A359" s="619"/>
      <c r="B359" s="619"/>
      <c r="C359" s="619" t="e">
        <v>#NULL!</v>
      </c>
      <c r="D359" s="619"/>
      <c r="E359" s="619"/>
      <c r="F359" s="619"/>
      <c r="G359" s="621"/>
      <c r="H359" s="619"/>
      <c r="I359" s="619"/>
      <c r="J359" s="619"/>
      <c r="K359" s="619"/>
      <c r="L359" s="619"/>
      <c r="M359" s="619"/>
      <c r="N359" s="619"/>
      <c r="O359" s="619"/>
      <c r="P359" s="619"/>
      <c r="Q359" s="619"/>
      <c r="R359" s="619"/>
      <c r="S359" s="619"/>
      <c r="T359" s="619"/>
      <c r="U359" s="619"/>
      <c r="V359" s="619"/>
      <c r="W359" s="619"/>
      <c r="X359" s="619"/>
      <c r="Y359" s="619"/>
      <c r="Z359" s="619"/>
    </row>
    <row r="360" spans="1:26" ht="11.25" customHeight="1">
      <c r="A360" s="619"/>
      <c r="B360" s="619"/>
      <c r="C360" s="619" t="e">
        <v>#NULL!</v>
      </c>
      <c r="D360" s="619"/>
      <c r="E360" s="619"/>
      <c r="F360" s="619"/>
      <c r="G360" s="621"/>
      <c r="H360" s="619"/>
      <c r="I360" s="619"/>
      <c r="J360" s="619"/>
      <c r="K360" s="619"/>
      <c r="L360" s="619"/>
      <c r="M360" s="619"/>
      <c r="N360" s="619"/>
      <c r="O360" s="619"/>
      <c r="P360" s="619"/>
      <c r="Q360" s="619"/>
      <c r="R360" s="619"/>
      <c r="S360" s="619"/>
      <c r="T360" s="619"/>
      <c r="U360" s="619"/>
      <c r="V360" s="619"/>
      <c r="W360" s="619"/>
      <c r="X360" s="619"/>
      <c r="Y360" s="619"/>
      <c r="Z360" s="619"/>
    </row>
    <row r="361" spans="1:26" ht="11.25" customHeight="1">
      <c r="A361" s="619"/>
      <c r="B361" s="619"/>
      <c r="C361" s="619" t="e">
        <v>#NULL!</v>
      </c>
      <c r="D361" s="619"/>
      <c r="E361" s="619"/>
      <c r="F361" s="619"/>
      <c r="G361" s="621"/>
      <c r="H361" s="619"/>
      <c r="I361" s="619"/>
      <c r="J361" s="619"/>
      <c r="K361" s="619"/>
      <c r="L361" s="619"/>
      <c r="M361" s="619"/>
      <c r="N361" s="619"/>
      <c r="O361" s="619"/>
      <c r="P361" s="619"/>
      <c r="Q361" s="619"/>
      <c r="R361" s="619"/>
      <c r="S361" s="619"/>
      <c r="T361" s="619"/>
      <c r="U361" s="619"/>
      <c r="V361" s="619"/>
      <c r="W361" s="619"/>
      <c r="X361" s="619"/>
      <c r="Y361" s="619"/>
      <c r="Z361" s="619"/>
    </row>
    <row r="362" spans="1:26" ht="11.25" customHeight="1">
      <c r="A362" s="619"/>
      <c r="B362" s="619"/>
      <c r="C362" s="619" t="e">
        <v>#NULL!</v>
      </c>
      <c r="D362" s="619"/>
      <c r="E362" s="619"/>
      <c r="F362" s="619"/>
      <c r="G362" s="621"/>
      <c r="H362" s="619"/>
      <c r="I362" s="619"/>
      <c r="J362" s="619"/>
      <c r="K362" s="619"/>
      <c r="L362" s="619"/>
      <c r="M362" s="619"/>
      <c r="N362" s="619"/>
      <c r="O362" s="619"/>
      <c r="P362" s="619"/>
      <c r="Q362" s="619"/>
      <c r="R362" s="619"/>
      <c r="S362" s="619"/>
      <c r="T362" s="619"/>
      <c r="U362" s="619"/>
      <c r="V362" s="619"/>
      <c r="W362" s="619"/>
      <c r="X362" s="619"/>
      <c r="Y362" s="619"/>
      <c r="Z362" s="619"/>
    </row>
    <row r="363" spans="1:26" ht="11.25" customHeight="1">
      <c r="A363" s="619"/>
      <c r="B363" s="619"/>
      <c r="C363" s="619" t="e">
        <v>#NULL!</v>
      </c>
      <c r="D363" s="619"/>
      <c r="E363" s="619"/>
      <c r="F363" s="619"/>
      <c r="G363" s="621"/>
      <c r="H363" s="619"/>
      <c r="I363" s="619"/>
      <c r="J363" s="619"/>
      <c r="K363" s="619"/>
      <c r="L363" s="619"/>
      <c r="M363" s="619"/>
      <c r="N363" s="619"/>
      <c r="O363" s="619"/>
      <c r="P363" s="619"/>
      <c r="Q363" s="619"/>
      <c r="R363" s="619"/>
      <c r="S363" s="619"/>
      <c r="T363" s="619"/>
      <c r="U363" s="619"/>
      <c r="V363" s="619"/>
      <c r="W363" s="619"/>
      <c r="X363" s="619"/>
      <c r="Y363" s="619"/>
      <c r="Z363" s="619"/>
    </row>
    <row r="364" spans="1:26" ht="11.25" customHeight="1">
      <c r="A364" s="619"/>
      <c r="B364" s="619"/>
      <c r="C364" s="619" t="e">
        <v>#NULL!</v>
      </c>
      <c r="D364" s="619"/>
      <c r="E364" s="619"/>
      <c r="F364" s="619"/>
      <c r="G364" s="621"/>
      <c r="H364" s="619"/>
      <c r="I364" s="619"/>
      <c r="J364" s="619"/>
      <c r="K364" s="619"/>
      <c r="L364" s="619"/>
      <c r="M364" s="619"/>
      <c r="N364" s="619"/>
      <c r="O364" s="619"/>
      <c r="P364" s="619"/>
      <c r="Q364" s="619"/>
      <c r="R364" s="619"/>
      <c r="S364" s="619"/>
      <c r="T364" s="619"/>
      <c r="U364" s="619"/>
      <c r="V364" s="619"/>
      <c r="W364" s="619"/>
      <c r="X364" s="619"/>
      <c r="Y364" s="619"/>
      <c r="Z364" s="619"/>
    </row>
    <row r="365" spans="1:26" ht="11.25" customHeight="1">
      <c r="A365" s="619"/>
      <c r="B365" s="619"/>
      <c r="C365" s="619" t="e">
        <v>#NULL!</v>
      </c>
      <c r="D365" s="619"/>
      <c r="E365" s="619"/>
      <c r="F365" s="619"/>
      <c r="G365" s="621"/>
      <c r="H365" s="619"/>
      <c r="I365" s="619"/>
      <c r="J365" s="619"/>
      <c r="K365" s="619"/>
      <c r="L365" s="619"/>
      <c r="M365" s="619"/>
      <c r="N365" s="619"/>
      <c r="O365" s="619"/>
      <c r="P365" s="619"/>
      <c r="Q365" s="619"/>
      <c r="R365" s="619"/>
      <c r="S365" s="619"/>
      <c r="T365" s="619"/>
      <c r="U365" s="619"/>
      <c r="V365" s="619"/>
      <c r="W365" s="619"/>
      <c r="X365" s="619"/>
      <c r="Y365" s="619"/>
      <c r="Z365" s="619"/>
    </row>
    <row r="366" spans="1:26" ht="11.25" customHeight="1">
      <c r="A366" s="619"/>
      <c r="B366" s="619"/>
      <c r="C366" s="619" t="e">
        <v>#NULL!</v>
      </c>
      <c r="D366" s="619"/>
      <c r="E366" s="619"/>
      <c r="F366" s="619"/>
      <c r="G366" s="621"/>
      <c r="H366" s="619"/>
      <c r="I366" s="619"/>
      <c r="J366" s="619"/>
      <c r="K366" s="619"/>
      <c r="L366" s="619"/>
      <c r="M366" s="619"/>
      <c r="N366" s="619"/>
      <c r="O366" s="619"/>
      <c r="P366" s="619"/>
      <c r="Q366" s="619"/>
      <c r="R366" s="619"/>
      <c r="S366" s="619"/>
      <c r="T366" s="619"/>
      <c r="U366" s="619"/>
      <c r="V366" s="619"/>
      <c r="W366" s="619"/>
      <c r="X366" s="619"/>
      <c r="Y366" s="619"/>
      <c r="Z366" s="619"/>
    </row>
    <row r="367" spans="1:26" ht="11.25" customHeight="1">
      <c r="A367" s="619"/>
      <c r="B367" s="619"/>
      <c r="C367" s="619" t="e">
        <v>#NULL!</v>
      </c>
      <c r="D367" s="619"/>
      <c r="E367" s="619"/>
      <c r="F367" s="619"/>
      <c r="G367" s="621"/>
      <c r="H367" s="619"/>
      <c r="I367" s="619"/>
      <c r="J367" s="619"/>
      <c r="K367" s="619"/>
      <c r="L367" s="619"/>
      <c r="M367" s="619"/>
      <c r="N367" s="619"/>
      <c r="O367" s="619"/>
      <c r="P367" s="619"/>
      <c r="Q367" s="619"/>
      <c r="R367" s="619"/>
      <c r="S367" s="619"/>
      <c r="T367" s="619"/>
      <c r="U367" s="619"/>
      <c r="V367" s="619"/>
      <c r="W367" s="619"/>
      <c r="X367" s="619"/>
      <c r="Y367" s="619"/>
      <c r="Z367" s="619"/>
    </row>
    <row r="368" spans="1:26" ht="11.25" customHeight="1">
      <c r="A368" s="619"/>
      <c r="B368" s="619"/>
      <c r="C368" s="619" t="e">
        <v>#NULL!</v>
      </c>
      <c r="D368" s="619"/>
      <c r="E368" s="619"/>
      <c r="F368" s="619"/>
      <c r="G368" s="621"/>
      <c r="H368" s="619"/>
      <c r="I368" s="619"/>
      <c r="J368" s="619"/>
      <c r="K368" s="619"/>
      <c r="L368" s="619"/>
      <c r="M368" s="619"/>
      <c r="N368" s="619"/>
      <c r="O368" s="619"/>
      <c r="P368" s="619"/>
      <c r="Q368" s="619"/>
      <c r="R368" s="619"/>
      <c r="S368" s="619"/>
      <c r="T368" s="619"/>
      <c r="U368" s="619"/>
      <c r="V368" s="619"/>
      <c r="W368" s="619"/>
      <c r="X368" s="619"/>
      <c r="Y368" s="619"/>
      <c r="Z368" s="619"/>
    </row>
    <row r="369" spans="1:26" ht="11.25" customHeight="1">
      <c r="A369" s="619"/>
      <c r="B369" s="619"/>
      <c r="C369" s="619" t="e">
        <v>#NULL!</v>
      </c>
      <c r="D369" s="619"/>
      <c r="E369" s="619"/>
      <c r="F369" s="619"/>
      <c r="G369" s="621"/>
      <c r="H369" s="619"/>
      <c r="I369" s="619"/>
      <c r="J369" s="619"/>
      <c r="K369" s="619"/>
      <c r="L369" s="619"/>
      <c r="M369" s="619"/>
      <c r="N369" s="619"/>
      <c r="O369" s="619"/>
      <c r="P369" s="619"/>
      <c r="Q369" s="619"/>
      <c r="R369" s="619"/>
      <c r="S369" s="619"/>
      <c r="T369" s="619"/>
      <c r="U369" s="619"/>
      <c r="V369" s="619"/>
      <c r="W369" s="619"/>
      <c r="X369" s="619"/>
      <c r="Y369" s="619"/>
      <c r="Z369" s="619"/>
    </row>
    <row r="370" spans="1:26" ht="11.25" customHeight="1">
      <c r="A370" s="619"/>
      <c r="B370" s="619"/>
      <c r="C370" s="619" t="e">
        <v>#NULL!</v>
      </c>
      <c r="D370" s="619"/>
      <c r="E370" s="619"/>
      <c r="F370" s="619"/>
      <c r="G370" s="621"/>
      <c r="H370" s="619"/>
      <c r="I370" s="619"/>
      <c r="J370" s="619"/>
      <c r="K370" s="619"/>
      <c r="L370" s="619"/>
      <c r="M370" s="619"/>
      <c r="N370" s="619"/>
      <c r="O370" s="619"/>
      <c r="P370" s="619"/>
      <c r="Q370" s="619"/>
      <c r="R370" s="619"/>
      <c r="S370" s="619"/>
      <c r="T370" s="619"/>
      <c r="U370" s="619"/>
      <c r="V370" s="619"/>
      <c r="W370" s="619"/>
      <c r="X370" s="619"/>
      <c r="Y370" s="619"/>
      <c r="Z370" s="619"/>
    </row>
    <row r="371" spans="1:26" ht="11.25" customHeight="1">
      <c r="A371" s="619"/>
      <c r="B371" s="619"/>
      <c r="C371" s="619" t="e">
        <v>#NULL!</v>
      </c>
      <c r="D371" s="619"/>
      <c r="E371" s="619"/>
      <c r="F371" s="619"/>
      <c r="G371" s="621"/>
      <c r="H371" s="619"/>
      <c r="I371" s="619"/>
      <c r="J371" s="619"/>
      <c r="K371" s="619"/>
      <c r="L371" s="619"/>
      <c r="M371" s="619"/>
      <c r="N371" s="619"/>
      <c r="O371" s="619"/>
      <c r="P371" s="619"/>
      <c r="Q371" s="619"/>
      <c r="R371" s="619"/>
      <c r="S371" s="619"/>
      <c r="T371" s="619"/>
      <c r="U371" s="619"/>
      <c r="V371" s="619"/>
      <c r="W371" s="619"/>
      <c r="X371" s="619"/>
      <c r="Y371" s="619"/>
      <c r="Z371" s="619"/>
    </row>
    <row r="372" spans="1:26" ht="11.25" customHeight="1">
      <c r="A372" s="619"/>
      <c r="B372" s="619"/>
      <c r="C372" s="619" t="e">
        <v>#NULL!</v>
      </c>
      <c r="D372" s="619"/>
      <c r="E372" s="619"/>
      <c r="F372" s="619"/>
      <c r="G372" s="621"/>
      <c r="H372" s="619"/>
      <c r="I372" s="619"/>
      <c r="J372" s="619"/>
      <c r="K372" s="619"/>
      <c r="L372" s="619"/>
      <c r="M372" s="619"/>
      <c r="N372" s="619"/>
      <c r="O372" s="619"/>
      <c r="P372" s="619"/>
      <c r="Q372" s="619"/>
      <c r="R372" s="619"/>
      <c r="S372" s="619"/>
      <c r="T372" s="619"/>
      <c r="U372" s="619"/>
      <c r="V372" s="619"/>
      <c r="W372" s="619"/>
      <c r="X372" s="619"/>
      <c r="Y372" s="619"/>
      <c r="Z372" s="619"/>
    </row>
    <row r="373" spans="1:26" ht="11.25" customHeight="1">
      <c r="A373" s="619"/>
      <c r="B373" s="619"/>
      <c r="C373" s="619" t="e">
        <v>#NULL!</v>
      </c>
      <c r="D373" s="619"/>
      <c r="E373" s="619"/>
      <c r="F373" s="619"/>
      <c r="G373" s="621"/>
      <c r="H373" s="619"/>
      <c r="I373" s="619"/>
      <c r="J373" s="619"/>
      <c r="K373" s="619"/>
      <c r="L373" s="619"/>
      <c r="M373" s="619"/>
      <c r="N373" s="619"/>
      <c r="O373" s="619"/>
      <c r="P373" s="619"/>
      <c r="Q373" s="619"/>
      <c r="R373" s="619"/>
      <c r="S373" s="619"/>
      <c r="T373" s="619"/>
      <c r="U373" s="619"/>
      <c r="V373" s="619"/>
      <c r="W373" s="619"/>
      <c r="X373" s="619"/>
      <c r="Y373" s="619"/>
      <c r="Z373" s="619"/>
    </row>
    <row r="374" spans="1:26" ht="11.25" customHeight="1">
      <c r="A374" s="619"/>
      <c r="B374" s="619"/>
      <c r="C374" s="619" t="e">
        <v>#NULL!</v>
      </c>
      <c r="D374" s="619"/>
      <c r="E374" s="619"/>
      <c r="F374" s="619"/>
      <c r="G374" s="621"/>
      <c r="H374" s="619"/>
      <c r="I374" s="619"/>
      <c r="J374" s="619"/>
      <c r="K374" s="619"/>
      <c r="L374" s="619"/>
      <c r="M374" s="619"/>
      <c r="N374" s="619"/>
      <c r="O374" s="619"/>
      <c r="P374" s="619"/>
      <c r="Q374" s="619"/>
      <c r="R374" s="619"/>
      <c r="S374" s="619"/>
      <c r="T374" s="619"/>
      <c r="U374" s="619"/>
      <c r="V374" s="619"/>
      <c r="W374" s="619"/>
      <c r="X374" s="619"/>
      <c r="Y374" s="619"/>
      <c r="Z374" s="619"/>
    </row>
    <row r="375" spans="1:26" ht="11.25" customHeight="1">
      <c r="A375" s="619"/>
      <c r="B375" s="619"/>
      <c r="C375" s="619" t="e">
        <v>#NULL!</v>
      </c>
      <c r="D375" s="619"/>
      <c r="E375" s="619"/>
      <c r="F375" s="619"/>
      <c r="G375" s="621"/>
      <c r="H375" s="619"/>
      <c r="I375" s="619"/>
      <c r="J375" s="619"/>
      <c r="K375" s="619"/>
      <c r="L375" s="619"/>
      <c r="M375" s="619"/>
      <c r="N375" s="619"/>
      <c r="O375" s="619"/>
      <c r="P375" s="619"/>
      <c r="Q375" s="619"/>
      <c r="R375" s="619"/>
      <c r="S375" s="619"/>
      <c r="T375" s="619"/>
      <c r="U375" s="619"/>
      <c r="V375" s="619"/>
      <c r="W375" s="619"/>
      <c r="X375" s="619"/>
      <c r="Y375" s="619"/>
      <c r="Z375" s="619"/>
    </row>
    <row r="376" spans="1:26" ht="11.25" customHeight="1">
      <c r="A376" s="619"/>
      <c r="B376" s="619"/>
      <c r="C376" s="619" t="e">
        <v>#NULL!</v>
      </c>
      <c r="D376" s="619"/>
      <c r="E376" s="619"/>
      <c r="F376" s="619"/>
      <c r="G376" s="621"/>
      <c r="H376" s="619"/>
      <c r="I376" s="619"/>
      <c r="J376" s="619"/>
      <c r="K376" s="619"/>
      <c r="L376" s="619"/>
      <c r="M376" s="619"/>
      <c r="N376" s="619"/>
      <c r="O376" s="619"/>
      <c r="P376" s="619"/>
      <c r="Q376" s="619"/>
      <c r="R376" s="619"/>
      <c r="S376" s="619"/>
      <c r="T376" s="619"/>
      <c r="U376" s="619"/>
      <c r="V376" s="619"/>
      <c r="W376" s="619"/>
      <c r="X376" s="619"/>
      <c r="Y376" s="619"/>
      <c r="Z376" s="619"/>
    </row>
    <row r="377" spans="1:26" ht="11.25" customHeight="1">
      <c r="A377" s="619"/>
      <c r="B377" s="619"/>
      <c r="C377" s="619" t="e">
        <v>#NULL!</v>
      </c>
      <c r="D377" s="619"/>
      <c r="E377" s="619"/>
      <c r="F377" s="619"/>
      <c r="G377" s="621"/>
      <c r="H377" s="619"/>
      <c r="I377" s="619"/>
      <c r="J377" s="619"/>
      <c r="K377" s="619"/>
      <c r="L377" s="619"/>
      <c r="M377" s="619"/>
      <c r="N377" s="619"/>
      <c r="O377" s="619"/>
      <c r="P377" s="619"/>
      <c r="Q377" s="619"/>
      <c r="R377" s="619"/>
      <c r="S377" s="619"/>
      <c r="T377" s="619"/>
      <c r="U377" s="619"/>
      <c r="V377" s="619"/>
      <c r="W377" s="619"/>
      <c r="X377" s="619"/>
      <c r="Y377" s="619"/>
      <c r="Z377" s="619"/>
    </row>
    <row r="378" spans="1:26" ht="11.25" customHeight="1">
      <c r="A378" s="619"/>
      <c r="B378" s="619"/>
      <c r="C378" s="619" t="e">
        <v>#NULL!</v>
      </c>
      <c r="D378" s="619"/>
      <c r="E378" s="619"/>
      <c r="F378" s="619"/>
      <c r="G378" s="621"/>
      <c r="H378" s="619"/>
      <c r="I378" s="619"/>
      <c r="J378" s="619"/>
      <c r="K378" s="619"/>
      <c r="L378" s="619"/>
      <c r="M378" s="619"/>
      <c r="N378" s="619"/>
      <c r="O378" s="619"/>
      <c r="P378" s="619"/>
      <c r="Q378" s="619"/>
      <c r="R378" s="619"/>
      <c r="S378" s="619"/>
      <c r="T378" s="619"/>
      <c r="U378" s="619"/>
      <c r="V378" s="619"/>
      <c r="W378" s="619"/>
      <c r="X378" s="619"/>
      <c r="Y378" s="619"/>
      <c r="Z378" s="619"/>
    </row>
    <row r="379" spans="1:26" ht="11.25" customHeight="1">
      <c r="A379" s="619"/>
      <c r="B379" s="619"/>
      <c r="C379" s="619" t="e">
        <v>#NULL!</v>
      </c>
      <c r="D379" s="619"/>
      <c r="E379" s="619"/>
      <c r="F379" s="619"/>
      <c r="G379" s="621"/>
      <c r="H379" s="619"/>
      <c r="I379" s="619"/>
      <c r="J379" s="619"/>
      <c r="K379" s="619"/>
      <c r="L379" s="619"/>
      <c r="M379" s="619"/>
      <c r="N379" s="619"/>
      <c r="O379" s="619"/>
      <c r="P379" s="619"/>
      <c r="Q379" s="619"/>
      <c r="R379" s="619"/>
      <c r="S379" s="619"/>
      <c r="T379" s="619"/>
      <c r="U379" s="619"/>
      <c r="V379" s="619"/>
      <c r="W379" s="619"/>
      <c r="X379" s="619"/>
      <c r="Y379" s="619"/>
      <c r="Z379" s="619"/>
    </row>
    <row r="380" spans="1:26" ht="11.25" customHeight="1">
      <c r="A380" s="619"/>
      <c r="B380" s="619"/>
      <c r="C380" s="619"/>
      <c r="D380" s="619"/>
      <c r="E380" s="619"/>
      <c r="F380" s="619"/>
      <c r="G380" s="621"/>
      <c r="H380" s="619"/>
      <c r="I380" s="619"/>
      <c r="J380" s="619"/>
      <c r="K380" s="619"/>
      <c r="L380" s="619"/>
      <c r="M380" s="619"/>
      <c r="N380" s="619"/>
      <c r="O380" s="619"/>
      <c r="P380" s="619"/>
      <c r="Q380" s="619"/>
      <c r="R380" s="619"/>
      <c r="S380" s="619"/>
      <c r="T380" s="619"/>
      <c r="U380" s="619"/>
      <c r="V380" s="619"/>
      <c r="W380" s="619"/>
      <c r="X380" s="619"/>
      <c r="Y380" s="619"/>
      <c r="Z380" s="619"/>
    </row>
    <row r="381" spans="1:26" ht="11.25" customHeight="1">
      <c r="A381" s="619"/>
      <c r="B381" s="619"/>
      <c r="C381" s="619"/>
      <c r="D381" s="619"/>
      <c r="E381" s="619"/>
      <c r="F381" s="619"/>
      <c r="G381" s="621"/>
      <c r="H381" s="619"/>
      <c r="I381" s="619"/>
      <c r="J381" s="619"/>
      <c r="K381" s="619"/>
      <c r="L381" s="619"/>
      <c r="M381" s="619"/>
      <c r="N381" s="619"/>
      <c r="O381" s="619"/>
      <c r="P381" s="619"/>
      <c r="Q381" s="619"/>
      <c r="R381" s="619"/>
      <c r="S381" s="619"/>
      <c r="T381" s="619"/>
      <c r="U381" s="619"/>
      <c r="V381" s="619"/>
      <c r="W381" s="619"/>
      <c r="X381" s="619"/>
      <c r="Y381" s="619"/>
      <c r="Z381" s="619"/>
    </row>
    <row r="382" spans="1:26" ht="11.25" customHeight="1">
      <c r="A382" s="619"/>
      <c r="B382" s="619"/>
      <c r="C382" s="619"/>
      <c r="D382" s="619"/>
      <c r="E382" s="619"/>
      <c r="F382" s="619"/>
      <c r="G382" s="621"/>
      <c r="H382" s="619"/>
      <c r="I382" s="619"/>
      <c r="J382" s="619"/>
      <c r="K382" s="619"/>
      <c r="L382" s="619"/>
      <c r="M382" s="619"/>
      <c r="N382" s="619"/>
      <c r="O382" s="619"/>
      <c r="P382" s="619"/>
      <c r="Q382" s="619"/>
      <c r="R382" s="619"/>
      <c r="S382" s="619"/>
      <c r="T382" s="619"/>
      <c r="U382" s="619"/>
      <c r="V382" s="619"/>
      <c r="W382" s="619"/>
      <c r="X382" s="619"/>
      <c r="Y382" s="619"/>
      <c r="Z382" s="619"/>
    </row>
    <row r="383" spans="1:26" ht="11.25" customHeight="1">
      <c r="A383" s="619"/>
      <c r="B383" s="619"/>
      <c r="C383" s="619"/>
      <c r="D383" s="619"/>
      <c r="E383" s="619"/>
      <c r="F383" s="619"/>
      <c r="G383" s="621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</row>
    <row r="384" spans="1:26" ht="11.25" customHeight="1">
      <c r="A384" s="619"/>
      <c r="B384" s="619"/>
      <c r="C384" s="619"/>
      <c r="D384" s="619"/>
      <c r="E384" s="619"/>
      <c r="F384" s="619"/>
      <c r="G384" s="621"/>
      <c r="H384" s="619"/>
      <c r="I384" s="619"/>
      <c r="J384" s="619"/>
      <c r="K384" s="619"/>
      <c r="L384" s="619"/>
      <c r="M384" s="619"/>
      <c r="N384" s="619"/>
      <c r="O384" s="619"/>
      <c r="P384" s="619"/>
      <c r="Q384" s="619"/>
      <c r="R384" s="619"/>
      <c r="S384" s="619"/>
      <c r="T384" s="619"/>
      <c r="U384" s="619"/>
      <c r="V384" s="619"/>
      <c r="W384" s="619"/>
      <c r="X384" s="619"/>
      <c r="Y384" s="619"/>
      <c r="Z384" s="619"/>
    </row>
    <row r="385" spans="1:26" ht="11.25" customHeight="1">
      <c r="A385" s="619"/>
      <c r="B385" s="619"/>
      <c r="C385" s="619"/>
      <c r="D385" s="619"/>
      <c r="E385" s="619"/>
      <c r="F385" s="619"/>
      <c r="G385" s="621"/>
      <c r="H385" s="619"/>
      <c r="I385" s="619"/>
      <c r="J385" s="619"/>
      <c r="K385" s="619"/>
      <c r="L385" s="619"/>
      <c r="M385" s="619"/>
      <c r="N385" s="619"/>
      <c r="O385" s="619"/>
      <c r="P385" s="619"/>
      <c r="Q385" s="619"/>
      <c r="R385" s="619"/>
      <c r="S385" s="619"/>
      <c r="T385" s="619"/>
      <c r="U385" s="619"/>
      <c r="V385" s="619"/>
      <c r="W385" s="619"/>
      <c r="X385" s="619"/>
      <c r="Y385" s="619"/>
      <c r="Z385" s="619"/>
    </row>
    <row r="386" spans="1:26" ht="11.25" customHeight="1">
      <c r="A386" s="619"/>
      <c r="B386" s="619"/>
      <c r="C386" s="619"/>
      <c r="D386" s="619"/>
      <c r="E386" s="619"/>
      <c r="F386" s="619"/>
      <c r="G386" s="621"/>
      <c r="H386" s="619"/>
      <c r="I386" s="619"/>
      <c r="J386" s="619"/>
      <c r="K386" s="619"/>
      <c r="L386" s="619"/>
      <c r="M386" s="619"/>
      <c r="N386" s="619"/>
      <c r="O386" s="619"/>
      <c r="P386" s="619"/>
      <c r="Q386" s="619"/>
      <c r="R386" s="619"/>
      <c r="S386" s="619"/>
      <c r="T386" s="619"/>
      <c r="U386" s="619"/>
      <c r="V386" s="619"/>
      <c r="W386" s="619"/>
      <c r="X386" s="619"/>
      <c r="Y386" s="619"/>
      <c r="Z386" s="619"/>
    </row>
    <row r="387" spans="1:26" ht="11.25" customHeight="1">
      <c r="A387" s="619"/>
      <c r="B387" s="619"/>
      <c r="C387" s="619"/>
      <c r="D387" s="619"/>
      <c r="E387" s="619"/>
      <c r="F387" s="619"/>
      <c r="G387" s="621"/>
      <c r="H387" s="619"/>
      <c r="I387" s="619"/>
      <c r="J387" s="619"/>
      <c r="K387" s="619"/>
      <c r="L387" s="619"/>
      <c r="M387" s="619"/>
      <c r="N387" s="619"/>
      <c r="O387" s="619"/>
      <c r="P387" s="619"/>
      <c r="Q387" s="619"/>
      <c r="R387" s="619"/>
      <c r="S387" s="619"/>
      <c r="T387" s="619"/>
      <c r="U387" s="619"/>
      <c r="V387" s="619"/>
      <c r="W387" s="619"/>
      <c r="X387" s="619"/>
      <c r="Y387" s="619"/>
      <c r="Z387" s="619"/>
    </row>
    <row r="388" spans="1:26" ht="11.25" customHeight="1">
      <c r="A388" s="619"/>
      <c r="B388" s="619"/>
      <c r="C388" s="619"/>
      <c r="D388" s="619"/>
      <c r="E388" s="619"/>
      <c r="F388" s="619"/>
      <c r="G388" s="621"/>
      <c r="H388" s="619"/>
      <c r="I388" s="619"/>
      <c r="J388" s="619"/>
      <c r="K388" s="619"/>
      <c r="L388" s="619"/>
      <c r="M388" s="619"/>
      <c r="N388" s="619"/>
      <c r="O388" s="619"/>
      <c r="P388" s="619"/>
      <c r="Q388" s="619"/>
      <c r="R388" s="619"/>
      <c r="S388" s="619"/>
      <c r="T388" s="619"/>
      <c r="U388" s="619"/>
      <c r="V388" s="619"/>
      <c r="W388" s="619"/>
      <c r="X388" s="619"/>
      <c r="Y388" s="619"/>
      <c r="Z388" s="619"/>
    </row>
    <row r="389" spans="1:26" ht="11.25" customHeight="1">
      <c r="A389" s="619"/>
      <c r="B389" s="619"/>
      <c r="C389" s="619"/>
      <c r="D389" s="619"/>
      <c r="E389" s="619"/>
      <c r="F389" s="619"/>
      <c r="G389" s="621"/>
      <c r="H389" s="619"/>
      <c r="I389" s="619"/>
      <c r="J389" s="619"/>
      <c r="K389" s="619"/>
      <c r="L389" s="619"/>
      <c r="M389" s="619"/>
      <c r="N389" s="619"/>
      <c r="O389" s="619"/>
      <c r="P389" s="619"/>
      <c r="Q389" s="619"/>
      <c r="R389" s="619"/>
      <c r="S389" s="619"/>
      <c r="T389" s="619"/>
      <c r="U389" s="619"/>
      <c r="V389" s="619"/>
      <c r="W389" s="619"/>
      <c r="X389" s="619"/>
      <c r="Y389" s="619"/>
      <c r="Z389" s="619"/>
    </row>
    <row r="390" spans="1:26" ht="11.25" customHeight="1">
      <c r="A390" s="619"/>
      <c r="B390" s="619"/>
      <c r="C390" s="619"/>
      <c r="D390" s="619"/>
      <c r="E390" s="619"/>
      <c r="F390" s="619"/>
      <c r="G390" s="621"/>
      <c r="H390" s="619"/>
      <c r="I390" s="619"/>
      <c r="J390" s="619"/>
      <c r="K390" s="619"/>
      <c r="L390" s="619"/>
      <c r="M390" s="619"/>
      <c r="N390" s="619"/>
      <c r="O390" s="619"/>
      <c r="P390" s="619"/>
      <c r="Q390" s="619"/>
      <c r="R390" s="619"/>
      <c r="S390" s="619"/>
      <c r="T390" s="619"/>
      <c r="U390" s="619"/>
      <c r="V390" s="619"/>
      <c r="W390" s="619"/>
      <c r="X390" s="619"/>
      <c r="Y390" s="619"/>
      <c r="Z390" s="619"/>
    </row>
    <row r="391" spans="1:26" ht="11.25" customHeight="1">
      <c r="A391" s="619"/>
      <c r="B391" s="619"/>
      <c r="C391" s="619"/>
      <c r="D391" s="619"/>
      <c r="E391" s="619"/>
      <c r="F391" s="619"/>
      <c r="G391" s="621"/>
      <c r="H391" s="619"/>
      <c r="I391" s="619"/>
      <c r="J391" s="619"/>
      <c r="K391" s="619"/>
      <c r="L391" s="619"/>
      <c r="M391" s="619"/>
      <c r="N391" s="619"/>
      <c r="O391" s="619"/>
      <c r="P391" s="619"/>
      <c r="Q391" s="619"/>
      <c r="R391" s="619"/>
      <c r="S391" s="619"/>
      <c r="T391" s="619"/>
      <c r="U391" s="619"/>
      <c r="V391" s="619"/>
      <c r="W391" s="619"/>
      <c r="X391" s="619"/>
      <c r="Y391" s="619"/>
      <c r="Z391" s="619"/>
    </row>
    <row r="392" spans="1:26" ht="11.25" customHeight="1">
      <c r="A392" s="619"/>
      <c r="B392" s="619"/>
      <c r="C392" s="619"/>
      <c r="D392" s="619"/>
      <c r="E392" s="619"/>
      <c r="F392" s="619"/>
      <c r="G392" s="621"/>
      <c r="H392" s="619"/>
      <c r="I392" s="619"/>
      <c r="J392" s="619"/>
      <c r="K392" s="619"/>
      <c r="L392" s="619"/>
      <c r="M392" s="619"/>
      <c r="N392" s="619"/>
      <c r="O392" s="619"/>
      <c r="P392" s="619"/>
      <c r="Q392" s="619"/>
      <c r="R392" s="619"/>
      <c r="S392" s="619"/>
      <c r="T392" s="619"/>
      <c r="U392" s="619"/>
      <c r="V392" s="619"/>
      <c r="W392" s="619"/>
      <c r="X392" s="619"/>
      <c r="Y392" s="619"/>
      <c r="Z392" s="619"/>
    </row>
    <row r="393" spans="1:26" ht="11.25" customHeight="1">
      <c r="A393" s="619"/>
      <c r="B393" s="619"/>
      <c r="C393" s="619"/>
      <c r="D393" s="619"/>
      <c r="E393" s="619"/>
      <c r="F393" s="619"/>
      <c r="G393" s="621"/>
      <c r="H393" s="619"/>
      <c r="I393" s="619"/>
      <c r="J393" s="619"/>
      <c r="K393" s="619"/>
      <c r="L393" s="619"/>
      <c r="M393" s="619"/>
      <c r="N393" s="619"/>
      <c r="O393" s="619"/>
      <c r="P393" s="619"/>
      <c r="Q393" s="619"/>
      <c r="R393" s="619"/>
      <c r="S393" s="619"/>
      <c r="T393" s="619"/>
      <c r="U393" s="619"/>
      <c r="V393" s="619"/>
      <c r="W393" s="619"/>
      <c r="X393" s="619"/>
      <c r="Y393" s="619"/>
      <c r="Z393" s="619"/>
    </row>
    <row r="394" spans="1:26" ht="11.25" customHeight="1">
      <c r="A394" s="619"/>
      <c r="B394" s="619"/>
      <c r="C394" s="619"/>
      <c r="D394" s="619"/>
      <c r="E394" s="619"/>
      <c r="F394" s="619"/>
      <c r="G394" s="621"/>
      <c r="H394" s="619"/>
      <c r="I394" s="619"/>
      <c r="J394" s="619"/>
      <c r="K394" s="619"/>
      <c r="L394" s="619"/>
      <c r="M394" s="619"/>
      <c r="N394" s="619"/>
      <c r="O394" s="619"/>
      <c r="P394" s="619"/>
      <c r="Q394" s="619"/>
      <c r="R394" s="619"/>
      <c r="S394" s="619"/>
      <c r="T394" s="619"/>
      <c r="U394" s="619"/>
      <c r="V394" s="619"/>
      <c r="W394" s="619"/>
      <c r="X394" s="619"/>
      <c r="Y394" s="619"/>
      <c r="Z394" s="619"/>
    </row>
    <row r="395" spans="1:26" ht="11.25" customHeight="1">
      <c r="A395" s="619"/>
      <c r="B395" s="619"/>
      <c r="C395" s="619"/>
      <c r="D395" s="619"/>
      <c r="E395" s="619"/>
      <c r="F395" s="619"/>
      <c r="G395" s="621"/>
      <c r="H395" s="619"/>
      <c r="I395" s="619"/>
      <c r="J395" s="619"/>
      <c r="K395" s="619"/>
      <c r="L395" s="619"/>
      <c r="M395" s="619"/>
      <c r="N395" s="619"/>
      <c r="O395" s="619"/>
      <c r="P395" s="619"/>
      <c r="Q395" s="619"/>
      <c r="R395" s="619"/>
      <c r="S395" s="619"/>
      <c r="T395" s="619"/>
      <c r="U395" s="619"/>
      <c r="V395" s="619"/>
      <c r="W395" s="619"/>
      <c r="X395" s="619"/>
      <c r="Y395" s="619"/>
      <c r="Z395" s="619"/>
    </row>
    <row r="396" spans="1:26" ht="11.25" customHeight="1">
      <c r="A396" s="619"/>
      <c r="B396" s="619"/>
      <c r="C396" s="619"/>
      <c r="D396" s="619"/>
      <c r="E396" s="619"/>
      <c r="F396" s="619"/>
      <c r="G396" s="621"/>
      <c r="H396" s="619"/>
      <c r="I396" s="619"/>
      <c r="J396" s="619"/>
      <c r="K396" s="619"/>
      <c r="L396" s="619"/>
      <c r="M396" s="619"/>
      <c r="N396" s="619"/>
      <c r="O396" s="619"/>
      <c r="P396" s="619"/>
      <c r="Q396" s="619"/>
      <c r="R396" s="619"/>
      <c r="S396" s="619"/>
      <c r="T396" s="619"/>
      <c r="U396" s="619"/>
      <c r="V396" s="619"/>
      <c r="W396" s="619"/>
      <c r="X396" s="619"/>
      <c r="Y396" s="619"/>
      <c r="Z396" s="619"/>
    </row>
    <row r="397" spans="1:26" ht="11.25" customHeight="1">
      <c r="A397" s="619"/>
      <c r="B397" s="619"/>
      <c r="C397" s="619"/>
      <c r="D397" s="619"/>
      <c r="E397" s="619"/>
      <c r="F397" s="619"/>
      <c r="G397" s="621"/>
      <c r="H397" s="619"/>
      <c r="I397" s="619"/>
      <c r="J397" s="619"/>
      <c r="K397" s="619"/>
      <c r="L397" s="619"/>
      <c r="M397" s="619"/>
      <c r="N397" s="619"/>
      <c r="O397" s="619"/>
      <c r="P397" s="619"/>
      <c r="Q397" s="619"/>
      <c r="R397" s="619"/>
      <c r="S397" s="619"/>
      <c r="T397" s="619"/>
      <c r="U397" s="619"/>
      <c r="V397" s="619"/>
      <c r="W397" s="619"/>
      <c r="X397" s="619"/>
      <c r="Y397" s="619"/>
      <c r="Z397" s="619"/>
    </row>
    <row r="398" spans="1:26" ht="11.25" customHeight="1">
      <c r="A398" s="619"/>
      <c r="B398" s="619"/>
      <c r="C398" s="619"/>
      <c r="D398" s="619"/>
      <c r="E398" s="619"/>
      <c r="F398" s="619"/>
      <c r="G398" s="621"/>
      <c r="H398" s="619"/>
      <c r="I398" s="619"/>
      <c r="J398" s="619"/>
      <c r="K398" s="619"/>
      <c r="L398" s="619"/>
      <c r="M398" s="619"/>
      <c r="N398" s="619"/>
      <c r="O398" s="619"/>
      <c r="P398" s="619"/>
      <c r="Q398" s="619"/>
      <c r="R398" s="619"/>
      <c r="S398" s="619"/>
      <c r="T398" s="619"/>
      <c r="U398" s="619"/>
      <c r="V398" s="619"/>
      <c r="W398" s="619"/>
      <c r="X398" s="619"/>
      <c r="Y398" s="619"/>
      <c r="Z398" s="619"/>
    </row>
    <row r="399" spans="1:26" ht="11.25" customHeight="1">
      <c r="A399" s="619"/>
      <c r="B399" s="619"/>
      <c r="C399" s="619"/>
      <c r="D399" s="619"/>
      <c r="E399" s="619"/>
      <c r="F399" s="619"/>
      <c r="G399" s="621"/>
      <c r="H399" s="619"/>
      <c r="I399" s="619"/>
      <c r="J399" s="619"/>
      <c r="K399" s="619"/>
      <c r="L399" s="619"/>
      <c r="M399" s="619"/>
      <c r="N399" s="619"/>
      <c r="O399" s="619"/>
      <c r="P399" s="619"/>
      <c r="Q399" s="619"/>
      <c r="R399" s="619"/>
      <c r="S399" s="619"/>
      <c r="T399" s="619"/>
      <c r="U399" s="619"/>
      <c r="V399" s="619"/>
      <c r="W399" s="619"/>
      <c r="X399" s="619"/>
      <c r="Y399" s="619"/>
      <c r="Z399" s="619"/>
    </row>
    <row r="400" spans="1:26" ht="11.25" customHeight="1">
      <c r="A400" s="619"/>
      <c r="B400" s="619"/>
      <c r="C400" s="619"/>
      <c r="D400" s="619"/>
      <c r="E400" s="619"/>
      <c r="F400" s="619"/>
      <c r="G400" s="621"/>
      <c r="H400" s="619"/>
      <c r="I400" s="619"/>
      <c r="J400" s="619"/>
      <c r="K400" s="619"/>
      <c r="L400" s="619"/>
      <c r="M400" s="619"/>
      <c r="N400" s="619"/>
      <c r="O400" s="619"/>
      <c r="P400" s="619"/>
      <c r="Q400" s="619"/>
      <c r="R400" s="619"/>
      <c r="S400" s="619"/>
      <c r="T400" s="619"/>
      <c r="U400" s="619"/>
      <c r="V400" s="619"/>
      <c r="W400" s="619"/>
      <c r="X400" s="619"/>
      <c r="Y400" s="619"/>
      <c r="Z400" s="619"/>
    </row>
    <row r="401" spans="1:26" ht="11.25" customHeight="1">
      <c r="A401" s="619"/>
      <c r="B401" s="619"/>
      <c r="C401" s="619"/>
      <c r="D401" s="619"/>
      <c r="E401" s="619"/>
      <c r="F401" s="619"/>
      <c r="G401" s="621"/>
      <c r="H401" s="619"/>
      <c r="I401" s="619"/>
      <c r="J401" s="619"/>
      <c r="K401" s="619"/>
      <c r="L401" s="619"/>
      <c r="M401" s="619"/>
      <c r="N401" s="619"/>
      <c r="O401" s="619"/>
      <c r="P401" s="619"/>
      <c r="Q401" s="619"/>
      <c r="R401" s="619"/>
      <c r="S401" s="619"/>
      <c r="T401" s="619"/>
      <c r="U401" s="619"/>
      <c r="V401" s="619"/>
      <c r="W401" s="619"/>
      <c r="X401" s="619"/>
      <c r="Y401" s="619"/>
      <c r="Z401" s="619"/>
    </row>
    <row r="402" spans="1:26" ht="11.25" customHeight="1">
      <c r="A402" s="619"/>
      <c r="B402" s="619"/>
      <c r="C402" s="619"/>
      <c r="D402" s="619"/>
      <c r="E402" s="619"/>
      <c r="F402" s="619"/>
      <c r="G402" s="621"/>
      <c r="H402" s="619"/>
      <c r="I402" s="619"/>
      <c r="J402" s="619"/>
      <c r="K402" s="619"/>
      <c r="L402" s="619"/>
      <c r="M402" s="619"/>
      <c r="N402" s="619"/>
      <c r="O402" s="619"/>
      <c r="P402" s="619"/>
      <c r="Q402" s="619"/>
      <c r="R402" s="619"/>
      <c r="S402" s="619"/>
      <c r="T402" s="619"/>
      <c r="U402" s="619"/>
      <c r="V402" s="619"/>
      <c r="W402" s="619"/>
      <c r="X402" s="619"/>
      <c r="Y402" s="619"/>
      <c r="Z402" s="619"/>
    </row>
    <row r="403" spans="1:26" ht="11.25" customHeight="1">
      <c r="A403" s="619"/>
      <c r="B403" s="619"/>
      <c r="C403" s="619"/>
      <c r="D403" s="619"/>
      <c r="E403" s="619"/>
      <c r="F403" s="619"/>
      <c r="G403" s="621"/>
      <c r="H403" s="619"/>
      <c r="I403" s="619"/>
      <c r="J403" s="619"/>
      <c r="K403" s="619"/>
      <c r="L403" s="619"/>
      <c r="M403" s="619"/>
      <c r="N403" s="619"/>
      <c r="O403" s="619"/>
      <c r="P403" s="619"/>
      <c r="Q403" s="619"/>
      <c r="R403" s="619"/>
      <c r="S403" s="619"/>
      <c r="T403" s="619"/>
      <c r="U403" s="619"/>
      <c r="V403" s="619"/>
      <c r="W403" s="619"/>
      <c r="X403" s="619"/>
      <c r="Y403" s="619"/>
      <c r="Z403" s="619"/>
    </row>
    <row r="404" spans="1:26" ht="11.25" customHeight="1">
      <c r="A404" s="619"/>
      <c r="B404" s="619"/>
      <c r="C404" s="619"/>
      <c r="D404" s="619"/>
      <c r="E404" s="619"/>
      <c r="F404" s="619"/>
      <c r="G404" s="621"/>
      <c r="H404" s="619"/>
      <c r="I404" s="619"/>
      <c r="J404" s="619"/>
      <c r="K404" s="619"/>
      <c r="L404" s="619"/>
      <c r="M404" s="619"/>
      <c r="N404" s="619"/>
      <c r="O404" s="619"/>
      <c r="P404" s="619"/>
      <c r="Q404" s="619"/>
      <c r="R404" s="619"/>
      <c r="S404" s="619"/>
      <c r="T404" s="619"/>
      <c r="U404" s="619"/>
      <c r="V404" s="619"/>
      <c r="W404" s="619"/>
      <c r="X404" s="619"/>
      <c r="Y404" s="619"/>
      <c r="Z404" s="619"/>
    </row>
    <row r="405" spans="1:26" ht="11.25" customHeight="1">
      <c r="A405" s="619"/>
      <c r="B405" s="619"/>
      <c r="C405" s="619"/>
      <c r="D405" s="619"/>
      <c r="E405" s="619"/>
      <c r="F405" s="619"/>
      <c r="G405" s="621"/>
      <c r="H405" s="619"/>
      <c r="I405" s="619"/>
      <c r="J405" s="619"/>
      <c r="K405" s="619"/>
      <c r="L405" s="619"/>
      <c r="M405" s="619"/>
      <c r="N405" s="619"/>
      <c r="O405" s="619"/>
      <c r="P405" s="619"/>
      <c r="Q405" s="619"/>
      <c r="R405" s="619"/>
      <c r="S405" s="619"/>
      <c r="T405" s="619"/>
      <c r="U405" s="619"/>
      <c r="V405" s="619"/>
      <c r="W405" s="619"/>
      <c r="X405" s="619"/>
      <c r="Y405" s="619"/>
      <c r="Z405" s="619"/>
    </row>
    <row r="406" spans="1:26" ht="11.25" customHeight="1">
      <c r="A406" s="619"/>
      <c r="B406" s="619"/>
      <c r="C406" s="619"/>
      <c r="D406" s="619"/>
      <c r="E406" s="619"/>
      <c r="F406" s="619"/>
      <c r="G406" s="621"/>
      <c r="H406" s="619"/>
      <c r="I406" s="619"/>
      <c r="J406" s="619"/>
      <c r="K406" s="619"/>
      <c r="L406" s="619"/>
      <c r="M406" s="619"/>
      <c r="N406" s="619"/>
      <c r="O406" s="619"/>
      <c r="P406" s="619"/>
      <c r="Q406" s="619"/>
      <c r="R406" s="619"/>
      <c r="S406" s="619"/>
      <c r="T406" s="619"/>
      <c r="U406" s="619"/>
      <c r="V406" s="619"/>
      <c r="W406" s="619"/>
      <c r="X406" s="619"/>
      <c r="Y406" s="619"/>
      <c r="Z406" s="619"/>
    </row>
    <row r="407" spans="1:26" ht="11.25" customHeight="1">
      <c r="A407" s="619"/>
      <c r="B407" s="619"/>
      <c r="C407" s="619"/>
      <c r="D407" s="619"/>
      <c r="E407" s="619"/>
      <c r="F407" s="619"/>
      <c r="G407" s="621"/>
      <c r="H407" s="619"/>
      <c r="I407" s="619"/>
      <c r="J407" s="619"/>
      <c r="K407" s="619"/>
      <c r="L407" s="619"/>
      <c r="M407" s="619"/>
      <c r="N407" s="619"/>
      <c r="O407" s="619"/>
      <c r="P407" s="619"/>
      <c r="Q407" s="619"/>
      <c r="R407" s="619"/>
      <c r="S407" s="619"/>
      <c r="T407" s="619"/>
      <c r="U407" s="619"/>
      <c r="V407" s="619"/>
      <c r="W407" s="619"/>
      <c r="X407" s="619"/>
      <c r="Y407" s="619"/>
      <c r="Z407" s="619"/>
    </row>
    <row r="408" spans="1:26" ht="11.25" customHeight="1">
      <c r="A408" s="619"/>
      <c r="B408" s="619"/>
      <c r="C408" s="619"/>
      <c r="D408" s="619"/>
      <c r="E408" s="619"/>
      <c r="F408" s="619"/>
      <c r="G408" s="621"/>
      <c r="H408" s="619"/>
      <c r="I408" s="619"/>
      <c r="J408" s="619"/>
      <c r="K408" s="619"/>
      <c r="L408" s="619"/>
      <c r="M408" s="619"/>
      <c r="N408" s="619"/>
      <c r="O408" s="619"/>
      <c r="P408" s="619"/>
      <c r="Q408" s="619"/>
      <c r="R408" s="619"/>
      <c r="S408" s="619"/>
      <c r="T408" s="619"/>
      <c r="U408" s="619"/>
      <c r="V408" s="619"/>
      <c r="W408" s="619"/>
      <c r="X408" s="619"/>
      <c r="Y408" s="619"/>
      <c r="Z408" s="619"/>
    </row>
    <row r="409" spans="1:26" ht="11.25" customHeight="1">
      <c r="A409" s="619"/>
      <c r="B409" s="619"/>
      <c r="C409" s="619"/>
      <c r="D409" s="619"/>
      <c r="E409" s="619"/>
      <c r="F409" s="619"/>
      <c r="G409" s="621"/>
      <c r="H409" s="619"/>
      <c r="I409" s="619"/>
      <c r="J409" s="619"/>
      <c r="K409" s="619"/>
      <c r="L409" s="619"/>
      <c r="M409" s="619"/>
      <c r="N409" s="619"/>
      <c r="O409" s="619"/>
      <c r="P409" s="619"/>
      <c r="Q409" s="619"/>
      <c r="R409" s="619"/>
      <c r="S409" s="619"/>
      <c r="T409" s="619"/>
      <c r="U409" s="619"/>
      <c r="V409" s="619"/>
      <c r="W409" s="619"/>
      <c r="X409" s="619"/>
      <c r="Y409" s="619"/>
      <c r="Z409" s="619"/>
    </row>
    <row r="410" spans="1:26" ht="11.25" customHeight="1">
      <c r="A410" s="619"/>
      <c r="B410" s="619"/>
      <c r="C410" s="619"/>
      <c r="D410" s="619"/>
      <c r="E410" s="619"/>
      <c r="F410" s="619"/>
      <c r="G410" s="621"/>
      <c r="H410" s="619"/>
      <c r="I410" s="619"/>
      <c r="J410" s="619"/>
      <c r="K410" s="619"/>
      <c r="L410" s="619"/>
      <c r="M410" s="619"/>
      <c r="N410" s="619"/>
      <c r="O410" s="619"/>
      <c r="P410" s="619"/>
      <c r="Q410" s="619"/>
      <c r="R410" s="619"/>
      <c r="S410" s="619"/>
      <c r="T410" s="619"/>
      <c r="U410" s="619"/>
      <c r="V410" s="619"/>
      <c r="W410" s="619"/>
      <c r="X410" s="619"/>
      <c r="Y410" s="619"/>
      <c r="Z410" s="619"/>
    </row>
    <row r="411" spans="1:26" ht="11.25" customHeight="1">
      <c r="A411" s="619"/>
      <c r="B411" s="619"/>
      <c r="C411" s="619"/>
      <c r="D411" s="619"/>
      <c r="E411" s="619"/>
      <c r="F411" s="619"/>
      <c r="G411" s="621"/>
      <c r="H411" s="619"/>
      <c r="I411" s="619"/>
      <c r="J411" s="619"/>
      <c r="K411" s="619"/>
      <c r="L411" s="619"/>
      <c r="M411" s="619"/>
      <c r="N411" s="619"/>
      <c r="O411" s="619"/>
      <c r="P411" s="619"/>
      <c r="Q411" s="619"/>
      <c r="R411" s="619"/>
      <c r="S411" s="619"/>
      <c r="T411" s="619"/>
      <c r="U411" s="619"/>
      <c r="V411" s="619"/>
      <c r="W411" s="619"/>
      <c r="X411" s="619"/>
      <c r="Y411" s="619"/>
      <c r="Z411" s="619"/>
    </row>
    <row r="412" spans="1:26" ht="11.25" customHeight="1">
      <c r="A412" s="619"/>
      <c r="B412" s="619"/>
      <c r="C412" s="619"/>
      <c r="D412" s="619"/>
      <c r="E412" s="619"/>
      <c r="F412" s="619"/>
      <c r="G412" s="621"/>
      <c r="H412" s="619"/>
      <c r="I412" s="619"/>
      <c r="J412" s="619"/>
      <c r="K412" s="619"/>
      <c r="L412" s="619"/>
      <c r="M412" s="619"/>
      <c r="N412" s="619"/>
      <c r="O412" s="619"/>
      <c r="P412" s="619"/>
      <c r="Q412" s="619"/>
      <c r="R412" s="619"/>
      <c r="S412" s="619"/>
      <c r="T412" s="619"/>
      <c r="U412" s="619"/>
      <c r="V412" s="619"/>
      <c r="W412" s="619"/>
      <c r="X412" s="619"/>
      <c r="Y412" s="619"/>
      <c r="Z412" s="619"/>
    </row>
    <row r="413" spans="1:26" ht="11.25" customHeight="1">
      <c r="A413" s="619"/>
      <c r="B413" s="619"/>
      <c r="C413" s="619"/>
      <c r="D413" s="619"/>
      <c r="E413" s="619"/>
      <c r="F413" s="619"/>
      <c r="G413" s="621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</row>
    <row r="414" spans="1:26" ht="11.25" customHeight="1">
      <c r="A414" s="619"/>
      <c r="B414" s="619"/>
      <c r="C414" s="619"/>
      <c r="D414" s="619"/>
      <c r="E414" s="619"/>
      <c r="F414" s="619"/>
      <c r="G414" s="621"/>
      <c r="H414" s="619"/>
      <c r="I414" s="619"/>
      <c r="J414" s="619"/>
      <c r="K414" s="619"/>
      <c r="L414" s="619"/>
      <c r="M414" s="619"/>
      <c r="N414" s="619"/>
      <c r="O414" s="619"/>
      <c r="P414" s="619"/>
      <c r="Q414" s="619"/>
      <c r="R414" s="619"/>
      <c r="S414" s="619"/>
      <c r="T414" s="619"/>
      <c r="U414" s="619"/>
      <c r="V414" s="619"/>
      <c r="W414" s="619"/>
      <c r="X414" s="619"/>
      <c r="Y414" s="619"/>
      <c r="Z414" s="619"/>
    </row>
    <row r="415" spans="1:26" ht="11.25" customHeight="1">
      <c r="A415" s="619"/>
      <c r="B415" s="619"/>
      <c r="C415" s="619"/>
      <c r="D415" s="619"/>
      <c r="E415" s="619"/>
      <c r="F415" s="619"/>
      <c r="G415" s="621"/>
      <c r="H415" s="619"/>
      <c r="I415" s="619"/>
      <c r="J415" s="619"/>
      <c r="K415" s="619"/>
      <c r="L415" s="619"/>
      <c r="M415" s="619"/>
      <c r="N415" s="619"/>
      <c r="O415" s="619"/>
      <c r="P415" s="619"/>
      <c r="Q415" s="619"/>
      <c r="R415" s="619"/>
      <c r="S415" s="619"/>
      <c r="T415" s="619"/>
      <c r="U415" s="619"/>
      <c r="V415" s="619"/>
      <c r="W415" s="619"/>
      <c r="X415" s="619"/>
      <c r="Y415" s="619"/>
      <c r="Z415" s="619"/>
    </row>
    <row r="416" spans="1:26" ht="11.25" customHeight="1">
      <c r="A416" s="619"/>
      <c r="B416" s="619"/>
      <c r="C416" s="619"/>
      <c r="D416" s="619"/>
      <c r="E416" s="619"/>
      <c r="F416" s="619"/>
      <c r="G416" s="621"/>
      <c r="H416" s="619"/>
      <c r="I416" s="619"/>
      <c r="J416" s="619"/>
      <c r="K416" s="619"/>
      <c r="L416" s="619"/>
      <c r="M416" s="619"/>
      <c r="N416" s="619"/>
      <c r="O416" s="619"/>
      <c r="P416" s="619"/>
      <c r="Q416" s="619"/>
      <c r="R416" s="619"/>
      <c r="S416" s="619"/>
      <c r="T416" s="619"/>
      <c r="U416" s="619"/>
      <c r="V416" s="619"/>
      <c r="W416" s="619"/>
      <c r="X416" s="619"/>
      <c r="Y416" s="619"/>
      <c r="Z416" s="619"/>
    </row>
    <row r="417" spans="1:26" ht="11.25" customHeight="1">
      <c r="A417" s="619"/>
      <c r="B417" s="619"/>
      <c r="C417" s="619"/>
      <c r="D417" s="619"/>
      <c r="E417" s="619"/>
      <c r="F417" s="619"/>
      <c r="G417" s="621"/>
      <c r="H417" s="619"/>
      <c r="I417" s="619"/>
      <c r="J417" s="619"/>
      <c r="K417" s="619"/>
      <c r="L417" s="619"/>
      <c r="M417" s="619"/>
      <c r="N417" s="619"/>
      <c r="O417" s="619"/>
      <c r="P417" s="619"/>
      <c r="Q417" s="619"/>
      <c r="R417" s="619"/>
      <c r="S417" s="619"/>
      <c r="T417" s="619"/>
      <c r="U417" s="619"/>
      <c r="V417" s="619"/>
      <c r="W417" s="619"/>
      <c r="X417" s="619"/>
      <c r="Y417" s="619"/>
      <c r="Z417" s="619"/>
    </row>
    <row r="418" spans="1:26" ht="11.25" customHeight="1">
      <c r="A418" s="619"/>
      <c r="B418" s="619"/>
      <c r="C418" s="619"/>
      <c r="D418" s="619"/>
      <c r="E418" s="619"/>
      <c r="F418" s="619"/>
      <c r="G418" s="621"/>
      <c r="H418" s="619"/>
      <c r="I418" s="619"/>
      <c r="J418" s="619"/>
      <c r="K418" s="619"/>
      <c r="L418" s="619"/>
      <c r="M418" s="619"/>
      <c r="N418" s="619"/>
      <c r="O418" s="619"/>
      <c r="P418" s="619"/>
      <c r="Q418" s="619"/>
      <c r="R418" s="619"/>
      <c r="S418" s="619"/>
      <c r="T418" s="619"/>
      <c r="U418" s="619"/>
      <c r="V418" s="619"/>
      <c r="W418" s="619"/>
      <c r="X418" s="619"/>
      <c r="Y418" s="619"/>
      <c r="Z418" s="619"/>
    </row>
    <row r="419" spans="1:26" ht="11.25" customHeight="1">
      <c r="A419" s="619"/>
      <c r="B419" s="619"/>
      <c r="C419" s="619"/>
      <c r="D419" s="619"/>
      <c r="E419" s="619"/>
      <c r="F419" s="619"/>
      <c r="G419" s="621"/>
      <c r="H419" s="619"/>
      <c r="I419" s="619"/>
      <c r="J419" s="619"/>
      <c r="K419" s="619"/>
      <c r="L419" s="619"/>
      <c r="M419" s="619"/>
      <c r="N419" s="619"/>
      <c r="O419" s="619"/>
      <c r="P419" s="619"/>
      <c r="Q419" s="619"/>
      <c r="R419" s="619"/>
      <c r="S419" s="619"/>
      <c r="T419" s="619"/>
      <c r="U419" s="619"/>
      <c r="V419" s="619"/>
      <c r="W419" s="619"/>
      <c r="X419" s="619"/>
      <c r="Y419" s="619"/>
      <c r="Z419" s="619"/>
    </row>
    <row r="420" spans="1:26" ht="11.25" customHeight="1">
      <c r="A420" s="619"/>
      <c r="B420" s="619"/>
      <c r="C420" s="619"/>
      <c r="D420" s="619"/>
      <c r="E420" s="619"/>
      <c r="F420" s="619"/>
      <c r="G420" s="621"/>
      <c r="H420" s="619"/>
      <c r="I420" s="619"/>
      <c r="J420" s="619"/>
      <c r="K420" s="619"/>
      <c r="L420" s="619"/>
      <c r="M420" s="619"/>
      <c r="N420" s="619"/>
      <c r="O420" s="619"/>
      <c r="P420" s="619"/>
      <c r="Q420" s="619"/>
      <c r="R420" s="619"/>
      <c r="S420" s="619"/>
      <c r="T420" s="619"/>
      <c r="U420" s="619"/>
      <c r="V420" s="619"/>
      <c r="W420" s="619"/>
      <c r="X420" s="619"/>
      <c r="Y420" s="619"/>
      <c r="Z420" s="619"/>
    </row>
    <row r="421" spans="1:26" ht="11.25" customHeight="1">
      <c r="A421" s="619"/>
      <c r="B421" s="619"/>
      <c r="C421" s="619"/>
      <c r="D421" s="619"/>
      <c r="E421" s="619"/>
      <c r="F421" s="619"/>
      <c r="G421" s="621"/>
      <c r="H421" s="619"/>
      <c r="I421" s="619"/>
      <c r="J421" s="619"/>
      <c r="K421" s="619"/>
      <c r="L421" s="619"/>
      <c r="M421" s="619"/>
      <c r="N421" s="619"/>
      <c r="O421" s="619"/>
      <c r="P421" s="619"/>
      <c r="Q421" s="619"/>
      <c r="R421" s="619"/>
      <c r="S421" s="619"/>
      <c r="T421" s="619"/>
      <c r="U421" s="619"/>
      <c r="V421" s="619"/>
      <c r="W421" s="619"/>
      <c r="X421" s="619"/>
      <c r="Y421" s="619"/>
      <c r="Z421" s="619"/>
    </row>
    <row r="422" spans="1:26" ht="11.25" customHeight="1">
      <c r="A422" s="619"/>
      <c r="B422" s="619"/>
      <c r="C422" s="619"/>
      <c r="D422" s="619"/>
      <c r="E422" s="619"/>
      <c r="F422" s="619"/>
      <c r="G422" s="621"/>
      <c r="H422" s="619"/>
      <c r="I422" s="619"/>
      <c r="J422" s="619"/>
      <c r="K422" s="619"/>
      <c r="L422" s="619"/>
      <c r="M422" s="619"/>
      <c r="N422" s="619"/>
      <c r="O422" s="619"/>
      <c r="P422" s="619"/>
      <c r="Q422" s="619"/>
      <c r="R422" s="619"/>
      <c r="S422" s="619"/>
      <c r="T422" s="619"/>
      <c r="U422" s="619"/>
      <c r="V422" s="619"/>
      <c r="W422" s="619"/>
      <c r="X422" s="619"/>
      <c r="Y422" s="619"/>
      <c r="Z422" s="619"/>
    </row>
    <row r="423" spans="1:26" ht="11.25" customHeight="1">
      <c r="A423" s="619"/>
      <c r="B423" s="619"/>
      <c r="C423" s="619"/>
      <c r="D423" s="619"/>
      <c r="E423" s="619"/>
      <c r="F423" s="619"/>
      <c r="G423" s="621"/>
      <c r="H423" s="619"/>
      <c r="I423" s="619"/>
      <c r="J423" s="619"/>
      <c r="K423" s="619"/>
      <c r="L423" s="619"/>
      <c r="M423" s="619"/>
      <c r="N423" s="619"/>
      <c r="O423" s="619"/>
      <c r="P423" s="619"/>
      <c r="Q423" s="619"/>
      <c r="R423" s="619"/>
      <c r="S423" s="619"/>
      <c r="T423" s="619"/>
      <c r="U423" s="619"/>
      <c r="V423" s="619"/>
      <c r="W423" s="619"/>
      <c r="X423" s="619"/>
      <c r="Y423" s="619"/>
      <c r="Z423" s="619"/>
    </row>
    <row r="424" spans="1:26" ht="11.25" customHeight="1">
      <c r="A424" s="619"/>
      <c r="B424" s="619"/>
      <c r="C424" s="619"/>
      <c r="D424" s="619"/>
      <c r="E424" s="619"/>
      <c r="F424" s="619"/>
      <c r="G424" s="621"/>
      <c r="H424" s="619"/>
      <c r="I424" s="619"/>
      <c r="J424" s="619"/>
      <c r="K424" s="619"/>
      <c r="L424" s="619"/>
      <c r="M424" s="619"/>
      <c r="N424" s="619"/>
      <c r="O424" s="619"/>
      <c r="P424" s="619"/>
      <c r="Q424" s="619"/>
      <c r="R424" s="619"/>
      <c r="S424" s="619"/>
      <c r="T424" s="619"/>
      <c r="U424" s="619"/>
      <c r="V424" s="619"/>
      <c r="W424" s="619"/>
      <c r="X424" s="619"/>
      <c r="Y424" s="619"/>
      <c r="Z424" s="619"/>
    </row>
    <row r="425" spans="1:26" ht="11.25" customHeight="1">
      <c r="A425" s="619"/>
      <c r="B425" s="619"/>
      <c r="C425" s="619"/>
      <c r="D425" s="619"/>
      <c r="E425" s="619"/>
      <c r="F425" s="619"/>
      <c r="G425" s="621"/>
      <c r="H425" s="619"/>
      <c r="I425" s="619"/>
      <c r="J425" s="619"/>
      <c r="K425" s="619"/>
      <c r="L425" s="619"/>
      <c r="M425" s="619"/>
      <c r="N425" s="619"/>
      <c r="O425" s="619"/>
      <c r="P425" s="619"/>
      <c r="Q425" s="619"/>
      <c r="R425" s="619"/>
      <c r="S425" s="619"/>
      <c r="T425" s="619"/>
      <c r="U425" s="619"/>
      <c r="V425" s="619"/>
      <c r="W425" s="619"/>
      <c r="X425" s="619"/>
      <c r="Y425" s="619"/>
      <c r="Z425" s="619"/>
    </row>
    <row r="426" spans="1:26" ht="11.25" customHeight="1">
      <c r="A426" s="619"/>
      <c r="B426" s="619"/>
      <c r="C426" s="619"/>
      <c r="D426" s="619"/>
      <c r="E426" s="619"/>
      <c r="F426" s="619"/>
      <c r="G426" s="621"/>
      <c r="H426" s="619"/>
      <c r="I426" s="619"/>
      <c r="J426" s="619"/>
      <c r="K426" s="619"/>
      <c r="L426" s="619"/>
      <c r="M426" s="619"/>
      <c r="N426" s="619"/>
      <c r="O426" s="619"/>
      <c r="P426" s="619"/>
      <c r="Q426" s="619"/>
      <c r="R426" s="619"/>
      <c r="S426" s="619"/>
      <c r="T426" s="619"/>
      <c r="U426" s="619"/>
      <c r="V426" s="619"/>
      <c r="W426" s="619"/>
      <c r="X426" s="619"/>
      <c r="Y426" s="619"/>
      <c r="Z426" s="619"/>
    </row>
    <row r="427" spans="1:26" ht="11.25" customHeight="1">
      <c r="A427" s="619"/>
      <c r="B427" s="619"/>
      <c r="C427" s="619"/>
      <c r="D427" s="619"/>
      <c r="E427" s="619"/>
      <c r="F427" s="619"/>
      <c r="G427" s="621"/>
      <c r="H427" s="619"/>
      <c r="I427" s="619"/>
      <c r="J427" s="619"/>
      <c r="K427" s="619"/>
      <c r="L427" s="619"/>
      <c r="M427" s="619"/>
      <c r="N427" s="619"/>
      <c r="O427" s="619"/>
      <c r="P427" s="619"/>
      <c r="Q427" s="619"/>
      <c r="R427" s="619"/>
      <c r="S427" s="619"/>
      <c r="T427" s="619"/>
      <c r="U427" s="619"/>
      <c r="V427" s="619"/>
      <c r="W427" s="619"/>
      <c r="X427" s="619"/>
      <c r="Y427" s="619"/>
      <c r="Z427" s="619"/>
    </row>
    <row r="428" spans="1:26" ht="11.25" customHeight="1">
      <c r="A428" s="619"/>
      <c r="B428" s="619"/>
      <c r="C428" s="619"/>
      <c r="D428" s="619"/>
      <c r="E428" s="619"/>
      <c r="F428" s="619"/>
      <c r="G428" s="621"/>
      <c r="H428" s="619"/>
      <c r="I428" s="619"/>
      <c r="J428" s="619"/>
      <c r="K428" s="619"/>
      <c r="L428" s="619"/>
      <c r="M428" s="619"/>
      <c r="N428" s="619"/>
      <c r="O428" s="619"/>
      <c r="P428" s="619"/>
      <c r="Q428" s="619"/>
      <c r="R428" s="619"/>
      <c r="S428" s="619"/>
      <c r="T428" s="619"/>
      <c r="U428" s="619"/>
      <c r="V428" s="619"/>
      <c r="W428" s="619"/>
      <c r="X428" s="619"/>
      <c r="Y428" s="619"/>
      <c r="Z428" s="619"/>
    </row>
    <row r="429" spans="1:26" ht="11.25" customHeight="1">
      <c r="A429" s="619"/>
      <c r="B429" s="619"/>
      <c r="C429" s="619"/>
      <c r="D429" s="619"/>
      <c r="E429" s="619"/>
      <c r="F429" s="619"/>
      <c r="G429" s="621"/>
      <c r="H429" s="619"/>
      <c r="I429" s="619"/>
      <c r="J429" s="619"/>
      <c r="K429" s="619"/>
      <c r="L429" s="619"/>
      <c r="M429" s="619"/>
      <c r="N429" s="619"/>
      <c r="O429" s="619"/>
      <c r="P429" s="619"/>
      <c r="Q429" s="619"/>
      <c r="R429" s="619"/>
      <c r="S429" s="619"/>
      <c r="T429" s="619"/>
      <c r="U429" s="619"/>
      <c r="V429" s="619"/>
      <c r="W429" s="619"/>
      <c r="X429" s="619"/>
      <c r="Y429" s="619"/>
      <c r="Z429" s="619"/>
    </row>
    <row r="430" spans="1:26" ht="11.25" customHeight="1">
      <c r="A430" s="619"/>
      <c r="B430" s="619"/>
      <c r="C430" s="619"/>
      <c r="D430" s="619"/>
      <c r="E430" s="619"/>
      <c r="F430" s="619"/>
      <c r="G430" s="621"/>
      <c r="H430" s="619"/>
      <c r="I430" s="619"/>
      <c r="J430" s="619"/>
      <c r="K430" s="619"/>
      <c r="L430" s="619"/>
      <c r="M430" s="619"/>
      <c r="N430" s="619"/>
      <c r="O430" s="619"/>
      <c r="P430" s="619"/>
      <c r="Q430" s="619"/>
      <c r="R430" s="619"/>
      <c r="S430" s="619"/>
      <c r="T430" s="619"/>
      <c r="U430" s="619"/>
      <c r="V430" s="619"/>
      <c r="W430" s="619"/>
      <c r="X430" s="619"/>
      <c r="Y430" s="619"/>
      <c r="Z430" s="619"/>
    </row>
    <row r="431" spans="1:26" ht="11.25" customHeight="1">
      <c r="A431" s="619"/>
      <c r="B431" s="619"/>
      <c r="C431" s="619"/>
      <c r="D431" s="619"/>
      <c r="E431" s="619"/>
      <c r="F431" s="619"/>
      <c r="G431" s="621"/>
      <c r="H431" s="619"/>
      <c r="I431" s="619"/>
      <c r="J431" s="619"/>
      <c r="K431" s="619"/>
      <c r="L431" s="619"/>
      <c r="M431" s="619"/>
      <c r="N431" s="619"/>
      <c r="O431" s="619"/>
      <c r="P431" s="619"/>
      <c r="Q431" s="619"/>
      <c r="R431" s="619"/>
      <c r="S431" s="619"/>
      <c r="T431" s="619"/>
      <c r="U431" s="619"/>
      <c r="V431" s="619"/>
      <c r="W431" s="619"/>
      <c r="X431" s="619"/>
      <c r="Y431" s="619"/>
      <c r="Z431" s="619"/>
    </row>
    <row r="432" spans="1:26" ht="11.25" customHeight="1">
      <c r="A432" s="619"/>
      <c r="B432" s="619"/>
      <c r="C432" s="619"/>
      <c r="D432" s="619"/>
      <c r="E432" s="619"/>
      <c r="F432" s="619"/>
      <c r="G432" s="621"/>
      <c r="H432" s="619"/>
      <c r="I432" s="619"/>
      <c r="J432" s="619"/>
      <c r="K432" s="619"/>
      <c r="L432" s="619"/>
      <c r="M432" s="619"/>
      <c r="N432" s="619"/>
      <c r="O432" s="619"/>
      <c r="P432" s="619"/>
      <c r="Q432" s="619"/>
      <c r="R432" s="619"/>
      <c r="S432" s="619"/>
      <c r="T432" s="619"/>
      <c r="U432" s="619"/>
      <c r="V432" s="619"/>
      <c r="W432" s="619"/>
      <c r="X432" s="619"/>
      <c r="Y432" s="619"/>
      <c r="Z432" s="619"/>
    </row>
    <row r="433" spans="1:26" ht="11.25" customHeight="1">
      <c r="A433" s="619"/>
      <c r="B433" s="619"/>
      <c r="C433" s="619"/>
      <c r="D433" s="619"/>
      <c r="E433" s="619"/>
      <c r="F433" s="619"/>
      <c r="G433" s="621"/>
      <c r="H433" s="619"/>
      <c r="I433" s="619"/>
      <c r="J433" s="619"/>
      <c r="K433" s="619"/>
      <c r="L433" s="619"/>
      <c r="M433" s="619"/>
      <c r="N433" s="619"/>
      <c r="O433" s="619"/>
      <c r="P433" s="619"/>
      <c r="Q433" s="619"/>
      <c r="R433" s="619"/>
      <c r="S433" s="619"/>
      <c r="T433" s="619"/>
      <c r="U433" s="619"/>
      <c r="V433" s="619"/>
      <c r="W433" s="619"/>
      <c r="X433" s="619"/>
      <c r="Y433" s="619"/>
      <c r="Z433" s="619"/>
    </row>
    <row r="434" spans="1:26" ht="11.25" customHeight="1">
      <c r="A434" s="619"/>
      <c r="B434" s="619"/>
      <c r="C434" s="619"/>
      <c r="D434" s="619"/>
      <c r="E434" s="619"/>
      <c r="F434" s="619"/>
      <c r="G434" s="621"/>
      <c r="H434" s="619"/>
      <c r="I434" s="619"/>
      <c r="J434" s="619"/>
      <c r="K434" s="619"/>
      <c r="L434" s="619"/>
      <c r="M434" s="619"/>
      <c r="N434" s="619"/>
      <c r="O434" s="619"/>
      <c r="P434" s="619"/>
      <c r="Q434" s="619"/>
      <c r="R434" s="619"/>
      <c r="S434" s="619"/>
      <c r="T434" s="619"/>
      <c r="U434" s="619"/>
      <c r="V434" s="619"/>
      <c r="W434" s="619"/>
      <c r="X434" s="619"/>
      <c r="Y434" s="619"/>
      <c r="Z434" s="619"/>
    </row>
    <row r="435" spans="1:26" ht="11.25" customHeight="1">
      <c r="A435" s="619"/>
      <c r="B435" s="619"/>
      <c r="C435" s="619"/>
      <c r="D435" s="619"/>
      <c r="E435" s="619"/>
      <c r="F435" s="619"/>
      <c r="G435" s="621"/>
      <c r="H435" s="619"/>
      <c r="I435" s="619"/>
      <c r="J435" s="619"/>
      <c r="K435" s="619"/>
      <c r="L435" s="619"/>
      <c r="M435" s="619"/>
      <c r="N435" s="619"/>
      <c r="O435" s="619"/>
      <c r="P435" s="619"/>
      <c r="Q435" s="619"/>
      <c r="R435" s="619"/>
      <c r="S435" s="619"/>
      <c r="T435" s="619"/>
      <c r="U435" s="619"/>
      <c r="V435" s="619"/>
      <c r="W435" s="619"/>
      <c r="X435" s="619"/>
      <c r="Y435" s="619"/>
      <c r="Z435" s="619"/>
    </row>
    <row r="436" spans="1:26" ht="11.25" customHeight="1">
      <c r="A436" s="619"/>
      <c r="B436" s="619"/>
      <c r="C436" s="619"/>
      <c r="D436" s="619"/>
      <c r="E436" s="619"/>
      <c r="F436" s="619"/>
      <c r="G436" s="621"/>
      <c r="H436" s="619"/>
      <c r="I436" s="619"/>
      <c r="J436" s="619"/>
      <c r="K436" s="619"/>
      <c r="L436" s="619"/>
      <c r="M436" s="619"/>
      <c r="N436" s="619"/>
      <c r="O436" s="619"/>
      <c r="P436" s="619"/>
      <c r="Q436" s="619"/>
      <c r="R436" s="619"/>
      <c r="S436" s="619"/>
      <c r="T436" s="619"/>
      <c r="U436" s="619"/>
      <c r="V436" s="619"/>
      <c r="W436" s="619"/>
      <c r="X436" s="619"/>
      <c r="Y436" s="619"/>
      <c r="Z436" s="619"/>
    </row>
    <row r="437" spans="1:26" ht="11.25" customHeight="1">
      <c r="A437" s="619"/>
      <c r="B437" s="619"/>
      <c r="C437" s="619"/>
      <c r="D437" s="619"/>
      <c r="E437" s="619"/>
      <c r="F437" s="619"/>
      <c r="G437" s="621"/>
      <c r="H437" s="619"/>
      <c r="I437" s="619"/>
      <c r="J437" s="619"/>
      <c r="K437" s="619"/>
      <c r="L437" s="619"/>
      <c r="M437" s="619"/>
      <c r="N437" s="619"/>
      <c r="O437" s="619"/>
      <c r="P437" s="619"/>
      <c r="Q437" s="619"/>
      <c r="R437" s="619"/>
      <c r="S437" s="619"/>
      <c r="T437" s="619"/>
      <c r="U437" s="619"/>
      <c r="V437" s="619"/>
      <c r="W437" s="619"/>
      <c r="X437" s="619"/>
      <c r="Y437" s="619"/>
      <c r="Z437" s="619"/>
    </row>
    <row r="438" spans="1:26" ht="11.25" customHeight="1">
      <c r="A438" s="619"/>
      <c r="B438" s="619"/>
      <c r="C438" s="619"/>
      <c r="D438" s="619"/>
      <c r="E438" s="619"/>
      <c r="F438" s="619"/>
      <c r="G438" s="621"/>
      <c r="H438" s="619"/>
      <c r="I438" s="619"/>
      <c r="J438" s="619"/>
      <c r="K438" s="619"/>
      <c r="L438" s="619"/>
      <c r="M438" s="619"/>
      <c r="N438" s="619"/>
      <c r="O438" s="619"/>
      <c r="P438" s="619"/>
      <c r="Q438" s="619"/>
      <c r="R438" s="619"/>
      <c r="S438" s="619"/>
      <c r="T438" s="619"/>
      <c r="U438" s="619"/>
      <c r="V438" s="619"/>
      <c r="W438" s="619"/>
      <c r="X438" s="619"/>
      <c r="Y438" s="619"/>
      <c r="Z438" s="619"/>
    </row>
    <row r="439" spans="1:26" ht="11.25" customHeight="1">
      <c r="A439" s="619"/>
      <c r="B439" s="619"/>
      <c r="C439" s="619"/>
      <c r="D439" s="619"/>
      <c r="E439" s="619"/>
      <c r="F439" s="619"/>
      <c r="G439" s="621"/>
      <c r="H439" s="619"/>
      <c r="I439" s="619"/>
      <c r="J439" s="619"/>
      <c r="K439" s="619"/>
      <c r="L439" s="619"/>
      <c r="M439" s="619"/>
      <c r="N439" s="619"/>
      <c r="O439" s="619"/>
      <c r="P439" s="619"/>
      <c r="Q439" s="619"/>
      <c r="R439" s="619"/>
      <c r="S439" s="619"/>
      <c r="T439" s="619"/>
      <c r="U439" s="619"/>
      <c r="V439" s="619"/>
      <c r="W439" s="619"/>
      <c r="X439" s="619"/>
      <c r="Y439" s="619"/>
      <c r="Z439" s="619"/>
    </row>
    <row r="440" spans="1:26" ht="11.25" customHeight="1">
      <c r="A440" s="619"/>
      <c r="B440" s="619"/>
      <c r="C440" s="619"/>
      <c r="D440" s="619"/>
      <c r="E440" s="619"/>
      <c r="F440" s="619"/>
      <c r="G440" s="621"/>
      <c r="H440" s="619"/>
      <c r="I440" s="619"/>
      <c r="J440" s="619"/>
      <c r="K440" s="619"/>
      <c r="L440" s="619"/>
      <c r="M440" s="619"/>
      <c r="N440" s="619"/>
      <c r="O440" s="619"/>
      <c r="P440" s="619"/>
      <c r="Q440" s="619"/>
      <c r="R440" s="619"/>
      <c r="S440" s="619"/>
      <c r="T440" s="619"/>
      <c r="U440" s="619"/>
      <c r="V440" s="619"/>
      <c r="W440" s="619"/>
      <c r="X440" s="619"/>
      <c r="Y440" s="619"/>
      <c r="Z440" s="619"/>
    </row>
    <row r="441" spans="1:26" ht="11.25" customHeight="1">
      <c r="A441" s="619"/>
      <c r="B441" s="619"/>
      <c r="C441" s="619"/>
      <c r="D441" s="619"/>
      <c r="E441" s="619"/>
      <c r="F441" s="619"/>
      <c r="G441" s="621"/>
      <c r="H441" s="619"/>
      <c r="I441" s="619"/>
      <c r="J441" s="619"/>
      <c r="K441" s="619"/>
      <c r="L441" s="619"/>
      <c r="M441" s="619"/>
      <c r="N441" s="619"/>
      <c r="O441" s="619"/>
      <c r="P441" s="619"/>
      <c r="Q441" s="619"/>
      <c r="R441" s="619"/>
      <c r="S441" s="619"/>
      <c r="T441" s="619"/>
      <c r="U441" s="619"/>
      <c r="V441" s="619"/>
      <c r="W441" s="619"/>
      <c r="X441" s="619"/>
      <c r="Y441" s="619"/>
      <c r="Z441" s="619"/>
    </row>
    <row r="442" spans="1:26" ht="11.25" customHeight="1">
      <c r="A442" s="619"/>
      <c r="B442" s="619"/>
      <c r="C442" s="619"/>
      <c r="D442" s="619"/>
      <c r="E442" s="619"/>
      <c r="F442" s="619"/>
      <c r="G442" s="621"/>
      <c r="H442" s="619"/>
      <c r="I442" s="619"/>
      <c r="J442" s="619"/>
      <c r="K442" s="619"/>
      <c r="L442" s="619"/>
      <c r="M442" s="619"/>
      <c r="N442" s="619"/>
      <c r="O442" s="619"/>
      <c r="P442" s="619"/>
      <c r="Q442" s="619"/>
      <c r="R442" s="619"/>
      <c r="S442" s="619"/>
      <c r="T442" s="619"/>
      <c r="U442" s="619"/>
      <c r="V442" s="619"/>
      <c r="W442" s="619"/>
      <c r="X442" s="619"/>
      <c r="Y442" s="619"/>
      <c r="Z442" s="619"/>
    </row>
    <row r="443" spans="1:26" ht="11.25" customHeight="1">
      <c r="A443" s="619"/>
      <c r="B443" s="619"/>
      <c r="C443" s="619"/>
      <c r="D443" s="619"/>
      <c r="E443" s="619"/>
      <c r="F443" s="619"/>
      <c r="G443" s="621"/>
      <c r="H443" s="619"/>
      <c r="I443" s="619"/>
      <c r="J443" s="619"/>
      <c r="K443" s="619"/>
      <c r="L443" s="619"/>
      <c r="M443" s="619"/>
      <c r="N443" s="619"/>
      <c r="O443" s="619"/>
      <c r="P443" s="619"/>
      <c r="Q443" s="619"/>
      <c r="R443" s="619"/>
      <c r="S443" s="619"/>
      <c r="T443" s="619"/>
      <c r="U443" s="619"/>
      <c r="V443" s="619"/>
      <c r="W443" s="619"/>
      <c r="X443" s="619"/>
      <c r="Y443" s="619"/>
      <c r="Z443" s="619"/>
    </row>
    <row r="444" spans="1:26" ht="11.25" customHeight="1">
      <c r="A444" s="619"/>
      <c r="B444" s="619"/>
      <c r="C444" s="619"/>
      <c r="D444" s="619"/>
      <c r="E444" s="619"/>
      <c r="F444" s="619"/>
      <c r="G444" s="621"/>
      <c r="H444" s="619"/>
      <c r="I444" s="619"/>
      <c r="J444" s="619"/>
      <c r="K444" s="619"/>
      <c r="L444" s="619"/>
      <c r="M444" s="619"/>
      <c r="N444" s="619"/>
      <c r="O444" s="619"/>
      <c r="P444" s="619"/>
      <c r="Q444" s="619"/>
      <c r="R444" s="619"/>
      <c r="S444" s="619"/>
      <c r="T444" s="619"/>
      <c r="U444" s="619"/>
      <c r="V444" s="619"/>
      <c r="W444" s="619"/>
      <c r="X444" s="619"/>
      <c r="Y444" s="619"/>
      <c r="Z444" s="619"/>
    </row>
    <row r="445" spans="1:26" ht="11.25" customHeight="1">
      <c r="A445" s="619"/>
      <c r="B445" s="619"/>
      <c r="C445" s="619"/>
      <c r="D445" s="619"/>
      <c r="E445" s="619"/>
      <c r="F445" s="619"/>
      <c r="G445" s="621"/>
      <c r="H445" s="619"/>
      <c r="I445" s="619"/>
      <c r="J445" s="619"/>
      <c r="K445" s="619"/>
      <c r="L445" s="619"/>
      <c r="M445" s="619"/>
      <c r="N445" s="619"/>
      <c r="O445" s="619"/>
      <c r="P445" s="619"/>
      <c r="Q445" s="619"/>
      <c r="R445" s="619"/>
      <c r="S445" s="619"/>
      <c r="T445" s="619"/>
      <c r="U445" s="619"/>
      <c r="V445" s="619"/>
      <c r="W445" s="619"/>
      <c r="X445" s="619"/>
      <c r="Y445" s="619"/>
      <c r="Z445" s="619"/>
    </row>
    <row r="446" spans="1:26" ht="11.25" customHeight="1">
      <c r="A446" s="619"/>
      <c r="B446" s="619"/>
      <c r="C446" s="619"/>
      <c r="D446" s="619"/>
      <c r="E446" s="619"/>
      <c r="F446" s="619"/>
      <c r="G446" s="621"/>
      <c r="H446" s="619"/>
      <c r="I446" s="619"/>
      <c r="J446" s="619"/>
      <c r="K446" s="619"/>
      <c r="L446" s="619"/>
      <c r="M446" s="619"/>
      <c r="N446" s="619"/>
      <c r="O446" s="619"/>
      <c r="P446" s="619"/>
      <c r="Q446" s="619"/>
      <c r="R446" s="619"/>
      <c r="S446" s="619"/>
      <c r="T446" s="619"/>
      <c r="U446" s="619"/>
      <c r="V446" s="619"/>
      <c r="W446" s="619"/>
      <c r="X446" s="619"/>
      <c r="Y446" s="619"/>
      <c r="Z446" s="619"/>
    </row>
    <row r="447" spans="1:26" ht="11.25" customHeight="1">
      <c r="A447" s="619"/>
      <c r="B447" s="619"/>
      <c r="C447" s="619"/>
      <c r="D447" s="619"/>
      <c r="E447" s="619"/>
      <c r="F447" s="619"/>
      <c r="G447" s="621"/>
      <c r="H447" s="619"/>
      <c r="I447" s="619"/>
      <c r="J447" s="619"/>
      <c r="K447" s="619"/>
      <c r="L447" s="619"/>
      <c r="M447" s="619"/>
      <c r="N447" s="619"/>
      <c r="O447" s="619"/>
      <c r="P447" s="619"/>
      <c r="Q447" s="619"/>
      <c r="R447" s="619"/>
      <c r="S447" s="619"/>
      <c r="T447" s="619"/>
      <c r="U447" s="619"/>
      <c r="V447" s="619"/>
      <c r="W447" s="619"/>
      <c r="X447" s="619"/>
      <c r="Y447" s="619"/>
      <c r="Z447" s="619"/>
    </row>
    <row r="448" spans="1:26" ht="11.25" customHeight="1">
      <c r="A448" s="619"/>
      <c r="B448" s="619"/>
      <c r="C448" s="619"/>
      <c r="D448" s="619"/>
      <c r="E448" s="619"/>
      <c r="F448" s="619"/>
      <c r="G448" s="621"/>
      <c r="H448" s="619"/>
      <c r="I448" s="619"/>
      <c r="J448" s="619"/>
      <c r="K448" s="619"/>
      <c r="L448" s="619"/>
      <c r="M448" s="619"/>
      <c r="N448" s="619"/>
      <c r="O448" s="619"/>
      <c r="P448" s="619"/>
      <c r="Q448" s="619"/>
      <c r="R448" s="619"/>
      <c r="S448" s="619"/>
      <c r="T448" s="619"/>
      <c r="U448" s="619"/>
      <c r="V448" s="619"/>
      <c r="W448" s="619"/>
      <c r="X448" s="619"/>
      <c r="Y448" s="619"/>
      <c r="Z448" s="619"/>
    </row>
    <row r="449" spans="1:26" ht="11.25" customHeight="1">
      <c r="A449" s="619"/>
      <c r="B449" s="619"/>
      <c r="C449" s="619"/>
      <c r="D449" s="619"/>
      <c r="E449" s="619"/>
      <c r="F449" s="619"/>
      <c r="G449" s="621"/>
      <c r="H449" s="619"/>
      <c r="I449" s="619"/>
      <c r="J449" s="619"/>
      <c r="K449" s="619"/>
      <c r="L449" s="619"/>
      <c r="M449" s="619"/>
      <c r="N449" s="619"/>
      <c r="O449" s="619"/>
      <c r="P449" s="619"/>
      <c r="Q449" s="619"/>
      <c r="R449" s="619"/>
      <c r="S449" s="619"/>
      <c r="T449" s="619"/>
      <c r="U449" s="619"/>
      <c r="V449" s="619"/>
      <c r="W449" s="619"/>
      <c r="X449" s="619"/>
      <c r="Y449" s="619"/>
      <c r="Z449" s="619"/>
    </row>
    <row r="450" spans="1:26" ht="11.25" customHeight="1">
      <c r="A450" s="619"/>
      <c r="B450" s="619"/>
      <c r="C450" s="619"/>
      <c r="D450" s="619"/>
      <c r="E450" s="619"/>
      <c r="F450" s="619"/>
      <c r="G450" s="621"/>
      <c r="H450" s="619"/>
      <c r="I450" s="619"/>
      <c r="J450" s="619"/>
      <c r="K450" s="619"/>
      <c r="L450" s="619"/>
      <c r="M450" s="619"/>
      <c r="N450" s="619"/>
      <c r="O450" s="619"/>
      <c r="P450" s="619"/>
      <c r="Q450" s="619"/>
      <c r="R450" s="619"/>
      <c r="S450" s="619"/>
      <c r="T450" s="619"/>
      <c r="U450" s="619"/>
      <c r="V450" s="619"/>
      <c r="W450" s="619"/>
      <c r="X450" s="619"/>
      <c r="Y450" s="619"/>
      <c r="Z450" s="619"/>
    </row>
    <row r="451" spans="1:26" ht="11.25" customHeight="1">
      <c r="A451" s="619"/>
      <c r="B451" s="619"/>
      <c r="C451" s="619"/>
      <c r="D451" s="619"/>
      <c r="E451" s="619"/>
      <c r="F451" s="619"/>
      <c r="G451" s="621"/>
      <c r="H451" s="619"/>
      <c r="I451" s="619"/>
      <c r="J451" s="619"/>
      <c r="K451" s="619"/>
      <c r="L451" s="619"/>
      <c r="M451" s="619"/>
      <c r="N451" s="619"/>
      <c r="O451" s="619"/>
      <c r="P451" s="619"/>
      <c r="Q451" s="619"/>
      <c r="R451" s="619"/>
      <c r="S451" s="619"/>
      <c r="T451" s="619"/>
      <c r="U451" s="619"/>
      <c r="V451" s="619"/>
      <c r="W451" s="619"/>
      <c r="X451" s="619"/>
      <c r="Y451" s="619"/>
      <c r="Z451" s="619"/>
    </row>
    <row r="452" spans="1:26" ht="11.25" customHeight="1">
      <c r="A452" s="619"/>
      <c r="B452" s="619"/>
      <c r="C452" s="619"/>
      <c r="D452" s="619"/>
      <c r="E452" s="619"/>
      <c r="F452" s="619"/>
      <c r="G452" s="621"/>
      <c r="H452" s="619"/>
      <c r="I452" s="619"/>
      <c r="J452" s="619"/>
      <c r="K452" s="619"/>
      <c r="L452" s="619"/>
      <c r="M452" s="619"/>
      <c r="N452" s="619"/>
      <c r="O452" s="619"/>
      <c r="P452" s="619"/>
      <c r="Q452" s="619"/>
      <c r="R452" s="619"/>
      <c r="S452" s="619"/>
      <c r="T452" s="619"/>
      <c r="U452" s="619"/>
      <c r="V452" s="619"/>
      <c r="W452" s="619"/>
      <c r="X452" s="619"/>
      <c r="Y452" s="619"/>
      <c r="Z452" s="619"/>
    </row>
    <row r="453" spans="1:26" ht="11.25" customHeight="1">
      <c r="A453" s="619"/>
      <c r="B453" s="619"/>
      <c r="C453" s="619"/>
      <c r="D453" s="619"/>
      <c r="E453" s="619"/>
      <c r="F453" s="619"/>
      <c r="G453" s="621"/>
      <c r="H453" s="619"/>
      <c r="I453" s="619"/>
      <c r="J453" s="619"/>
      <c r="K453" s="619"/>
      <c r="L453" s="619"/>
      <c r="M453" s="619"/>
      <c r="N453" s="619"/>
      <c r="O453" s="619"/>
      <c r="P453" s="619"/>
      <c r="Q453" s="619"/>
      <c r="R453" s="619"/>
      <c r="S453" s="619"/>
      <c r="T453" s="619"/>
      <c r="U453" s="619"/>
      <c r="V453" s="619"/>
      <c r="W453" s="619"/>
      <c r="X453" s="619"/>
      <c r="Y453" s="619"/>
      <c r="Z453" s="619"/>
    </row>
    <row r="454" spans="1:26" ht="11.25" customHeight="1">
      <c r="A454" s="619"/>
      <c r="B454" s="619"/>
      <c r="C454" s="619"/>
      <c r="D454" s="619"/>
      <c r="E454" s="619"/>
      <c r="F454" s="619"/>
      <c r="G454" s="621"/>
      <c r="H454" s="619"/>
      <c r="I454" s="619"/>
      <c r="J454" s="619"/>
      <c r="K454" s="619"/>
      <c r="L454" s="619"/>
      <c r="M454" s="619"/>
      <c r="N454" s="619"/>
      <c r="O454" s="619"/>
      <c r="P454" s="619"/>
      <c r="Q454" s="619"/>
      <c r="R454" s="619"/>
      <c r="S454" s="619"/>
      <c r="T454" s="619"/>
      <c r="U454" s="619"/>
      <c r="V454" s="619"/>
      <c r="W454" s="619"/>
      <c r="X454" s="619"/>
      <c r="Y454" s="619"/>
      <c r="Z454" s="619"/>
    </row>
    <row r="455" spans="1:26" ht="11.25" customHeight="1">
      <c r="A455" s="619"/>
      <c r="B455" s="619"/>
      <c r="C455" s="619"/>
      <c r="D455" s="619"/>
      <c r="E455" s="619"/>
      <c r="F455" s="619"/>
      <c r="G455" s="621"/>
      <c r="H455" s="619"/>
      <c r="I455" s="619"/>
      <c r="J455" s="619"/>
      <c r="K455" s="619"/>
      <c r="L455" s="619"/>
      <c r="M455" s="619"/>
      <c r="N455" s="619"/>
      <c r="O455" s="619"/>
      <c r="P455" s="619"/>
      <c r="Q455" s="619"/>
      <c r="R455" s="619"/>
      <c r="S455" s="619"/>
      <c r="T455" s="619"/>
      <c r="U455" s="619"/>
      <c r="V455" s="619"/>
      <c r="W455" s="619"/>
      <c r="X455" s="619"/>
      <c r="Y455" s="619"/>
      <c r="Z455" s="619"/>
    </row>
    <row r="456" spans="1:26" ht="11.25" customHeight="1">
      <c r="A456" s="619"/>
      <c r="B456" s="619"/>
      <c r="C456" s="619"/>
      <c r="D456" s="619"/>
      <c r="E456" s="619"/>
      <c r="F456" s="619"/>
      <c r="G456" s="621"/>
      <c r="H456" s="619"/>
      <c r="I456" s="619"/>
      <c r="J456" s="619"/>
      <c r="K456" s="619"/>
      <c r="L456" s="619"/>
      <c r="M456" s="619"/>
      <c r="N456" s="619"/>
      <c r="O456" s="619"/>
      <c r="P456" s="619"/>
      <c r="Q456" s="619"/>
      <c r="R456" s="619"/>
      <c r="S456" s="619"/>
      <c r="T456" s="619"/>
      <c r="U456" s="619"/>
      <c r="V456" s="619"/>
      <c r="W456" s="619"/>
      <c r="X456" s="619"/>
      <c r="Y456" s="619"/>
      <c r="Z456" s="619"/>
    </row>
    <row r="457" spans="1:26" ht="11.25" customHeight="1">
      <c r="A457" s="619"/>
      <c r="B457" s="619"/>
      <c r="C457" s="619"/>
      <c r="D457" s="619"/>
      <c r="E457" s="619"/>
      <c r="F457" s="619"/>
      <c r="G457" s="621"/>
      <c r="H457" s="619"/>
      <c r="I457" s="619"/>
      <c r="J457" s="619"/>
      <c r="K457" s="619"/>
      <c r="L457" s="619"/>
      <c r="M457" s="619"/>
      <c r="N457" s="619"/>
      <c r="O457" s="619"/>
      <c r="P457" s="619"/>
      <c r="Q457" s="619"/>
      <c r="R457" s="619"/>
      <c r="S457" s="619"/>
      <c r="T457" s="619"/>
      <c r="U457" s="619"/>
      <c r="V457" s="619"/>
      <c r="W457" s="619"/>
      <c r="X457" s="619"/>
      <c r="Y457" s="619"/>
      <c r="Z457" s="619"/>
    </row>
    <row r="458" spans="1:26" ht="11.25" customHeight="1">
      <c r="A458" s="619"/>
      <c r="B458" s="619"/>
      <c r="C458" s="619"/>
      <c r="D458" s="619"/>
      <c r="E458" s="619"/>
      <c r="F458" s="619"/>
      <c r="G458" s="621"/>
      <c r="H458" s="619"/>
      <c r="I458" s="619"/>
      <c r="J458" s="619"/>
      <c r="K458" s="619"/>
      <c r="L458" s="619"/>
      <c r="M458" s="619"/>
      <c r="N458" s="619"/>
      <c r="O458" s="619"/>
      <c r="P458" s="619"/>
      <c r="Q458" s="619"/>
      <c r="R458" s="619"/>
      <c r="S458" s="619"/>
      <c r="T458" s="619"/>
      <c r="U458" s="619"/>
      <c r="V458" s="619"/>
      <c r="W458" s="619"/>
      <c r="X458" s="619"/>
      <c r="Y458" s="619"/>
      <c r="Z458" s="619"/>
    </row>
    <row r="459" spans="1:26" ht="11.25" customHeight="1">
      <c r="A459" s="619"/>
      <c r="B459" s="619"/>
      <c r="C459" s="619"/>
      <c r="D459" s="619"/>
      <c r="E459" s="619"/>
      <c r="F459" s="619"/>
      <c r="G459" s="621"/>
      <c r="H459" s="619"/>
      <c r="I459" s="619"/>
      <c r="J459" s="619"/>
      <c r="K459" s="619"/>
      <c r="L459" s="619"/>
      <c r="M459" s="619"/>
      <c r="N459" s="619"/>
      <c r="O459" s="619"/>
      <c r="P459" s="619"/>
      <c r="Q459" s="619"/>
      <c r="R459" s="619"/>
      <c r="S459" s="619"/>
      <c r="T459" s="619"/>
      <c r="U459" s="619"/>
      <c r="V459" s="619"/>
      <c r="W459" s="619"/>
      <c r="X459" s="619"/>
      <c r="Y459" s="619"/>
      <c r="Z459" s="619"/>
    </row>
    <row r="460" spans="1:26" ht="11.25" customHeight="1">
      <c r="A460" s="619"/>
      <c r="B460" s="619"/>
      <c r="C460" s="619"/>
      <c r="D460" s="619"/>
      <c r="E460" s="619"/>
      <c r="F460" s="619"/>
      <c r="G460" s="621"/>
      <c r="H460" s="619"/>
      <c r="I460" s="619"/>
      <c r="J460" s="619"/>
      <c r="K460" s="619"/>
      <c r="L460" s="619"/>
      <c r="M460" s="619"/>
      <c r="N460" s="619"/>
      <c r="O460" s="619"/>
      <c r="P460" s="619"/>
      <c r="Q460" s="619"/>
      <c r="R460" s="619"/>
      <c r="S460" s="619"/>
      <c r="T460" s="619"/>
      <c r="U460" s="619"/>
      <c r="V460" s="619"/>
      <c r="W460" s="619"/>
      <c r="X460" s="619"/>
      <c r="Y460" s="619"/>
      <c r="Z460" s="619"/>
    </row>
    <row r="461" spans="1:26" ht="11.25" customHeight="1">
      <c r="A461" s="619"/>
      <c r="B461" s="619"/>
      <c r="C461" s="619"/>
      <c r="D461" s="619"/>
      <c r="E461" s="619"/>
      <c r="F461" s="619"/>
      <c r="G461" s="621"/>
      <c r="H461" s="619"/>
      <c r="I461" s="619"/>
      <c r="J461" s="619"/>
      <c r="K461" s="619"/>
      <c r="L461" s="619"/>
      <c r="M461" s="619"/>
      <c r="N461" s="619"/>
      <c r="O461" s="619"/>
      <c r="P461" s="619"/>
      <c r="Q461" s="619"/>
      <c r="R461" s="619"/>
      <c r="S461" s="619"/>
      <c r="T461" s="619"/>
      <c r="U461" s="619"/>
      <c r="V461" s="619"/>
      <c r="W461" s="619"/>
      <c r="X461" s="619"/>
      <c r="Y461" s="619"/>
      <c r="Z461" s="619"/>
    </row>
    <row r="462" spans="1:26" ht="11.25" customHeight="1">
      <c r="A462" s="619"/>
      <c r="B462" s="619"/>
      <c r="C462" s="619"/>
      <c r="D462" s="619"/>
      <c r="E462" s="619"/>
      <c r="F462" s="619"/>
      <c r="G462" s="621"/>
      <c r="H462" s="619"/>
      <c r="I462" s="619"/>
      <c r="J462" s="619"/>
      <c r="K462" s="619"/>
      <c r="L462" s="619"/>
      <c r="M462" s="619"/>
      <c r="N462" s="619"/>
      <c r="O462" s="619"/>
      <c r="P462" s="619"/>
      <c r="Q462" s="619"/>
      <c r="R462" s="619"/>
      <c r="S462" s="619"/>
      <c r="T462" s="619"/>
      <c r="U462" s="619"/>
      <c r="V462" s="619"/>
      <c r="W462" s="619"/>
      <c r="X462" s="619"/>
      <c r="Y462" s="619"/>
      <c r="Z462" s="619"/>
    </row>
    <row r="463" spans="1:26" ht="11.25" customHeight="1">
      <c r="A463" s="619"/>
      <c r="B463" s="619"/>
      <c r="C463" s="619"/>
      <c r="D463" s="619"/>
      <c r="E463" s="619"/>
      <c r="F463" s="619"/>
      <c r="G463" s="621"/>
      <c r="H463" s="619"/>
      <c r="I463" s="619"/>
      <c r="J463" s="619"/>
      <c r="K463" s="619"/>
      <c r="L463" s="619"/>
      <c r="M463" s="619"/>
      <c r="N463" s="619"/>
      <c r="O463" s="619"/>
      <c r="P463" s="619"/>
      <c r="Q463" s="619"/>
      <c r="R463" s="619"/>
      <c r="S463" s="619"/>
      <c r="T463" s="619"/>
      <c r="U463" s="619"/>
      <c r="V463" s="619"/>
      <c r="W463" s="619"/>
      <c r="X463" s="619"/>
      <c r="Y463" s="619"/>
      <c r="Z463" s="619"/>
    </row>
    <row r="464" spans="1:26" ht="11.25" customHeight="1">
      <c r="A464" s="619"/>
      <c r="B464" s="619"/>
      <c r="C464" s="619"/>
      <c r="D464" s="619"/>
      <c r="E464" s="619"/>
      <c r="F464" s="619"/>
      <c r="G464" s="621"/>
      <c r="H464" s="619"/>
      <c r="I464" s="619"/>
      <c r="J464" s="619"/>
      <c r="K464" s="619"/>
      <c r="L464" s="619"/>
      <c r="M464" s="619"/>
      <c r="N464" s="619"/>
      <c r="O464" s="619"/>
      <c r="P464" s="619"/>
      <c r="Q464" s="619"/>
      <c r="R464" s="619"/>
      <c r="S464" s="619"/>
      <c r="T464" s="619"/>
      <c r="U464" s="619"/>
      <c r="V464" s="619"/>
      <c r="W464" s="619"/>
      <c r="X464" s="619"/>
      <c r="Y464" s="619"/>
      <c r="Z464" s="619"/>
    </row>
    <row r="465" spans="1:26" ht="11.25" customHeight="1">
      <c r="A465" s="619"/>
      <c r="B465" s="619"/>
      <c r="C465" s="619"/>
      <c r="D465" s="619"/>
      <c r="E465" s="619"/>
      <c r="F465" s="619"/>
      <c r="G465" s="621"/>
      <c r="H465" s="619"/>
      <c r="I465" s="619"/>
      <c r="J465" s="619"/>
      <c r="K465" s="619"/>
      <c r="L465" s="619"/>
      <c r="M465" s="619"/>
      <c r="N465" s="619"/>
      <c r="O465" s="619"/>
      <c r="P465" s="619"/>
      <c r="Q465" s="619"/>
      <c r="R465" s="619"/>
      <c r="S465" s="619"/>
      <c r="T465" s="619"/>
      <c r="U465" s="619"/>
      <c r="V465" s="619"/>
      <c r="W465" s="619"/>
      <c r="X465" s="619"/>
      <c r="Y465" s="619"/>
      <c r="Z465" s="619"/>
    </row>
    <row r="466" spans="1:26" ht="11.25" customHeight="1">
      <c r="A466" s="619"/>
      <c r="B466" s="619"/>
      <c r="C466" s="619"/>
      <c r="D466" s="619"/>
      <c r="E466" s="619"/>
      <c r="F466" s="619"/>
      <c r="G466" s="621"/>
      <c r="H466" s="619"/>
      <c r="I466" s="619"/>
      <c r="J466" s="619"/>
      <c r="K466" s="619"/>
      <c r="L466" s="619"/>
      <c r="M466" s="619"/>
      <c r="N466" s="619"/>
      <c r="O466" s="619"/>
      <c r="P466" s="619"/>
      <c r="Q466" s="619"/>
      <c r="R466" s="619"/>
      <c r="S466" s="619"/>
      <c r="T466" s="619"/>
      <c r="U466" s="619"/>
      <c r="V466" s="619"/>
      <c r="W466" s="619"/>
      <c r="X466" s="619"/>
      <c r="Y466" s="619"/>
      <c r="Z466" s="619"/>
    </row>
    <row r="467" spans="1:26" ht="11.25" customHeight="1">
      <c r="A467" s="619"/>
      <c r="B467" s="619"/>
      <c r="C467" s="619"/>
      <c r="D467" s="619"/>
      <c r="E467" s="619"/>
      <c r="F467" s="619"/>
      <c r="G467" s="621"/>
      <c r="H467" s="619"/>
      <c r="I467" s="619"/>
      <c r="J467" s="619"/>
      <c r="K467" s="619"/>
      <c r="L467" s="619"/>
      <c r="M467" s="619"/>
      <c r="N467" s="619"/>
      <c r="O467" s="619"/>
      <c r="P467" s="619"/>
      <c r="Q467" s="619"/>
      <c r="R467" s="619"/>
      <c r="S467" s="619"/>
      <c r="T467" s="619"/>
      <c r="U467" s="619"/>
      <c r="V467" s="619"/>
      <c r="W467" s="619"/>
      <c r="X467" s="619"/>
      <c r="Y467" s="619"/>
      <c r="Z467" s="619"/>
    </row>
    <row r="468" spans="1:26" ht="11.25" customHeight="1">
      <c r="A468" s="619"/>
      <c r="B468" s="619"/>
      <c r="C468" s="619"/>
      <c r="D468" s="619"/>
      <c r="E468" s="619"/>
      <c r="F468" s="619"/>
      <c r="G468" s="621"/>
      <c r="H468" s="619"/>
      <c r="I468" s="619"/>
      <c r="J468" s="619"/>
      <c r="K468" s="619"/>
      <c r="L468" s="619"/>
      <c r="M468" s="619"/>
      <c r="N468" s="619"/>
      <c r="O468" s="619"/>
      <c r="P468" s="619"/>
      <c r="Q468" s="619"/>
      <c r="R468" s="619"/>
      <c r="S468" s="619"/>
      <c r="T468" s="619"/>
      <c r="U468" s="619"/>
      <c r="V468" s="619"/>
      <c r="W468" s="619"/>
      <c r="X468" s="619"/>
      <c r="Y468" s="619"/>
      <c r="Z468" s="619"/>
    </row>
    <row r="469" spans="1:26" ht="11.25" customHeight="1">
      <c r="A469" s="619"/>
      <c r="B469" s="619"/>
      <c r="C469" s="619"/>
      <c r="D469" s="619"/>
      <c r="E469" s="619"/>
      <c r="F469" s="619"/>
      <c r="G469" s="621"/>
      <c r="H469" s="619"/>
      <c r="I469" s="619"/>
      <c r="J469" s="619"/>
      <c r="K469" s="619"/>
      <c r="L469" s="619"/>
      <c r="M469" s="619"/>
      <c r="N469" s="619"/>
      <c r="O469" s="619"/>
      <c r="P469" s="619"/>
      <c r="Q469" s="619"/>
      <c r="R469" s="619"/>
      <c r="S469" s="619"/>
      <c r="T469" s="619"/>
      <c r="U469" s="619"/>
      <c r="V469" s="619"/>
      <c r="W469" s="619"/>
      <c r="X469" s="619"/>
      <c r="Y469" s="619"/>
      <c r="Z469" s="619"/>
    </row>
    <row r="470" spans="1:26" ht="11.25" customHeight="1">
      <c r="A470" s="619"/>
      <c r="B470" s="619"/>
      <c r="C470" s="619"/>
      <c r="D470" s="619"/>
      <c r="E470" s="619"/>
      <c r="F470" s="619"/>
      <c r="G470" s="621"/>
      <c r="H470" s="619"/>
      <c r="I470" s="619"/>
      <c r="J470" s="619"/>
      <c r="K470" s="619"/>
      <c r="L470" s="619"/>
      <c r="M470" s="619"/>
      <c r="N470" s="619"/>
      <c r="O470" s="619"/>
      <c r="P470" s="619"/>
      <c r="Q470" s="619"/>
      <c r="R470" s="619"/>
      <c r="S470" s="619"/>
      <c r="T470" s="619"/>
      <c r="U470" s="619"/>
      <c r="V470" s="619"/>
      <c r="W470" s="619"/>
      <c r="X470" s="619"/>
      <c r="Y470" s="619"/>
      <c r="Z470" s="619"/>
    </row>
    <row r="471" spans="1:26" ht="11.25" customHeight="1">
      <c r="A471" s="619"/>
      <c r="B471" s="619"/>
      <c r="C471" s="619"/>
      <c r="D471" s="619"/>
      <c r="E471" s="619"/>
      <c r="F471" s="619"/>
      <c r="G471" s="621"/>
      <c r="H471" s="619"/>
      <c r="I471" s="619"/>
      <c r="J471" s="619"/>
      <c r="K471" s="619"/>
      <c r="L471" s="619"/>
      <c r="M471" s="619"/>
      <c r="N471" s="619"/>
      <c r="O471" s="619"/>
      <c r="P471" s="619"/>
      <c r="Q471" s="619"/>
      <c r="R471" s="619"/>
      <c r="S471" s="619"/>
      <c r="T471" s="619"/>
      <c r="U471" s="619"/>
      <c r="V471" s="619"/>
      <c r="W471" s="619"/>
      <c r="X471" s="619"/>
      <c r="Y471" s="619"/>
      <c r="Z471" s="619"/>
    </row>
    <row r="472" spans="1:26" ht="11.25" customHeight="1">
      <c r="A472" s="619"/>
      <c r="B472" s="619"/>
      <c r="C472" s="619"/>
      <c r="D472" s="619"/>
      <c r="E472" s="619"/>
      <c r="F472" s="619"/>
      <c r="G472" s="621"/>
      <c r="H472" s="619"/>
      <c r="I472" s="619"/>
      <c r="J472" s="619"/>
      <c r="K472" s="619"/>
      <c r="L472" s="619"/>
      <c r="M472" s="619"/>
      <c r="N472" s="619"/>
      <c r="O472" s="619"/>
      <c r="P472" s="619"/>
      <c r="Q472" s="619"/>
      <c r="R472" s="619"/>
      <c r="S472" s="619"/>
      <c r="T472" s="619"/>
      <c r="U472" s="619"/>
      <c r="V472" s="619"/>
      <c r="W472" s="619"/>
      <c r="X472" s="619"/>
      <c r="Y472" s="619"/>
      <c r="Z472" s="619"/>
    </row>
    <row r="473" spans="1:26" ht="11.25" customHeight="1">
      <c r="A473" s="619"/>
      <c r="B473" s="619"/>
      <c r="C473" s="619"/>
      <c r="D473" s="619"/>
      <c r="E473" s="619"/>
      <c r="F473" s="619"/>
      <c r="G473" s="621"/>
      <c r="H473" s="619"/>
      <c r="I473" s="619"/>
      <c r="J473" s="619"/>
      <c r="K473" s="619"/>
      <c r="L473" s="619"/>
      <c r="M473" s="619"/>
      <c r="N473" s="619"/>
      <c r="O473" s="619"/>
      <c r="P473" s="619"/>
      <c r="Q473" s="619"/>
      <c r="R473" s="619"/>
      <c r="S473" s="619"/>
      <c r="T473" s="619"/>
      <c r="U473" s="619"/>
      <c r="V473" s="619"/>
      <c r="W473" s="619"/>
      <c r="X473" s="619"/>
      <c r="Y473" s="619"/>
      <c r="Z473" s="619"/>
    </row>
    <row r="474" spans="1:26" ht="11.25" customHeight="1">
      <c r="A474" s="619"/>
      <c r="B474" s="619"/>
      <c r="C474" s="619"/>
      <c r="D474" s="619"/>
      <c r="E474" s="619"/>
      <c r="F474" s="619"/>
      <c r="G474" s="621"/>
      <c r="H474" s="619"/>
      <c r="I474" s="619"/>
      <c r="J474" s="619"/>
      <c r="K474" s="619"/>
      <c r="L474" s="619"/>
      <c r="M474" s="619"/>
      <c r="N474" s="619"/>
      <c r="O474" s="619"/>
      <c r="P474" s="619"/>
      <c r="Q474" s="619"/>
      <c r="R474" s="619"/>
      <c r="S474" s="619"/>
      <c r="T474" s="619"/>
      <c r="U474" s="619"/>
      <c r="V474" s="619"/>
      <c r="W474" s="619"/>
      <c r="X474" s="619"/>
      <c r="Y474" s="619"/>
      <c r="Z474" s="619"/>
    </row>
    <row r="475" spans="1:26" ht="11.25" customHeight="1">
      <c r="A475" s="619"/>
      <c r="B475" s="619"/>
      <c r="C475" s="619"/>
      <c r="D475" s="619"/>
      <c r="E475" s="619"/>
      <c r="F475" s="619"/>
      <c r="G475" s="621"/>
      <c r="H475" s="619"/>
      <c r="I475" s="619"/>
      <c r="J475" s="619"/>
      <c r="K475" s="619"/>
      <c r="L475" s="619"/>
      <c r="M475" s="619"/>
      <c r="N475" s="619"/>
      <c r="O475" s="619"/>
      <c r="P475" s="619"/>
      <c r="Q475" s="619"/>
      <c r="R475" s="619"/>
      <c r="S475" s="619"/>
      <c r="T475" s="619"/>
      <c r="U475" s="619"/>
      <c r="V475" s="619"/>
      <c r="W475" s="619"/>
      <c r="X475" s="619"/>
      <c r="Y475" s="619"/>
      <c r="Z475" s="619"/>
    </row>
    <row r="476" spans="1:26" ht="11.25" customHeight="1">
      <c r="A476" s="619"/>
      <c r="B476" s="619"/>
      <c r="C476" s="619"/>
      <c r="D476" s="619"/>
      <c r="E476" s="619"/>
      <c r="F476" s="619"/>
      <c r="G476" s="621"/>
      <c r="H476" s="619"/>
      <c r="I476" s="619"/>
      <c r="J476" s="619"/>
      <c r="K476" s="619"/>
      <c r="L476" s="619"/>
      <c r="M476" s="619"/>
      <c r="N476" s="619"/>
      <c r="O476" s="619"/>
      <c r="P476" s="619"/>
      <c r="Q476" s="619"/>
      <c r="R476" s="619"/>
      <c r="S476" s="619"/>
      <c r="T476" s="619"/>
      <c r="U476" s="619"/>
      <c r="V476" s="619"/>
      <c r="W476" s="619"/>
      <c r="X476" s="619"/>
      <c r="Y476" s="619"/>
      <c r="Z476" s="619"/>
    </row>
    <row r="477" spans="1:26" ht="11.25" customHeight="1">
      <c r="A477" s="619"/>
      <c r="B477" s="619"/>
      <c r="C477" s="619"/>
      <c r="D477" s="619"/>
      <c r="E477" s="619"/>
      <c r="F477" s="619"/>
      <c r="G477" s="621"/>
      <c r="H477" s="619"/>
      <c r="I477" s="619"/>
      <c r="J477" s="619"/>
      <c r="K477" s="619"/>
      <c r="L477" s="619"/>
      <c r="M477" s="619"/>
      <c r="N477" s="619"/>
      <c r="O477" s="619"/>
      <c r="P477" s="619"/>
      <c r="Q477" s="619"/>
      <c r="R477" s="619"/>
      <c r="S477" s="619"/>
      <c r="T477" s="619"/>
      <c r="U477" s="619"/>
      <c r="V477" s="619"/>
      <c r="W477" s="619"/>
      <c r="X477" s="619"/>
      <c r="Y477" s="619"/>
      <c r="Z477" s="619"/>
    </row>
    <row r="478" spans="1:26" ht="11.25" customHeight="1">
      <c r="A478" s="619"/>
      <c r="B478" s="619"/>
      <c r="C478" s="619"/>
      <c r="D478" s="619"/>
      <c r="E478" s="619"/>
      <c r="F478" s="619"/>
      <c r="G478" s="621"/>
      <c r="H478" s="619"/>
      <c r="I478" s="619"/>
      <c r="J478" s="619"/>
      <c r="K478" s="619"/>
      <c r="L478" s="619"/>
      <c r="M478" s="619"/>
      <c r="N478" s="619"/>
      <c r="O478" s="619"/>
      <c r="P478" s="619"/>
      <c r="Q478" s="619"/>
      <c r="R478" s="619"/>
      <c r="S478" s="619"/>
      <c r="T478" s="619"/>
      <c r="U478" s="619"/>
      <c r="V478" s="619"/>
      <c r="W478" s="619"/>
      <c r="X478" s="619"/>
      <c r="Y478" s="619"/>
      <c r="Z478" s="619"/>
    </row>
    <row r="479" spans="1:26" ht="11.25" customHeight="1">
      <c r="A479" s="619"/>
      <c r="B479" s="619"/>
      <c r="C479" s="619"/>
      <c r="D479" s="619"/>
      <c r="E479" s="619"/>
      <c r="F479" s="619"/>
      <c r="G479" s="621"/>
      <c r="H479" s="619"/>
      <c r="I479" s="619"/>
      <c r="J479" s="619"/>
      <c r="K479" s="619"/>
      <c r="L479" s="619"/>
      <c r="M479" s="619"/>
      <c r="N479" s="619"/>
      <c r="O479" s="619"/>
      <c r="P479" s="619"/>
      <c r="Q479" s="619"/>
      <c r="R479" s="619"/>
      <c r="S479" s="619"/>
      <c r="T479" s="619"/>
      <c r="U479" s="619"/>
      <c r="V479" s="619"/>
      <c r="W479" s="619"/>
      <c r="X479" s="619"/>
      <c r="Y479" s="619"/>
      <c r="Z479" s="619"/>
    </row>
    <row r="480" spans="1:26" ht="11.25" customHeight="1">
      <c r="A480" s="619"/>
      <c r="B480" s="619"/>
      <c r="C480" s="619"/>
      <c r="D480" s="619"/>
      <c r="E480" s="619"/>
      <c r="F480" s="619"/>
      <c r="G480" s="621"/>
      <c r="H480" s="619"/>
      <c r="I480" s="619"/>
      <c r="J480" s="619"/>
      <c r="K480" s="619"/>
      <c r="L480" s="619"/>
      <c r="M480" s="619"/>
      <c r="N480" s="619"/>
      <c r="O480" s="619"/>
      <c r="P480" s="619"/>
      <c r="Q480" s="619"/>
      <c r="R480" s="619"/>
      <c r="S480" s="619"/>
      <c r="T480" s="619"/>
      <c r="U480" s="619"/>
      <c r="V480" s="619"/>
      <c r="W480" s="619"/>
      <c r="X480" s="619"/>
      <c r="Y480" s="619"/>
      <c r="Z480" s="619"/>
    </row>
    <row r="481" spans="1:26" ht="11.25" customHeight="1">
      <c r="A481" s="619"/>
      <c r="B481" s="619"/>
      <c r="C481" s="619"/>
      <c r="D481" s="619"/>
      <c r="E481" s="619"/>
      <c r="F481" s="619"/>
      <c r="G481" s="621"/>
      <c r="H481" s="619"/>
      <c r="I481" s="619"/>
      <c r="J481" s="619"/>
      <c r="K481" s="619"/>
      <c r="L481" s="619"/>
      <c r="M481" s="619"/>
      <c r="N481" s="619"/>
      <c r="O481" s="619"/>
      <c r="P481" s="619"/>
      <c r="Q481" s="619"/>
      <c r="R481" s="619"/>
      <c r="S481" s="619"/>
      <c r="T481" s="619"/>
      <c r="U481" s="619"/>
      <c r="V481" s="619"/>
      <c r="W481" s="619"/>
      <c r="X481" s="619"/>
      <c r="Y481" s="619"/>
      <c r="Z481" s="619"/>
    </row>
    <row r="482" spans="1:26" ht="11.25" customHeight="1">
      <c r="A482" s="619"/>
      <c r="B482" s="619"/>
      <c r="C482" s="619"/>
      <c r="D482" s="619"/>
      <c r="E482" s="619"/>
      <c r="F482" s="619"/>
      <c r="G482" s="621"/>
      <c r="H482" s="619"/>
      <c r="I482" s="619"/>
      <c r="J482" s="619"/>
      <c r="K482" s="619"/>
      <c r="L482" s="619"/>
      <c r="M482" s="619"/>
      <c r="N482" s="619"/>
      <c r="O482" s="619"/>
      <c r="P482" s="619"/>
      <c r="Q482" s="619"/>
      <c r="R482" s="619"/>
      <c r="S482" s="619"/>
      <c r="T482" s="619"/>
      <c r="U482" s="619"/>
      <c r="V482" s="619"/>
      <c r="W482" s="619"/>
      <c r="X482" s="619"/>
      <c r="Y482" s="619"/>
      <c r="Z482" s="619"/>
    </row>
    <row r="483" spans="1:26" ht="11.25" customHeight="1">
      <c r="A483" s="619"/>
      <c r="B483" s="619"/>
      <c r="C483" s="619"/>
      <c r="D483" s="619"/>
      <c r="E483" s="619"/>
      <c r="F483" s="619"/>
      <c r="G483" s="621"/>
      <c r="H483" s="619"/>
      <c r="I483" s="619"/>
      <c r="J483" s="619"/>
      <c r="K483" s="619"/>
      <c r="L483" s="619"/>
      <c r="M483" s="619"/>
      <c r="N483" s="619"/>
      <c r="O483" s="619"/>
      <c r="P483" s="619"/>
      <c r="Q483" s="619"/>
      <c r="R483" s="619"/>
      <c r="S483" s="619"/>
      <c r="T483" s="619"/>
      <c r="U483" s="619"/>
      <c r="V483" s="619"/>
      <c r="W483" s="619"/>
      <c r="X483" s="619"/>
      <c r="Y483" s="619"/>
      <c r="Z483" s="619"/>
    </row>
    <row r="484" spans="1:26" ht="11.25" customHeight="1">
      <c r="A484" s="619"/>
      <c r="B484" s="619"/>
      <c r="C484" s="619"/>
      <c r="D484" s="619"/>
      <c r="E484" s="619"/>
      <c r="F484" s="619"/>
      <c r="G484" s="621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</row>
    <row r="485" spans="1:26" ht="11.25" customHeight="1">
      <c r="A485" s="619"/>
      <c r="B485" s="619"/>
      <c r="C485" s="619"/>
      <c r="D485" s="619"/>
      <c r="E485" s="619"/>
      <c r="F485" s="619"/>
      <c r="G485" s="621"/>
      <c r="H485" s="619"/>
      <c r="I485" s="619"/>
      <c r="J485" s="619"/>
      <c r="K485" s="619"/>
      <c r="L485" s="619"/>
      <c r="M485" s="619"/>
      <c r="N485" s="619"/>
      <c r="O485" s="619"/>
      <c r="P485" s="619"/>
      <c r="Q485" s="619"/>
      <c r="R485" s="619"/>
      <c r="S485" s="619"/>
      <c r="T485" s="619"/>
      <c r="U485" s="619"/>
      <c r="V485" s="619"/>
      <c r="W485" s="619"/>
      <c r="X485" s="619"/>
      <c r="Y485" s="619"/>
      <c r="Z485" s="619"/>
    </row>
    <row r="486" spans="1:26" ht="11.25" customHeight="1">
      <c r="A486" s="619"/>
      <c r="B486" s="619"/>
      <c r="C486" s="619"/>
      <c r="D486" s="619"/>
      <c r="E486" s="619"/>
      <c r="F486" s="619"/>
      <c r="G486" s="621"/>
      <c r="H486" s="619"/>
      <c r="I486" s="619"/>
      <c r="J486" s="619"/>
      <c r="K486" s="619"/>
      <c r="L486" s="619"/>
      <c r="M486" s="619"/>
      <c r="N486" s="619"/>
      <c r="O486" s="619"/>
      <c r="P486" s="619"/>
      <c r="Q486" s="619"/>
      <c r="R486" s="619"/>
      <c r="S486" s="619"/>
      <c r="T486" s="619"/>
      <c r="U486" s="619"/>
      <c r="V486" s="619"/>
      <c r="W486" s="619"/>
      <c r="X486" s="619"/>
      <c r="Y486" s="619"/>
      <c r="Z486" s="619"/>
    </row>
    <row r="487" spans="1:26" ht="11.25" customHeight="1">
      <c r="A487" s="619"/>
      <c r="B487" s="619"/>
      <c r="C487" s="619"/>
      <c r="D487" s="619"/>
      <c r="E487" s="619"/>
      <c r="F487" s="619"/>
      <c r="G487" s="621"/>
      <c r="H487" s="619"/>
      <c r="I487" s="619"/>
      <c r="J487" s="619"/>
      <c r="K487" s="619"/>
      <c r="L487" s="619"/>
      <c r="M487" s="619"/>
      <c r="N487" s="619"/>
      <c r="O487" s="619"/>
      <c r="P487" s="619"/>
      <c r="Q487" s="619"/>
      <c r="R487" s="619"/>
      <c r="S487" s="619"/>
      <c r="T487" s="619"/>
      <c r="U487" s="619"/>
      <c r="V487" s="619"/>
      <c r="W487" s="619"/>
      <c r="X487" s="619"/>
      <c r="Y487" s="619"/>
      <c r="Z487" s="619"/>
    </row>
    <row r="488" spans="1:26" ht="11.25" customHeight="1">
      <c r="A488" s="619"/>
      <c r="B488" s="619"/>
      <c r="C488" s="619"/>
      <c r="D488" s="619"/>
      <c r="E488" s="619"/>
      <c r="F488" s="619"/>
      <c r="G488" s="621"/>
      <c r="H488" s="619"/>
      <c r="I488" s="619"/>
      <c r="J488" s="619"/>
      <c r="K488" s="619"/>
      <c r="L488" s="619"/>
      <c r="M488" s="619"/>
      <c r="N488" s="619"/>
      <c r="O488" s="619"/>
      <c r="P488" s="619"/>
      <c r="Q488" s="619"/>
      <c r="R488" s="619"/>
      <c r="S488" s="619"/>
      <c r="T488" s="619"/>
      <c r="U488" s="619"/>
      <c r="V488" s="619"/>
      <c r="W488" s="619"/>
      <c r="X488" s="619"/>
      <c r="Y488" s="619"/>
      <c r="Z488" s="619"/>
    </row>
    <row r="489" spans="1:26" ht="11.25" customHeight="1">
      <c r="A489" s="619"/>
      <c r="B489" s="619"/>
      <c r="C489" s="619"/>
      <c r="D489" s="619"/>
      <c r="E489" s="619"/>
      <c r="F489" s="619"/>
      <c r="G489" s="621"/>
      <c r="H489" s="619"/>
      <c r="I489" s="619"/>
      <c r="J489" s="619"/>
      <c r="K489" s="619"/>
      <c r="L489" s="619"/>
      <c r="M489" s="619"/>
      <c r="N489" s="619"/>
      <c r="O489" s="619"/>
      <c r="P489" s="619"/>
      <c r="Q489" s="619"/>
      <c r="R489" s="619"/>
      <c r="S489" s="619"/>
      <c r="T489" s="619"/>
      <c r="U489" s="619"/>
      <c r="V489" s="619"/>
      <c r="W489" s="619"/>
      <c r="X489" s="619"/>
      <c r="Y489" s="619"/>
      <c r="Z489" s="619"/>
    </row>
    <row r="490" spans="1:26" ht="11.25" customHeight="1">
      <c r="A490" s="619"/>
      <c r="B490" s="619"/>
      <c r="C490" s="619"/>
      <c r="D490" s="619"/>
      <c r="E490" s="619"/>
      <c r="F490" s="619"/>
      <c r="G490" s="621"/>
      <c r="H490" s="619"/>
      <c r="I490" s="619"/>
      <c r="J490" s="619"/>
      <c r="K490" s="619"/>
      <c r="L490" s="619"/>
      <c r="M490" s="619"/>
      <c r="N490" s="619"/>
      <c r="O490" s="619"/>
      <c r="P490" s="619"/>
      <c r="Q490" s="619"/>
      <c r="R490" s="619"/>
      <c r="S490" s="619"/>
      <c r="T490" s="619"/>
      <c r="U490" s="619"/>
      <c r="V490" s="619"/>
      <c r="W490" s="619"/>
      <c r="X490" s="619"/>
      <c r="Y490" s="619"/>
      <c r="Z490" s="619"/>
    </row>
    <row r="491" spans="1:26" ht="11.25" customHeight="1">
      <c r="A491" s="619"/>
      <c r="B491" s="619"/>
      <c r="C491" s="619"/>
      <c r="D491" s="619"/>
      <c r="E491" s="619"/>
      <c r="F491" s="619"/>
      <c r="G491" s="621"/>
      <c r="H491" s="619"/>
      <c r="I491" s="619"/>
      <c r="J491" s="619"/>
      <c r="K491" s="619"/>
      <c r="L491" s="619"/>
      <c r="M491" s="619"/>
      <c r="N491" s="619"/>
      <c r="O491" s="619"/>
      <c r="P491" s="619"/>
      <c r="Q491" s="619"/>
      <c r="R491" s="619"/>
      <c r="S491" s="619"/>
      <c r="T491" s="619"/>
      <c r="U491" s="619"/>
      <c r="V491" s="619"/>
      <c r="W491" s="619"/>
      <c r="X491" s="619"/>
      <c r="Y491" s="619"/>
      <c r="Z491" s="619"/>
    </row>
    <row r="492" spans="1:26" ht="11.25" customHeight="1">
      <c r="A492" s="619"/>
      <c r="B492" s="619"/>
      <c r="C492" s="619"/>
      <c r="D492" s="619"/>
      <c r="E492" s="619"/>
      <c r="F492" s="619"/>
      <c r="G492" s="621"/>
      <c r="H492" s="619"/>
      <c r="I492" s="619"/>
      <c r="J492" s="619"/>
      <c r="K492" s="619"/>
      <c r="L492" s="619"/>
      <c r="M492" s="619"/>
      <c r="N492" s="619"/>
      <c r="O492" s="619"/>
      <c r="P492" s="619"/>
      <c r="Q492" s="619"/>
      <c r="R492" s="619"/>
      <c r="S492" s="619"/>
      <c r="T492" s="619"/>
      <c r="U492" s="619"/>
      <c r="V492" s="619"/>
      <c r="W492" s="619"/>
      <c r="X492" s="619"/>
      <c r="Y492" s="619"/>
      <c r="Z492" s="619"/>
    </row>
    <row r="493" spans="1:26" ht="11.25" customHeight="1">
      <c r="A493" s="619"/>
      <c r="B493" s="619"/>
      <c r="C493" s="619"/>
      <c r="D493" s="619"/>
      <c r="E493" s="619"/>
      <c r="F493" s="619"/>
      <c r="G493" s="621"/>
      <c r="H493" s="619"/>
      <c r="I493" s="619"/>
      <c r="J493" s="619"/>
      <c r="K493" s="619"/>
      <c r="L493" s="619"/>
      <c r="M493" s="619"/>
      <c r="N493" s="619"/>
      <c r="O493" s="619"/>
      <c r="P493" s="619"/>
      <c r="Q493" s="619"/>
      <c r="R493" s="619"/>
      <c r="S493" s="619"/>
      <c r="T493" s="619"/>
      <c r="U493" s="619"/>
      <c r="V493" s="619"/>
      <c r="W493" s="619"/>
      <c r="X493" s="619"/>
      <c r="Y493" s="619"/>
      <c r="Z493" s="619"/>
    </row>
    <row r="494" spans="1:26" ht="11.25" customHeight="1">
      <c r="A494" s="619"/>
      <c r="B494" s="619"/>
      <c r="C494" s="619"/>
      <c r="D494" s="619"/>
      <c r="E494" s="619"/>
      <c r="F494" s="619"/>
      <c r="G494" s="621"/>
      <c r="H494" s="619"/>
      <c r="I494" s="619"/>
      <c r="J494" s="619"/>
      <c r="K494" s="619"/>
      <c r="L494" s="619"/>
      <c r="M494" s="619"/>
      <c r="N494" s="619"/>
      <c r="O494" s="619"/>
      <c r="P494" s="619"/>
      <c r="Q494" s="619"/>
      <c r="R494" s="619"/>
      <c r="S494" s="619"/>
      <c r="T494" s="619"/>
      <c r="U494" s="619"/>
      <c r="V494" s="619"/>
      <c r="W494" s="619"/>
      <c r="X494" s="619"/>
      <c r="Y494" s="619"/>
      <c r="Z494" s="619"/>
    </row>
    <row r="495" spans="1:26" ht="11.25" customHeight="1">
      <c r="A495" s="619"/>
      <c r="B495" s="619"/>
      <c r="C495" s="619"/>
      <c r="D495" s="619"/>
      <c r="E495" s="619"/>
      <c r="F495" s="619"/>
      <c r="G495" s="621"/>
      <c r="H495" s="619"/>
      <c r="I495" s="619"/>
      <c r="J495" s="619"/>
      <c r="K495" s="619"/>
      <c r="L495" s="619"/>
      <c r="M495" s="619"/>
      <c r="N495" s="619"/>
      <c r="O495" s="619"/>
      <c r="P495" s="619"/>
      <c r="Q495" s="619"/>
      <c r="R495" s="619"/>
      <c r="S495" s="619"/>
      <c r="T495" s="619"/>
      <c r="U495" s="619"/>
      <c r="V495" s="619"/>
      <c r="W495" s="619"/>
      <c r="X495" s="619"/>
      <c r="Y495" s="619"/>
      <c r="Z495" s="619"/>
    </row>
    <row r="496" spans="1:26" ht="11.25" customHeight="1">
      <c r="A496" s="619"/>
      <c r="B496" s="619"/>
      <c r="C496" s="619"/>
      <c r="D496" s="619"/>
      <c r="E496" s="619"/>
      <c r="F496" s="619"/>
      <c r="G496" s="621"/>
      <c r="H496" s="619"/>
      <c r="I496" s="619"/>
      <c r="J496" s="619"/>
      <c r="K496" s="619"/>
      <c r="L496" s="619"/>
      <c r="M496" s="619"/>
      <c r="N496" s="619"/>
      <c r="O496" s="619"/>
      <c r="P496" s="619"/>
      <c r="Q496" s="619"/>
      <c r="R496" s="619"/>
      <c r="S496" s="619"/>
      <c r="T496" s="619"/>
      <c r="U496" s="619"/>
      <c r="V496" s="619"/>
      <c r="W496" s="619"/>
      <c r="X496" s="619"/>
      <c r="Y496" s="619"/>
      <c r="Z496" s="619"/>
    </row>
    <row r="497" spans="1:26" ht="11.25" customHeight="1">
      <c r="A497" s="619"/>
      <c r="B497" s="619"/>
      <c r="C497" s="619"/>
      <c r="D497" s="619"/>
      <c r="E497" s="619"/>
      <c r="F497" s="619"/>
      <c r="G497" s="621"/>
      <c r="H497" s="619"/>
      <c r="I497" s="619"/>
      <c r="J497" s="619"/>
      <c r="K497" s="619"/>
      <c r="L497" s="619"/>
      <c r="M497" s="619"/>
      <c r="N497" s="619"/>
      <c r="O497" s="619"/>
      <c r="P497" s="619"/>
      <c r="Q497" s="619"/>
      <c r="R497" s="619"/>
      <c r="S497" s="619"/>
      <c r="T497" s="619"/>
      <c r="U497" s="619"/>
      <c r="V497" s="619"/>
      <c r="W497" s="619"/>
      <c r="X497" s="619"/>
      <c r="Y497" s="619"/>
      <c r="Z497" s="619"/>
    </row>
    <row r="498" spans="1:26" ht="11.25" customHeight="1">
      <c r="A498" s="619"/>
      <c r="B498" s="619"/>
      <c r="C498" s="619"/>
      <c r="D498" s="619"/>
      <c r="E498" s="619"/>
      <c r="F498" s="619"/>
      <c r="G498" s="621"/>
      <c r="H498" s="619"/>
      <c r="I498" s="619"/>
      <c r="J498" s="619"/>
      <c r="K498" s="619"/>
      <c r="L498" s="619"/>
      <c r="M498" s="619"/>
      <c r="N498" s="619"/>
      <c r="O498" s="619"/>
      <c r="P498" s="619"/>
      <c r="Q498" s="619"/>
      <c r="R498" s="619"/>
      <c r="S498" s="619"/>
      <c r="T498" s="619"/>
      <c r="U498" s="619"/>
      <c r="V498" s="619"/>
      <c r="W498" s="619"/>
      <c r="X498" s="619"/>
      <c r="Y498" s="619"/>
      <c r="Z498" s="619"/>
    </row>
    <row r="499" spans="1:26" ht="11.25" customHeight="1">
      <c r="A499" s="619"/>
      <c r="B499" s="619"/>
      <c r="C499" s="619"/>
      <c r="D499" s="619"/>
      <c r="E499" s="619"/>
      <c r="F499" s="619"/>
      <c r="G499" s="621"/>
      <c r="H499" s="619"/>
      <c r="I499" s="619"/>
      <c r="J499" s="619"/>
      <c r="K499" s="619"/>
      <c r="L499" s="619"/>
      <c r="M499" s="619"/>
      <c r="N499" s="619"/>
      <c r="O499" s="619"/>
      <c r="P499" s="619"/>
      <c r="Q499" s="619"/>
      <c r="R499" s="619"/>
      <c r="S499" s="619"/>
      <c r="T499" s="619"/>
      <c r="U499" s="619"/>
      <c r="V499" s="619"/>
      <c r="W499" s="619"/>
      <c r="X499" s="619"/>
      <c r="Y499" s="619"/>
      <c r="Z499" s="619"/>
    </row>
    <row r="500" spans="1:26" ht="11.25" customHeight="1">
      <c r="A500" s="619"/>
      <c r="B500" s="619"/>
      <c r="C500" s="619"/>
      <c r="D500" s="619"/>
      <c r="E500" s="619"/>
      <c r="F500" s="619"/>
      <c r="G500" s="621"/>
      <c r="H500" s="619"/>
      <c r="I500" s="619"/>
      <c r="J500" s="619"/>
      <c r="K500" s="619"/>
      <c r="L500" s="619"/>
      <c r="M500" s="619"/>
      <c r="N500" s="619"/>
      <c r="O500" s="619"/>
      <c r="P500" s="619"/>
      <c r="Q500" s="619"/>
      <c r="R500" s="619"/>
      <c r="S500" s="619"/>
      <c r="T500" s="619"/>
      <c r="U500" s="619"/>
      <c r="V500" s="619"/>
      <c r="W500" s="619"/>
      <c r="X500" s="619"/>
      <c r="Y500" s="619"/>
      <c r="Z500" s="619"/>
    </row>
    <row r="501" spans="1:26" ht="11.25" customHeight="1">
      <c r="A501" s="619"/>
      <c r="B501" s="619"/>
      <c r="C501" s="619"/>
      <c r="D501" s="619"/>
      <c r="E501" s="619"/>
      <c r="F501" s="619"/>
      <c r="G501" s="621"/>
      <c r="H501" s="619"/>
      <c r="I501" s="619"/>
      <c r="J501" s="619"/>
      <c r="K501" s="619"/>
      <c r="L501" s="619"/>
      <c r="M501" s="619"/>
      <c r="N501" s="619"/>
      <c r="O501" s="619"/>
      <c r="P501" s="619"/>
      <c r="Q501" s="619"/>
      <c r="R501" s="619"/>
      <c r="S501" s="619"/>
      <c r="T501" s="619"/>
      <c r="U501" s="619"/>
      <c r="V501" s="619"/>
      <c r="W501" s="619"/>
      <c r="X501" s="619"/>
      <c r="Y501" s="619"/>
      <c r="Z501" s="619"/>
    </row>
    <row r="502" spans="1:26" ht="11.25" customHeight="1">
      <c r="A502" s="619"/>
      <c r="B502" s="619"/>
      <c r="C502" s="619"/>
      <c r="D502" s="619"/>
      <c r="E502" s="619"/>
      <c r="F502" s="619"/>
      <c r="G502" s="621"/>
      <c r="H502" s="619"/>
      <c r="I502" s="619"/>
      <c r="J502" s="619"/>
      <c r="K502" s="619"/>
      <c r="L502" s="619"/>
      <c r="M502" s="619"/>
      <c r="N502" s="619"/>
      <c r="O502" s="619"/>
      <c r="P502" s="619"/>
      <c r="Q502" s="619"/>
      <c r="R502" s="619"/>
      <c r="S502" s="619"/>
      <c r="T502" s="619"/>
      <c r="U502" s="619"/>
      <c r="V502" s="619"/>
      <c r="W502" s="619"/>
      <c r="X502" s="619"/>
      <c r="Y502" s="619"/>
      <c r="Z502" s="619"/>
    </row>
    <row r="503" spans="1:26" ht="11.25" customHeight="1">
      <c r="A503" s="619"/>
      <c r="B503" s="619"/>
      <c r="C503" s="619"/>
      <c r="D503" s="619"/>
      <c r="E503" s="619"/>
      <c r="F503" s="619"/>
      <c r="G503" s="621"/>
      <c r="H503" s="619"/>
      <c r="I503" s="619"/>
      <c r="J503" s="619"/>
      <c r="K503" s="619"/>
      <c r="L503" s="619"/>
      <c r="M503" s="619"/>
      <c r="N503" s="619"/>
      <c r="O503" s="619"/>
      <c r="P503" s="619"/>
      <c r="Q503" s="619"/>
      <c r="R503" s="619"/>
      <c r="S503" s="619"/>
      <c r="T503" s="619"/>
      <c r="U503" s="619"/>
      <c r="V503" s="619"/>
      <c r="W503" s="619"/>
      <c r="X503" s="619"/>
      <c r="Y503" s="619"/>
      <c r="Z503" s="619"/>
    </row>
    <row r="504" spans="1:26" ht="11.25" customHeight="1">
      <c r="A504" s="619"/>
      <c r="B504" s="619"/>
      <c r="C504" s="619"/>
      <c r="D504" s="619"/>
      <c r="E504" s="619"/>
      <c r="F504" s="619"/>
      <c r="G504" s="621"/>
      <c r="H504" s="619"/>
      <c r="I504" s="619"/>
      <c r="J504" s="619"/>
      <c r="K504" s="619"/>
      <c r="L504" s="619"/>
      <c r="M504" s="619"/>
      <c r="N504" s="619"/>
      <c r="O504" s="619"/>
      <c r="P504" s="619"/>
      <c r="Q504" s="619"/>
      <c r="R504" s="619"/>
      <c r="S504" s="619"/>
      <c r="T504" s="619"/>
      <c r="U504" s="619"/>
      <c r="V504" s="619"/>
      <c r="W504" s="619"/>
      <c r="X504" s="619"/>
      <c r="Y504" s="619"/>
      <c r="Z504" s="619"/>
    </row>
    <row r="505" spans="1:26" ht="11.25" customHeight="1">
      <c r="A505" s="619"/>
      <c r="B505" s="619"/>
      <c r="C505" s="619"/>
      <c r="D505" s="619"/>
      <c r="E505" s="619"/>
      <c r="F505" s="619"/>
      <c r="G505" s="621"/>
      <c r="H505" s="619"/>
      <c r="I505" s="619"/>
      <c r="J505" s="619"/>
      <c r="K505" s="619"/>
      <c r="L505" s="619"/>
      <c r="M505" s="619"/>
      <c r="N505" s="619"/>
      <c r="O505" s="619"/>
      <c r="P505" s="619"/>
      <c r="Q505" s="619"/>
      <c r="R505" s="619"/>
      <c r="S505" s="619"/>
      <c r="T505" s="619"/>
      <c r="U505" s="619"/>
      <c r="V505" s="619"/>
      <c r="W505" s="619"/>
      <c r="X505" s="619"/>
      <c r="Y505" s="619"/>
      <c r="Z505" s="619"/>
    </row>
    <row r="506" spans="1:26" ht="11.25" customHeight="1">
      <c r="A506" s="619"/>
      <c r="B506" s="619"/>
      <c r="C506" s="619"/>
      <c r="D506" s="619"/>
      <c r="E506" s="619"/>
      <c r="F506" s="619"/>
      <c r="G506" s="621"/>
      <c r="H506" s="619"/>
      <c r="I506" s="619"/>
      <c r="J506" s="619"/>
      <c r="K506" s="619"/>
      <c r="L506" s="619"/>
      <c r="M506" s="619"/>
      <c r="N506" s="619"/>
      <c r="O506" s="619"/>
      <c r="P506" s="619"/>
      <c r="Q506" s="619"/>
      <c r="R506" s="619"/>
      <c r="S506" s="619"/>
      <c r="T506" s="619"/>
      <c r="U506" s="619"/>
      <c r="V506" s="619"/>
      <c r="W506" s="619"/>
      <c r="X506" s="619"/>
      <c r="Y506" s="619"/>
      <c r="Z506" s="619"/>
    </row>
    <row r="507" spans="1:26" ht="11.25" customHeight="1">
      <c r="A507" s="619"/>
      <c r="B507" s="619"/>
      <c r="C507" s="619"/>
      <c r="D507" s="619"/>
      <c r="E507" s="619"/>
      <c r="F507" s="619"/>
      <c r="G507" s="621"/>
      <c r="H507" s="619"/>
      <c r="I507" s="619"/>
      <c r="J507" s="619"/>
      <c r="K507" s="619"/>
      <c r="L507" s="619"/>
      <c r="M507" s="619"/>
      <c r="N507" s="619"/>
      <c r="O507" s="619"/>
      <c r="P507" s="619"/>
      <c r="Q507" s="619"/>
      <c r="R507" s="619"/>
      <c r="S507" s="619"/>
      <c r="T507" s="619"/>
      <c r="U507" s="619"/>
      <c r="V507" s="619"/>
      <c r="W507" s="619"/>
      <c r="X507" s="619"/>
      <c r="Y507" s="619"/>
      <c r="Z507" s="619"/>
    </row>
    <row r="508" spans="1:26" ht="11.25" customHeight="1">
      <c r="A508" s="619"/>
      <c r="B508" s="619"/>
      <c r="C508" s="619"/>
      <c r="D508" s="619"/>
      <c r="E508" s="619"/>
      <c r="F508" s="619"/>
      <c r="G508" s="621"/>
      <c r="H508" s="619"/>
      <c r="I508" s="619"/>
      <c r="J508" s="619"/>
      <c r="K508" s="619"/>
      <c r="L508" s="619"/>
      <c r="M508" s="619"/>
      <c r="N508" s="619"/>
      <c r="O508" s="619"/>
      <c r="P508" s="619"/>
      <c r="Q508" s="619"/>
      <c r="R508" s="619"/>
      <c r="S508" s="619"/>
      <c r="T508" s="619"/>
      <c r="U508" s="619"/>
      <c r="V508" s="619"/>
      <c r="W508" s="619"/>
      <c r="X508" s="619"/>
      <c r="Y508" s="619"/>
      <c r="Z508" s="619"/>
    </row>
    <row r="509" spans="1:26" ht="11.25" customHeight="1">
      <c r="A509" s="619"/>
      <c r="B509" s="619"/>
      <c r="C509" s="619"/>
      <c r="D509" s="619"/>
      <c r="E509" s="619"/>
      <c r="F509" s="619"/>
      <c r="G509" s="621"/>
      <c r="H509" s="619"/>
      <c r="I509" s="619"/>
      <c r="J509" s="619"/>
      <c r="K509" s="619"/>
      <c r="L509" s="619"/>
      <c r="M509" s="619"/>
      <c r="N509" s="619"/>
      <c r="O509" s="619"/>
      <c r="P509" s="619"/>
      <c r="Q509" s="619"/>
      <c r="R509" s="619"/>
      <c r="S509" s="619"/>
      <c r="T509" s="619"/>
      <c r="U509" s="619"/>
      <c r="V509" s="619"/>
      <c r="W509" s="619"/>
      <c r="X509" s="619"/>
      <c r="Y509" s="619"/>
      <c r="Z509" s="619"/>
    </row>
    <row r="510" spans="1:26" ht="11.25" customHeight="1">
      <c r="A510" s="619"/>
      <c r="B510" s="619"/>
      <c r="C510" s="619"/>
      <c r="D510" s="619"/>
      <c r="E510" s="619"/>
      <c r="F510" s="619"/>
      <c r="G510" s="621"/>
      <c r="H510" s="619"/>
      <c r="I510" s="619"/>
      <c r="J510" s="619"/>
      <c r="K510" s="619"/>
      <c r="L510" s="619"/>
      <c r="M510" s="619"/>
      <c r="N510" s="619"/>
      <c r="O510" s="619"/>
      <c r="P510" s="619"/>
      <c r="Q510" s="619"/>
      <c r="R510" s="619"/>
      <c r="S510" s="619"/>
      <c r="T510" s="619"/>
      <c r="U510" s="619"/>
      <c r="V510" s="619"/>
      <c r="W510" s="619"/>
      <c r="X510" s="619"/>
      <c r="Y510" s="619"/>
      <c r="Z510" s="619"/>
    </row>
    <row r="511" spans="1:26" ht="11.25" customHeight="1">
      <c r="A511" s="619"/>
      <c r="B511" s="619"/>
      <c r="C511" s="619"/>
      <c r="D511" s="619"/>
      <c r="E511" s="619"/>
      <c r="F511" s="619"/>
      <c r="G511" s="621"/>
      <c r="H511" s="619"/>
      <c r="I511" s="619"/>
      <c r="J511" s="619"/>
      <c r="K511" s="619"/>
      <c r="L511" s="619"/>
      <c r="M511" s="619"/>
      <c r="N511" s="619"/>
      <c r="O511" s="619"/>
      <c r="P511" s="619"/>
      <c r="Q511" s="619"/>
      <c r="R511" s="619"/>
      <c r="S511" s="619"/>
      <c r="T511" s="619"/>
      <c r="U511" s="619"/>
      <c r="V511" s="619"/>
      <c r="W511" s="619"/>
      <c r="X511" s="619"/>
      <c r="Y511" s="619"/>
      <c r="Z511" s="619"/>
    </row>
    <row r="512" spans="1:26" ht="11.25" customHeight="1">
      <c r="A512" s="619"/>
      <c r="B512" s="619"/>
      <c r="C512" s="619"/>
      <c r="D512" s="619"/>
      <c r="E512" s="619"/>
      <c r="F512" s="619"/>
      <c r="G512" s="621"/>
      <c r="H512" s="619"/>
      <c r="I512" s="619"/>
      <c r="J512" s="619"/>
      <c r="K512" s="619"/>
      <c r="L512" s="619"/>
      <c r="M512" s="619"/>
      <c r="N512" s="619"/>
      <c r="O512" s="619"/>
      <c r="P512" s="619"/>
      <c r="Q512" s="619"/>
      <c r="R512" s="619"/>
      <c r="S512" s="619"/>
      <c r="T512" s="619"/>
      <c r="U512" s="619"/>
      <c r="V512" s="619"/>
      <c r="W512" s="619"/>
      <c r="X512" s="619"/>
      <c r="Y512" s="619"/>
      <c r="Z512" s="619"/>
    </row>
    <row r="513" spans="1:26" ht="11.25" customHeight="1">
      <c r="A513" s="619"/>
      <c r="B513" s="619"/>
      <c r="C513" s="619"/>
      <c r="D513" s="619"/>
      <c r="E513" s="619"/>
      <c r="F513" s="619"/>
      <c r="G513" s="621"/>
      <c r="H513" s="619"/>
      <c r="I513" s="619"/>
      <c r="J513" s="619"/>
      <c r="K513" s="619"/>
      <c r="L513" s="619"/>
      <c r="M513" s="619"/>
      <c r="N513" s="619"/>
      <c r="O513" s="619"/>
      <c r="P513" s="619"/>
      <c r="Q513" s="619"/>
      <c r="R513" s="619"/>
      <c r="S513" s="619"/>
      <c r="T513" s="619"/>
      <c r="U513" s="619"/>
      <c r="V513" s="619"/>
      <c r="W513" s="619"/>
      <c r="X513" s="619"/>
      <c r="Y513" s="619"/>
      <c r="Z513" s="619"/>
    </row>
    <row r="514" spans="1:26" ht="11.25" customHeight="1">
      <c r="A514" s="619"/>
      <c r="B514" s="619"/>
      <c r="C514" s="619"/>
      <c r="D514" s="619"/>
      <c r="E514" s="619"/>
      <c r="F514" s="619"/>
      <c r="G514" s="621"/>
      <c r="H514" s="619"/>
      <c r="I514" s="619"/>
      <c r="J514" s="619"/>
      <c r="K514" s="619"/>
      <c r="L514" s="619"/>
      <c r="M514" s="619"/>
      <c r="N514" s="619"/>
      <c r="O514" s="619"/>
      <c r="P514" s="619"/>
      <c r="Q514" s="619"/>
      <c r="R514" s="619"/>
      <c r="S514" s="619"/>
      <c r="T514" s="619"/>
      <c r="U514" s="619"/>
      <c r="V514" s="619"/>
      <c r="W514" s="619"/>
      <c r="X514" s="619"/>
      <c r="Y514" s="619"/>
      <c r="Z514" s="619"/>
    </row>
    <row r="515" spans="1:26" ht="11.25" customHeight="1">
      <c r="A515" s="619"/>
      <c r="B515" s="619"/>
      <c r="C515" s="619"/>
      <c r="D515" s="619"/>
      <c r="E515" s="619"/>
      <c r="F515" s="619"/>
      <c r="G515" s="621"/>
      <c r="H515" s="619"/>
      <c r="I515" s="619"/>
      <c r="J515" s="619"/>
      <c r="K515" s="619"/>
      <c r="L515" s="619"/>
      <c r="M515" s="619"/>
      <c r="N515" s="619"/>
      <c r="O515" s="619"/>
      <c r="P515" s="619"/>
      <c r="Q515" s="619"/>
      <c r="R515" s="619"/>
      <c r="S515" s="619"/>
      <c r="T515" s="619"/>
      <c r="U515" s="619"/>
      <c r="V515" s="619"/>
      <c r="W515" s="619"/>
      <c r="X515" s="619"/>
      <c r="Y515" s="619"/>
      <c r="Z515" s="619"/>
    </row>
    <row r="516" spans="1:26" ht="11.25" customHeight="1">
      <c r="A516" s="619"/>
      <c r="B516" s="619"/>
      <c r="C516" s="619"/>
      <c r="D516" s="619"/>
      <c r="E516" s="619"/>
      <c r="F516" s="619"/>
      <c r="G516" s="621"/>
      <c r="H516" s="619"/>
      <c r="I516" s="619"/>
      <c r="J516" s="619"/>
      <c r="K516" s="619"/>
      <c r="L516" s="619"/>
      <c r="M516" s="619"/>
      <c r="N516" s="619"/>
      <c r="O516" s="619"/>
      <c r="P516" s="619"/>
      <c r="Q516" s="619"/>
      <c r="R516" s="619"/>
      <c r="S516" s="619"/>
      <c r="T516" s="619"/>
      <c r="U516" s="619"/>
      <c r="V516" s="619"/>
      <c r="W516" s="619"/>
      <c r="X516" s="619"/>
      <c r="Y516" s="619"/>
      <c r="Z516" s="619"/>
    </row>
    <row r="517" spans="1:26" ht="11.25" customHeight="1">
      <c r="A517" s="619"/>
      <c r="B517" s="619"/>
      <c r="C517" s="619"/>
      <c r="D517" s="619"/>
      <c r="E517" s="619"/>
      <c r="F517" s="619"/>
      <c r="G517" s="621"/>
      <c r="H517" s="619"/>
      <c r="I517" s="619"/>
      <c r="J517" s="619"/>
      <c r="K517" s="619"/>
      <c r="L517" s="619"/>
      <c r="M517" s="619"/>
      <c r="N517" s="619"/>
      <c r="O517" s="619"/>
      <c r="P517" s="619"/>
      <c r="Q517" s="619"/>
      <c r="R517" s="619"/>
      <c r="S517" s="619"/>
      <c r="T517" s="619"/>
      <c r="U517" s="619"/>
      <c r="V517" s="619"/>
      <c r="W517" s="619"/>
      <c r="X517" s="619"/>
      <c r="Y517" s="619"/>
      <c r="Z517" s="619"/>
    </row>
    <row r="518" spans="1:26" ht="11.25" customHeight="1">
      <c r="A518" s="619"/>
      <c r="B518" s="619"/>
      <c r="C518" s="619"/>
      <c r="D518" s="619"/>
      <c r="E518" s="619"/>
      <c r="F518" s="619"/>
      <c r="G518" s="621"/>
      <c r="H518" s="619"/>
      <c r="I518" s="619"/>
      <c r="J518" s="619"/>
      <c r="K518" s="619"/>
      <c r="L518" s="619"/>
      <c r="M518" s="619"/>
      <c r="N518" s="619"/>
      <c r="O518" s="619"/>
      <c r="P518" s="619"/>
      <c r="Q518" s="619"/>
      <c r="R518" s="619"/>
      <c r="S518" s="619"/>
      <c r="T518" s="619"/>
      <c r="U518" s="619"/>
      <c r="V518" s="619"/>
      <c r="W518" s="619"/>
      <c r="X518" s="619"/>
      <c r="Y518" s="619"/>
      <c r="Z518" s="619"/>
    </row>
    <row r="519" spans="1:26" ht="11.25" customHeight="1">
      <c r="A519" s="619"/>
      <c r="B519" s="619"/>
      <c r="C519" s="619"/>
      <c r="D519" s="619"/>
      <c r="E519" s="619"/>
      <c r="F519" s="619"/>
      <c r="G519" s="621"/>
      <c r="H519" s="619"/>
      <c r="I519" s="619"/>
      <c r="J519" s="619"/>
      <c r="K519" s="619"/>
      <c r="L519" s="619"/>
      <c r="M519" s="619"/>
      <c r="N519" s="619"/>
      <c r="O519" s="619"/>
      <c r="P519" s="619"/>
      <c r="Q519" s="619"/>
      <c r="R519" s="619"/>
      <c r="S519" s="619"/>
      <c r="T519" s="619"/>
      <c r="U519" s="619"/>
      <c r="V519" s="619"/>
      <c r="W519" s="619"/>
      <c r="X519" s="619"/>
      <c r="Y519" s="619"/>
      <c r="Z519" s="619"/>
    </row>
    <row r="520" spans="1:26" ht="11.25" customHeight="1">
      <c r="A520" s="619"/>
      <c r="B520" s="619"/>
      <c r="C520" s="619"/>
      <c r="D520" s="619"/>
      <c r="E520" s="619"/>
      <c r="F520" s="619"/>
      <c r="G520" s="621"/>
      <c r="H520" s="619"/>
      <c r="I520" s="619"/>
      <c r="J520" s="619"/>
      <c r="K520" s="619"/>
      <c r="L520" s="619"/>
      <c r="M520" s="619"/>
      <c r="N520" s="619"/>
      <c r="O520" s="619"/>
      <c r="P520" s="619"/>
      <c r="Q520" s="619"/>
      <c r="R520" s="619"/>
      <c r="S520" s="619"/>
      <c r="T520" s="619"/>
      <c r="U520" s="619"/>
      <c r="V520" s="619"/>
      <c r="W520" s="619"/>
      <c r="X520" s="619"/>
      <c r="Y520" s="619"/>
      <c r="Z520" s="619"/>
    </row>
    <row r="521" spans="1:26" ht="11.25" customHeight="1">
      <c r="A521" s="619"/>
      <c r="B521" s="619"/>
      <c r="C521" s="619"/>
      <c r="D521" s="619"/>
      <c r="E521" s="619"/>
      <c r="F521" s="619"/>
      <c r="G521" s="621"/>
      <c r="H521" s="619"/>
      <c r="I521" s="619"/>
      <c r="J521" s="619"/>
      <c r="K521" s="619"/>
      <c r="L521" s="619"/>
      <c r="M521" s="619"/>
      <c r="N521" s="619"/>
      <c r="O521" s="619"/>
      <c r="P521" s="619"/>
      <c r="Q521" s="619"/>
      <c r="R521" s="619"/>
      <c r="S521" s="619"/>
      <c r="T521" s="619"/>
      <c r="U521" s="619"/>
      <c r="V521" s="619"/>
      <c r="W521" s="619"/>
      <c r="X521" s="619"/>
      <c r="Y521" s="619"/>
      <c r="Z521" s="619"/>
    </row>
    <row r="522" spans="1:26" ht="11.25" customHeight="1">
      <c r="A522" s="619"/>
      <c r="B522" s="619"/>
      <c r="C522" s="619"/>
      <c r="D522" s="619"/>
      <c r="E522" s="619"/>
      <c r="F522" s="619"/>
      <c r="G522" s="621"/>
      <c r="H522" s="619"/>
      <c r="I522" s="619"/>
      <c r="J522" s="619"/>
      <c r="K522" s="619"/>
      <c r="L522" s="619"/>
      <c r="M522" s="619"/>
      <c r="N522" s="619"/>
      <c r="O522" s="619"/>
      <c r="P522" s="619"/>
      <c r="Q522" s="619"/>
      <c r="R522" s="619"/>
      <c r="S522" s="619"/>
      <c r="T522" s="619"/>
      <c r="U522" s="619"/>
      <c r="V522" s="619"/>
      <c r="W522" s="619"/>
      <c r="X522" s="619"/>
      <c r="Y522" s="619"/>
      <c r="Z522" s="619"/>
    </row>
    <row r="523" spans="1:26" ht="11.25" customHeight="1">
      <c r="A523" s="619"/>
      <c r="B523" s="619"/>
      <c r="C523" s="619"/>
      <c r="D523" s="619"/>
      <c r="E523" s="619"/>
      <c r="F523" s="619"/>
      <c r="G523" s="621"/>
      <c r="H523" s="619"/>
      <c r="I523" s="619"/>
      <c r="J523" s="619"/>
      <c r="K523" s="619"/>
      <c r="L523" s="619"/>
      <c r="M523" s="619"/>
      <c r="N523" s="619"/>
      <c r="O523" s="619"/>
      <c r="P523" s="619"/>
      <c r="Q523" s="619"/>
      <c r="R523" s="619"/>
      <c r="S523" s="619"/>
      <c r="T523" s="619"/>
      <c r="U523" s="619"/>
      <c r="V523" s="619"/>
      <c r="W523" s="619"/>
      <c r="X523" s="619"/>
      <c r="Y523" s="619"/>
      <c r="Z523" s="619"/>
    </row>
    <row r="524" spans="1:26" ht="11.25" customHeight="1">
      <c r="A524" s="619"/>
      <c r="B524" s="619"/>
      <c r="C524" s="619"/>
      <c r="D524" s="619"/>
      <c r="E524" s="619"/>
      <c r="F524" s="619"/>
      <c r="G524" s="621"/>
      <c r="H524" s="619"/>
      <c r="I524" s="619"/>
      <c r="J524" s="619"/>
      <c r="K524" s="619"/>
      <c r="L524" s="619"/>
      <c r="M524" s="619"/>
      <c r="N524" s="619"/>
      <c r="O524" s="619"/>
      <c r="P524" s="619"/>
      <c r="Q524" s="619"/>
      <c r="R524" s="619"/>
      <c r="S524" s="619"/>
      <c r="T524" s="619"/>
      <c r="U524" s="619"/>
      <c r="V524" s="619"/>
      <c r="W524" s="619"/>
      <c r="X524" s="619"/>
      <c r="Y524" s="619"/>
      <c r="Z524" s="619"/>
    </row>
    <row r="525" spans="1:26" ht="11.25" customHeight="1">
      <c r="A525" s="619"/>
      <c r="B525" s="619"/>
      <c r="C525" s="619"/>
      <c r="D525" s="619"/>
      <c r="E525" s="619"/>
      <c r="F525" s="619"/>
      <c r="G525" s="621"/>
      <c r="H525" s="619"/>
      <c r="I525" s="619"/>
      <c r="J525" s="619"/>
      <c r="K525" s="619"/>
      <c r="L525" s="619"/>
      <c r="M525" s="619"/>
      <c r="N525" s="619"/>
      <c r="O525" s="619"/>
      <c r="P525" s="619"/>
      <c r="Q525" s="619"/>
      <c r="R525" s="619"/>
      <c r="S525" s="619"/>
      <c r="T525" s="619"/>
      <c r="U525" s="619"/>
      <c r="V525" s="619"/>
      <c r="W525" s="619"/>
      <c r="X525" s="619"/>
      <c r="Y525" s="619"/>
      <c r="Z525" s="619"/>
    </row>
    <row r="526" spans="1:26" ht="11.25" customHeight="1">
      <c r="A526" s="619"/>
      <c r="B526" s="619"/>
      <c r="C526" s="619"/>
      <c r="D526" s="619"/>
      <c r="E526" s="619"/>
      <c r="F526" s="619"/>
      <c r="G526" s="621"/>
      <c r="H526" s="619"/>
      <c r="I526" s="619"/>
      <c r="J526" s="619"/>
      <c r="K526" s="619"/>
      <c r="L526" s="619"/>
      <c r="M526" s="619"/>
      <c r="N526" s="619"/>
      <c r="O526" s="619"/>
      <c r="P526" s="619"/>
      <c r="Q526" s="619"/>
      <c r="R526" s="619"/>
      <c r="S526" s="619"/>
      <c r="T526" s="619"/>
      <c r="U526" s="619"/>
      <c r="V526" s="619"/>
      <c r="W526" s="619"/>
      <c r="X526" s="619"/>
      <c r="Y526" s="619"/>
      <c r="Z526" s="619"/>
    </row>
    <row r="527" spans="1:26" ht="11.25" customHeight="1">
      <c r="A527" s="619"/>
      <c r="B527" s="619"/>
      <c r="C527" s="619"/>
      <c r="D527" s="619"/>
      <c r="E527" s="619"/>
      <c r="F527" s="619"/>
      <c r="G527" s="621"/>
      <c r="H527" s="619"/>
      <c r="I527" s="619"/>
      <c r="J527" s="619"/>
      <c r="K527" s="619"/>
      <c r="L527" s="619"/>
      <c r="M527" s="619"/>
      <c r="N527" s="619"/>
      <c r="O527" s="619"/>
      <c r="P527" s="619"/>
      <c r="Q527" s="619"/>
      <c r="R527" s="619"/>
      <c r="S527" s="619"/>
      <c r="T527" s="619"/>
      <c r="U527" s="619"/>
      <c r="V527" s="619"/>
      <c r="W527" s="619"/>
      <c r="X527" s="619"/>
      <c r="Y527" s="619"/>
      <c r="Z527" s="619"/>
    </row>
    <row r="528" spans="1:26" ht="11.25" customHeight="1">
      <c r="A528" s="619"/>
      <c r="B528" s="619"/>
      <c r="C528" s="619"/>
      <c r="D528" s="619"/>
      <c r="E528" s="619"/>
      <c r="F528" s="619"/>
      <c r="G528" s="621"/>
      <c r="H528" s="619"/>
      <c r="I528" s="619"/>
      <c r="J528" s="619"/>
      <c r="K528" s="619"/>
      <c r="L528" s="619"/>
      <c r="M528" s="619"/>
      <c r="N528" s="619"/>
      <c r="O528" s="619"/>
      <c r="P528" s="619"/>
      <c r="Q528" s="619"/>
      <c r="R528" s="619"/>
      <c r="S528" s="619"/>
      <c r="T528" s="619"/>
      <c r="U528" s="619"/>
      <c r="V528" s="619"/>
      <c r="W528" s="619"/>
      <c r="X528" s="619"/>
      <c r="Y528" s="619"/>
      <c r="Z528" s="619"/>
    </row>
    <row r="529" spans="1:26" ht="11.25" customHeight="1">
      <c r="A529" s="619"/>
      <c r="B529" s="619"/>
      <c r="C529" s="619"/>
      <c r="D529" s="619"/>
      <c r="E529" s="619"/>
      <c r="F529" s="619"/>
      <c r="G529" s="621"/>
      <c r="H529" s="619"/>
      <c r="I529" s="619"/>
      <c r="J529" s="619"/>
      <c r="K529" s="619"/>
      <c r="L529" s="619"/>
      <c r="M529" s="619"/>
      <c r="N529" s="619"/>
      <c r="O529" s="619"/>
      <c r="P529" s="619"/>
      <c r="Q529" s="619"/>
      <c r="R529" s="619"/>
      <c r="S529" s="619"/>
      <c r="T529" s="619"/>
      <c r="U529" s="619"/>
      <c r="V529" s="619"/>
      <c r="W529" s="619"/>
      <c r="X529" s="619"/>
      <c r="Y529" s="619"/>
      <c r="Z529" s="619"/>
    </row>
    <row r="530" spans="1:26" ht="11.25" customHeight="1">
      <c r="A530" s="619"/>
      <c r="B530" s="619"/>
      <c r="C530" s="619"/>
      <c r="D530" s="619"/>
      <c r="E530" s="619"/>
      <c r="F530" s="619"/>
      <c r="G530" s="621"/>
      <c r="H530" s="619"/>
      <c r="I530" s="619"/>
      <c r="J530" s="619"/>
      <c r="K530" s="619"/>
      <c r="L530" s="619"/>
      <c r="M530" s="619"/>
      <c r="N530" s="619"/>
      <c r="O530" s="619"/>
      <c r="P530" s="619"/>
      <c r="Q530" s="619"/>
      <c r="R530" s="619"/>
      <c r="S530" s="619"/>
      <c r="T530" s="619"/>
      <c r="U530" s="619"/>
      <c r="V530" s="619"/>
      <c r="W530" s="619"/>
      <c r="X530" s="619"/>
      <c r="Y530" s="619"/>
      <c r="Z530" s="619"/>
    </row>
    <row r="531" spans="1:26" ht="11.25" customHeight="1">
      <c r="A531" s="619"/>
      <c r="B531" s="619"/>
      <c r="C531" s="619"/>
      <c r="D531" s="619"/>
      <c r="E531" s="619"/>
      <c r="F531" s="619"/>
      <c r="G531" s="621"/>
      <c r="H531" s="619"/>
      <c r="I531" s="619"/>
      <c r="J531" s="619"/>
      <c r="K531" s="619"/>
      <c r="L531" s="619"/>
      <c r="M531" s="619"/>
      <c r="N531" s="619"/>
      <c r="O531" s="619"/>
      <c r="P531" s="619"/>
      <c r="Q531" s="619"/>
      <c r="R531" s="619"/>
      <c r="S531" s="619"/>
      <c r="T531" s="619"/>
      <c r="U531" s="619"/>
      <c r="V531" s="619"/>
      <c r="W531" s="619"/>
      <c r="X531" s="619"/>
      <c r="Y531" s="619"/>
      <c r="Z531" s="619"/>
    </row>
    <row r="532" spans="1:26" ht="11.25" customHeight="1">
      <c r="A532" s="619"/>
      <c r="B532" s="619"/>
      <c r="C532" s="619"/>
      <c r="D532" s="619"/>
      <c r="E532" s="619"/>
      <c r="F532" s="619"/>
      <c r="G532" s="621"/>
      <c r="H532" s="619"/>
      <c r="I532" s="619"/>
      <c r="J532" s="619"/>
      <c r="K532" s="619"/>
      <c r="L532" s="619"/>
      <c r="M532" s="619"/>
      <c r="N532" s="619"/>
      <c r="O532" s="619"/>
      <c r="P532" s="619"/>
      <c r="Q532" s="619"/>
      <c r="R532" s="619"/>
      <c r="S532" s="619"/>
      <c r="T532" s="619"/>
      <c r="U532" s="619"/>
      <c r="V532" s="619"/>
      <c r="W532" s="619"/>
      <c r="X532" s="619"/>
      <c r="Y532" s="619"/>
      <c r="Z532" s="619"/>
    </row>
    <row r="533" spans="1:26" ht="11.25" customHeight="1">
      <c r="A533" s="619"/>
      <c r="B533" s="619"/>
      <c r="C533" s="619"/>
      <c r="D533" s="619"/>
      <c r="E533" s="619"/>
      <c r="F533" s="619"/>
      <c r="G533" s="621"/>
      <c r="H533" s="619"/>
      <c r="I533" s="619"/>
      <c r="J533" s="619"/>
      <c r="K533" s="619"/>
      <c r="L533" s="619"/>
      <c r="M533" s="619"/>
      <c r="N533" s="619"/>
      <c r="O533" s="619"/>
      <c r="P533" s="619"/>
      <c r="Q533" s="619"/>
      <c r="R533" s="619"/>
      <c r="S533" s="619"/>
      <c r="T533" s="619"/>
      <c r="U533" s="619"/>
      <c r="V533" s="619"/>
      <c r="W533" s="619"/>
      <c r="X533" s="619"/>
      <c r="Y533" s="619"/>
      <c r="Z533" s="619"/>
    </row>
    <row r="534" spans="1:26" ht="11.25" customHeight="1">
      <c r="A534" s="619"/>
      <c r="B534" s="619"/>
      <c r="C534" s="619"/>
      <c r="D534" s="619"/>
      <c r="E534" s="619"/>
      <c r="F534" s="619"/>
      <c r="G534" s="621"/>
      <c r="H534" s="619"/>
      <c r="I534" s="619"/>
      <c r="J534" s="619"/>
      <c r="K534" s="619"/>
      <c r="L534" s="619"/>
      <c r="M534" s="619"/>
      <c r="N534" s="619"/>
      <c r="O534" s="619"/>
      <c r="P534" s="619"/>
      <c r="Q534" s="619"/>
      <c r="R534" s="619"/>
      <c r="S534" s="619"/>
      <c r="T534" s="619"/>
      <c r="U534" s="619"/>
      <c r="V534" s="619"/>
      <c r="W534" s="619"/>
      <c r="X534" s="619"/>
      <c r="Y534" s="619"/>
      <c r="Z534" s="619"/>
    </row>
    <row r="535" spans="1:26" ht="11.25" customHeight="1">
      <c r="A535" s="619"/>
      <c r="B535" s="619"/>
      <c r="C535" s="619"/>
      <c r="D535" s="619"/>
      <c r="E535" s="619"/>
      <c r="F535" s="619"/>
      <c r="G535" s="621"/>
      <c r="H535" s="619"/>
      <c r="I535" s="619"/>
      <c r="J535" s="619"/>
      <c r="K535" s="619"/>
      <c r="L535" s="619"/>
      <c r="M535" s="619"/>
      <c r="N535" s="619"/>
      <c r="O535" s="619"/>
      <c r="P535" s="619"/>
      <c r="Q535" s="619"/>
      <c r="R535" s="619"/>
      <c r="S535" s="619"/>
      <c r="T535" s="619"/>
      <c r="U535" s="619"/>
      <c r="V535" s="619"/>
      <c r="W535" s="619"/>
      <c r="X535" s="619"/>
      <c r="Y535" s="619"/>
      <c r="Z535" s="619"/>
    </row>
    <row r="536" spans="1:26" ht="11.25" customHeight="1">
      <c r="A536" s="619"/>
      <c r="B536" s="619"/>
      <c r="C536" s="619"/>
      <c r="D536" s="619"/>
      <c r="E536" s="619"/>
      <c r="F536" s="619"/>
      <c r="G536" s="621"/>
      <c r="H536" s="619"/>
      <c r="I536" s="619"/>
      <c r="J536" s="619"/>
      <c r="K536" s="619"/>
      <c r="L536" s="619"/>
      <c r="M536" s="619"/>
      <c r="N536" s="619"/>
      <c r="O536" s="619"/>
      <c r="P536" s="619"/>
      <c r="Q536" s="619"/>
      <c r="R536" s="619"/>
      <c r="S536" s="619"/>
      <c r="T536" s="619"/>
      <c r="U536" s="619"/>
      <c r="V536" s="619"/>
      <c r="W536" s="619"/>
      <c r="X536" s="619"/>
      <c r="Y536" s="619"/>
      <c r="Z536" s="619"/>
    </row>
    <row r="537" spans="1:26" ht="11.25" customHeight="1">
      <c r="A537" s="619"/>
      <c r="B537" s="619"/>
      <c r="C537" s="619"/>
      <c r="D537" s="619"/>
      <c r="E537" s="619"/>
      <c r="F537" s="619"/>
      <c r="G537" s="621"/>
      <c r="H537" s="619"/>
      <c r="I537" s="619"/>
      <c r="J537" s="619"/>
      <c r="K537" s="619"/>
      <c r="L537" s="619"/>
      <c r="M537" s="619"/>
      <c r="N537" s="619"/>
      <c r="O537" s="619"/>
      <c r="P537" s="619"/>
      <c r="Q537" s="619"/>
      <c r="R537" s="619"/>
      <c r="S537" s="619"/>
      <c r="T537" s="619"/>
      <c r="U537" s="619"/>
      <c r="V537" s="619"/>
      <c r="W537" s="619"/>
      <c r="X537" s="619"/>
      <c r="Y537" s="619"/>
      <c r="Z537" s="619"/>
    </row>
    <row r="538" spans="1:26" ht="11.25" customHeight="1">
      <c r="A538" s="619"/>
      <c r="B538" s="619"/>
      <c r="C538" s="619"/>
      <c r="D538" s="619"/>
      <c r="E538" s="619"/>
      <c r="F538" s="619"/>
      <c r="G538" s="621"/>
      <c r="H538" s="619"/>
      <c r="I538" s="619"/>
      <c r="J538" s="619"/>
      <c r="K538" s="619"/>
      <c r="L538" s="619"/>
      <c r="M538" s="619"/>
      <c r="N538" s="619"/>
      <c r="O538" s="619"/>
      <c r="P538" s="619"/>
      <c r="Q538" s="619"/>
      <c r="R538" s="619"/>
      <c r="S538" s="619"/>
      <c r="T538" s="619"/>
      <c r="U538" s="619"/>
      <c r="V538" s="619"/>
      <c r="W538" s="619"/>
      <c r="X538" s="619"/>
      <c r="Y538" s="619"/>
      <c r="Z538" s="619"/>
    </row>
    <row r="539" spans="1:26" ht="11.25" customHeight="1">
      <c r="A539" s="619"/>
      <c r="B539" s="619"/>
      <c r="C539" s="619"/>
      <c r="D539" s="619"/>
      <c r="E539" s="619"/>
      <c r="F539" s="619"/>
      <c r="G539" s="621"/>
      <c r="H539" s="619"/>
      <c r="I539" s="619"/>
      <c r="J539" s="619"/>
      <c r="K539" s="619"/>
      <c r="L539" s="619"/>
      <c r="M539" s="619"/>
      <c r="N539" s="619"/>
      <c r="O539" s="619"/>
      <c r="P539" s="619"/>
      <c r="Q539" s="619"/>
      <c r="R539" s="619"/>
      <c r="S539" s="619"/>
      <c r="T539" s="619"/>
      <c r="U539" s="619"/>
      <c r="V539" s="619"/>
      <c r="W539" s="619"/>
      <c r="X539" s="619"/>
      <c r="Y539" s="619"/>
      <c r="Z539" s="619"/>
    </row>
    <row r="540" spans="1:26" ht="11.25" customHeight="1">
      <c r="A540" s="619"/>
      <c r="B540" s="619"/>
      <c r="C540" s="619"/>
      <c r="D540" s="619"/>
      <c r="E540" s="619"/>
      <c r="F540" s="619"/>
      <c r="G540" s="621"/>
      <c r="H540" s="619"/>
      <c r="I540" s="619"/>
      <c r="J540" s="619"/>
      <c r="K540" s="619"/>
      <c r="L540" s="619"/>
      <c r="M540" s="619"/>
      <c r="N540" s="619"/>
      <c r="O540" s="619"/>
      <c r="P540" s="619"/>
      <c r="Q540" s="619"/>
      <c r="R540" s="619"/>
      <c r="S540" s="619"/>
      <c r="T540" s="619"/>
      <c r="U540" s="619"/>
      <c r="V540" s="619"/>
      <c r="W540" s="619"/>
      <c r="X540" s="619"/>
      <c r="Y540" s="619"/>
      <c r="Z540" s="619"/>
    </row>
    <row r="541" spans="1:26" ht="11.25" customHeight="1">
      <c r="A541" s="619"/>
      <c r="B541" s="619"/>
      <c r="C541" s="619"/>
      <c r="D541" s="619"/>
      <c r="E541" s="619"/>
      <c r="F541" s="619"/>
      <c r="G541" s="621"/>
      <c r="H541" s="619"/>
      <c r="I541" s="619"/>
      <c r="J541" s="619"/>
      <c r="K541" s="619"/>
      <c r="L541" s="619"/>
      <c r="M541" s="619"/>
      <c r="N541" s="619"/>
      <c r="O541" s="619"/>
      <c r="P541" s="619"/>
      <c r="Q541" s="619"/>
      <c r="R541" s="619"/>
      <c r="S541" s="619"/>
      <c r="T541" s="619"/>
      <c r="U541" s="619"/>
      <c r="V541" s="619"/>
      <c r="W541" s="619"/>
      <c r="X541" s="619"/>
      <c r="Y541" s="619"/>
      <c r="Z541" s="619"/>
    </row>
    <row r="542" spans="1:26" ht="11.25" customHeight="1">
      <c r="A542" s="619"/>
      <c r="B542" s="619"/>
      <c r="C542" s="619"/>
      <c r="D542" s="619"/>
      <c r="E542" s="619"/>
      <c r="F542" s="619"/>
      <c r="G542" s="621"/>
      <c r="H542" s="619"/>
      <c r="I542" s="619"/>
      <c r="J542" s="619"/>
      <c r="K542" s="619"/>
      <c r="L542" s="619"/>
      <c r="M542" s="619"/>
      <c r="N542" s="619"/>
      <c r="O542" s="619"/>
      <c r="P542" s="619"/>
      <c r="Q542" s="619"/>
      <c r="R542" s="619"/>
      <c r="S542" s="619"/>
      <c r="T542" s="619"/>
      <c r="U542" s="619"/>
      <c r="V542" s="619"/>
      <c r="W542" s="619"/>
      <c r="X542" s="619"/>
      <c r="Y542" s="619"/>
      <c r="Z542" s="619"/>
    </row>
    <row r="543" spans="1:26" ht="11.25" customHeight="1">
      <c r="A543" s="619"/>
      <c r="B543" s="619"/>
      <c r="C543" s="619"/>
      <c r="D543" s="619"/>
      <c r="E543" s="619"/>
      <c r="F543" s="619"/>
      <c r="G543" s="621"/>
      <c r="H543" s="619"/>
      <c r="I543" s="619"/>
      <c r="J543" s="619"/>
      <c r="K543" s="619"/>
      <c r="L543" s="619"/>
      <c r="M543" s="619"/>
      <c r="N543" s="619"/>
      <c r="O543" s="619"/>
      <c r="P543" s="619"/>
      <c r="Q543" s="619"/>
      <c r="R543" s="619"/>
      <c r="S543" s="619"/>
      <c r="T543" s="619"/>
      <c r="U543" s="619"/>
      <c r="V543" s="619"/>
      <c r="W543" s="619"/>
      <c r="X543" s="619"/>
      <c r="Y543" s="619"/>
      <c r="Z543" s="619"/>
    </row>
    <row r="544" spans="1:26" ht="11.25" customHeight="1">
      <c r="A544" s="619"/>
      <c r="B544" s="619"/>
      <c r="C544" s="619"/>
      <c r="D544" s="619"/>
      <c r="E544" s="619"/>
      <c r="F544" s="619"/>
      <c r="G544" s="621"/>
      <c r="H544" s="619"/>
      <c r="I544" s="619"/>
      <c r="J544" s="619"/>
      <c r="K544" s="619"/>
      <c r="L544" s="619"/>
      <c r="M544" s="619"/>
      <c r="N544" s="619"/>
      <c r="O544" s="619"/>
      <c r="P544" s="619"/>
      <c r="Q544" s="619"/>
      <c r="R544" s="619"/>
      <c r="S544" s="619"/>
      <c r="T544" s="619"/>
      <c r="U544" s="619"/>
      <c r="V544" s="619"/>
      <c r="W544" s="619"/>
      <c r="X544" s="619"/>
      <c r="Y544" s="619"/>
      <c r="Z544" s="619"/>
    </row>
    <row r="545" spans="1:26" ht="11.25" customHeight="1">
      <c r="A545" s="619"/>
      <c r="B545" s="619"/>
      <c r="C545" s="619"/>
      <c r="D545" s="619"/>
      <c r="E545" s="619"/>
      <c r="F545" s="619"/>
      <c r="G545" s="621"/>
      <c r="H545" s="619"/>
      <c r="I545" s="619"/>
      <c r="J545" s="619"/>
      <c r="K545" s="619"/>
      <c r="L545" s="619"/>
      <c r="M545" s="619"/>
      <c r="N545" s="619"/>
      <c r="O545" s="619"/>
      <c r="P545" s="619"/>
      <c r="Q545" s="619"/>
      <c r="R545" s="619"/>
      <c r="S545" s="619"/>
      <c r="T545" s="619"/>
      <c r="U545" s="619"/>
      <c r="V545" s="619"/>
      <c r="W545" s="619"/>
      <c r="X545" s="619"/>
      <c r="Y545" s="619"/>
      <c r="Z545" s="619"/>
    </row>
    <row r="546" spans="1:26" ht="11.25" customHeight="1">
      <c r="A546" s="619"/>
      <c r="B546" s="619"/>
      <c r="C546" s="619"/>
      <c r="D546" s="619"/>
      <c r="E546" s="619"/>
      <c r="F546" s="619"/>
      <c r="G546" s="621"/>
      <c r="H546" s="619"/>
      <c r="I546" s="619"/>
      <c r="J546" s="619"/>
      <c r="K546" s="619"/>
      <c r="L546" s="619"/>
      <c r="M546" s="619"/>
      <c r="N546" s="619"/>
      <c r="O546" s="619"/>
      <c r="P546" s="619"/>
      <c r="Q546" s="619"/>
      <c r="R546" s="619"/>
      <c r="S546" s="619"/>
      <c r="T546" s="619"/>
      <c r="U546" s="619"/>
      <c r="V546" s="619"/>
      <c r="W546" s="619"/>
      <c r="X546" s="619"/>
      <c r="Y546" s="619"/>
      <c r="Z546" s="619"/>
    </row>
    <row r="547" spans="1:26" ht="11.25" customHeight="1">
      <c r="A547" s="619"/>
      <c r="B547" s="619"/>
      <c r="C547" s="619"/>
      <c r="D547" s="619"/>
      <c r="E547" s="619"/>
      <c r="F547" s="619"/>
      <c r="G547" s="621"/>
      <c r="H547" s="619"/>
      <c r="I547" s="619"/>
      <c r="J547" s="619"/>
      <c r="K547" s="619"/>
      <c r="L547" s="619"/>
      <c r="M547" s="619"/>
      <c r="N547" s="619"/>
      <c r="O547" s="619"/>
      <c r="P547" s="619"/>
      <c r="Q547" s="619"/>
      <c r="R547" s="619"/>
      <c r="S547" s="619"/>
      <c r="T547" s="619"/>
      <c r="U547" s="619"/>
      <c r="V547" s="619"/>
      <c r="W547" s="619"/>
      <c r="X547" s="619"/>
      <c r="Y547" s="619"/>
      <c r="Z547" s="619"/>
    </row>
    <row r="548" spans="1:26" ht="11.25" customHeight="1">
      <c r="A548" s="619"/>
      <c r="B548" s="619"/>
      <c r="C548" s="619"/>
      <c r="D548" s="619"/>
      <c r="E548" s="619"/>
      <c r="F548" s="619"/>
      <c r="G548" s="621"/>
      <c r="H548" s="619"/>
      <c r="I548" s="619"/>
      <c r="J548" s="619"/>
      <c r="K548" s="619"/>
      <c r="L548" s="619"/>
      <c r="M548" s="619"/>
      <c r="N548" s="619"/>
      <c r="O548" s="619"/>
      <c r="P548" s="619"/>
      <c r="Q548" s="619"/>
      <c r="R548" s="619"/>
      <c r="S548" s="619"/>
      <c r="T548" s="619"/>
      <c r="U548" s="619"/>
      <c r="V548" s="619"/>
      <c r="W548" s="619"/>
      <c r="X548" s="619"/>
      <c r="Y548" s="619"/>
      <c r="Z548" s="619"/>
    </row>
    <row r="549" spans="1:26" ht="11.25" customHeight="1">
      <c r="A549" s="619"/>
      <c r="B549" s="619"/>
      <c r="C549" s="619"/>
      <c r="D549" s="619"/>
      <c r="E549" s="619"/>
      <c r="F549" s="619"/>
      <c r="G549" s="621"/>
      <c r="H549" s="619"/>
      <c r="I549" s="619"/>
      <c r="J549" s="619"/>
      <c r="K549" s="619"/>
      <c r="L549" s="619"/>
      <c r="M549" s="619"/>
      <c r="N549" s="619"/>
      <c r="O549" s="619"/>
      <c r="P549" s="619"/>
      <c r="Q549" s="619"/>
      <c r="R549" s="619"/>
      <c r="S549" s="619"/>
      <c r="T549" s="619"/>
      <c r="U549" s="619"/>
      <c r="V549" s="619"/>
      <c r="W549" s="619"/>
      <c r="X549" s="619"/>
      <c r="Y549" s="619"/>
      <c r="Z549" s="619"/>
    </row>
    <row r="550" spans="1:26" ht="11.25" customHeight="1">
      <c r="A550" s="619"/>
      <c r="B550" s="619"/>
      <c r="C550" s="619"/>
      <c r="D550" s="619"/>
      <c r="E550" s="619"/>
      <c r="F550" s="619"/>
      <c r="G550" s="621"/>
      <c r="H550" s="619"/>
      <c r="I550" s="619"/>
      <c r="J550" s="619"/>
      <c r="K550" s="619"/>
      <c r="L550" s="619"/>
      <c r="M550" s="619"/>
      <c r="N550" s="619"/>
      <c r="O550" s="619"/>
      <c r="P550" s="619"/>
      <c r="Q550" s="619"/>
      <c r="R550" s="619"/>
      <c r="S550" s="619"/>
      <c r="T550" s="619"/>
      <c r="U550" s="619"/>
      <c r="V550" s="619"/>
      <c r="W550" s="619"/>
      <c r="X550" s="619"/>
      <c r="Y550" s="619"/>
      <c r="Z550" s="619"/>
    </row>
    <row r="551" spans="1:26" ht="11.25" customHeight="1">
      <c r="A551" s="619"/>
      <c r="B551" s="619"/>
      <c r="C551" s="619"/>
      <c r="D551" s="619"/>
      <c r="E551" s="619"/>
      <c r="F551" s="619"/>
      <c r="G551" s="621"/>
      <c r="H551" s="619"/>
      <c r="I551" s="619"/>
      <c r="J551" s="619"/>
      <c r="K551" s="619"/>
      <c r="L551" s="619"/>
      <c r="M551" s="619"/>
      <c r="N551" s="619"/>
      <c r="O551" s="619"/>
      <c r="P551" s="619"/>
      <c r="Q551" s="619"/>
      <c r="R551" s="619"/>
      <c r="S551" s="619"/>
      <c r="T551" s="619"/>
      <c r="U551" s="619"/>
      <c r="V551" s="619"/>
      <c r="W551" s="619"/>
      <c r="X551" s="619"/>
      <c r="Y551" s="619"/>
      <c r="Z551" s="619"/>
    </row>
    <row r="552" spans="1:26" ht="11.25" customHeight="1">
      <c r="A552" s="619"/>
      <c r="B552" s="619"/>
      <c r="C552" s="619"/>
      <c r="D552" s="619"/>
      <c r="E552" s="619"/>
      <c r="F552" s="619"/>
      <c r="G552" s="621"/>
      <c r="H552" s="619"/>
      <c r="I552" s="619"/>
      <c r="J552" s="619"/>
      <c r="K552" s="619"/>
      <c r="L552" s="619"/>
      <c r="M552" s="619"/>
      <c r="N552" s="619"/>
      <c r="O552" s="619"/>
      <c r="P552" s="619"/>
      <c r="Q552" s="619"/>
      <c r="R552" s="619"/>
      <c r="S552" s="619"/>
      <c r="T552" s="619"/>
      <c r="U552" s="619"/>
      <c r="V552" s="619"/>
      <c r="W552" s="619"/>
      <c r="X552" s="619"/>
      <c r="Y552" s="619"/>
      <c r="Z552" s="619"/>
    </row>
    <row r="553" spans="1:26" ht="11.25" customHeight="1">
      <c r="A553" s="619"/>
      <c r="B553" s="619"/>
      <c r="C553" s="619"/>
      <c r="D553" s="619"/>
      <c r="E553" s="619"/>
      <c r="F553" s="619"/>
      <c r="G553" s="621"/>
      <c r="H553" s="619"/>
      <c r="I553" s="619"/>
      <c r="J553" s="619"/>
      <c r="K553" s="619"/>
      <c r="L553" s="619"/>
      <c r="M553" s="619"/>
      <c r="N553" s="619"/>
      <c r="O553" s="619"/>
      <c r="P553" s="619"/>
      <c r="Q553" s="619"/>
      <c r="R553" s="619"/>
      <c r="S553" s="619"/>
      <c r="T553" s="619"/>
      <c r="U553" s="619"/>
      <c r="V553" s="619"/>
      <c r="W553" s="619"/>
      <c r="X553" s="619"/>
      <c r="Y553" s="619"/>
      <c r="Z553" s="619"/>
    </row>
    <row r="554" spans="1:26" ht="11.25" customHeight="1">
      <c r="A554" s="619"/>
      <c r="B554" s="619"/>
      <c r="C554" s="619"/>
      <c r="D554" s="619"/>
      <c r="E554" s="619"/>
      <c r="F554" s="619"/>
      <c r="G554" s="621"/>
      <c r="H554" s="619"/>
      <c r="I554" s="619"/>
      <c r="J554" s="619"/>
      <c r="K554" s="619"/>
      <c r="L554" s="619"/>
      <c r="M554" s="619"/>
      <c r="N554" s="619"/>
      <c r="O554" s="619"/>
      <c r="P554" s="619"/>
      <c r="Q554" s="619"/>
      <c r="R554" s="619"/>
      <c r="S554" s="619"/>
      <c r="T554" s="619"/>
      <c r="U554" s="619"/>
      <c r="V554" s="619"/>
      <c r="W554" s="619"/>
      <c r="X554" s="619"/>
      <c r="Y554" s="619"/>
      <c r="Z554" s="619"/>
    </row>
    <row r="555" spans="1:26" ht="11.25" customHeight="1">
      <c r="A555" s="619"/>
      <c r="B555" s="619"/>
      <c r="C555" s="619"/>
      <c r="D555" s="619"/>
      <c r="E555" s="619"/>
      <c r="F555" s="619"/>
      <c r="G555" s="621"/>
      <c r="H555" s="619"/>
      <c r="I555" s="619"/>
      <c r="J555" s="619"/>
      <c r="K555" s="619"/>
      <c r="L555" s="619"/>
      <c r="M555" s="619"/>
      <c r="N555" s="619"/>
      <c r="O555" s="619"/>
      <c r="P555" s="619"/>
      <c r="Q555" s="619"/>
      <c r="R555" s="619"/>
      <c r="S555" s="619"/>
      <c r="T555" s="619"/>
      <c r="U555" s="619"/>
      <c r="V555" s="619"/>
      <c r="W555" s="619"/>
      <c r="X555" s="619"/>
      <c r="Y555" s="619"/>
      <c r="Z555" s="619"/>
    </row>
    <row r="556" spans="1:26" ht="11.25" customHeight="1">
      <c r="A556" s="619"/>
      <c r="B556" s="619"/>
      <c r="C556" s="619"/>
      <c r="D556" s="619"/>
      <c r="E556" s="619"/>
      <c r="F556" s="619"/>
      <c r="G556" s="621"/>
      <c r="H556" s="619"/>
      <c r="I556" s="619"/>
      <c r="J556" s="619"/>
      <c r="K556" s="619"/>
      <c r="L556" s="619"/>
      <c r="M556" s="619"/>
      <c r="N556" s="619"/>
      <c r="O556" s="619"/>
      <c r="P556" s="619"/>
      <c r="Q556" s="619"/>
      <c r="R556" s="619"/>
      <c r="S556" s="619"/>
      <c r="T556" s="619"/>
      <c r="U556" s="619"/>
      <c r="V556" s="619"/>
      <c r="W556" s="619"/>
      <c r="X556" s="619"/>
      <c r="Y556" s="619"/>
      <c r="Z556" s="619"/>
    </row>
    <row r="557" spans="1:26" ht="11.25" customHeight="1">
      <c r="A557" s="619"/>
      <c r="B557" s="619"/>
      <c r="C557" s="619"/>
      <c r="D557" s="619"/>
      <c r="E557" s="619"/>
      <c r="F557" s="619"/>
      <c r="G557" s="621"/>
      <c r="H557" s="619"/>
      <c r="I557" s="619"/>
      <c r="J557" s="619"/>
      <c r="K557" s="619"/>
      <c r="L557" s="619"/>
      <c r="M557" s="619"/>
      <c r="N557" s="619"/>
      <c r="O557" s="619"/>
      <c r="P557" s="619"/>
      <c r="Q557" s="619"/>
      <c r="R557" s="619"/>
      <c r="S557" s="619"/>
      <c r="T557" s="619"/>
      <c r="U557" s="619"/>
      <c r="V557" s="619"/>
      <c r="W557" s="619"/>
      <c r="X557" s="619"/>
      <c r="Y557" s="619"/>
      <c r="Z557" s="619"/>
    </row>
    <row r="558" spans="1:26" ht="11.25" customHeight="1">
      <c r="A558" s="619"/>
      <c r="B558" s="619"/>
      <c r="C558" s="619"/>
      <c r="D558" s="619"/>
      <c r="E558" s="619"/>
      <c r="F558" s="619"/>
      <c r="G558" s="621"/>
      <c r="H558" s="619"/>
      <c r="I558" s="619"/>
      <c r="J558" s="619"/>
      <c r="K558" s="619"/>
      <c r="L558" s="619"/>
      <c r="M558" s="619"/>
      <c r="N558" s="619"/>
      <c r="O558" s="619"/>
      <c r="P558" s="619"/>
      <c r="Q558" s="619"/>
      <c r="R558" s="619"/>
      <c r="S558" s="619"/>
      <c r="T558" s="619"/>
      <c r="U558" s="619"/>
      <c r="V558" s="619"/>
      <c r="W558" s="619"/>
      <c r="X558" s="619"/>
      <c r="Y558" s="619"/>
      <c r="Z558" s="619"/>
    </row>
    <row r="559" spans="1:26" ht="11.25" customHeight="1">
      <c r="A559" s="619"/>
      <c r="B559" s="619"/>
      <c r="C559" s="619"/>
      <c r="D559" s="619"/>
      <c r="E559" s="619"/>
      <c r="F559" s="619"/>
      <c r="G559" s="621"/>
      <c r="H559" s="619"/>
      <c r="I559" s="619"/>
      <c r="J559" s="619"/>
      <c r="K559" s="619"/>
      <c r="L559" s="619"/>
      <c r="M559" s="619"/>
      <c r="N559" s="619"/>
      <c r="O559" s="619"/>
      <c r="P559" s="619"/>
      <c r="Q559" s="619"/>
      <c r="R559" s="619"/>
      <c r="S559" s="619"/>
      <c r="T559" s="619"/>
      <c r="U559" s="619"/>
      <c r="V559" s="619"/>
      <c r="W559" s="619"/>
      <c r="X559" s="619"/>
      <c r="Y559" s="619"/>
      <c r="Z559" s="619"/>
    </row>
    <row r="560" spans="1:26" ht="11.25" customHeight="1">
      <c r="A560" s="619"/>
      <c r="B560" s="619"/>
      <c r="C560" s="619"/>
      <c r="D560" s="619"/>
      <c r="E560" s="619"/>
      <c r="F560" s="619"/>
      <c r="G560" s="621"/>
      <c r="H560" s="619"/>
      <c r="I560" s="619"/>
      <c r="J560" s="619"/>
      <c r="K560" s="619"/>
      <c r="L560" s="619"/>
      <c r="M560" s="619"/>
      <c r="N560" s="619"/>
      <c r="O560" s="619"/>
      <c r="P560" s="619"/>
      <c r="Q560" s="619"/>
      <c r="R560" s="619"/>
      <c r="S560" s="619"/>
      <c r="T560" s="619"/>
      <c r="U560" s="619"/>
      <c r="V560" s="619"/>
      <c r="W560" s="619"/>
      <c r="X560" s="619"/>
      <c r="Y560" s="619"/>
      <c r="Z560" s="619"/>
    </row>
    <row r="561" spans="1:26" ht="11.25" customHeight="1">
      <c r="A561" s="619"/>
      <c r="B561" s="619"/>
      <c r="C561" s="619"/>
      <c r="D561" s="619"/>
      <c r="E561" s="619"/>
      <c r="F561" s="619"/>
      <c r="G561" s="621"/>
      <c r="H561" s="619"/>
      <c r="I561" s="619"/>
      <c r="J561" s="619"/>
      <c r="K561" s="619"/>
      <c r="L561" s="619"/>
      <c r="M561" s="619"/>
      <c r="N561" s="619"/>
      <c r="O561" s="619"/>
      <c r="P561" s="619"/>
      <c r="Q561" s="619"/>
      <c r="R561" s="619"/>
      <c r="S561" s="619"/>
      <c r="T561" s="619"/>
      <c r="U561" s="619"/>
      <c r="V561" s="619"/>
      <c r="W561" s="619"/>
      <c r="X561" s="619"/>
      <c r="Y561" s="619"/>
      <c r="Z561" s="619"/>
    </row>
    <row r="562" spans="1:26" ht="11.25" customHeight="1">
      <c r="A562" s="619"/>
      <c r="B562" s="619"/>
      <c r="C562" s="619"/>
      <c r="D562" s="619"/>
      <c r="E562" s="619"/>
      <c r="F562" s="619"/>
      <c r="G562" s="621"/>
      <c r="H562" s="619"/>
      <c r="I562" s="619"/>
      <c r="J562" s="619"/>
      <c r="K562" s="619"/>
      <c r="L562" s="619"/>
      <c r="M562" s="619"/>
      <c r="N562" s="619"/>
      <c r="O562" s="619"/>
      <c r="P562" s="619"/>
      <c r="Q562" s="619"/>
      <c r="R562" s="619"/>
      <c r="S562" s="619"/>
      <c r="T562" s="619"/>
      <c r="U562" s="619"/>
      <c r="V562" s="619"/>
      <c r="W562" s="619"/>
      <c r="X562" s="619"/>
      <c r="Y562" s="619"/>
      <c r="Z562" s="619"/>
    </row>
    <row r="563" spans="1:26" ht="11.25" customHeight="1">
      <c r="A563" s="619"/>
      <c r="B563" s="619"/>
      <c r="C563" s="619"/>
      <c r="D563" s="619"/>
      <c r="E563" s="619"/>
      <c r="F563" s="619"/>
      <c r="G563" s="621"/>
      <c r="H563" s="619"/>
      <c r="I563" s="619"/>
      <c r="J563" s="619"/>
      <c r="K563" s="619"/>
      <c r="L563" s="619"/>
      <c r="M563" s="619"/>
      <c r="N563" s="619"/>
      <c r="O563" s="619"/>
      <c r="P563" s="619"/>
      <c r="Q563" s="619"/>
      <c r="R563" s="619"/>
      <c r="S563" s="619"/>
      <c r="T563" s="619"/>
      <c r="U563" s="619"/>
      <c r="V563" s="619"/>
      <c r="W563" s="619"/>
      <c r="X563" s="619"/>
      <c r="Y563" s="619"/>
      <c r="Z563" s="619"/>
    </row>
    <row r="564" spans="1:26" ht="11.25" customHeight="1">
      <c r="A564" s="619"/>
      <c r="B564" s="619"/>
      <c r="C564" s="619"/>
      <c r="D564" s="619"/>
      <c r="E564" s="619"/>
      <c r="F564" s="619"/>
      <c r="G564" s="621"/>
      <c r="H564" s="619"/>
      <c r="I564" s="619"/>
      <c r="J564" s="619"/>
      <c r="K564" s="619"/>
      <c r="L564" s="619"/>
      <c r="M564" s="619"/>
      <c r="N564" s="619"/>
      <c r="O564" s="619"/>
      <c r="P564" s="619"/>
      <c r="Q564" s="619"/>
      <c r="R564" s="619"/>
      <c r="S564" s="619"/>
      <c r="T564" s="619"/>
      <c r="U564" s="619"/>
      <c r="V564" s="619"/>
      <c r="W564" s="619"/>
      <c r="X564" s="619"/>
      <c r="Y564" s="619"/>
      <c r="Z564" s="619"/>
    </row>
    <row r="565" spans="1:26" ht="11.25" customHeight="1">
      <c r="A565" s="619"/>
      <c r="B565" s="619"/>
      <c r="C565" s="619"/>
      <c r="D565" s="619"/>
      <c r="E565" s="619"/>
      <c r="F565" s="619"/>
      <c r="G565" s="621"/>
      <c r="H565" s="619"/>
      <c r="I565" s="619"/>
      <c r="J565" s="619"/>
      <c r="K565" s="619"/>
      <c r="L565" s="619"/>
      <c r="M565" s="619"/>
      <c r="N565" s="619"/>
      <c r="O565" s="619"/>
      <c r="P565" s="619"/>
      <c r="Q565" s="619"/>
      <c r="R565" s="619"/>
      <c r="S565" s="619"/>
      <c r="T565" s="619"/>
      <c r="U565" s="619"/>
      <c r="V565" s="619"/>
      <c r="W565" s="619"/>
      <c r="X565" s="619"/>
      <c r="Y565" s="619"/>
      <c r="Z565" s="619"/>
    </row>
    <row r="566" spans="1:26" ht="11.25" customHeight="1">
      <c r="A566" s="619"/>
      <c r="B566" s="619"/>
      <c r="C566" s="619"/>
      <c r="D566" s="619"/>
      <c r="E566" s="619"/>
      <c r="F566" s="619"/>
      <c r="G566" s="621"/>
      <c r="H566" s="619"/>
      <c r="I566" s="619"/>
      <c r="J566" s="619"/>
      <c r="K566" s="619"/>
      <c r="L566" s="619"/>
      <c r="M566" s="619"/>
      <c r="N566" s="619"/>
      <c r="O566" s="619"/>
      <c r="P566" s="619"/>
      <c r="Q566" s="619"/>
      <c r="R566" s="619"/>
      <c r="S566" s="619"/>
      <c r="T566" s="619"/>
      <c r="U566" s="619"/>
      <c r="V566" s="619"/>
      <c r="W566" s="619"/>
      <c r="X566" s="619"/>
      <c r="Y566" s="619"/>
      <c r="Z566" s="619"/>
    </row>
    <row r="567" spans="1:26" ht="11.25" customHeight="1">
      <c r="A567" s="619"/>
      <c r="B567" s="619"/>
      <c r="C567" s="619"/>
      <c r="D567" s="619"/>
      <c r="E567" s="619"/>
      <c r="F567" s="619"/>
      <c r="G567" s="621"/>
      <c r="H567" s="619"/>
      <c r="I567" s="619"/>
      <c r="J567" s="619"/>
      <c r="K567" s="619"/>
      <c r="L567" s="619"/>
      <c r="M567" s="619"/>
      <c r="N567" s="619"/>
      <c r="O567" s="619"/>
      <c r="P567" s="619"/>
      <c r="Q567" s="619"/>
      <c r="R567" s="619"/>
      <c r="S567" s="619"/>
      <c r="T567" s="619"/>
      <c r="U567" s="619"/>
      <c r="V567" s="619"/>
      <c r="W567" s="619"/>
      <c r="X567" s="619"/>
      <c r="Y567" s="619"/>
      <c r="Z567" s="619"/>
    </row>
    <row r="568" spans="1:26" ht="11.25" customHeight="1">
      <c r="A568" s="619"/>
      <c r="B568" s="619"/>
      <c r="C568" s="619"/>
      <c r="D568" s="619"/>
      <c r="E568" s="619"/>
      <c r="F568" s="619"/>
      <c r="G568" s="621"/>
      <c r="H568" s="619"/>
      <c r="I568" s="619"/>
      <c r="J568" s="619"/>
      <c r="K568" s="619"/>
      <c r="L568" s="619"/>
      <c r="M568" s="619"/>
      <c r="N568" s="619"/>
      <c r="O568" s="619"/>
      <c r="P568" s="619"/>
      <c r="Q568" s="619"/>
      <c r="R568" s="619"/>
      <c r="S568" s="619"/>
      <c r="T568" s="619"/>
      <c r="U568" s="619"/>
      <c r="V568" s="619"/>
      <c r="W568" s="619"/>
      <c r="X568" s="619"/>
      <c r="Y568" s="619"/>
      <c r="Z568" s="619"/>
    </row>
    <row r="569" spans="1:26" ht="11.25" customHeight="1">
      <c r="A569" s="619"/>
      <c r="B569" s="619"/>
      <c r="C569" s="619"/>
      <c r="D569" s="619"/>
      <c r="E569" s="619"/>
      <c r="F569" s="619"/>
      <c r="G569" s="621"/>
      <c r="H569" s="619"/>
      <c r="I569" s="619"/>
      <c r="J569" s="619"/>
      <c r="K569" s="619"/>
      <c r="L569" s="619"/>
      <c r="M569" s="619"/>
      <c r="N569" s="619"/>
      <c r="O569" s="619"/>
      <c r="P569" s="619"/>
      <c r="Q569" s="619"/>
      <c r="R569" s="619"/>
      <c r="S569" s="619"/>
      <c r="T569" s="619"/>
      <c r="U569" s="619"/>
      <c r="V569" s="619"/>
      <c r="W569" s="619"/>
      <c r="X569" s="619"/>
      <c r="Y569" s="619"/>
      <c r="Z569" s="619"/>
    </row>
    <row r="570" spans="1:26" ht="11.25" customHeight="1">
      <c r="A570" s="619"/>
      <c r="B570" s="619"/>
      <c r="C570" s="619"/>
      <c r="D570" s="619"/>
      <c r="E570" s="619"/>
      <c r="F570" s="619"/>
      <c r="G570" s="621"/>
      <c r="H570" s="619"/>
      <c r="I570" s="619"/>
      <c r="J570" s="619"/>
      <c r="K570" s="619"/>
      <c r="L570" s="619"/>
      <c r="M570" s="619"/>
      <c r="N570" s="619"/>
      <c r="O570" s="619"/>
      <c r="P570" s="619"/>
      <c r="Q570" s="619"/>
      <c r="R570" s="619"/>
      <c r="S570" s="619"/>
      <c r="T570" s="619"/>
      <c r="U570" s="619"/>
      <c r="V570" s="619"/>
      <c r="W570" s="619"/>
      <c r="X570" s="619"/>
      <c r="Y570" s="619"/>
      <c r="Z570" s="619"/>
    </row>
    <row r="571" spans="1:26" ht="11.25" customHeight="1">
      <c r="A571" s="619"/>
      <c r="B571" s="619"/>
      <c r="C571" s="619"/>
      <c r="D571" s="619"/>
      <c r="E571" s="619"/>
      <c r="F571" s="619"/>
      <c r="G571" s="621"/>
      <c r="H571" s="619"/>
      <c r="I571" s="619"/>
      <c r="J571" s="619"/>
      <c r="K571" s="619"/>
      <c r="L571" s="619"/>
      <c r="M571" s="619"/>
      <c r="N571" s="619"/>
      <c r="O571" s="619"/>
      <c r="P571" s="619"/>
      <c r="Q571" s="619"/>
      <c r="R571" s="619"/>
      <c r="S571" s="619"/>
      <c r="T571" s="619"/>
      <c r="U571" s="619"/>
      <c r="V571" s="619"/>
      <c r="W571" s="619"/>
      <c r="X571" s="619"/>
      <c r="Y571" s="619"/>
      <c r="Z571" s="619"/>
    </row>
    <row r="572" spans="1:26" ht="11.25" customHeight="1">
      <c r="A572" s="619"/>
      <c r="B572" s="619"/>
      <c r="C572" s="619"/>
      <c r="D572" s="619"/>
      <c r="E572" s="619"/>
      <c r="F572" s="619"/>
      <c r="G572" s="621"/>
      <c r="H572" s="619"/>
      <c r="I572" s="619"/>
      <c r="J572" s="619"/>
      <c r="K572" s="619"/>
      <c r="L572" s="619"/>
      <c r="M572" s="619"/>
      <c r="N572" s="619"/>
      <c r="O572" s="619"/>
      <c r="P572" s="619"/>
      <c r="Q572" s="619"/>
      <c r="R572" s="619"/>
      <c r="S572" s="619"/>
      <c r="T572" s="619"/>
      <c r="U572" s="619"/>
      <c r="V572" s="619"/>
      <c r="W572" s="619"/>
      <c r="X572" s="619"/>
      <c r="Y572" s="619"/>
      <c r="Z572" s="619"/>
    </row>
    <row r="573" spans="1:26" ht="11.25" customHeight="1">
      <c r="A573" s="619"/>
      <c r="B573" s="619"/>
      <c r="C573" s="619"/>
      <c r="D573" s="619"/>
      <c r="E573" s="619"/>
      <c r="F573" s="619"/>
      <c r="G573" s="621"/>
      <c r="H573" s="619"/>
      <c r="I573" s="619"/>
      <c r="J573" s="619"/>
      <c r="K573" s="619"/>
      <c r="L573" s="619"/>
      <c r="M573" s="619"/>
      <c r="N573" s="619"/>
      <c r="O573" s="619"/>
      <c r="P573" s="619"/>
      <c r="Q573" s="619"/>
      <c r="R573" s="619"/>
      <c r="S573" s="619"/>
      <c r="T573" s="619"/>
      <c r="U573" s="619"/>
      <c r="V573" s="619"/>
      <c r="W573" s="619"/>
      <c r="X573" s="619"/>
      <c r="Y573" s="619"/>
      <c r="Z573" s="619"/>
    </row>
    <row r="574" spans="1:26" ht="11.25" customHeight="1">
      <c r="A574" s="619"/>
      <c r="B574" s="619"/>
      <c r="C574" s="619"/>
      <c r="D574" s="619"/>
      <c r="E574" s="619"/>
      <c r="F574" s="619"/>
      <c r="G574" s="621"/>
      <c r="H574" s="619"/>
      <c r="I574" s="619"/>
      <c r="J574" s="619"/>
      <c r="K574" s="619"/>
      <c r="L574" s="619"/>
      <c r="M574" s="619"/>
      <c r="N574" s="619"/>
      <c r="O574" s="619"/>
      <c r="P574" s="619"/>
      <c r="Q574" s="619"/>
      <c r="R574" s="619"/>
      <c r="S574" s="619"/>
      <c r="T574" s="619"/>
      <c r="U574" s="619"/>
      <c r="V574" s="619"/>
      <c r="W574" s="619"/>
      <c r="X574" s="619"/>
      <c r="Y574" s="619"/>
      <c r="Z574" s="619"/>
    </row>
    <row r="575" spans="1:26" ht="11.25" customHeight="1">
      <c r="A575" s="619"/>
      <c r="B575" s="619"/>
      <c r="C575" s="619"/>
      <c r="D575" s="619"/>
      <c r="E575" s="619"/>
      <c r="F575" s="619"/>
      <c r="G575" s="621"/>
      <c r="H575" s="619"/>
      <c r="I575" s="619"/>
      <c r="J575" s="619"/>
      <c r="K575" s="619"/>
      <c r="L575" s="619"/>
      <c r="M575" s="619"/>
      <c r="N575" s="619"/>
      <c r="O575" s="619"/>
      <c r="P575" s="619"/>
      <c r="Q575" s="619"/>
      <c r="R575" s="619"/>
      <c r="S575" s="619"/>
      <c r="T575" s="619"/>
      <c r="U575" s="619"/>
      <c r="V575" s="619"/>
      <c r="W575" s="619"/>
      <c r="X575" s="619"/>
      <c r="Y575" s="619"/>
      <c r="Z575" s="619"/>
    </row>
    <row r="576" spans="1:26" ht="11.25" customHeight="1">
      <c r="A576" s="619"/>
      <c r="B576" s="619"/>
      <c r="C576" s="619"/>
      <c r="D576" s="619"/>
      <c r="E576" s="619"/>
      <c r="F576" s="619"/>
      <c r="G576" s="621"/>
      <c r="H576" s="619"/>
      <c r="I576" s="619"/>
      <c r="J576" s="619"/>
      <c r="K576" s="619"/>
      <c r="L576" s="619"/>
      <c r="M576" s="619"/>
      <c r="N576" s="619"/>
      <c r="O576" s="619"/>
      <c r="P576" s="619"/>
      <c r="Q576" s="619"/>
      <c r="R576" s="619"/>
      <c r="S576" s="619"/>
      <c r="T576" s="619"/>
      <c r="U576" s="619"/>
      <c r="V576" s="619"/>
      <c r="W576" s="619"/>
      <c r="X576" s="619"/>
      <c r="Y576" s="619"/>
      <c r="Z576" s="619"/>
    </row>
    <row r="577" spans="1:26" ht="11.25" customHeight="1">
      <c r="A577" s="619"/>
      <c r="B577" s="619"/>
      <c r="C577" s="619"/>
      <c r="D577" s="619"/>
      <c r="E577" s="619"/>
      <c r="F577" s="619"/>
      <c r="G577" s="621"/>
      <c r="H577" s="619"/>
      <c r="I577" s="619"/>
      <c r="J577" s="619"/>
      <c r="K577" s="619"/>
      <c r="L577" s="619"/>
      <c r="M577" s="619"/>
      <c r="N577" s="619"/>
      <c r="O577" s="619"/>
      <c r="P577" s="619"/>
      <c r="Q577" s="619"/>
      <c r="R577" s="619"/>
      <c r="S577" s="619"/>
      <c r="T577" s="619"/>
      <c r="U577" s="619"/>
      <c r="V577" s="619"/>
      <c r="W577" s="619"/>
      <c r="X577" s="619"/>
      <c r="Y577" s="619"/>
      <c r="Z577" s="619"/>
    </row>
    <row r="578" spans="1:26" ht="11.25" customHeight="1">
      <c r="A578" s="619"/>
      <c r="B578" s="619"/>
      <c r="C578" s="619"/>
      <c r="D578" s="619"/>
      <c r="E578" s="619"/>
      <c r="F578" s="619"/>
      <c r="G578" s="621"/>
      <c r="H578" s="619"/>
      <c r="I578" s="619"/>
      <c r="J578" s="619"/>
      <c r="K578" s="619"/>
      <c r="L578" s="619"/>
      <c r="M578" s="619"/>
      <c r="N578" s="619"/>
      <c r="O578" s="619"/>
      <c r="P578" s="619"/>
      <c r="Q578" s="619"/>
      <c r="R578" s="619"/>
      <c r="S578" s="619"/>
      <c r="T578" s="619"/>
      <c r="U578" s="619"/>
      <c r="V578" s="619"/>
      <c r="W578" s="619"/>
      <c r="X578" s="619"/>
      <c r="Y578" s="619"/>
      <c r="Z578" s="619"/>
    </row>
    <row r="579" spans="1:26" ht="11.25" customHeight="1">
      <c r="A579" s="619"/>
      <c r="B579" s="619"/>
      <c r="C579" s="619"/>
      <c r="D579" s="619"/>
      <c r="E579" s="619"/>
      <c r="F579" s="619"/>
      <c r="G579" s="621"/>
      <c r="H579" s="619"/>
      <c r="I579" s="619"/>
      <c r="J579" s="619"/>
      <c r="K579" s="619"/>
      <c r="L579" s="619"/>
      <c r="M579" s="619"/>
      <c r="N579" s="619"/>
      <c r="O579" s="619"/>
      <c r="P579" s="619"/>
      <c r="Q579" s="619"/>
      <c r="R579" s="619"/>
      <c r="S579" s="619"/>
      <c r="T579" s="619"/>
      <c r="U579" s="619"/>
      <c r="V579" s="619"/>
      <c r="W579" s="619"/>
      <c r="X579" s="619"/>
      <c r="Y579" s="619"/>
      <c r="Z579" s="619"/>
    </row>
    <row r="580" spans="1:26" ht="11.25" customHeight="1">
      <c r="A580" s="619"/>
      <c r="B580" s="619"/>
      <c r="C580" s="619"/>
      <c r="D580" s="619"/>
      <c r="E580" s="619"/>
      <c r="F580" s="619"/>
      <c r="G580" s="621"/>
      <c r="H580" s="619"/>
      <c r="I580" s="619"/>
      <c r="J580" s="619"/>
      <c r="K580" s="619"/>
      <c r="L580" s="619"/>
      <c r="M580" s="619"/>
      <c r="N580" s="619"/>
      <c r="O580" s="619"/>
      <c r="P580" s="619"/>
      <c r="Q580" s="619"/>
      <c r="R580" s="619"/>
      <c r="S580" s="619"/>
      <c r="T580" s="619"/>
      <c r="U580" s="619"/>
      <c r="V580" s="619"/>
      <c r="W580" s="619"/>
      <c r="X580" s="619"/>
      <c r="Y580" s="619"/>
      <c r="Z580" s="619"/>
    </row>
    <row r="581" spans="1:26" ht="11.25" customHeight="1">
      <c r="A581" s="619"/>
      <c r="B581" s="619"/>
      <c r="C581" s="619"/>
      <c r="D581" s="619"/>
      <c r="E581" s="619"/>
      <c r="F581" s="619"/>
      <c r="G581" s="621"/>
      <c r="H581" s="619"/>
      <c r="I581" s="619"/>
      <c r="J581" s="619"/>
      <c r="K581" s="619"/>
      <c r="L581" s="619"/>
      <c r="M581" s="619"/>
      <c r="N581" s="619"/>
      <c r="O581" s="619"/>
      <c r="P581" s="619"/>
      <c r="Q581" s="619"/>
      <c r="R581" s="619"/>
      <c r="S581" s="619"/>
      <c r="T581" s="619"/>
      <c r="U581" s="619"/>
      <c r="V581" s="619"/>
      <c r="W581" s="619"/>
      <c r="X581" s="619"/>
      <c r="Y581" s="619"/>
      <c r="Z581" s="619"/>
    </row>
    <row r="582" spans="1:26" ht="11.25" customHeight="1">
      <c r="A582" s="619"/>
      <c r="B582" s="619"/>
      <c r="C582" s="619"/>
      <c r="D582" s="619"/>
      <c r="E582" s="619"/>
      <c r="F582" s="619"/>
      <c r="G582" s="621"/>
      <c r="H582" s="619"/>
      <c r="I582" s="619"/>
      <c r="J582" s="619"/>
      <c r="K582" s="619"/>
      <c r="L582" s="619"/>
      <c r="M582" s="619"/>
      <c r="N582" s="619"/>
      <c r="O582" s="619"/>
      <c r="P582" s="619"/>
      <c r="Q582" s="619"/>
      <c r="R582" s="619"/>
      <c r="S582" s="619"/>
      <c r="T582" s="619"/>
      <c r="U582" s="619"/>
      <c r="V582" s="619"/>
      <c r="W582" s="619"/>
      <c r="X582" s="619"/>
      <c r="Y582" s="619"/>
      <c r="Z582" s="619"/>
    </row>
    <row r="583" spans="1:26" ht="11.25" customHeight="1">
      <c r="A583" s="619"/>
      <c r="B583" s="619"/>
      <c r="C583" s="619"/>
      <c r="D583" s="619"/>
      <c r="E583" s="619"/>
      <c r="F583" s="619"/>
      <c r="G583" s="621"/>
      <c r="H583" s="619"/>
      <c r="I583" s="619"/>
      <c r="J583" s="619"/>
      <c r="K583" s="619"/>
      <c r="L583" s="619"/>
      <c r="M583" s="619"/>
      <c r="N583" s="619"/>
      <c r="O583" s="619"/>
      <c r="P583" s="619"/>
      <c r="Q583" s="619"/>
      <c r="R583" s="619"/>
      <c r="S583" s="619"/>
      <c r="T583" s="619"/>
      <c r="U583" s="619"/>
      <c r="V583" s="619"/>
      <c r="W583" s="619"/>
      <c r="X583" s="619"/>
      <c r="Y583" s="619"/>
      <c r="Z583" s="619"/>
    </row>
    <row r="584" spans="1:26" ht="11.25" customHeight="1">
      <c r="A584" s="619"/>
      <c r="B584" s="619"/>
      <c r="C584" s="619"/>
      <c r="D584" s="619"/>
      <c r="E584" s="619"/>
      <c r="F584" s="619"/>
      <c r="G584" s="621"/>
      <c r="H584" s="619"/>
      <c r="I584" s="619"/>
      <c r="J584" s="619"/>
      <c r="K584" s="619"/>
      <c r="L584" s="619"/>
      <c r="M584" s="619"/>
      <c r="N584" s="619"/>
      <c r="O584" s="619"/>
      <c r="P584" s="619"/>
      <c r="Q584" s="619"/>
      <c r="R584" s="619"/>
      <c r="S584" s="619"/>
      <c r="T584" s="619"/>
      <c r="U584" s="619"/>
      <c r="V584" s="619"/>
      <c r="W584" s="619"/>
      <c r="X584" s="619"/>
      <c r="Y584" s="619"/>
      <c r="Z584" s="619"/>
    </row>
    <row r="585" spans="1:26" ht="11.25" customHeight="1">
      <c r="A585" s="619"/>
      <c r="B585" s="619"/>
      <c r="C585" s="619"/>
      <c r="D585" s="619"/>
      <c r="E585" s="619"/>
      <c r="F585" s="619"/>
      <c r="G585" s="621"/>
      <c r="H585" s="619"/>
      <c r="I585" s="619"/>
      <c r="J585" s="619"/>
      <c r="K585" s="619"/>
      <c r="L585" s="619"/>
      <c r="M585" s="619"/>
      <c r="N585" s="619"/>
      <c r="O585" s="619"/>
      <c r="P585" s="619"/>
      <c r="Q585" s="619"/>
      <c r="R585" s="619"/>
      <c r="S585" s="619"/>
      <c r="T585" s="619"/>
      <c r="U585" s="619"/>
      <c r="V585" s="619"/>
      <c r="W585" s="619"/>
      <c r="X585" s="619"/>
      <c r="Y585" s="619"/>
      <c r="Z585" s="619"/>
    </row>
    <row r="586" spans="1:26" ht="11.25" customHeight="1">
      <c r="A586" s="619"/>
      <c r="B586" s="619"/>
      <c r="C586" s="619"/>
      <c r="D586" s="619"/>
      <c r="E586" s="619"/>
      <c r="F586" s="619"/>
      <c r="G586" s="621"/>
      <c r="H586" s="619"/>
      <c r="I586" s="619"/>
      <c r="J586" s="619"/>
      <c r="K586" s="619"/>
      <c r="L586" s="619"/>
      <c r="M586" s="619"/>
      <c r="N586" s="619"/>
      <c r="O586" s="619"/>
      <c r="P586" s="619"/>
      <c r="Q586" s="619"/>
      <c r="R586" s="619"/>
      <c r="S586" s="619"/>
      <c r="T586" s="619"/>
      <c r="U586" s="619"/>
      <c r="V586" s="619"/>
      <c r="W586" s="619"/>
      <c r="X586" s="619"/>
      <c r="Y586" s="619"/>
      <c r="Z586" s="619"/>
    </row>
    <row r="587" spans="1:26" ht="11.25" customHeight="1">
      <c r="A587" s="619"/>
      <c r="B587" s="619"/>
      <c r="C587" s="619"/>
      <c r="D587" s="619"/>
      <c r="E587" s="619"/>
      <c r="F587" s="619"/>
      <c r="G587" s="621"/>
      <c r="H587" s="619"/>
      <c r="I587" s="619"/>
      <c r="J587" s="619"/>
      <c r="K587" s="619"/>
      <c r="L587" s="619"/>
      <c r="M587" s="619"/>
      <c r="N587" s="619"/>
      <c r="O587" s="619"/>
      <c r="P587" s="619"/>
      <c r="Q587" s="619"/>
      <c r="R587" s="619"/>
      <c r="S587" s="619"/>
      <c r="T587" s="619"/>
      <c r="U587" s="619"/>
      <c r="V587" s="619"/>
      <c r="W587" s="619"/>
      <c r="X587" s="619"/>
      <c r="Y587" s="619"/>
      <c r="Z587" s="619"/>
    </row>
    <row r="588" spans="1:26" ht="11.25" customHeight="1">
      <c r="A588" s="619"/>
      <c r="B588" s="619"/>
      <c r="C588" s="619"/>
      <c r="D588" s="619"/>
      <c r="E588" s="619"/>
      <c r="F588" s="619"/>
      <c r="G588" s="621"/>
      <c r="H588" s="619"/>
      <c r="I588" s="619"/>
      <c r="J588" s="619"/>
      <c r="K588" s="619"/>
      <c r="L588" s="619"/>
      <c r="M588" s="619"/>
      <c r="N588" s="619"/>
      <c r="O588" s="619"/>
      <c r="P588" s="619"/>
      <c r="Q588" s="619"/>
      <c r="R588" s="619"/>
      <c r="S588" s="619"/>
      <c r="T588" s="619"/>
      <c r="U588" s="619"/>
      <c r="V588" s="619"/>
      <c r="W588" s="619"/>
      <c r="X588" s="619"/>
      <c r="Y588" s="619"/>
      <c r="Z588" s="619"/>
    </row>
    <row r="589" spans="1:26" ht="11.25" customHeight="1">
      <c r="A589" s="619"/>
      <c r="B589" s="619"/>
      <c r="C589" s="619"/>
      <c r="D589" s="619"/>
      <c r="E589" s="619"/>
      <c r="F589" s="619"/>
      <c r="G589" s="621"/>
      <c r="H589" s="619"/>
      <c r="I589" s="619"/>
      <c r="J589" s="619"/>
      <c r="K589" s="619"/>
      <c r="L589" s="619"/>
      <c r="M589" s="619"/>
      <c r="N589" s="619"/>
      <c r="O589" s="619"/>
      <c r="P589" s="619"/>
      <c r="Q589" s="619"/>
      <c r="R589" s="619"/>
      <c r="S589" s="619"/>
      <c r="T589" s="619"/>
      <c r="U589" s="619"/>
      <c r="V589" s="619"/>
      <c r="W589" s="619"/>
      <c r="X589" s="619"/>
      <c r="Y589" s="619"/>
      <c r="Z589" s="619"/>
    </row>
    <row r="590" spans="1:26" ht="11.25" customHeight="1">
      <c r="A590" s="619"/>
      <c r="B590" s="619"/>
      <c r="C590" s="619"/>
      <c r="D590" s="619"/>
      <c r="E590" s="619"/>
      <c r="F590" s="619"/>
      <c r="G590" s="621"/>
      <c r="H590" s="619"/>
      <c r="I590" s="619"/>
      <c r="J590" s="619"/>
      <c r="K590" s="619"/>
      <c r="L590" s="619"/>
      <c r="M590" s="619"/>
      <c r="N590" s="619"/>
      <c r="O590" s="619"/>
      <c r="P590" s="619"/>
      <c r="Q590" s="619"/>
      <c r="R590" s="619"/>
      <c r="S590" s="619"/>
      <c r="T590" s="619"/>
      <c r="U590" s="619"/>
      <c r="V590" s="619"/>
      <c r="W590" s="619"/>
      <c r="X590" s="619"/>
      <c r="Y590" s="619"/>
      <c r="Z590" s="619"/>
    </row>
    <row r="591" spans="1:26" ht="11.25" customHeight="1">
      <c r="A591" s="619"/>
      <c r="B591" s="619"/>
      <c r="C591" s="619"/>
      <c r="D591" s="619"/>
      <c r="E591" s="619"/>
      <c r="F591" s="619"/>
      <c r="G591" s="621"/>
      <c r="H591" s="619"/>
      <c r="I591" s="619"/>
      <c r="J591" s="619"/>
      <c r="K591" s="619"/>
      <c r="L591" s="619"/>
      <c r="M591" s="619"/>
      <c r="N591" s="619"/>
      <c r="O591" s="619"/>
      <c r="P591" s="619"/>
      <c r="Q591" s="619"/>
      <c r="R591" s="619"/>
      <c r="S591" s="619"/>
      <c r="T591" s="619"/>
      <c r="U591" s="619"/>
      <c r="V591" s="619"/>
      <c r="W591" s="619"/>
      <c r="X591" s="619"/>
      <c r="Y591" s="619"/>
      <c r="Z591" s="619"/>
    </row>
    <row r="592" spans="1:26" ht="11.25" customHeight="1">
      <c r="A592" s="619"/>
      <c r="B592" s="619"/>
      <c r="C592" s="619"/>
      <c r="D592" s="619"/>
      <c r="E592" s="619"/>
      <c r="F592" s="619"/>
      <c r="G592" s="621"/>
      <c r="H592" s="619"/>
      <c r="I592" s="619"/>
      <c r="J592" s="619"/>
      <c r="K592" s="619"/>
      <c r="L592" s="619"/>
      <c r="M592" s="619"/>
      <c r="N592" s="619"/>
      <c r="O592" s="619"/>
      <c r="P592" s="619"/>
      <c r="Q592" s="619"/>
      <c r="R592" s="619"/>
      <c r="S592" s="619"/>
      <c r="T592" s="619"/>
      <c r="U592" s="619"/>
      <c r="V592" s="619"/>
      <c r="W592" s="619"/>
      <c r="X592" s="619"/>
      <c r="Y592" s="619"/>
      <c r="Z592" s="619"/>
    </row>
    <row r="593" spans="1:26" ht="11.25" customHeight="1">
      <c r="A593" s="619"/>
      <c r="B593" s="619"/>
      <c r="C593" s="619"/>
      <c r="D593" s="619"/>
      <c r="E593" s="619"/>
      <c r="F593" s="619"/>
      <c r="G593" s="621"/>
      <c r="H593" s="619"/>
      <c r="I593" s="619"/>
      <c r="J593" s="619"/>
      <c r="K593" s="619"/>
      <c r="L593" s="619"/>
      <c r="M593" s="619"/>
      <c r="N593" s="619"/>
      <c r="O593" s="619"/>
      <c r="P593" s="619"/>
      <c r="Q593" s="619"/>
      <c r="R593" s="619"/>
      <c r="S593" s="619"/>
      <c r="T593" s="619"/>
      <c r="U593" s="619"/>
      <c r="V593" s="619"/>
      <c r="W593" s="619"/>
      <c r="X593" s="619"/>
      <c r="Y593" s="619"/>
      <c r="Z593" s="619"/>
    </row>
    <row r="594" spans="1:26" ht="11.25" customHeight="1">
      <c r="A594" s="619"/>
      <c r="B594" s="619"/>
      <c r="C594" s="619"/>
      <c r="D594" s="619"/>
      <c r="E594" s="619"/>
      <c r="F594" s="619"/>
      <c r="G594" s="621"/>
      <c r="H594" s="619"/>
      <c r="I594" s="619"/>
      <c r="J594" s="619"/>
      <c r="K594" s="619"/>
      <c r="L594" s="619"/>
      <c r="M594" s="619"/>
      <c r="N594" s="619"/>
      <c r="O594" s="619"/>
      <c r="P594" s="619"/>
      <c r="Q594" s="619"/>
      <c r="R594" s="619"/>
      <c r="S594" s="619"/>
      <c r="T594" s="619"/>
      <c r="U594" s="619"/>
      <c r="V594" s="619"/>
      <c r="W594" s="619"/>
      <c r="X594" s="619"/>
      <c r="Y594" s="619"/>
      <c r="Z594" s="619"/>
    </row>
    <row r="595" spans="1:26" ht="11.25" customHeight="1">
      <c r="A595" s="619"/>
      <c r="B595" s="619"/>
      <c r="C595" s="619"/>
      <c r="D595" s="619"/>
      <c r="E595" s="619"/>
      <c r="F595" s="619"/>
      <c r="G595" s="621"/>
      <c r="H595" s="619"/>
      <c r="I595" s="619"/>
      <c r="J595" s="619"/>
      <c r="K595" s="619"/>
      <c r="L595" s="619"/>
      <c r="M595" s="619"/>
      <c r="N595" s="619"/>
      <c r="O595" s="619"/>
      <c r="P595" s="619"/>
      <c r="Q595" s="619"/>
      <c r="R595" s="619"/>
      <c r="S595" s="619"/>
      <c r="T595" s="619"/>
      <c r="U595" s="619"/>
      <c r="V595" s="619"/>
      <c r="W595" s="619"/>
      <c r="X595" s="619"/>
      <c r="Y595" s="619"/>
      <c r="Z595" s="619"/>
    </row>
    <row r="596" spans="1:26" ht="11.25" customHeight="1">
      <c r="A596" s="619"/>
      <c r="B596" s="619"/>
      <c r="C596" s="619"/>
      <c r="D596" s="619"/>
      <c r="E596" s="619"/>
      <c r="F596" s="619"/>
      <c r="G596" s="621"/>
      <c r="H596" s="619"/>
      <c r="I596" s="619"/>
      <c r="J596" s="619"/>
      <c r="K596" s="619"/>
      <c r="L596" s="619"/>
      <c r="M596" s="619"/>
      <c r="N596" s="619"/>
      <c r="O596" s="619"/>
      <c r="P596" s="619"/>
      <c r="Q596" s="619"/>
      <c r="R596" s="619"/>
      <c r="S596" s="619"/>
      <c r="T596" s="619"/>
      <c r="U596" s="619"/>
      <c r="V596" s="619"/>
      <c r="W596" s="619"/>
      <c r="X596" s="619"/>
      <c r="Y596" s="619"/>
      <c r="Z596" s="619"/>
    </row>
    <row r="597" spans="1:26" ht="11.25" customHeight="1">
      <c r="A597" s="619"/>
      <c r="B597" s="619"/>
      <c r="C597" s="619"/>
      <c r="D597" s="619"/>
      <c r="E597" s="619"/>
      <c r="F597" s="619"/>
      <c r="G597" s="621"/>
      <c r="H597" s="619"/>
      <c r="I597" s="619"/>
      <c r="J597" s="619"/>
      <c r="K597" s="619"/>
      <c r="L597" s="619"/>
      <c r="M597" s="619"/>
      <c r="N597" s="619"/>
      <c r="O597" s="619"/>
      <c r="P597" s="619"/>
      <c r="Q597" s="619"/>
      <c r="R597" s="619"/>
      <c r="S597" s="619"/>
      <c r="T597" s="619"/>
      <c r="U597" s="619"/>
      <c r="V597" s="619"/>
      <c r="W597" s="619"/>
      <c r="X597" s="619"/>
      <c r="Y597" s="619"/>
      <c r="Z597" s="619"/>
    </row>
    <row r="598" spans="1:26" ht="11.25" customHeight="1">
      <c r="A598" s="619"/>
      <c r="B598" s="619"/>
      <c r="C598" s="619"/>
      <c r="D598" s="619"/>
      <c r="E598" s="619"/>
      <c r="F598" s="619"/>
      <c r="G598" s="621"/>
      <c r="H598" s="619"/>
      <c r="I598" s="619"/>
      <c r="J598" s="619"/>
      <c r="K598" s="619"/>
      <c r="L598" s="619"/>
      <c r="M598" s="619"/>
      <c r="N598" s="619"/>
      <c r="O598" s="619"/>
      <c r="P598" s="619"/>
      <c r="Q598" s="619"/>
      <c r="R598" s="619"/>
      <c r="S598" s="619"/>
      <c r="T598" s="619"/>
      <c r="U598" s="619"/>
      <c r="V598" s="619"/>
      <c r="W598" s="619"/>
      <c r="X598" s="619"/>
      <c r="Y598" s="619"/>
      <c r="Z598" s="619"/>
    </row>
    <row r="599" spans="1:26" ht="11.25" customHeight="1">
      <c r="A599" s="619"/>
      <c r="B599" s="619"/>
      <c r="C599" s="619"/>
      <c r="D599" s="619"/>
      <c r="E599" s="619"/>
      <c r="F599" s="619"/>
      <c r="G599" s="621"/>
      <c r="H599" s="619"/>
      <c r="I599" s="619"/>
      <c r="J599" s="619"/>
      <c r="K599" s="619"/>
      <c r="L599" s="619"/>
      <c r="M599" s="619"/>
      <c r="N599" s="619"/>
      <c r="O599" s="619"/>
      <c r="P599" s="619"/>
      <c r="Q599" s="619"/>
      <c r="R599" s="619"/>
      <c r="S599" s="619"/>
      <c r="T599" s="619"/>
      <c r="U599" s="619"/>
      <c r="V599" s="619"/>
      <c r="W599" s="619"/>
      <c r="X599" s="619"/>
      <c r="Y599" s="619"/>
      <c r="Z599" s="619"/>
    </row>
    <row r="600" spans="1:26" ht="11.25" customHeight="1">
      <c r="A600" s="619"/>
      <c r="B600" s="619"/>
      <c r="C600" s="619"/>
      <c r="D600" s="619"/>
      <c r="E600" s="619"/>
      <c r="F600" s="619"/>
      <c r="G600" s="621"/>
      <c r="H600" s="619"/>
      <c r="I600" s="619"/>
      <c r="J600" s="619"/>
      <c r="K600" s="619"/>
      <c r="L600" s="619"/>
      <c r="M600" s="619"/>
      <c r="N600" s="619"/>
      <c r="O600" s="619"/>
      <c r="P600" s="619"/>
      <c r="Q600" s="619"/>
      <c r="R600" s="619"/>
      <c r="S600" s="619"/>
      <c r="T600" s="619"/>
      <c r="U600" s="619"/>
      <c r="V600" s="619"/>
      <c r="W600" s="619"/>
      <c r="X600" s="619"/>
      <c r="Y600" s="619"/>
      <c r="Z600" s="619"/>
    </row>
    <row r="601" spans="1:26" ht="11.25" customHeight="1">
      <c r="A601" s="619"/>
      <c r="B601" s="619"/>
      <c r="C601" s="619"/>
      <c r="D601" s="619"/>
      <c r="E601" s="619"/>
      <c r="F601" s="619"/>
      <c r="G601" s="621"/>
      <c r="H601" s="619"/>
      <c r="I601" s="619"/>
      <c r="J601" s="619"/>
      <c r="K601" s="619"/>
      <c r="L601" s="619"/>
      <c r="M601" s="619"/>
      <c r="N601" s="619"/>
      <c r="O601" s="619"/>
      <c r="P601" s="619"/>
      <c r="Q601" s="619"/>
      <c r="R601" s="619"/>
      <c r="S601" s="619"/>
      <c r="T601" s="619"/>
      <c r="U601" s="619"/>
      <c r="V601" s="619"/>
      <c r="W601" s="619"/>
      <c r="X601" s="619"/>
      <c r="Y601" s="619"/>
      <c r="Z601" s="619"/>
    </row>
    <row r="602" spans="1:26" ht="11.25" customHeight="1">
      <c r="A602" s="619"/>
      <c r="B602" s="619"/>
      <c r="C602" s="619"/>
      <c r="D602" s="619"/>
      <c r="E602" s="619"/>
      <c r="F602" s="619"/>
      <c r="G602" s="621"/>
      <c r="H602" s="619"/>
      <c r="I602" s="619"/>
      <c r="J602" s="619"/>
      <c r="K602" s="619"/>
      <c r="L602" s="619"/>
      <c r="M602" s="619"/>
      <c r="N602" s="619"/>
      <c r="O602" s="619"/>
      <c r="P602" s="619"/>
      <c r="Q602" s="619"/>
      <c r="R602" s="619"/>
      <c r="S602" s="619"/>
      <c r="T602" s="619"/>
      <c r="U602" s="619"/>
      <c r="V602" s="619"/>
      <c r="W602" s="619"/>
      <c r="X602" s="619"/>
      <c r="Y602" s="619"/>
      <c r="Z602" s="619"/>
    </row>
    <row r="603" spans="1:26" ht="11.25" customHeight="1">
      <c r="A603" s="619"/>
      <c r="B603" s="619"/>
      <c r="C603" s="619"/>
      <c r="D603" s="619"/>
      <c r="E603" s="619"/>
      <c r="F603" s="619"/>
      <c r="G603" s="621"/>
      <c r="H603" s="619"/>
      <c r="I603" s="619"/>
      <c r="J603" s="619"/>
      <c r="K603" s="619"/>
      <c r="L603" s="619"/>
      <c r="M603" s="619"/>
      <c r="N603" s="619"/>
      <c r="O603" s="619"/>
      <c r="P603" s="619"/>
      <c r="Q603" s="619"/>
      <c r="R603" s="619"/>
      <c r="S603" s="619"/>
      <c r="T603" s="619"/>
      <c r="U603" s="619"/>
      <c r="V603" s="619"/>
      <c r="W603" s="619"/>
      <c r="X603" s="619"/>
      <c r="Y603" s="619"/>
      <c r="Z603" s="619"/>
    </row>
    <row r="604" spans="1:26" ht="11.25" customHeight="1">
      <c r="A604" s="619"/>
      <c r="B604" s="619"/>
      <c r="C604" s="619"/>
      <c r="D604" s="619"/>
      <c r="E604" s="619"/>
      <c r="F604" s="619"/>
      <c r="G604" s="621"/>
      <c r="H604" s="619"/>
      <c r="I604" s="619"/>
      <c r="J604" s="619"/>
      <c r="K604" s="619"/>
      <c r="L604" s="619"/>
      <c r="M604" s="619"/>
      <c r="N604" s="619"/>
      <c r="O604" s="619"/>
      <c r="P604" s="619"/>
      <c r="Q604" s="619"/>
      <c r="R604" s="619"/>
      <c r="S604" s="619"/>
      <c r="T604" s="619"/>
      <c r="U604" s="619"/>
      <c r="V604" s="619"/>
      <c r="W604" s="619"/>
      <c r="X604" s="619"/>
      <c r="Y604" s="619"/>
      <c r="Z604" s="619"/>
    </row>
    <row r="605" spans="1:26" ht="11.25" customHeight="1">
      <c r="A605" s="619"/>
      <c r="B605" s="619"/>
      <c r="C605" s="619"/>
      <c r="D605" s="619"/>
      <c r="E605" s="619"/>
      <c r="F605" s="619"/>
      <c r="G605" s="621"/>
      <c r="H605" s="619"/>
      <c r="I605" s="619"/>
      <c r="J605" s="619"/>
      <c r="K605" s="619"/>
      <c r="L605" s="619"/>
      <c r="M605" s="619"/>
      <c r="N605" s="619"/>
      <c r="O605" s="619"/>
      <c r="P605" s="619"/>
      <c r="Q605" s="619"/>
      <c r="R605" s="619"/>
      <c r="S605" s="619"/>
      <c r="T605" s="619"/>
      <c r="U605" s="619"/>
      <c r="V605" s="619"/>
      <c r="W605" s="619"/>
      <c r="X605" s="619"/>
      <c r="Y605" s="619"/>
      <c r="Z605" s="619"/>
    </row>
    <row r="606" spans="1:26" ht="11.25" customHeight="1">
      <c r="A606" s="619"/>
      <c r="B606" s="619"/>
      <c r="C606" s="619"/>
      <c r="D606" s="619"/>
      <c r="E606" s="619"/>
      <c r="F606" s="619"/>
      <c r="G606" s="621"/>
      <c r="H606" s="619"/>
      <c r="I606" s="619"/>
      <c r="J606" s="619"/>
      <c r="K606" s="619"/>
      <c r="L606" s="619"/>
      <c r="M606" s="619"/>
      <c r="N606" s="619"/>
      <c r="O606" s="619"/>
      <c r="P606" s="619"/>
      <c r="Q606" s="619"/>
      <c r="R606" s="619"/>
      <c r="S606" s="619"/>
      <c r="T606" s="619"/>
      <c r="U606" s="619"/>
      <c r="V606" s="619"/>
      <c r="W606" s="619"/>
      <c r="X606" s="619"/>
      <c r="Y606" s="619"/>
      <c r="Z606" s="619"/>
    </row>
    <row r="607" spans="1:26" ht="11.25" customHeight="1">
      <c r="A607" s="619"/>
      <c r="B607" s="619"/>
      <c r="C607" s="619"/>
      <c r="D607" s="619"/>
      <c r="E607" s="619"/>
      <c r="F607" s="619"/>
      <c r="G607" s="621"/>
      <c r="H607" s="619"/>
      <c r="I607" s="619"/>
      <c r="J607" s="619"/>
      <c r="K607" s="619"/>
      <c r="L607" s="619"/>
      <c r="M607" s="619"/>
      <c r="N607" s="619"/>
      <c r="O607" s="619"/>
      <c r="P607" s="619"/>
      <c r="Q607" s="619"/>
      <c r="R607" s="619"/>
      <c r="S607" s="619"/>
      <c r="T607" s="619"/>
      <c r="U607" s="619"/>
      <c r="V607" s="619"/>
      <c r="W607" s="619"/>
      <c r="X607" s="619"/>
      <c r="Y607" s="619"/>
      <c r="Z607" s="619"/>
    </row>
    <row r="608" spans="1:26" ht="11.25" customHeight="1">
      <c r="A608" s="619"/>
      <c r="B608" s="619"/>
      <c r="C608" s="619"/>
      <c r="D608" s="619"/>
      <c r="E608" s="619"/>
      <c r="F608" s="619"/>
      <c r="G608" s="621"/>
      <c r="H608" s="619"/>
      <c r="I608" s="619"/>
      <c r="J608" s="619"/>
      <c r="K608" s="619"/>
      <c r="L608" s="619"/>
      <c r="M608" s="619"/>
      <c r="N608" s="619"/>
      <c r="O608" s="619"/>
      <c r="P608" s="619"/>
      <c r="Q608" s="619"/>
      <c r="R608" s="619"/>
      <c r="S608" s="619"/>
      <c r="T608" s="619"/>
      <c r="U608" s="619"/>
      <c r="V608" s="619"/>
      <c r="W608" s="619"/>
      <c r="X608" s="619"/>
      <c r="Y608" s="619"/>
      <c r="Z608" s="619"/>
    </row>
    <row r="609" spans="1:26" ht="11.25" customHeight="1">
      <c r="A609" s="619"/>
      <c r="B609" s="619"/>
      <c r="C609" s="619"/>
      <c r="D609" s="619"/>
      <c r="E609" s="619"/>
      <c r="F609" s="619"/>
      <c r="G609" s="621"/>
      <c r="H609" s="619"/>
      <c r="I609" s="619"/>
      <c r="J609" s="619"/>
      <c r="K609" s="619"/>
      <c r="L609" s="619"/>
      <c r="M609" s="619"/>
      <c r="N609" s="619"/>
      <c r="O609" s="619"/>
      <c r="P609" s="619"/>
      <c r="Q609" s="619"/>
      <c r="R609" s="619"/>
      <c r="S609" s="619"/>
      <c r="T609" s="619"/>
      <c r="U609" s="619"/>
      <c r="V609" s="619"/>
      <c r="W609" s="619"/>
      <c r="X609" s="619"/>
      <c r="Y609" s="619"/>
      <c r="Z609" s="619"/>
    </row>
    <row r="610" spans="1:26" ht="11.25" customHeight="1">
      <c r="A610" s="619"/>
      <c r="B610" s="619"/>
      <c r="C610" s="619"/>
      <c r="D610" s="619"/>
      <c r="E610" s="619"/>
      <c r="F610" s="619"/>
      <c r="G610" s="621"/>
      <c r="H610" s="619"/>
      <c r="I610" s="619"/>
      <c r="J610" s="619"/>
      <c r="K610" s="619"/>
      <c r="L610" s="619"/>
      <c r="M610" s="619"/>
      <c r="N610" s="619"/>
      <c r="O610" s="619"/>
      <c r="P610" s="619"/>
      <c r="Q610" s="619"/>
      <c r="R610" s="619"/>
      <c r="S610" s="619"/>
      <c r="T610" s="619"/>
      <c r="U610" s="619"/>
      <c r="V610" s="619"/>
      <c r="W610" s="619"/>
      <c r="X610" s="619"/>
      <c r="Y610" s="619"/>
      <c r="Z610" s="619"/>
    </row>
    <row r="611" spans="1:26" ht="11.25" customHeight="1">
      <c r="A611" s="619"/>
      <c r="B611" s="619"/>
      <c r="C611" s="619"/>
      <c r="D611" s="619"/>
      <c r="E611" s="619"/>
      <c r="F611" s="619"/>
      <c r="G611" s="621"/>
      <c r="H611" s="619"/>
      <c r="I611" s="619"/>
      <c r="J611" s="619"/>
      <c r="K611" s="619"/>
      <c r="L611" s="619"/>
      <c r="M611" s="619"/>
      <c r="N611" s="619"/>
      <c r="O611" s="619"/>
      <c r="P611" s="619"/>
      <c r="Q611" s="619"/>
      <c r="R611" s="619"/>
      <c r="S611" s="619"/>
      <c r="T611" s="619"/>
      <c r="U611" s="619"/>
      <c r="V611" s="619"/>
      <c r="W611" s="619"/>
      <c r="X611" s="619"/>
      <c r="Y611" s="619"/>
      <c r="Z611" s="619"/>
    </row>
    <row r="612" spans="1:26" ht="11.25" customHeight="1">
      <c r="A612" s="619"/>
      <c r="B612" s="619"/>
      <c r="C612" s="619"/>
      <c r="D612" s="619"/>
      <c r="E612" s="619"/>
      <c r="F612" s="619"/>
      <c r="G612" s="621"/>
      <c r="H612" s="619"/>
      <c r="I612" s="619"/>
      <c r="J612" s="619"/>
      <c r="K612" s="619"/>
      <c r="L612" s="619"/>
      <c r="M612" s="619"/>
      <c r="N612" s="619"/>
      <c r="O612" s="619"/>
      <c r="P612" s="619"/>
      <c r="Q612" s="619"/>
      <c r="R612" s="619"/>
      <c r="S612" s="619"/>
      <c r="T612" s="619"/>
      <c r="U612" s="619"/>
      <c r="V612" s="619"/>
      <c r="W612" s="619"/>
      <c r="X612" s="619"/>
      <c r="Y612" s="619"/>
      <c r="Z612" s="619"/>
    </row>
    <row r="613" spans="1:26" ht="11.25" customHeight="1">
      <c r="A613" s="619"/>
      <c r="B613" s="619"/>
      <c r="C613" s="619"/>
      <c r="D613" s="619"/>
      <c r="E613" s="619"/>
      <c r="F613" s="619"/>
      <c r="G613" s="621"/>
      <c r="H613" s="619"/>
      <c r="I613" s="619"/>
      <c r="J613" s="619"/>
      <c r="K613" s="619"/>
      <c r="L613" s="619"/>
      <c r="M613" s="619"/>
      <c r="N613" s="619"/>
      <c r="O613" s="619"/>
      <c r="P613" s="619"/>
      <c r="Q613" s="619"/>
      <c r="R613" s="619"/>
      <c r="S613" s="619"/>
      <c r="T613" s="619"/>
      <c r="U613" s="619"/>
      <c r="V613" s="619"/>
      <c r="W613" s="619"/>
      <c r="X613" s="619"/>
      <c r="Y613" s="619"/>
      <c r="Z613" s="619"/>
    </row>
    <row r="614" spans="1:26" ht="11.25" customHeight="1">
      <c r="A614" s="619"/>
      <c r="B614" s="619"/>
      <c r="C614" s="619"/>
      <c r="D614" s="619"/>
      <c r="E614" s="619"/>
      <c r="F614" s="619"/>
      <c r="G614" s="621"/>
      <c r="H614" s="619"/>
      <c r="I614" s="619"/>
      <c r="J614" s="619"/>
      <c r="K614" s="619"/>
      <c r="L614" s="619"/>
      <c r="M614" s="619"/>
      <c r="N614" s="619"/>
      <c r="O614" s="619"/>
      <c r="P614" s="619"/>
      <c r="Q614" s="619"/>
      <c r="R614" s="619"/>
      <c r="S614" s="619"/>
      <c r="T614" s="619"/>
      <c r="U614" s="619"/>
      <c r="V614" s="619"/>
      <c r="W614" s="619"/>
      <c r="X614" s="619"/>
      <c r="Y614" s="619"/>
      <c r="Z614" s="619"/>
    </row>
    <row r="615" spans="1:26" ht="11.25" customHeight="1">
      <c r="A615" s="619"/>
      <c r="B615" s="619"/>
      <c r="C615" s="619"/>
      <c r="D615" s="619"/>
      <c r="E615" s="619"/>
      <c r="F615" s="619"/>
      <c r="G615" s="621"/>
      <c r="H615" s="619"/>
      <c r="I615" s="619"/>
      <c r="J615" s="619"/>
      <c r="K615" s="619"/>
      <c r="L615" s="619"/>
      <c r="M615" s="619"/>
      <c r="N615" s="619"/>
      <c r="O615" s="619"/>
      <c r="P615" s="619"/>
      <c r="Q615" s="619"/>
      <c r="R615" s="619"/>
      <c r="S615" s="619"/>
      <c r="T615" s="619"/>
      <c r="U615" s="619"/>
      <c r="V615" s="619"/>
      <c r="W615" s="619"/>
      <c r="X615" s="619"/>
      <c r="Y615" s="619"/>
      <c r="Z615" s="619"/>
    </row>
    <row r="616" spans="1:26" ht="11.25" customHeight="1">
      <c r="A616" s="619"/>
      <c r="B616" s="619"/>
      <c r="C616" s="619"/>
      <c r="D616" s="619"/>
      <c r="E616" s="619"/>
      <c r="F616" s="619"/>
      <c r="G616" s="621"/>
      <c r="H616" s="619"/>
      <c r="I616" s="619"/>
      <c r="J616" s="619"/>
      <c r="K616" s="619"/>
      <c r="L616" s="619"/>
      <c r="M616" s="619"/>
      <c r="N616" s="619"/>
      <c r="O616" s="619"/>
      <c r="P616" s="619"/>
      <c r="Q616" s="619"/>
      <c r="R616" s="619"/>
      <c r="S616" s="619"/>
      <c r="T616" s="619"/>
      <c r="U616" s="619"/>
      <c r="V616" s="619"/>
      <c r="W616" s="619"/>
      <c r="X616" s="619"/>
      <c r="Y616" s="619"/>
      <c r="Z616" s="619"/>
    </row>
    <row r="617" spans="1:26" ht="11.25" customHeight="1">
      <c r="A617" s="619"/>
      <c r="B617" s="619"/>
      <c r="C617" s="619"/>
      <c r="D617" s="619"/>
      <c r="E617" s="619"/>
      <c r="F617" s="619"/>
      <c r="G617" s="621"/>
      <c r="H617" s="619"/>
      <c r="I617" s="619"/>
      <c r="J617" s="619"/>
      <c r="K617" s="619"/>
      <c r="L617" s="619"/>
      <c r="M617" s="619"/>
      <c r="N617" s="619"/>
      <c r="O617" s="619"/>
      <c r="P617" s="619"/>
      <c r="Q617" s="619"/>
      <c r="R617" s="619"/>
      <c r="S617" s="619"/>
      <c r="T617" s="619"/>
      <c r="U617" s="619"/>
      <c r="V617" s="619"/>
      <c r="W617" s="619"/>
      <c r="X617" s="619"/>
      <c r="Y617" s="619"/>
      <c r="Z617" s="619"/>
    </row>
    <row r="618" spans="1:26" ht="11.25" customHeight="1">
      <c r="A618" s="619"/>
      <c r="B618" s="619"/>
      <c r="C618" s="619"/>
      <c r="D618" s="619"/>
      <c r="E618" s="619"/>
      <c r="F618" s="619"/>
      <c r="G618" s="621"/>
      <c r="H618" s="619"/>
      <c r="I618" s="619"/>
      <c r="J618" s="619"/>
      <c r="K618" s="619"/>
      <c r="L618" s="619"/>
      <c r="M618" s="619"/>
      <c r="N618" s="619"/>
      <c r="O618" s="619"/>
      <c r="P618" s="619"/>
      <c r="Q618" s="619"/>
      <c r="R618" s="619"/>
      <c r="S618" s="619"/>
      <c r="T618" s="619"/>
      <c r="U618" s="619"/>
      <c r="V618" s="619"/>
      <c r="W618" s="619"/>
      <c r="X618" s="619"/>
      <c r="Y618" s="619"/>
      <c r="Z618" s="619"/>
    </row>
    <row r="619" spans="1:26" ht="11.25" customHeight="1">
      <c r="A619" s="619"/>
      <c r="B619" s="619"/>
      <c r="C619" s="619"/>
      <c r="D619" s="619"/>
      <c r="E619" s="619"/>
      <c r="F619" s="619"/>
      <c r="G619" s="621"/>
      <c r="H619" s="619"/>
      <c r="I619" s="619"/>
      <c r="J619" s="619"/>
      <c r="K619" s="619"/>
      <c r="L619" s="619"/>
      <c r="M619" s="619"/>
      <c r="N619" s="619"/>
      <c r="O619" s="619"/>
      <c r="P619" s="619"/>
      <c r="Q619" s="619"/>
      <c r="R619" s="619"/>
      <c r="S619" s="619"/>
      <c r="T619" s="619"/>
      <c r="U619" s="619"/>
      <c r="V619" s="619"/>
      <c r="W619" s="619"/>
      <c r="X619" s="619"/>
      <c r="Y619" s="619"/>
      <c r="Z619" s="619"/>
    </row>
    <row r="620" spans="1:26" ht="11.25" customHeight="1">
      <c r="A620" s="619"/>
      <c r="B620" s="619"/>
      <c r="C620" s="619"/>
      <c r="D620" s="619"/>
      <c r="E620" s="619"/>
      <c r="F620" s="619"/>
      <c r="G620" s="621"/>
      <c r="H620" s="619"/>
      <c r="I620" s="619"/>
      <c r="J620" s="619"/>
      <c r="K620" s="619"/>
      <c r="L620" s="619"/>
      <c r="M620" s="619"/>
      <c r="N620" s="619"/>
      <c r="O620" s="619"/>
      <c r="P620" s="619"/>
      <c r="Q620" s="619"/>
      <c r="R620" s="619"/>
      <c r="S620" s="619"/>
      <c r="T620" s="619"/>
      <c r="U620" s="619"/>
      <c r="V620" s="619"/>
      <c r="W620" s="619"/>
      <c r="X620" s="619"/>
      <c r="Y620" s="619"/>
      <c r="Z620" s="619"/>
    </row>
    <row r="621" spans="1:26" ht="11.25" customHeight="1">
      <c r="A621" s="619"/>
      <c r="B621" s="619"/>
      <c r="C621" s="619"/>
      <c r="D621" s="619"/>
      <c r="E621" s="619"/>
      <c r="F621" s="619"/>
      <c r="G621" s="621"/>
      <c r="H621" s="619"/>
      <c r="I621" s="619"/>
      <c r="J621" s="619"/>
      <c r="K621" s="619"/>
      <c r="L621" s="619"/>
      <c r="M621" s="619"/>
      <c r="N621" s="619"/>
      <c r="O621" s="619"/>
      <c r="P621" s="619"/>
      <c r="Q621" s="619"/>
      <c r="R621" s="619"/>
      <c r="S621" s="619"/>
      <c r="T621" s="619"/>
      <c r="U621" s="619"/>
      <c r="V621" s="619"/>
      <c r="W621" s="619"/>
      <c r="X621" s="619"/>
      <c r="Y621" s="619"/>
      <c r="Z621" s="619"/>
    </row>
    <row r="622" spans="1:26" ht="11.25" customHeight="1">
      <c r="A622" s="619"/>
      <c r="B622" s="619"/>
      <c r="C622" s="619"/>
      <c r="D622" s="619"/>
      <c r="E622" s="619"/>
      <c r="F622" s="619"/>
      <c r="G622" s="621"/>
      <c r="H622" s="619"/>
      <c r="I622" s="619"/>
      <c r="J622" s="619"/>
      <c r="K622" s="619"/>
      <c r="L622" s="619"/>
      <c r="M622" s="619"/>
      <c r="N622" s="619"/>
      <c r="O622" s="619"/>
      <c r="P622" s="619"/>
      <c r="Q622" s="619"/>
      <c r="R622" s="619"/>
      <c r="S622" s="619"/>
      <c r="T622" s="619"/>
      <c r="U622" s="619"/>
      <c r="V622" s="619"/>
      <c r="W622" s="619"/>
      <c r="X622" s="619"/>
      <c r="Y622" s="619"/>
      <c r="Z622" s="619"/>
    </row>
    <row r="623" spans="1:26" ht="11.25" customHeight="1">
      <c r="A623" s="619"/>
      <c r="B623" s="619"/>
      <c r="C623" s="619"/>
      <c r="D623" s="619"/>
      <c r="E623" s="619"/>
      <c r="F623" s="619"/>
      <c r="G623" s="621"/>
      <c r="H623" s="619"/>
      <c r="I623" s="619"/>
      <c r="J623" s="619"/>
      <c r="K623" s="619"/>
      <c r="L623" s="619"/>
      <c r="M623" s="619"/>
      <c r="N623" s="619"/>
      <c r="O623" s="619"/>
      <c r="P623" s="619"/>
      <c r="Q623" s="619"/>
      <c r="R623" s="619"/>
      <c r="S623" s="619"/>
      <c r="T623" s="619"/>
      <c r="U623" s="619"/>
      <c r="V623" s="619"/>
      <c r="W623" s="619"/>
      <c r="X623" s="619"/>
      <c r="Y623" s="619"/>
      <c r="Z623" s="619"/>
    </row>
    <row r="624" spans="1:26" ht="11.25" customHeight="1">
      <c r="A624" s="619"/>
      <c r="B624" s="619"/>
      <c r="C624" s="619"/>
      <c r="D624" s="619"/>
      <c r="E624" s="619"/>
      <c r="F624" s="619"/>
      <c r="G624" s="621"/>
      <c r="H624" s="619"/>
      <c r="I624" s="619"/>
      <c r="J624" s="619"/>
      <c r="K624" s="619"/>
      <c r="L624" s="619"/>
      <c r="M624" s="619"/>
      <c r="N624" s="619"/>
      <c r="O624" s="619"/>
      <c r="P624" s="619"/>
      <c r="Q624" s="619"/>
      <c r="R624" s="619"/>
      <c r="S624" s="619"/>
      <c r="T624" s="619"/>
      <c r="U624" s="619"/>
      <c r="V624" s="619"/>
      <c r="W624" s="619"/>
      <c r="X624" s="619"/>
      <c r="Y624" s="619"/>
      <c r="Z624" s="619"/>
    </row>
    <row r="625" spans="1:26" ht="11.25" customHeight="1">
      <c r="A625" s="619"/>
      <c r="B625" s="619"/>
      <c r="C625" s="619"/>
      <c r="D625" s="619"/>
      <c r="E625" s="619"/>
      <c r="F625" s="619"/>
      <c r="G625" s="621"/>
      <c r="H625" s="619"/>
      <c r="I625" s="619"/>
      <c r="J625" s="619"/>
      <c r="K625" s="619"/>
      <c r="L625" s="619"/>
      <c r="M625" s="619"/>
      <c r="N625" s="619"/>
      <c r="O625" s="619"/>
      <c r="P625" s="619"/>
      <c r="Q625" s="619"/>
      <c r="R625" s="619"/>
      <c r="S625" s="619"/>
      <c r="T625" s="619"/>
      <c r="U625" s="619"/>
      <c r="V625" s="619"/>
      <c r="W625" s="619"/>
      <c r="X625" s="619"/>
      <c r="Y625" s="619"/>
      <c r="Z625" s="619"/>
    </row>
    <row r="626" spans="1:26" ht="11.25" customHeight="1">
      <c r="A626" s="619"/>
      <c r="B626" s="619"/>
      <c r="C626" s="619"/>
      <c r="D626" s="619"/>
      <c r="E626" s="619"/>
      <c r="F626" s="619"/>
      <c r="G626" s="621"/>
      <c r="H626" s="619"/>
      <c r="I626" s="619"/>
      <c r="J626" s="619"/>
      <c r="K626" s="619"/>
      <c r="L626" s="619"/>
      <c r="M626" s="619"/>
      <c r="N626" s="619"/>
      <c r="O626" s="619"/>
      <c r="P626" s="619"/>
      <c r="Q626" s="619"/>
      <c r="R626" s="619"/>
      <c r="S626" s="619"/>
      <c r="T626" s="619"/>
      <c r="U626" s="619"/>
      <c r="V626" s="619"/>
      <c r="W626" s="619"/>
      <c r="X626" s="619"/>
      <c r="Y626" s="619"/>
      <c r="Z626" s="619"/>
    </row>
    <row r="627" spans="1:26" ht="11.25" customHeight="1">
      <c r="A627" s="619"/>
      <c r="B627" s="619"/>
      <c r="C627" s="619"/>
      <c r="D627" s="619"/>
      <c r="E627" s="619"/>
      <c r="F627" s="619"/>
      <c r="G627" s="621"/>
      <c r="H627" s="619"/>
      <c r="I627" s="619"/>
      <c r="J627" s="619"/>
      <c r="K627" s="619"/>
      <c r="L627" s="619"/>
      <c r="M627" s="619"/>
      <c r="N627" s="619"/>
      <c r="O627" s="619"/>
      <c r="P627" s="619"/>
      <c r="Q627" s="619"/>
      <c r="R627" s="619"/>
      <c r="S627" s="619"/>
      <c r="T627" s="619"/>
      <c r="U627" s="619"/>
      <c r="V627" s="619"/>
      <c r="W627" s="619"/>
      <c r="X627" s="619"/>
      <c r="Y627" s="619"/>
      <c r="Z627" s="619"/>
    </row>
    <row r="628" spans="1:26" ht="11.25" customHeight="1">
      <c r="A628" s="619"/>
      <c r="B628" s="619"/>
      <c r="C628" s="619"/>
      <c r="D628" s="619"/>
      <c r="E628" s="619"/>
      <c r="F628" s="619"/>
      <c r="G628" s="621"/>
      <c r="H628" s="619"/>
      <c r="I628" s="619"/>
      <c r="J628" s="619"/>
      <c r="K628" s="619"/>
      <c r="L628" s="619"/>
      <c r="M628" s="619"/>
      <c r="N628" s="619"/>
      <c r="O628" s="619"/>
      <c r="P628" s="619"/>
      <c r="Q628" s="619"/>
      <c r="R628" s="619"/>
      <c r="S628" s="619"/>
      <c r="T628" s="619"/>
      <c r="U628" s="619"/>
      <c r="V628" s="619"/>
      <c r="W628" s="619"/>
      <c r="X628" s="619"/>
      <c r="Y628" s="619"/>
      <c r="Z628" s="619"/>
    </row>
    <row r="629" spans="1:26" ht="11.25" customHeight="1">
      <c r="A629" s="619"/>
      <c r="B629" s="619"/>
      <c r="C629" s="619"/>
      <c r="D629" s="619"/>
      <c r="E629" s="619"/>
      <c r="F629" s="619"/>
      <c r="G629" s="621"/>
      <c r="H629" s="619"/>
      <c r="I629" s="619"/>
      <c r="J629" s="619"/>
      <c r="K629" s="619"/>
      <c r="L629" s="619"/>
      <c r="M629" s="619"/>
      <c r="N629" s="619"/>
      <c r="O629" s="619"/>
      <c r="P629" s="619"/>
      <c r="Q629" s="619"/>
      <c r="R629" s="619"/>
      <c r="S629" s="619"/>
      <c r="T629" s="619"/>
      <c r="U629" s="619"/>
      <c r="V629" s="619"/>
      <c r="W629" s="619"/>
      <c r="X629" s="619"/>
      <c r="Y629" s="619"/>
      <c r="Z629" s="619"/>
    </row>
    <row r="630" spans="1:26" ht="11.25" customHeight="1">
      <c r="A630" s="619"/>
      <c r="B630" s="619"/>
      <c r="C630" s="619"/>
      <c r="D630" s="619"/>
      <c r="E630" s="619"/>
      <c r="F630" s="619"/>
      <c r="G630" s="621"/>
      <c r="H630" s="619"/>
      <c r="I630" s="619"/>
      <c r="J630" s="619"/>
      <c r="K630" s="619"/>
      <c r="L630" s="619"/>
      <c r="M630" s="619"/>
      <c r="N630" s="619"/>
      <c r="O630" s="619"/>
      <c r="P630" s="619"/>
      <c r="Q630" s="619"/>
      <c r="R630" s="619"/>
      <c r="S630" s="619"/>
      <c r="T630" s="619"/>
      <c r="U630" s="619"/>
      <c r="V630" s="619"/>
      <c r="W630" s="619"/>
      <c r="X630" s="619"/>
      <c r="Y630" s="619"/>
      <c r="Z630" s="619"/>
    </row>
    <row r="631" spans="1:26" ht="11.25" customHeight="1">
      <c r="A631" s="619"/>
      <c r="B631" s="619"/>
      <c r="C631" s="619"/>
      <c r="D631" s="619"/>
      <c r="E631" s="619"/>
      <c r="F631" s="619"/>
      <c r="G631" s="621"/>
      <c r="H631" s="619"/>
      <c r="I631" s="619"/>
      <c r="J631" s="619"/>
      <c r="K631" s="619"/>
      <c r="L631" s="619"/>
      <c r="M631" s="619"/>
      <c r="N631" s="619"/>
      <c r="O631" s="619"/>
      <c r="P631" s="619"/>
      <c r="Q631" s="619"/>
      <c r="R631" s="619"/>
      <c r="S631" s="619"/>
      <c r="T631" s="619"/>
      <c r="U631" s="619"/>
      <c r="V631" s="619"/>
      <c r="W631" s="619"/>
      <c r="X631" s="619"/>
      <c r="Y631" s="619"/>
      <c r="Z631" s="619"/>
    </row>
    <row r="632" spans="1:26" ht="11.25" customHeight="1">
      <c r="A632" s="619"/>
      <c r="B632" s="619"/>
      <c r="C632" s="619"/>
      <c r="D632" s="619"/>
      <c r="E632" s="619"/>
      <c r="F632" s="619"/>
      <c r="G632" s="621"/>
      <c r="H632" s="619"/>
      <c r="I632" s="619"/>
      <c r="J632" s="619"/>
      <c r="K632" s="619"/>
      <c r="L632" s="619"/>
      <c r="M632" s="619"/>
      <c r="N632" s="619"/>
      <c r="O632" s="619"/>
      <c r="P632" s="619"/>
      <c r="Q632" s="619"/>
      <c r="R632" s="619"/>
      <c r="S632" s="619"/>
      <c r="T632" s="619"/>
      <c r="U632" s="619"/>
      <c r="V632" s="619"/>
      <c r="W632" s="619"/>
      <c r="X632" s="619"/>
      <c r="Y632" s="619"/>
      <c r="Z632" s="619"/>
    </row>
    <row r="633" spans="1:26" ht="11.25" customHeight="1">
      <c r="A633" s="619"/>
      <c r="B633" s="619"/>
      <c r="C633" s="619"/>
      <c r="D633" s="619"/>
      <c r="E633" s="619"/>
      <c r="F633" s="619"/>
      <c r="G633" s="621"/>
      <c r="H633" s="619"/>
      <c r="I633" s="619"/>
      <c r="J633" s="619"/>
      <c r="K633" s="619"/>
      <c r="L633" s="619"/>
      <c r="M633" s="619"/>
      <c r="N633" s="619"/>
      <c r="O633" s="619"/>
      <c r="P633" s="619"/>
      <c r="Q633" s="619"/>
      <c r="R633" s="619"/>
      <c r="S633" s="619"/>
      <c r="T633" s="619"/>
      <c r="U633" s="619"/>
      <c r="V633" s="619"/>
      <c r="W633" s="619"/>
      <c r="X633" s="619"/>
      <c r="Y633" s="619"/>
      <c r="Z633" s="619"/>
    </row>
    <row r="634" spans="1:26" ht="11.25" customHeight="1">
      <c r="A634" s="619"/>
      <c r="B634" s="619"/>
      <c r="C634" s="619"/>
      <c r="D634" s="619"/>
      <c r="E634" s="619"/>
      <c r="F634" s="619"/>
      <c r="G634" s="621"/>
      <c r="H634" s="619"/>
      <c r="I634" s="619"/>
      <c r="J634" s="619"/>
      <c r="K634" s="619"/>
      <c r="L634" s="619"/>
      <c r="M634" s="619"/>
      <c r="N634" s="619"/>
      <c r="O634" s="619"/>
      <c r="P634" s="619"/>
      <c r="Q634" s="619"/>
      <c r="R634" s="619"/>
      <c r="S634" s="619"/>
      <c r="T634" s="619"/>
      <c r="U634" s="619"/>
      <c r="V634" s="619"/>
      <c r="W634" s="619"/>
      <c r="X634" s="619"/>
      <c r="Y634" s="619"/>
      <c r="Z634" s="619"/>
    </row>
    <row r="635" spans="1:26" ht="11.25" customHeight="1">
      <c r="A635" s="619"/>
      <c r="B635" s="619"/>
      <c r="C635" s="619"/>
      <c r="D635" s="619"/>
      <c r="E635" s="619"/>
      <c r="F635" s="619"/>
      <c r="G635" s="621"/>
      <c r="H635" s="619"/>
      <c r="I635" s="619"/>
      <c r="J635" s="619"/>
      <c r="K635" s="619"/>
      <c r="L635" s="619"/>
      <c r="M635" s="619"/>
      <c r="N635" s="619"/>
      <c r="O635" s="619"/>
      <c r="P635" s="619"/>
      <c r="Q635" s="619"/>
      <c r="R635" s="619"/>
      <c r="S635" s="619"/>
      <c r="T635" s="619"/>
      <c r="U635" s="619"/>
      <c r="V635" s="619"/>
      <c r="W635" s="619"/>
      <c r="X635" s="619"/>
      <c r="Y635" s="619"/>
      <c r="Z635" s="619"/>
    </row>
    <row r="636" spans="1:26" ht="11.25" customHeight="1">
      <c r="A636" s="619"/>
      <c r="B636" s="619"/>
      <c r="C636" s="619"/>
      <c r="D636" s="619"/>
      <c r="E636" s="619"/>
      <c r="F636" s="619"/>
      <c r="G636" s="621"/>
      <c r="H636" s="619"/>
      <c r="I636" s="619"/>
      <c r="J636" s="619"/>
      <c r="K636" s="619"/>
      <c r="L636" s="619"/>
      <c r="M636" s="619"/>
      <c r="N636" s="619"/>
      <c r="O636" s="619"/>
      <c r="P636" s="619"/>
      <c r="Q636" s="619"/>
      <c r="R636" s="619"/>
      <c r="S636" s="619"/>
      <c r="T636" s="619"/>
      <c r="U636" s="619"/>
      <c r="V636" s="619"/>
      <c r="W636" s="619"/>
      <c r="X636" s="619"/>
      <c r="Y636" s="619"/>
      <c r="Z636" s="619"/>
    </row>
    <row r="637" spans="1:26" ht="11.25" customHeight="1">
      <c r="A637" s="619"/>
      <c r="B637" s="619"/>
      <c r="C637" s="619"/>
      <c r="D637" s="619"/>
      <c r="E637" s="619"/>
      <c r="F637" s="619"/>
      <c r="G637" s="621"/>
      <c r="H637" s="619"/>
      <c r="I637" s="619"/>
      <c r="J637" s="619"/>
      <c r="K637" s="619"/>
      <c r="L637" s="619"/>
      <c r="M637" s="619"/>
      <c r="N637" s="619"/>
      <c r="O637" s="619"/>
      <c r="P637" s="619"/>
      <c r="Q637" s="619"/>
      <c r="R637" s="619"/>
      <c r="S637" s="619"/>
      <c r="T637" s="619"/>
      <c r="U637" s="619"/>
      <c r="V637" s="619"/>
      <c r="W637" s="619"/>
      <c r="X637" s="619"/>
      <c r="Y637" s="619"/>
      <c r="Z637" s="619"/>
    </row>
    <row r="638" spans="1:26" ht="11.25" customHeight="1">
      <c r="A638" s="619"/>
      <c r="B638" s="619"/>
      <c r="C638" s="619"/>
      <c r="D638" s="619"/>
      <c r="E638" s="619"/>
      <c r="F638" s="619"/>
      <c r="G638" s="621"/>
      <c r="H638" s="619"/>
      <c r="I638" s="619"/>
      <c r="J638" s="619"/>
      <c r="K638" s="619"/>
      <c r="L638" s="619"/>
      <c r="M638" s="619"/>
      <c r="N638" s="619"/>
      <c r="O638" s="619"/>
      <c r="P638" s="619"/>
      <c r="Q638" s="619"/>
      <c r="R638" s="619"/>
      <c r="S638" s="619"/>
      <c r="T638" s="619"/>
      <c r="U638" s="619"/>
      <c r="V638" s="619"/>
      <c r="W638" s="619"/>
      <c r="X638" s="619"/>
      <c r="Y638" s="619"/>
      <c r="Z638" s="619"/>
    </row>
    <row r="639" spans="1:26" ht="11.25" customHeight="1">
      <c r="A639" s="619"/>
      <c r="B639" s="619"/>
      <c r="C639" s="619"/>
      <c r="D639" s="619"/>
      <c r="E639" s="619"/>
      <c r="F639" s="619"/>
      <c r="G639" s="621"/>
      <c r="H639" s="619"/>
      <c r="I639" s="619"/>
      <c r="J639" s="619"/>
      <c r="K639" s="619"/>
      <c r="L639" s="619"/>
      <c r="M639" s="619"/>
      <c r="N639" s="619"/>
      <c r="O639" s="619"/>
      <c r="P639" s="619"/>
      <c r="Q639" s="619"/>
      <c r="R639" s="619"/>
      <c r="S639" s="619"/>
      <c r="T639" s="619"/>
      <c r="U639" s="619"/>
      <c r="V639" s="619"/>
      <c r="W639" s="619"/>
      <c r="X639" s="619"/>
      <c r="Y639" s="619"/>
      <c r="Z639" s="619"/>
    </row>
    <row r="640" spans="1:26" ht="11.25" customHeight="1">
      <c r="A640" s="619"/>
      <c r="B640" s="619"/>
      <c r="C640" s="619"/>
      <c r="D640" s="619"/>
      <c r="E640" s="619"/>
      <c r="F640" s="619"/>
      <c r="G640" s="621"/>
      <c r="H640" s="619"/>
      <c r="I640" s="619"/>
      <c r="J640" s="619"/>
      <c r="K640" s="619"/>
      <c r="L640" s="619"/>
      <c r="M640" s="619"/>
      <c r="N640" s="619"/>
      <c r="O640" s="619"/>
      <c r="P640" s="619"/>
      <c r="Q640" s="619"/>
      <c r="R640" s="619"/>
      <c r="S640" s="619"/>
      <c r="T640" s="619"/>
      <c r="U640" s="619"/>
      <c r="V640" s="619"/>
      <c r="W640" s="619"/>
      <c r="X640" s="619"/>
      <c r="Y640" s="619"/>
      <c r="Z640" s="619"/>
    </row>
    <row r="641" spans="1:26" ht="11.25" customHeight="1">
      <c r="A641" s="619"/>
      <c r="B641" s="619"/>
      <c r="C641" s="619"/>
      <c r="D641" s="619"/>
      <c r="E641" s="619"/>
      <c r="F641" s="619"/>
      <c r="G641" s="621"/>
      <c r="H641" s="619"/>
      <c r="I641" s="619"/>
      <c r="J641" s="619"/>
      <c r="K641" s="619"/>
      <c r="L641" s="619"/>
      <c r="M641" s="619"/>
      <c r="N641" s="619"/>
      <c r="O641" s="619"/>
      <c r="P641" s="619"/>
      <c r="Q641" s="619"/>
      <c r="R641" s="619"/>
      <c r="S641" s="619"/>
      <c r="T641" s="619"/>
      <c r="U641" s="619"/>
      <c r="V641" s="619"/>
      <c r="W641" s="619"/>
      <c r="X641" s="619"/>
      <c r="Y641" s="619"/>
      <c r="Z641" s="619"/>
    </row>
    <row r="642" spans="1:26" ht="11.25" customHeight="1">
      <c r="A642" s="619"/>
      <c r="B642" s="619"/>
      <c r="C642" s="619"/>
      <c r="D642" s="619"/>
      <c r="E642" s="619"/>
      <c r="F642" s="619"/>
      <c r="G642" s="621"/>
      <c r="H642" s="619"/>
      <c r="I642" s="619"/>
      <c r="J642" s="619"/>
      <c r="K642" s="619"/>
      <c r="L642" s="619"/>
      <c r="M642" s="619"/>
      <c r="N642" s="619"/>
      <c r="O642" s="619"/>
      <c r="P642" s="619"/>
      <c r="Q642" s="619"/>
      <c r="R642" s="619"/>
      <c r="S642" s="619"/>
      <c r="T642" s="619"/>
      <c r="U642" s="619"/>
      <c r="V642" s="619"/>
      <c r="W642" s="619"/>
      <c r="X642" s="619"/>
      <c r="Y642" s="619"/>
      <c r="Z642" s="619"/>
    </row>
    <row r="643" spans="1:26" ht="11.25" customHeight="1">
      <c r="A643" s="619"/>
      <c r="B643" s="619"/>
      <c r="C643" s="619"/>
      <c r="D643" s="619"/>
      <c r="E643" s="619"/>
      <c r="F643" s="619"/>
      <c r="G643" s="621"/>
      <c r="H643" s="619"/>
      <c r="I643" s="619"/>
      <c r="J643" s="619"/>
      <c r="K643" s="619"/>
      <c r="L643" s="619"/>
      <c r="M643" s="619"/>
      <c r="N643" s="619"/>
      <c r="O643" s="619"/>
      <c r="P643" s="619"/>
      <c r="Q643" s="619"/>
      <c r="R643" s="619"/>
      <c r="S643" s="619"/>
      <c r="T643" s="619"/>
      <c r="U643" s="619"/>
      <c r="V643" s="619"/>
      <c r="W643" s="619"/>
      <c r="X643" s="619"/>
      <c r="Y643" s="619"/>
      <c r="Z643" s="619"/>
    </row>
    <row r="644" spans="1:26" ht="11.25" customHeight="1">
      <c r="A644" s="619"/>
      <c r="B644" s="619"/>
      <c r="C644" s="619"/>
      <c r="D644" s="619"/>
      <c r="E644" s="619"/>
      <c r="F644" s="619"/>
      <c r="G644" s="621"/>
      <c r="H644" s="619"/>
      <c r="I644" s="619"/>
      <c r="J644" s="619"/>
      <c r="K644" s="619"/>
      <c r="L644" s="619"/>
      <c r="M644" s="619"/>
      <c r="N644" s="619"/>
      <c r="O644" s="619"/>
      <c r="P644" s="619"/>
      <c r="Q644" s="619"/>
      <c r="R644" s="619"/>
      <c r="S644" s="619"/>
      <c r="T644" s="619"/>
      <c r="U644" s="619"/>
      <c r="V644" s="619"/>
      <c r="W644" s="619"/>
      <c r="X644" s="619"/>
      <c r="Y644" s="619"/>
      <c r="Z644" s="619"/>
    </row>
    <row r="645" spans="1:26" ht="11.25" customHeight="1">
      <c r="A645" s="619"/>
      <c r="B645" s="619"/>
      <c r="C645" s="619"/>
      <c r="D645" s="619"/>
      <c r="E645" s="619"/>
      <c r="F645" s="619"/>
      <c r="G645" s="621"/>
      <c r="H645" s="619"/>
      <c r="I645" s="619"/>
      <c r="J645" s="619"/>
      <c r="K645" s="619"/>
      <c r="L645" s="619"/>
      <c r="M645" s="619"/>
      <c r="N645" s="619"/>
      <c r="O645" s="619"/>
      <c r="P645" s="619"/>
      <c r="Q645" s="619"/>
      <c r="R645" s="619"/>
      <c r="S645" s="619"/>
      <c r="T645" s="619"/>
      <c r="U645" s="619"/>
      <c r="V645" s="619"/>
      <c r="W645" s="619"/>
      <c r="X645" s="619"/>
      <c r="Y645" s="619"/>
      <c r="Z645" s="619"/>
    </row>
    <row r="646" spans="1:26" ht="11.25" customHeight="1">
      <c r="A646" s="619"/>
      <c r="B646" s="619"/>
      <c r="C646" s="619"/>
      <c r="D646" s="619"/>
      <c r="E646" s="619"/>
      <c r="F646" s="619"/>
      <c r="G646" s="621"/>
      <c r="H646" s="619"/>
      <c r="I646" s="619"/>
      <c r="J646" s="619"/>
      <c r="K646" s="619"/>
      <c r="L646" s="619"/>
      <c r="M646" s="619"/>
      <c r="N646" s="619"/>
      <c r="O646" s="619"/>
      <c r="P646" s="619"/>
      <c r="Q646" s="619"/>
      <c r="R646" s="619"/>
      <c r="S646" s="619"/>
      <c r="T646" s="619"/>
      <c r="U646" s="619"/>
      <c r="V646" s="619"/>
      <c r="W646" s="619"/>
      <c r="X646" s="619"/>
      <c r="Y646" s="619"/>
      <c r="Z646" s="619"/>
    </row>
    <row r="647" spans="1:26" ht="11.25" customHeight="1">
      <c r="A647" s="619"/>
      <c r="B647" s="619"/>
      <c r="C647" s="619"/>
      <c r="D647" s="619"/>
      <c r="E647" s="619"/>
      <c r="F647" s="619"/>
      <c r="G647" s="621"/>
      <c r="H647" s="619"/>
      <c r="I647" s="619"/>
      <c r="J647" s="619"/>
      <c r="K647" s="619"/>
      <c r="L647" s="619"/>
      <c r="M647" s="619"/>
      <c r="N647" s="619"/>
      <c r="O647" s="619"/>
      <c r="P647" s="619"/>
      <c r="Q647" s="619"/>
      <c r="R647" s="619"/>
      <c r="S647" s="619"/>
      <c r="T647" s="619"/>
      <c r="U647" s="619"/>
      <c r="V647" s="619"/>
      <c r="W647" s="619"/>
      <c r="X647" s="619"/>
      <c r="Y647" s="619"/>
      <c r="Z647" s="619"/>
    </row>
    <row r="648" spans="1:26" ht="11.25" customHeight="1">
      <c r="A648" s="619"/>
      <c r="B648" s="619"/>
      <c r="C648" s="619"/>
      <c r="D648" s="619"/>
      <c r="E648" s="619"/>
      <c r="F648" s="619"/>
      <c r="G648" s="621"/>
      <c r="H648" s="619"/>
      <c r="I648" s="619"/>
      <c r="J648" s="619"/>
      <c r="K648" s="619"/>
      <c r="L648" s="619"/>
      <c r="M648" s="619"/>
      <c r="N648" s="619"/>
      <c r="O648" s="619"/>
      <c r="P648" s="619"/>
      <c r="Q648" s="619"/>
      <c r="R648" s="619"/>
      <c r="S648" s="619"/>
      <c r="T648" s="619"/>
      <c r="U648" s="619"/>
      <c r="V648" s="619"/>
      <c r="W648" s="619"/>
      <c r="X648" s="619"/>
      <c r="Y648" s="619"/>
      <c r="Z648" s="619"/>
    </row>
    <row r="649" spans="1:26" ht="11.25" customHeight="1">
      <c r="A649" s="619"/>
      <c r="B649" s="619"/>
      <c r="C649" s="619"/>
      <c r="D649" s="619"/>
      <c r="E649" s="619"/>
      <c r="F649" s="619"/>
      <c r="G649" s="621"/>
      <c r="H649" s="619"/>
      <c r="I649" s="619"/>
      <c r="J649" s="619"/>
      <c r="K649" s="619"/>
      <c r="L649" s="619"/>
      <c r="M649" s="619"/>
      <c r="N649" s="619"/>
      <c r="O649" s="619"/>
      <c r="P649" s="619"/>
      <c r="Q649" s="619"/>
      <c r="R649" s="619"/>
      <c r="S649" s="619"/>
      <c r="T649" s="619"/>
      <c r="U649" s="619"/>
      <c r="V649" s="619"/>
      <c r="W649" s="619"/>
      <c r="X649" s="619"/>
      <c r="Y649" s="619"/>
      <c r="Z649" s="619"/>
    </row>
    <row r="650" spans="1:26" ht="11.25" customHeight="1">
      <c r="A650" s="619"/>
      <c r="B650" s="619"/>
      <c r="C650" s="619"/>
      <c r="D650" s="619"/>
      <c r="E650" s="619"/>
      <c r="F650" s="619"/>
      <c r="G650" s="621"/>
      <c r="H650" s="619"/>
      <c r="I650" s="619"/>
      <c r="J650" s="619"/>
      <c r="K650" s="619"/>
      <c r="L650" s="619"/>
      <c r="M650" s="619"/>
      <c r="N650" s="619"/>
      <c r="O650" s="619"/>
      <c r="P650" s="619"/>
      <c r="Q650" s="619"/>
      <c r="R650" s="619"/>
      <c r="S650" s="619"/>
      <c r="T650" s="619"/>
      <c r="U650" s="619"/>
      <c r="V650" s="619"/>
      <c r="W650" s="619"/>
      <c r="X650" s="619"/>
      <c r="Y650" s="619"/>
      <c r="Z650" s="619"/>
    </row>
    <row r="651" spans="1:26" ht="11.25" customHeight="1">
      <c r="A651" s="619"/>
      <c r="B651" s="619"/>
      <c r="C651" s="619"/>
      <c r="D651" s="619"/>
      <c r="E651" s="619"/>
      <c r="F651" s="619"/>
      <c r="G651" s="621"/>
      <c r="H651" s="619"/>
      <c r="I651" s="619"/>
      <c r="J651" s="619"/>
      <c r="K651" s="619"/>
      <c r="L651" s="619"/>
      <c r="M651" s="619"/>
      <c r="N651" s="619"/>
      <c r="O651" s="619"/>
      <c r="P651" s="619"/>
      <c r="Q651" s="619"/>
      <c r="R651" s="619"/>
      <c r="S651" s="619"/>
      <c r="T651" s="619"/>
      <c r="U651" s="619"/>
      <c r="V651" s="619"/>
      <c r="W651" s="619"/>
      <c r="X651" s="619"/>
      <c r="Y651" s="619"/>
      <c r="Z651" s="619"/>
    </row>
    <row r="652" spans="1:26" ht="11.25" customHeight="1">
      <c r="A652" s="619"/>
      <c r="B652" s="619"/>
      <c r="C652" s="619"/>
      <c r="D652" s="619"/>
      <c r="E652" s="619"/>
      <c r="F652" s="619"/>
      <c r="G652" s="621"/>
      <c r="H652" s="619"/>
      <c r="I652" s="619"/>
      <c r="J652" s="619"/>
      <c r="K652" s="619"/>
      <c r="L652" s="619"/>
      <c r="M652" s="619"/>
      <c r="N652" s="619"/>
      <c r="O652" s="619"/>
      <c r="P652" s="619"/>
      <c r="Q652" s="619"/>
      <c r="R652" s="619"/>
      <c r="S652" s="619"/>
      <c r="T652" s="619"/>
      <c r="U652" s="619"/>
      <c r="V652" s="619"/>
      <c r="W652" s="619"/>
      <c r="X652" s="619"/>
      <c r="Y652" s="619"/>
      <c r="Z652" s="619"/>
    </row>
    <row r="653" spans="1:26" ht="11.25" customHeight="1">
      <c r="A653" s="619"/>
      <c r="B653" s="619"/>
      <c r="C653" s="619"/>
      <c r="D653" s="619"/>
      <c r="E653" s="619"/>
      <c r="F653" s="619"/>
      <c r="G653" s="621"/>
      <c r="H653" s="619"/>
      <c r="I653" s="619"/>
      <c r="J653" s="619"/>
      <c r="K653" s="619"/>
      <c r="L653" s="619"/>
      <c r="M653" s="619"/>
      <c r="N653" s="619"/>
      <c r="O653" s="619"/>
      <c r="P653" s="619"/>
      <c r="Q653" s="619"/>
      <c r="R653" s="619"/>
      <c r="S653" s="619"/>
      <c r="T653" s="619"/>
      <c r="U653" s="619"/>
      <c r="V653" s="619"/>
      <c r="W653" s="619"/>
      <c r="X653" s="619"/>
      <c r="Y653" s="619"/>
      <c r="Z653" s="619"/>
    </row>
    <row r="654" spans="1:26" ht="11.25" customHeight="1">
      <c r="A654" s="619"/>
      <c r="B654" s="619"/>
      <c r="C654" s="619"/>
      <c r="D654" s="619"/>
      <c r="E654" s="619"/>
      <c r="F654" s="619"/>
      <c r="G654" s="621"/>
      <c r="H654" s="619"/>
      <c r="I654" s="619"/>
      <c r="J654" s="619"/>
      <c r="K654" s="619"/>
      <c r="L654" s="619"/>
      <c r="M654" s="619"/>
      <c r="N654" s="619"/>
      <c r="O654" s="619"/>
      <c r="P654" s="619"/>
      <c r="Q654" s="619"/>
      <c r="R654" s="619"/>
      <c r="S654" s="619"/>
      <c r="T654" s="619"/>
      <c r="U654" s="619"/>
      <c r="V654" s="619"/>
      <c r="W654" s="619"/>
      <c r="X654" s="619"/>
      <c r="Y654" s="619"/>
      <c r="Z654" s="619"/>
    </row>
    <row r="655" spans="1:26" ht="11.25" customHeight="1">
      <c r="A655" s="619"/>
      <c r="B655" s="619"/>
      <c r="C655" s="619"/>
      <c r="D655" s="619"/>
      <c r="E655" s="619"/>
      <c r="F655" s="619"/>
      <c r="G655" s="621"/>
      <c r="H655" s="619"/>
      <c r="I655" s="619"/>
      <c r="J655" s="619"/>
      <c r="K655" s="619"/>
      <c r="L655" s="619"/>
      <c r="M655" s="619"/>
      <c r="N655" s="619"/>
      <c r="O655" s="619"/>
      <c r="P655" s="619"/>
      <c r="Q655" s="619"/>
      <c r="R655" s="619"/>
      <c r="S655" s="619"/>
      <c r="T655" s="619"/>
      <c r="U655" s="619"/>
      <c r="V655" s="619"/>
      <c r="W655" s="619"/>
      <c r="X655" s="619"/>
      <c r="Y655" s="619"/>
      <c r="Z655" s="619"/>
    </row>
    <row r="656" spans="1:26" ht="11.25" customHeight="1">
      <c r="A656" s="619"/>
      <c r="B656" s="619"/>
      <c r="C656" s="619"/>
      <c r="D656" s="619"/>
      <c r="E656" s="619"/>
      <c r="F656" s="619"/>
      <c r="G656" s="621"/>
      <c r="H656" s="619"/>
      <c r="I656" s="619"/>
      <c r="J656" s="619"/>
      <c r="K656" s="619"/>
      <c r="L656" s="619"/>
      <c r="M656" s="619"/>
      <c r="N656" s="619"/>
      <c r="O656" s="619"/>
      <c r="P656" s="619"/>
      <c r="Q656" s="619"/>
      <c r="R656" s="619"/>
      <c r="S656" s="619"/>
      <c r="T656" s="619"/>
      <c r="U656" s="619"/>
      <c r="V656" s="619"/>
      <c r="W656" s="619"/>
      <c r="X656" s="619"/>
      <c r="Y656" s="619"/>
      <c r="Z656" s="619"/>
    </row>
    <row r="657" spans="1:26" ht="11.25" customHeight="1">
      <c r="A657" s="619"/>
      <c r="B657" s="619"/>
      <c r="C657" s="619"/>
      <c r="D657" s="619"/>
      <c r="E657" s="619"/>
      <c r="F657" s="619"/>
      <c r="G657" s="621"/>
      <c r="H657" s="619"/>
      <c r="I657" s="619"/>
      <c r="J657" s="619"/>
      <c r="K657" s="619"/>
      <c r="L657" s="619"/>
      <c r="M657" s="619"/>
      <c r="N657" s="619"/>
      <c r="O657" s="619"/>
      <c r="P657" s="619"/>
      <c r="Q657" s="619"/>
      <c r="R657" s="619"/>
      <c r="S657" s="619"/>
      <c r="T657" s="619"/>
      <c r="U657" s="619"/>
      <c r="V657" s="619"/>
      <c r="W657" s="619"/>
      <c r="X657" s="619"/>
      <c r="Y657" s="619"/>
      <c r="Z657" s="619"/>
    </row>
    <row r="658" spans="1:26" ht="11.25" customHeight="1">
      <c r="A658" s="619"/>
      <c r="B658" s="619"/>
      <c r="C658" s="619"/>
      <c r="D658" s="619"/>
      <c r="E658" s="619"/>
      <c r="F658" s="619"/>
      <c r="G658" s="621"/>
      <c r="H658" s="619"/>
      <c r="I658" s="619"/>
      <c r="J658" s="619"/>
      <c r="K658" s="619"/>
      <c r="L658" s="619"/>
      <c r="M658" s="619"/>
      <c r="N658" s="619"/>
      <c r="O658" s="619"/>
      <c r="P658" s="619"/>
      <c r="Q658" s="619"/>
      <c r="R658" s="619"/>
      <c r="S658" s="619"/>
      <c r="T658" s="619"/>
      <c r="U658" s="619"/>
      <c r="V658" s="619"/>
      <c r="W658" s="619"/>
      <c r="X658" s="619"/>
      <c r="Y658" s="619"/>
      <c r="Z658" s="619"/>
    </row>
    <row r="659" spans="1:26" ht="11.25" customHeight="1">
      <c r="A659" s="619"/>
      <c r="B659" s="619"/>
      <c r="C659" s="619"/>
      <c r="D659" s="619"/>
      <c r="E659" s="619"/>
      <c r="F659" s="619"/>
      <c r="G659" s="621"/>
      <c r="H659" s="619"/>
      <c r="I659" s="619"/>
      <c r="J659" s="619"/>
      <c r="K659" s="619"/>
      <c r="L659" s="619"/>
      <c r="M659" s="619"/>
      <c r="N659" s="619"/>
      <c r="O659" s="619"/>
      <c r="P659" s="619"/>
      <c r="Q659" s="619"/>
      <c r="R659" s="619"/>
      <c r="S659" s="619"/>
      <c r="T659" s="619"/>
      <c r="U659" s="619"/>
      <c r="V659" s="619"/>
      <c r="W659" s="619"/>
      <c r="X659" s="619"/>
      <c r="Y659" s="619"/>
      <c r="Z659" s="619"/>
    </row>
    <row r="660" spans="1:26" ht="11.25" customHeight="1">
      <c r="A660" s="619"/>
      <c r="B660" s="619"/>
      <c r="C660" s="619"/>
      <c r="D660" s="619"/>
      <c r="E660" s="619"/>
      <c r="F660" s="619"/>
      <c r="G660" s="621"/>
      <c r="H660" s="619"/>
      <c r="I660" s="619"/>
      <c r="J660" s="619"/>
      <c r="K660" s="619"/>
      <c r="L660" s="619"/>
      <c r="M660" s="619"/>
      <c r="N660" s="619"/>
      <c r="O660" s="619"/>
      <c r="P660" s="619"/>
      <c r="Q660" s="619"/>
      <c r="R660" s="619"/>
      <c r="S660" s="619"/>
      <c r="T660" s="619"/>
      <c r="U660" s="619"/>
      <c r="V660" s="619"/>
      <c r="W660" s="619"/>
      <c r="X660" s="619"/>
      <c r="Y660" s="619"/>
      <c r="Z660" s="619"/>
    </row>
    <row r="661" spans="1:26" ht="11.25" customHeight="1">
      <c r="A661" s="619"/>
      <c r="B661" s="619"/>
      <c r="C661" s="619"/>
      <c r="D661" s="619"/>
      <c r="E661" s="619"/>
      <c r="F661" s="619"/>
      <c r="G661" s="621"/>
      <c r="H661" s="619"/>
      <c r="I661" s="619"/>
      <c r="J661" s="619"/>
      <c r="K661" s="619"/>
      <c r="L661" s="619"/>
      <c r="M661" s="619"/>
      <c r="N661" s="619"/>
      <c r="O661" s="619"/>
      <c r="P661" s="619"/>
      <c r="Q661" s="619"/>
      <c r="R661" s="619"/>
      <c r="S661" s="619"/>
      <c r="T661" s="619"/>
      <c r="U661" s="619"/>
      <c r="V661" s="619"/>
      <c r="W661" s="619"/>
      <c r="X661" s="619"/>
      <c r="Y661" s="619"/>
      <c r="Z661" s="619"/>
    </row>
    <row r="662" spans="1:26" ht="11.25" customHeight="1">
      <c r="A662" s="619"/>
      <c r="B662" s="619"/>
      <c r="C662" s="619"/>
      <c r="D662" s="619"/>
      <c r="E662" s="619"/>
      <c r="F662" s="619"/>
      <c r="G662" s="621"/>
      <c r="H662" s="619"/>
      <c r="I662" s="619"/>
      <c r="J662" s="619"/>
      <c r="K662" s="619"/>
      <c r="L662" s="619"/>
      <c r="M662" s="619"/>
      <c r="N662" s="619"/>
      <c r="O662" s="619"/>
      <c r="P662" s="619"/>
      <c r="Q662" s="619"/>
      <c r="R662" s="619"/>
      <c r="S662" s="619"/>
      <c r="T662" s="619"/>
      <c r="U662" s="619"/>
      <c r="V662" s="619"/>
      <c r="W662" s="619"/>
      <c r="X662" s="619"/>
      <c r="Y662" s="619"/>
      <c r="Z662" s="619"/>
    </row>
    <row r="663" spans="1:26" ht="11.25" customHeight="1">
      <c r="A663" s="619"/>
      <c r="B663" s="619"/>
      <c r="C663" s="619"/>
      <c r="D663" s="619"/>
      <c r="E663" s="619"/>
      <c r="F663" s="619"/>
      <c r="G663" s="621"/>
      <c r="H663" s="619"/>
      <c r="I663" s="619"/>
      <c r="J663" s="619"/>
      <c r="K663" s="619"/>
      <c r="L663" s="619"/>
      <c r="M663" s="619"/>
      <c r="N663" s="619"/>
      <c r="O663" s="619"/>
      <c r="P663" s="619"/>
      <c r="Q663" s="619"/>
      <c r="R663" s="619"/>
      <c r="S663" s="619"/>
      <c r="T663" s="619"/>
      <c r="U663" s="619"/>
      <c r="V663" s="619"/>
      <c r="W663" s="619"/>
      <c r="X663" s="619"/>
      <c r="Y663" s="619"/>
      <c r="Z663" s="619"/>
    </row>
    <row r="664" spans="1:26" ht="11.25" customHeight="1">
      <c r="A664" s="619"/>
      <c r="B664" s="619"/>
      <c r="C664" s="619"/>
      <c r="D664" s="619"/>
      <c r="E664" s="619"/>
      <c r="F664" s="619"/>
      <c r="G664" s="621"/>
      <c r="H664" s="619"/>
      <c r="I664" s="619"/>
      <c r="J664" s="619"/>
      <c r="K664" s="619"/>
      <c r="L664" s="619"/>
      <c r="M664" s="619"/>
      <c r="N664" s="619"/>
      <c r="O664" s="619"/>
      <c r="P664" s="619"/>
      <c r="Q664" s="619"/>
      <c r="R664" s="619"/>
      <c r="S664" s="619"/>
      <c r="T664" s="619"/>
      <c r="U664" s="619"/>
      <c r="V664" s="619"/>
      <c r="W664" s="619"/>
      <c r="X664" s="619"/>
      <c r="Y664" s="619"/>
      <c r="Z664" s="619"/>
    </row>
    <row r="665" spans="1:26" ht="11.25" customHeight="1">
      <c r="A665" s="619"/>
      <c r="B665" s="619"/>
      <c r="C665" s="619"/>
      <c r="D665" s="619"/>
      <c r="E665" s="619"/>
      <c r="F665" s="619"/>
      <c r="G665" s="621"/>
      <c r="H665" s="619"/>
      <c r="I665" s="619"/>
      <c r="J665" s="619"/>
      <c r="K665" s="619"/>
      <c r="L665" s="619"/>
      <c r="M665" s="619"/>
      <c r="N665" s="619"/>
      <c r="O665" s="619"/>
      <c r="P665" s="619"/>
      <c r="Q665" s="619"/>
      <c r="R665" s="619"/>
      <c r="S665" s="619"/>
      <c r="T665" s="619"/>
      <c r="U665" s="619"/>
      <c r="V665" s="619"/>
      <c r="W665" s="619"/>
      <c r="X665" s="619"/>
      <c r="Y665" s="619"/>
      <c r="Z665" s="619"/>
    </row>
    <row r="666" spans="1:26" ht="11.25" customHeight="1">
      <c r="A666" s="619"/>
      <c r="B666" s="619"/>
      <c r="C666" s="619"/>
      <c r="D666" s="619"/>
      <c r="E666" s="619"/>
      <c r="F666" s="619"/>
      <c r="G666" s="621"/>
      <c r="H666" s="619"/>
      <c r="I666" s="619"/>
      <c r="J666" s="619"/>
      <c r="K666" s="619"/>
      <c r="L666" s="619"/>
      <c r="M666" s="619"/>
      <c r="N666" s="619"/>
      <c r="O666" s="619"/>
      <c r="P666" s="619"/>
      <c r="Q666" s="619"/>
      <c r="R666" s="619"/>
      <c r="S666" s="619"/>
      <c r="T666" s="619"/>
      <c r="U666" s="619"/>
      <c r="V666" s="619"/>
      <c r="W666" s="619"/>
      <c r="X666" s="619"/>
      <c r="Y666" s="619"/>
      <c r="Z666" s="619"/>
    </row>
    <row r="667" spans="1:26" ht="11.25" customHeight="1">
      <c r="A667" s="619"/>
      <c r="B667" s="619"/>
      <c r="C667" s="619"/>
      <c r="D667" s="619"/>
      <c r="E667" s="619"/>
      <c r="F667" s="619"/>
      <c r="G667" s="621"/>
      <c r="H667" s="619"/>
      <c r="I667" s="619"/>
      <c r="J667" s="619"/>
      <c r="K667" s="619"/>
      <c r="L667" s="619"/>
      <c r="M667" s="619"/>
      <c r="N667" s="619"/>
      <c r="O667" s="619"/>
      <c r="P667" s="619"/>
      <c r="Q667" s="619"/>
      <c r="R667" s="619"/>
      <c r="S667" s="619"/>
      <c r="T667" s="619"/>
      <c r="U667" s="619"/>
      <c r="V667" s="619"/>
      <c r="W667" s="619"/>
      <c r="X667" s="619"/>
      <c r="Y667" s="619"/>
      <c r="Z667" s="619"/>
    </row>
    <row r="668" spans="1:26" ht="11.25" customHeight="1">
      <c r="A668" s="619"/>
      <c r="B668" s="619"/>
      <c r="C668" s="619"/>
      <c r="D668" s="619"/>
      <c r="E668" s="619"/>
      <c r="F668" s="619"/>
      <c r="G668" s="621"/>
      <c r="H668" s="619"/>
      <c r="I668" s="619"/>
      <c r="J668" s="619"/>
      <c r="K668" s="619"/>
      <c r="L668" s="619"/>
      <c r="M668" s="619"/>
      <c r="N668" s="619"/>
      <c r="O668" s="619"/>
      <c r="P668" s="619"/>
      <c r="Q668" s="619"/>
      <c r="R668" s="619"/>
      <c r="S668" s="619"/>
      <c r="T668" s="619"/>
      <c r="U668" s="619"/>
      <c r="V668" s="619"/>
      <c r="W668" s="619"/>
      <c r="X668" s="619"/>
      <c r="Y668" s="619"/>
      <c r="Z668" s="619"/>
    </row>
    <row r="669" spans="1:26" ht="11.25" customHeight="1">
      <c r="A669" s="619"/>
      <c r="B669" s="619"/>
      <c r="C669" s="619"/>
      <c r="D669" s="619"/>
      <c r="E669" s="619"/>
      <c r="F669" s="619"/>
      <c r="G669" s="621"/>
      <c r="H669" s="619"/>
      <c r="I669" s="619"/>
      <c r="J669" s="619"/>
      <c r="K669" s="619"/>
      <c r="L669" s="619"/>
      <c r="M669" s="619"/>
      <c r="N669" s="619"/>
      <c r="O669" s="619"/>
      <c r="P669" s="619"/>
      <c r="Q669" s="619"/>
      <c r="R669" s="619"/>
      <c r="S669" s="619"/>
      <c r="T669" s="619"/>
      <c r="U669" s="619"/>
      <c r="V669" s="619"/>
      <c r="W669" s="619"/>
      <c r="X669" s="619"/>
      <c r="Y669" s="619"/>
      <c r="Z669" s="619"/>
    </row>
    <row r="670" spans="1:26" ht="11.25" customHeight="1">
      <c r="A670" s="619"/>
      <c r="B670" s="619"/>
      <c r="C670" s="619"/>
      <c r="D670" s="619"/>
      <c r="E670" s="619"/>
      <c r="F670" s="619"/>
      <c r="G670" s="621"/>
      <c r="H670" s="619"/>
      <c r="I670" s="619"/>
      <c r="J670" s="619"/>
      <c r="K670" s="619"/>
      <c r="L670" s="619"/>
      <c r="M670" s="619"/>
      <c r="N670" s="619"/>
      <c r="O670" s="619"/>
      <c r="P670" s="619"/>
      <c r="Q670" s="619"/>
      <c r="R670" s="619"/>
      <c r="S670" s="619"/>
      <c r="T670" s="619"/>
      <c r="U670" s="619"/>
      <c r="V670" s="619"/>
      <c r="W670" s="619"/>
      <c r="X670" s="619"/>
      <c r="Y670" s="619"/>
      <c r="Z670" s="619"/>
    </row>
    <row r="671" spans="1:26" ht="11.25" customHeight="1">
      <c r="A671" s="619"/>
      <c r="B671" s="619"/>
      <c r="C671" s="619"/>
      <c r="D671" s="619"/>
      <c r="E671" s="619"/>
      <c r="F671" s="619"/>
      <c r="G671" s="621"/>
      <c r="H671" s="619"/>
      <c r="I671" s="619"/>
      <c r="J671" s="619"/>
      <c r="K671" s="619"/>
      <c r="L671" s="619"/>
      <c r="M671" s="619"/>
      <c r="N671" s="619"/>
      <c r="O671" s="619"/>
      <c r="P671" s="619"/>
      <c r="Q671" s="619"/>
      <c r="R671" s="619"/>
      <c r="S671" s="619"/>
      <c r="T671" s="619"/>
      <c r="U671" s="619"/>
      <c r="V671" s="619"/>
      <c r="W671" s="619"/>
      <c r="X671" s="619"/>
      <c r="Y671" s="619"/>
      <c r="Z671" s="619"/>
    </row>
    <row r="672" spans="1:26" ht="11.25" customHeight="1">
      <c r="A672" s="619"/>
      <c r="B672" s="619"/>
      <c r="C672" s="619"/>
      <c r="D672" s="619"/>
      <c r="E672" s="619"/>
      <c r="F672" s="619"/>
      <c r="G672" s="621"/>
      <c r="H672" s="619"/>
      <c r="I672" s="619"/>
      <c r="J672" s="619"/>
      <c r="K672" s="619"/>
      <c r="L672" s="619"/>
      <c r="M672" s="619"/>
      <c r="N672" s="619"/>
      <c r="O672" s="619"/>
      <c r="P672" s="619"/>
      <c r="Q672" s="619"/>
      <c r="R672" s="619"/>
      <c r="S672" s="619"/>
      <c r="T672" s="619"/>
      <c r="U672" s="619"/>
      <c r="V672" s="619"/>
      <c r="W672" s="619"/>
      <c r="X672" s="619"/>
      <c r="Y672" s="619"/>
      <c r="Z672" s="619"/>
    </row>
    <row r="673" spans="1:26" ht="11.25" customHeight="1">
      <c r="A673" s="619"/>
      <c r="B673" s="619"/>
      <c r="C673" s="619"/>
      <c r="D673" s="619"/>
      <c r="E673" s="619"/>
      <c r="F673" s="619"/>
      <c r="G673" s="621"/>
      <c r="H673" s="619"/>
      <c r="I673" s="619"/>
      <c r="J673" s="619"/>
      <c r="K673" s="619"/>
      <c r="L673" s="619"/>
      <c r="M673" s="619"/>
      <c r="N673" s="619"/>
      <c r="O673" s="619"/>
      <c r="P673" s="619"/>
      <c r="Q673" s="619"/>
      <c r="R673" s="619"/>
      <c r="S673" s="619"/>
      <c r="T673" s="619"/>
      <c r="U673" s="619"/>
      <c r="V673" s="619"/>
      <c r="W673" s="619"/>
      <c r="X673" s="619"/>
      <c r="Y673" s="619"/>
      <c r="Z673" s="619"/>
    </row>
    <row r="674" spans="1:26" ht="11.25" customHeight="1">
      <c r="A674" s="619"/>
      <c r="B674" s="619"/>
      <c r="C674" s="619"/>
      <c r="D674" s="619"/>
      <c r="E674" s="619"/>
      <c r="F674" s="619"/>
      <c r="G674" s="621"/>
      <c r="H674" s="619"/>
      <c r="I674" s="619"/>
      <c r="J674" s="619"/>
      <c r="K674" s="619"/>
      <c r="L674" s="619"/>
      <c r="M674" s="619"/>
      <c r="N674" s="619"/>
      <c r="O674" s="619"/>
      <c r="P674" s="619"/>
      <c r="Q674" s="619"/>
      <c r="R674" s="619"/>
      <c r="S674" s="619"/>
      <c r="T674" s="619"/>
      <c r="U674" s="619"/>
      <c r="V674" s="619"/>
      <c r="W674" s="619"/>
      <c r="X674" s="619"/>
      <c r="Y674" s="619"/>
      <c r="Z674" s="619"/>
    </row>
    <row r="675" spans="1:26" ht="11.25" customHeight="1">
      <c r="A675" s="619"/>
      <c r="B675" s="619"/>
      <c r="C675" s="619"/>
      <c r="D675" s="619"/>
      <c r="E675" s="619"/>
      <c r="F675" s="619"/>
      <c r="G675" s="621"/>
      <c r="H675" s="619"/>
      <c r="I675" s="619"/>
      <c r="J675" s="619"/>
      <c r="K675" s="619"/>
      <c r="L675" s="619"/>
      <c r="M675" s="619"/>
      <c r="N675" s="619"/>
      <c r="O675" s="619"/>
      <c r="P675" s="619"/>
      <c r="Q675" s="619"/>
      <c r="R675" s="619"/>
      <c r="S675" s="619"/>
      <c r="T675" s="619"/>
      <c r="U675" s="619"/>
      <c r="V675" s="619"/>
      <c r="W675" s="619"/>
      <c r="X675" s="619"/>
      <c r="Y675" s="619"/>
      <c r="Z675" s="619"/>
    </row>
    <row r="676" spans="1:26" ht="11.25" customHeight="1">
      <c r="A676" s="619"/>
      <c r="B676" s="619"/>
      <c r="C676" s="619"/>
      <c r="D676" s="619"/>
      <c r="E676" s="619"/>
      <c r="F676" s="619"/>
      <c r="G676" s="621"/>
      <c r="H676" s="619"/>
      <c r="I676" s="619"/>
      <c r="J676" s="619"/>
      <c r="K676" s="619"/>
      <c r="L676" s="619"/>
      <c r="M676" s="619"/>
      <c r="N676" s="619"/>
      <c r="O676" s="619"/>
      <c r="P676" s="619"/>
      <c r="Q676" s="619"/>
      <c r="R676" s="619"/>
      <c r="S676" s="619"/>
      <c r="T676" s="619"/>
      <c r="U676" s="619"/>
      <c r="V676" s="619"/>
      <c r="W676" s="619"/>
      <c r="X676" s="619"/>
      <c r="Y676" s="619"/>
      <c r="Z676" s="619"/>
    </row>
    <row r="677" spans="1:26" ht="11.25" customHeight="1">
      <c r="A677" s="619"/>
      <c r="B677" s="619"/>
      <c r="C677" s="619"/>
      <c r="D677" s="619"/>
      <c r="E677" s="619"/>
      <c r="F677" s="619"/>
      <c r="G677" s="621"/>
      <c r="H677" s="619"/>
      <c r="I677" s="619"/>
      <c r="J677" s="619"/>
      <c r="K677" s="619"/>
      <c r="L677" s="619"/>
      <c r="M677" s="619"/>
      <c r="N677" s="619"/>
      <c r="O677" s="619"/>
      <c r="P677" s="619"/>
      <c r="Q677" s="619"/>
      <c r="R677" s="619"/>
      <c r="S677" s="619"/>
      <c r="T677" s="619"/>
      <c r="U677" s="619"/>
      <c r="V677" s="619"/>
      <c r="W677" s="619"/>
      <c r="X677" s="619"/>
      <c r="Y677" s="619"/>
      <c r="Z677" s="619"/>
    </row>
    <row r="678" spans="1:26" ht="11.25" customHeight="1">
      <c r="A678" s="619"/>
      <c r="B678" s="619"/>
      <c r="C678" s="619"/>
      <c r="D678" s="619"/>
      <c r="E678" s="619"/>
      <c r="F678" s="619"/>
      <c r="G678" s="621"/>
      <c r="H678" s="619"/>
      <c r="I678" s="619"/>
      <c r="J678" s="619"/>
      <c r="K678" s="619"/>
      <c r="L678" s="619"/>
      <c r="M678" s="619"/>
      <c r="N678" s="619"/>
      <c r="O678" s="619"/>
      <c r="P678" s="619"/>
      <c r="Q678" s="619"/>
      <c r="R678" s="619"/>
      <c r="S678" s="619"/>
      <c r="T678" s="619"/>
      <c r="U678" s="619"/>
      <c r="V678" s="619"/>
      <c r="W678" s="619"/>
      <c r="X678" s="619"/>
      <c r="Y678" s="619"/>
      <c r="Z678" s="619"/>
    </row>
    <row r="679" spans="1:26" ht="11.25" customHeight="1">
      <c r="A679" s="619"/>
      <c r="B679" s="619"/>
      <c r="C679" s="619"/>
      <c r="D679" s="619"/>
      <c r="E679" s="619"/>
      <c r="F679" s="619"/>
      <c r="G679" s="621"/>
      <c r="H679" s="619"/>
      <c r="I679" s="619"/>
      <c r="J679" s="619"/>
      <c r="K679" s="619"/>
      <c r="L679" s="619"/>
      <c r="M679" s="619"/>
      <c r="N679" s="619"/>
      <c r="O679" s="619"/>
      <c r="P679" s="619"/>
      <c r="Q679" s="619"/>
      <c r="R679" s="619"/>
      <c r="S679" s="619"/>
      <c r="T679" s="619"/>
      <c r="U679" s="619"/>
      <c r="V679" s="619"/>
      <c r="W679" s="619"/>
      <c r="X679" s="619"/>
      <c r="Y679" s="619"/>
      <c r="Z679" s="619"/>
    </row>
    <row r="680" spans="1:26" ht="11.25" customHeight="1">
      <c r="A680" s="619"/>
      <c r="B680" s="619"/>
      <c r="C680" s="619"/>
      <c r="D680" s="619"/>
      <c r="E680" s="619"/>
      <c r="F680" s="619"/>
      <c r="G680" s="621"/>
      <c r="H680" s="619"/>
      <c r="I680" s="619"/>
      <c r="J680" s="619"/>
      <c r="K680" s="619"/>
      <c r="L680" s="619"/>
      <c r="M680" s="619"/>
      <c r="N680" s="619"/>
      <c r="O680" s="619"/>
      <c r="P680" s="619"/>
      <c r="Q680" s="619"/>
      <c r="R680" s="619"/>
      <c r="S680" s="619"/>
      <c r="T680" s="619"/>
      <c r="U680" s="619"/>
      <c r="V680" s="619"/>
      <c r="W680" s="619"/>
      <c r="X680" s="619"/>
      <c r="Y680" s="619"/>
      <c r="Z680" s="619"/>
    </row>
    <row r="681" spans="1:26" ht="11.25" customHeight="1">
      <c r="A681" s="619"/>
      <c r="B681" s="619"/>
      <c r="C681" s="619"/>
      <c r="D681" s="619"/>
      <c r="E681" s="619"/>
      <c r="F681" s="619"/>
      <c r="G681" s="621"/>
      <c r="H681" s="619"/>
      <c r="I681" s="619"/>
      <c r="J681" s="619"/>
      <c r="K681" s="619"/>
      <c r="L681" s="619"/>
      <c r="M681" s="619"/>
      <c r="N681" s="619"/>
      <c r="O681" s="619"/>
      <c r="P681" s="619"/>
      <c r="Q681" s="619"/>
      <c r="R681" s="619"/>
      <c r="S681" s="619"/>
      <c r="T681" s="619"/>
      <c r="U681" s="619"/>
      <c r="V681" s="619"/>
      <c r="W681" s="619"/>
      <c r="X681" s="619"/>
      <c r="Y681" s="619"/>
      <c r="Z681" s="619"/>
    </row>
    <row r="682" spans="1:26" ht="11.25" customHeight="1">
      <c r="A682" s="619"/>
      <c r="B682" s="619"/>
      <c r="C682" s="619"/>
      <c r="D682" s="619"/>
      <c r="E682" s="619"/>
      <c r="F682" s="619"/>
      <c r="G682" s="621"/>
      <c r="H682" s="619"/>
      <c r="I682" s="619"/>
      <c r="J682" s="619"/>
      <c r="K682" s="619"/>
      <c r="L682" s="619"/>
      <c r="M682" s="619"/>
      <c r="N682" s="619"/>
      <c r="O682" s="619"/>
      <c r="P682" s="619"/>
      <c r="Q682" s="619"/>
      <c r="R682" s="619"/>
      <c r="S682" s="619"/>
      <c r="T682" s="619"/>
      <c r="U682" s="619"/>
      <c r="V682" s="619"/>
      <c r="W682" s="619"/>
      <c r="X682" s="619"/>
      <c r="Y682" s="619"/>
      <c r="Z682" s="619"/>
    </row>
    <row r="683" spans="1:26" ht="11.25" customHeight="1">
      <c r="A683" s="619"/>
      <c r="B683" s="619"/>
      <c r="C683" s="619"/>
      <c r="D683" s="619"/>
      <c r="E683" s="619"/>
      <c r="F683" s="619"/>
      <c r="G683" s="621"/>
      <c r="H683" s="619"/>
      <c r="I683" s="619"/>
      <c r="J683" s="619"/>
      <c r="K683" s="619"/>
      <c r="L683" s="619"/>
      <c r="M683" s="619"/>
      <c r="N683" s="619"/>
      <c r="O683" s="619"/>
      <c r="P683" s="619"/>
      <c r="Q683" s="619"/>
      <c r="R683" s="619"/>
      <c r="S683" s="619"/>
      <c r="T683" s="619"/>
      <c r="U683" s="619"/>
      <c r="V683" s="619"/>
      <c r="W683" s="619"/>
      <c r="X683" s="619"/>
      <c r="Y683" s="619"/>
      <c r="Z683" s="619"/>
    </row>
    <row r="684" spans="1:26" ht="11.25" customHeight="1">
      <c r="A684" s="619"/>
      <c r="B684" s="619"/>
      <c r="C684" s="619"/>
      <c r="D684" s="619"/>
      <c r="E684" s="619"/>
      <c r="F684" s="619"/>
      <c r="G684" s="621"/>
      <c r="H684" s="619"/>
      <c r="I684" s="619"/>
      <c r="J684" s="619"/>
      <c r="K684" s="619"/>
      <c r="L684" s="619"/>
      <c r="M684" s="619"/>
      <c r="N684" s="619"/>
      <c r="O684" s="619"/>
      <c r="P684" s="619"/>
      <c r="Q684" s="619"/>
      <c r="R684" s="619"/>
      <c r="S684" s="619"/>
      <c r="T684" s="619"/>
      <c r="U684" s="619"/>
      <c r="V684" s="619"/>
      <c r="W684" s="619"/>
      <c r="X684" s="619"/>
      <c r="Y684" s="619"/>
      <c r="Z684" s="619"/>
    </row>
    <row r="685" spans="1:26" ht="11.25" customHeight="1">
      <c r="A685" s="619"/>
      <c r="B685" s="619"/>
      <c r="C685" s="619"/>
      <c r="D685" s="619"/>
      <c r="E685" s="619"/>
      <c r="F685" s="619"/>
      <c r="G685" s="621"/>
      <c r="H685" s="619"/>
      <c r="I685" s="619"/>
      <c r="J685" s="619"/>
      <c r="K685" s="619"/>
      <c r="L685" s="619"/>
      <c r="M685" s="619"/>
      <c r="N685" s="619"/>
      <c r="O685" s="619"/>
      <c r="P685" s="619"/>
      <c r="Q685" s="619"/>
      <c r="R685" s="619"/>
      <c r="S685" s="619"/>
      <c r="T685" s="619"/>
      <c r="U685" s="619"/>
      <c r="V685" s="619"/>
      <c r="W685" s="619"/>
      <c r="X685" s="619"/>
      <c r="Y685" s="619"/>
      <c r="Z685" s="619"/>
    </row>
    <row r="686" spans="1:26" ht="11.25" customHeight="1">
      <c r="A686" s="619"/>
      <c r="B686" s="619"/>
      <c r="C686" s="619"/>
      <c r="D686" s="619"/>
      <c r="E686" s="619"/>
      <c r="F686" s="619"/>
      <c r="G686" s="621"/>
      <c r="H686" s="619"/>
      <c r="I686" s="619"/>
      <c r="J686" s="619"/>
      <c r="K686" s="619"/>
      <c r="L686" s="619"/>
      <c r="M686" s="619"/>
      <c r="N686" s="619"/>
      <c r="O686" s="619"/>
      <c r="P686" s="619"/>
      <c r="Q686" s="619"/>
      <c r="R686" s="619"/>
      <c r="S686" s="619"/>
      <c r="T686" s="619"/>
      <c r="U686" s="619"/>
      <c r="V686" s="619"/>
      <c r="W686" s="619"/>
      <c r="X686" s="619"/>
      <c r="Y686" s="619"/>
      <c r="Z686" s="619"/>
    </row>
    <row r="687" spans="1:26" ht="11.25" customHeight="1">
      <c r="A687" s="619"/>
      <c r="B687" s="619"/>
      <c r="C687" s="619"/>
      <c r="D687" s="619"/>
      <c r="E687" s="619"/>
      <c r="F687" s="619"/>
      <c r="G687" s="621"/>
      <c r="H687" s="619"/>
      <c r="I687" s="619"/>
      <c r="J687" s="619"/>
      <c r="K687" s="619"/>
      <c r="L687" s="619"/>
      <c r="M687" s="619"/>
      <c r="N687" s="619"/>
      <c r="O687" s="619"/>
      <c r="P687" s="619"/>
      <c r="Q687" s="619"/>
      <c r="R687" s="619"/>
      <c r="S687" s="619"/>
      <c r="T687" s="619"/>
      <c r="U687" s="619"/>
      <c r="V687" s="619"/>
      <c r="W687" s="619"/>
      <c r="X687" s="619"/>
      <c r="Y687" s="619"/>
      <c r="Z687" s="619"/>
    </row>
    <row r="688" spans="1:26" ht="11.25" customHeight="1">
      <c r="A688" s="619"/>
      <c r="B688" s="619"/>
      <c r="C688" s="619"/>
      <c r="D688" s="619"/>
      <c r="E688" s="619"/>
      <c r="F688" s="619"/>
      <c r="G688" s="621"/>
      <c r="H688" s="619"/>
      <c r="I688" s="619"/>
      <c r="J688" s="619"/>
      <c r="K688" s="619"/>
      <c r="L688" s="619"/>
      <c r="M688" s="619"/>
      <c r="N688" s="619"/>
      <c r="O688" s="619"/>
      <c r="P688" s="619"/>
      <c r="Q688" s="619"/>
      <c r="R688" s="619"/>
      <c r="S688" s="619"/>
      <c r="T688" s="619"/>
      <c r="U688" s="619"/>
      <c r="V688" s="619"/>
      <c r="W688" s="619"/>
      <c r="X688" s="619"/>
      <c r="Y688" s="619"/>
      <c r="Z688" s="619"/>
    </row>
    <row r="689" spans="1:26" ht="11.25" customHeight="1">
      <c r="A689" s="619"/>
      <c r="B689" s="619"/>
      <c r="C689" s="619"/>
      <c r="D689" s="619"/>
      <c r="E689" s="619"/>
      <c r="F689" s="619"/>
      <c r="G689" s="621"/>
      <c r="H689" s="619"/>
      <c r="I689" s="619"/>
      <c r="J689" s="619"/>
      <c r="K689" s="619"/>
      <c r="L689" s="619"/>
      <c r="M689" s="619"/>
      <c r="N689" s="619"/>
      <c r="O689" s="619"/>
      <c r="P689" s="619"/>
      <c r="Q689" s="619"/>
      <c r="R689" s="619"/>
      <c r="S689" s="619"/>
      <c r="T689" s="619"/>
      <c r="U689" s="619"/>
      <c r="V689" s="619"/>
      <c r="W689" s="619"/>
      <c r="X689" s="619"/>
      <c r="Y689" s="619"/>
      <c r="Z689" s="619"/>
    </row>
    <row r="690" spans="1:26" ht="11.25" customHeight="1">
      <c r="A690" s="619"/>
      <c r="B690" s="619"/>
      <c r="C690" s="619"/>
      <c r="D690" s="619"/>
      <c r="E690" s="619"/>
      <c r="F690" s="619"/>
      <c r="G690" s="621"/>
      <c r="H690" s="619"/>
      <c r="I690" s="619"/>
      <c r="J690" s="619"/>
      <c r="K690" s="619"/>
      <c r="L690" s="619"/>
      <c r="M690" s="619"/>
      <c r="N690" s="619"/>
      <c r="O690" s="619"/>
      <c r="P690" s="619"/>
      <c r="Q690" s="619"/>
      <c r="R690" s="619"/>
      <c r="S690" s="619"/>
      <c r="T690" s="619"/>
      <c r="U690" s="619"/>
      <c r="V690" s="619"/>
      <c r="W690" s="619"/>
      <c r="X690" s="619"/>
      <c r="Y690" s="619"/>
      <c r="Z690" s="619"/>
    </row>
    <row r="691" spans="1:26" ht="11.25" customHeight="1">
      <c r="A691" s="619"/>
      <c r="B691" s="619"/>
      <c r="C691" s="619"/>
      <c r="D691" s="619"/>
      <c r="E691" s="619"/>
      <c r="F691" s="619"/>
      <c r="G691" s="621"/>
      <c r="H691" s="619"/>
      <c r="I691" s="619"/>
      <c r="J691" s="619"/>
      <c r="K691" s="619"/>
      <c r="L691" s="619"/>
      <c r="M691" s="619"/>
      <c r="N691" s="619"/>
      <c r="O691" s="619"/>
      <c r="P691" s="619"/>
      <c r="Q691" s="619"/>
      <c r="R691" s="619"/>
      <c r="S691" s="619"/>
      <c r="T691" s="619"/>
      <c r="U691" s="619"/>
      <c r="V691" s="619"/>
      <c r="W691" s="619"/>
      <c r="X691" s="619"/>
      <c r="Y691" s="619"/>
      <c r="Z691" s="619"/>
    </row>
    <row r="692" spans="1:26" ht="11.25" customHeight="1">
      <c r="A692" s="619"/>
      <c r="B692" s="619"/>
      <c r="C692" s="619"/>
      <c r="D692" s="619"/>
      <c r="E692" s="619"/>
      <c r="F692" s="619"/>
      <c r="G692" s="621"/>
      <c r="H692" s="619"/>
      <c r="I692" s="619"/>
      <c r="J692" s="619"/>
      <c r="K692" s="619"/>
      <c r="L692" s="619"/>
      <c r="M692" s="619"/>
      <c r="N692" s="619"/>
      <c r="O692" s="619"/>
      <c r="P692" s="619"/>
      <c r="Q692" s="619"/>
      <c r="R692" s="619"/>
      <c r="S692" s="619"/>
      <c r="T692" s="619"/>
      <c r="U692" s="619"/>
      <c r="V692" s="619"/>
      <c r="W692" s="619"/>
      <c r="X692" s="619"/>
      <c r="Y692" s="619"/>
      <c r="Z692" s="619"/>
    </row>
    <row r="693" spans="1:26" ht="11.25" customHeight="1">
      <c r="A693" s="619"/>
      <c r="B693" s="619"/>
      <c r="C693" s="619"/>
      <c r="D693" s="619"/>
      <c r="E693" s="619"/>
      <c r="F693" s="619"/>
      <c r="G693" s="621"/>
      <c r="H693" s="619"/>
      <c r="I693" s="619"/>
      <c r="J693" s="619"/>
      <c r="K693" s="619"/>
      <c r="L693" s="619"/>
      <c r="M693" s="619"/>
      <c r="N693" s="619"/>
      <c r="O693" s="619"/>
      <c r="P693" s="619"/>
      <c r="Q693" s="619"/>
      <c r="R693" s="619"/>
      <c r="S693" s="619"/>
      <c r="T693" s="619"/>
      <c r="U693" s="619"/>
      <c r="V693" s="619"/>
      <c r="W693" s="619"/>
      <c r="X693" s="619"/>
      <c r="Y693" s="619"/>
      <c r="Z693" s="619"/>
    </row>
    <row r="694" spans="1:26" ht="11.25" customHeight="1">
      <c r="A694" s="619"/>
      <c r="B694" s="619"/>
      <c r="C694" s="619"/>
      <c r="D694" s="619"/>
      <c r="E694" s="619"/>
      <c r="F694" s="619"/>
      <c r="G694" s="621"/>
      <c r="H694" s="619"/>
      <c r="I694" s="619"/>
      <c r="J694" s="619"/>
      <c r="K694" s="619"/>
      <c r="L694" s="619"/>
      <c r="M694" s="619"/>
      <c r="N694" s="619"/>
      <c r="O694" s="619"/>
      <c r="P694" s="619"/>
      <c r="Q694" s="619"/>
      <c r="R694" s="619"/>
      <c r="S694" s="619"/>
      <c r="T694" s="619"/>
      <c r="U694" s="619"/>
      <c r="V694" s="619"/>
      <c r="W694" s="619"/>
      <c r="X694" s="619"/>
      <c r="Y694" s="619"/>
      <c r="Z694" s="619"/>
    </row>
    <row r="695" spans="1:26" ht="11.25" customHeight="1">
      <c r="A695" s="619"/>
      <c r="B695" s="619"/>
      <c r="C695" s="619"/>
      <c r="D695" s="619"/>
      <c r="E695" s="619"/>
      <c r="F695" s="619"/>
      <c r="G695" s="621"/>
      <c r="H695" s="619"/>
      <c r="I695" s="619"/>
      <c r="J695" s="619"/>
      <c r="K695" s="619"/>
      <c r="L695" s="619"/>
      <c r="M695" s="619"/>
      <c r="N695" s="619"/>
      <c r="O695" s="619"/>
      <c r="P695" s="619"/>
      <c r="Q695" s="619"/>
      <c r="R695" s="619"/>
      <c r="S695" s="619"/>
      <c r="T695" s="619"/>
      <c r="U695" s="619"/>
      <c r="V695" s="619"/>
      <c r="W695" s="619"/>
      <c r="X695" s="619"/>
      <c r="Y695" s="619"/>
      <c r="Z695" s="619"/>
    </row>
    <row r="696" spans="1:26" ht="11.25" customHeight="1">
      <c r="A696" s="619"/>
      <c r="B696" s="619"/>
      <c r="C696" s="619"/>
      <c r="D696" s="619"/>
      <c r="E696" s="619"/>
      <c r="F696" s="619"/>
      <c r="G696" s="621"/>
      <c r="H696" s="619"/>
      <c r="I696" s="619"/>
      <c r="J696" s="619"/>
      <c r="K696" s="619"/>
      <c r="L696" s="619"/>
      <c r="M696" s="619"/>
      <c r="N696" s="619"/>
      <c r="O696" s="619"/>
      <c r="P696" s="619"/>
      <c r="Q696" s="619"/>
      <c r="R696" s="619"/>
      <c r="S696" s="619"/>
      <c r="T696" s="619"/>
      <c r="U696" s="619"/>
      <c r="V696" s="619"/>
      <c r="W696" s="619"/>
      <c r="X696" s="619"/>
      <c r="Y696" s="619"/>
      <c r="Z696" s="619"/>
    </row>
    <row r="697" spans="1:26" ht="11.25" customHeight="1">
      <c r="A697" s="619"/>
      <c r="B697" s="619"/>
      <c r="C697" s="619"/>
      <c r="D697" s="619"/>
      <c r="E697" s="619"/>
      <c r="F697" s="619"/>
      <c r="G697" s="621"/>
      <c r="H697" s="619"/>
      <c r="I697" s="619"/>
      <c r="J697" s="619"/>
      <c r="K697" s="619"/>
      <c r="L697" s="619"/>
      <c r="M697" s="619"/>
      <c r="N697" s="619"/>
      <c r="O697" s="619"/>
      <c r="P697" s="619"/>
      <c r="Q697" s="619"/>
      <c r="R697" s="619"/>
      <c r="S697" s="619"/>
      <c r="T697" s="619"/>
      <c r="U697" s="619"/>
      <c r="V697" s="619"/>
      <c r="W697" s="619"/>
      <c r="X697" s="619"/>
      <c r="Y697" s="619"/>
      <c r="Z697" s="619"/>
    </row>
    <row r="698" spans="1:26" ht="11.25" customHeight="1">
      <c r="A698" s="619"/>
      <c r="B698" s="619"/>
      <c r="C698" s="619"/>
      <c r="D698" s="619"/>
      <c r="E698" s="619"/>
      <c r="F698" s="619"/>
      <c r="G698" s="621"/>
      <c r="H698" s="619"/>
      <c r="I698" s="619"/>
      <c r="J698" s="619"/>
      <c r="K698" s="619"/>
      <c r="L698" s="619"/>
      <c r="M698" s="619"/>
      <c r="N698" s="619"/>
      <c r="O698" s="619"/>
      <c r="P698" s="619"/>
      <c r="Q698" s="619"/>
      <c r="R698" s="619"/>
      <c r="S698" s="619"/>
      <c r="T698" s="619"/>
      <c r="U698" s="619"/>
      <c r="V698" s="619"/>
      <c r="W698" s="619"/>
      <c r="X698" s="619"/>
      <c r="Y698" s="619"/>
      <c r="Z698" s="619"/>
    </row>
    <row r="699" spans="1:26" ht="11.25" customHeight="1">
      <c r="A699" s="619"/>
      <c r="B699" s="619"/>
      <c r="C699" s="619"/>
      <c r="D699" s="619"/>
      <c r="E699" s="619"/>
      <c r="F699" s="619"/>
      <c r="G699" s="621"/>
      <c r="H699" s="619"/>
      <c r="I699" s="619"/>
      <c r="J699" s="619"/>
      <c r="K699" s="619"/>
      <c r="L699" s="619"/>
      <c r="M699" s="619"/>
      <c r="N699" s="619"/>
      <c r="O699" s="619"/>
      <c r="P699" s="619"/>
      <c r="Q699" s="619"/>
      <c r="R699" s="619"/>
      <c r="S699" s="619"/>
      <c r="T699" s="619"/>
      <c r="U699" s="619"/>
      <c r="V699" s="619"/>
      <c r="W699" s="619"/>
      <c r="X699" s="619"/>
      <c r="Y699" s="619"/>
      <c r="Z699" s="619"/>
    </row>
    <row r="700" spans="1:26" ht="11.25" customHeight="1">
      <c r="A700" s="619"/>
      <c r="B700" s="619"/>
      <c r="C700" s="619"/>
      <c r="D700" s="619"/>
      <c r="E700" s="619"/>
      <c r="F700" s="619"/>
      <c r="G700" s="621"/>
      <c r="H700" s="619"/>
      <c r="I700" s="619"/>
      <c r="J700" s="619"/>
      <c r="K700" s="619"/>
      <c r="L700" s="619"/>
      <c r="M700" s="619"/>
      <c r="N700" s="619"/>
      <c r="O700" s="619"/>
      <c r="P700" s="619"/>
      <c r="Q700" s="619"/>
      <c r="R700" s="619"/>
      <c r="S700" s="619"/>
      <c r="T700" s="619"/>
      <c r="U700" s="619"/>
      <c r="V700" s="619"/>
      <c r="W700" s="619"/>
      <c r="X700" s="619"/>
      <c r="Y700" s="619"/>
      <c r="Z700" s="619"/>
    </row>
    <row r="701" spans="1:26" ht="11.25" customHeight="1">
      <c r="A701" s="619"/>
      <c r="B701" s="619"/>
      <c r="C701" s="619"/>
      <c r="D701" s="619"/>
      <c r="E701" s="619"/>
      <c r="F701" s="619"/>
      <c r="G701" s="621"/>
      <c r="H701" s="619"/>
      <c r="I701" s="619"/>
      <c r="J701" s="619"/>
      <c r="K701" s="619"/>
      <c r="L701" s="619"/>
      <c r="M701" s="619"/>
      <c r="N701" s="619"/>
      <c r="O701" s="619"/>
      <c r="P701" s="619"/>
      <c r="Q701" s="619"/>
      <c r="R701" s="619"/>
      <c r="S701" s="619"/>
      <c r="T701" s="619"/>
      <c r="U701" s="619"/>
      <c r="V701" s="619"/>
      <c r="W701" s="619"/>
      <c r="X701" s="619"/>
      <c r="Y701" s="619"/>
      <c r="Z701" s="619"/>
    </row>
    <row r="702" spans="1:26" ht="11.25" customHeight="1">
      <c r="A702" s="619"/>
      <c r="B702" s="619"/>
      <c r="C702" s="619"/>
      <c r="D702" s="619"/>
      <c r="E702" s="619"/>
      <c r="F702" s="619"/>
      <c r="G702" s="621"/>
      <c r="H702" s="619"/>
      <c r="I702" s="619"/>
      <c r="J702" s="619"/>
      <c r="K702" s="619"/>
      <c r="L702" s="619"/>
      <c r="M702" s="619"/>
      <c r="N702" s="619"/>
      <c r="O702" s="619"/>
      <c r="P702" s="619"/>
      <c r="Q702" s="619"/>
      <c r="R702" s="619"/>
      <c r="S702" s="619"/>
      <c r="T702" s="619"/>
      <c r="U702" s="619"/>
      <c r="V702" s="619"/>
      <c r="W702" s="619"/>
      <c r="X702" s="619"/>
      <c r="Y702" s="619"/>
      <c r="Z702" s="619"/>
    </row>
    <row r="703" spans="1:26" ht="11.25" customHeight="1">
      <c r="A703" s="619"/>
      <c r="B703" s="619"/>
      <c r="C703" s="619"/>
      <c r="D703" s="619"/>
      <c r="E703" s="619"/>
      <c r="F703" s="619"/>
      <c r="G703" s="621"/>
      <c r="H703" s="619"/>
      <c r="I703" s="619"/>
      <c r="J703" s="619"/>
      <c r="K703" s="619"/>
      <c r="L703" s="619"/>
      <c r="M703" s="619"/>
      <c r="N703" s="619"/>
      <c r="O703" s="619"/>
      <c r="P703" s="619"/>
      <c r="Q703" s="619"/>
      <c r="R703" s="619"/>
      <c r="S703" s="619"/>
      <c r="T703" s="619"/>
      <c r="U703" s="619"/>
      <c r="V703" s="619"/>
      <c r="W703" s="619"/>
      <c r="X703" s="619"/>
      <c r="Y703" s="619"/>
      <c r="Z703" s="619"/>
    </row>
    <row r="704" spans="1:26" ht="11.25" customHeight="1">
      <c r="A704" s="619"/>
      <c r="B704" s="619"/>
      <c r="C704" s="619"/>
      <c r="D704" s="619"/>
      <c r="E704" s="619"/>
      <c r="F704" s="619"/>
      <c r="G704" s="621"/>
      <c r="H704" s="619"/>
      <c r="I704" s="619"/>
      <c r="J704" s="619"/>
      <c r="K704" s="619"/>
      <c r="L704" s="619"/>
      <c r="M704" s="619"/>
      <c r="N704" s="619"/>
      <c r="O704" s="619"/>
      <c r="P704" s="619"/>
      <c r="Q704" s="619"/>
      <c r="R704" s="619"/>
      <c r="S704" s="619"/>
      <c r="T704" s="619"/>
      <c r="U704" s="619"/>
      <c r="V704" s="619"/>
      <c r="W704" s="619"/>
      <c r="X704" s="619"/>
      <c r="Y704" s="619"/>
      <c r="Z704" s="619"/>
    </row>
    <row r="705" spans="1:26" ht="11.25" customHeight="1">
      <c r="A705" s="619"/>
      <c r="B705" s="619"/>
      <c r="C705" s="619"/>
      <c r="D705" s="619"/>
      <c r="E705" s="619"/>
      <c r="F705" s="619"/>
      <c r="G705" s="621"/>
      <c r="H705" s="619"/>
      <c r="I705" s="619"/>
      <c r="J705" s="619"/>
      <c r="K705" s="619"/>
      <c r="L705" s="619"/>
      <c r="M705" s="619"/>
      <c r="N705" s="619"/>
      <c r="O705" s="619"/>
      <c r="P705" s="619"/>
      <c r="Q705" s="619"/>
      <c r="R705" s="619"/>
      <c r="S705" s="619"/>
      <c r="T705" s="619"/>
      <c r="U705" s="619"/>
      <c r="V705" s="619"/>
      <c r="W705" s="619"/>
      <c r="X705" s="619"/>
      <c r="Y705" s="619"/>
      <c r="Z705" s="619"/>
    </row>
    <row r="706" spans="1:26" ht="11.25" customHeight="1">
      <c r="A706" s="619"/>
      <c r="B706" s="619"/>
      <c r="C706" s="619"/>
      <c r="D706" s="619"/>
      <c r="E706" s="619"/>
      <c r="F706" s="619"/>
      <c r="G706" s="621"/>
      <c r="H706" s="619"/>
      <c r="I706" s="619"/>
      <c r="J706" s="619"/>
      <c r="K706" s="619"/>
      <c r="L706" s="619"/>
      <c r="M706" s="619"/>
      <c r="N706" s="619"/>
      <c r="O706" s="619"/>
      <c r="P706" s="619"/>
      <c r="Q706" s="619"/>
      <c r="R706" s="619"/>
      <c r="S706" s="619"/>
      <c r="T706" s="619"/>
      <c r="U706" s="619"/>
      <c r="V706" s="619"/>
      <c r="W706" s="619"/>
      <c r="X706" s="619"/>
      <c r="Y706" s="619"/>
      <c r="Z706" s="619"/>
    </row>
    <row r="707" spans="1:26" ht="11.25" customHeight="1">
      <c r="A707" s="619"/>
      <c r="B707" s="619"/>
      <c r="C707" s="619"/>
      <c r="D707" s="619"/>
      <c r="E707" s="619"/>
      <c r="F707" s="619"/>
      <c r="G707" s="621"/>
      <c r="H707" s="619"/>
      <c r="I707" s="619"/>
      <c r="J707" s="619"/>
      <c r="K707" s="619"/>
      <c r="L707" s="619"/>
      <c r="M707" s="619"/>
      <c r="N707" s="619"/>
      <c r="O707" s="619"/>
      <c r="P707" s="619"/>
      <c r="Q707" s="619"/>
      <c r="R707" s="619"/>
      <c r="S707" s="619"/>
      <c r="T707" s="619"/>
      <c r="U707" s="619"/>
      <c r="V707" s="619"/>
      <c r="W707" s="619"/>
      <c r="X707" s="619"/>
      <c r="Y707" s="619"/>
      <c r="Z707" s="619"/>
    </row>
    <row r="708" spans="1:26" ht="11.25" customHeight="1">
      <c r="A708" s="619"/>
      <c r="B708" s="619"/>
      <c r="C708" s="619"/>
      <c r="D708" s="619"/>
      <c r="E708" s="619"/>
      <c r="F708" s="619"/>
      <c r="G708" s="621"/>
      <c r="H708" s="619"/>
      <c r="I708" s="619"/>
      <c r="J708" s="619"/>
      <c r="K708" s="619"/>
      <c r="L708" s="619"/>
      <c r="M708" s="619"/>
      <c r="N708" s="619"/>
      <c r="O708" s="619"/>
      <c r="P708" s="619"/>
      <c r="Q708" s="619"/>
      <c r="R708" s="619"/>
      <c r="S708" s="619"/>
      <c r="T708" s="619"/>
      <c r="U708" s="619"/>
      <c r="V708" s="619"/>
      <c r="W708" s="619"/>
      <c r="X708" s="619"/>
      <c r="Y708" s="619"/>
      <c r="Z708" s="619"/>
    </row>
    <row r="709" spans="1:26" ht="11.25" customHeight="1">
      <c r="A709" s="619"/>
      <c r="B709" s="619"/>
      <c r="C709" s="619"/>
      <c r="D709" s="619"/>
      <c r="E709" s="619"/>
      <c r="F709" s="619"/>
      <c r="G709" s="621"/>
      <c r="H709" s="619"/>
      <c r="I709" s="619"/>
      <c r="J709" s="619"/>
      <c r="K709" s="619"/>
      <c r="L709" s="619"/>
      <c r="M709" s="619"/>
      <c r="N709" s="619"/>
      <c r="O709" s="619"/>
      <c r="P709" s="619"/>
      <c r="Q709" s="619"/>
      <c r="R709" s="619"/>
      <c r="S709" s="619"/>
      <c r="T709" s="619"/>
      <c r="U709" s="619"/>
      <c r="V709" s="619"/>
      <c r="W709" s="619"/>
      <c r="X709" s="619"/>
      <c r="Y709" s="619"/>
      <c r="Z709" s="619"/>
    </row>
    <row r="710" spans="1:26" ht="11.25" customHeight="1">
      <c r="A710" s="619"/>
      <c r="B710" s="619"/>
      <c r="C710" s="619"/>
      <c r="D710" s="619"/>
      <c r="E710" s="619"/>
      <c r="F710" s="619"/>
      <c r="G710" s="621"/>
      <c r="H710" s="619"/>
      <c r="I710" s="619"/>
      <c r="J710" s="619"/>
      <c r="K710" s="619"/>
      <c r="L710" s="619"/>
      <c r="M710" s="619"/>
      <c r="N710" s="619"/>
      <c r="O710" s="619"/>
      <c r="P710" s="619"/>
      <c r="Q710" s="619"/>
      <c r="R710" s="619"/>
      <c r="S710" s="619"/>
      <c r="T710" s="619"/>
      <c r="U710" s="619"/>
      <c r="V710" s="619"/>
      <c r="W710" s="619"/>
      <c r="X710" s="619"/>
      <c r="Y710" s="619"/>
      <c r="Z710" s="619"/>
    </row>
    <row r="711" spans="1:26" ht="11.25" customHeight="1">
      <c r="A711" s="619"/>
      <c r="B711" s="619"/>
      <c r="C711" s="619"/>
      <c r="D711" s="619"/>
      <c r="E711" s="619"/>
      <c r="F711" s="619"/>
      <c r="G711" s="621"/>
      <c r="H711" s="619"/>
      <c r="I711" s="619"/>
      <c r="J711" s="619"/>
      <c r="K711" s="619"/>
      <c r="L711" s="619"/>
      <c r="M711" s="619"/>
      <c r="N711" s="619"/>
      <c r="O711" s="619"/>
      <c r="P711" s="619"/>
      <c r="Q711" s="619"/>
      <c r="R711" s="619"/>
      <c r="S711" s="619"/>
      <c r="T711" s="619"/>
      <c r="U711" s="619"/>
      <c r="V711" s="619"/>
      <c r="W711" s="619"/>
      <c r="X711" s="619"/>
      <c r="Y711" s="619"/>
      <c r="Z711" s="619"/>
    </row>
    <row r="712" spans="1:26" ht="11.25" customHeight="1">
      <c r="A712" s="619"/>
      <c r="B712" s="619"/>
      <c r="C712" s="619"/>
      <c r="D712" s="619"/>
      <c r="E712" s="619"/>
      <c r="F712" s="619"/>
      <c r="G712" s="621"/>
      <c r="H712" s="619"/>
      <c r="I712" s="619"/>
      <c r="J712" s="619"/>
      <c r="K712" s="619"/>
      <c r="L712" s="619"/>
      <c r="M712" s="619"/>
      <c r="N712" s="619"/>
      <c r="O712" s="619"/>
      <c r="P712" s="619"/>
      <c r="Q712" s="619"/>
      <c r="R712" s="619"/>
      <c r="S712" s="619"/>
      <c r="T712" s="619"/>
      <c r="U712" s="619"/>
      <c r="V712" s="619"/>
      <c r="W712" s="619"/>
      <c r="X712" s="619"/>
      <c r="Y712" s="619"/>
      <c r="Z712" s="619"/>
    </row>
    <row r="713" spans="1:26" ht="11.25" customHeight="1">
      <c r="A713" s="619"/>
      <c r="B713" s="619"/>
      <c r="C713" s="619"/>
      <c r="D713" s="619"/>
      <c r="E713" s="619"/>
      <c r="F713" s="619"/>
      <c r="G713" s="621"/>
      <c r="H713" s="619"/>
      <c r="I713" s="619"/>
      <c r="J713" s="619"/>
      <c r="K713" s="619"/>
      <c r="L713" s="619"/>
      <c r="M713" s="619"/>
      <c r="N713" s="619"/>
      <c r="O713" s="619"/>
      <c r="P713" s="619"/>
      <c r="Q713" s="619"/>
      <c r="R713" s="619"/>
      <c r="S713" s="619"/>
      <c r="T713" s="619"/>
      <c r="U713" s="619"/>
      <c r="V713" s="619"/>
      <c r="W713" s="619"/>
      <c r="X713" s="619"/>
      <c r="Y713" s="619"/>
      <c r="Z713" s="619"/>
    </row>
    <row r="714" spans="1:26" ht="11.25" customHeight="1">
      <c r="A714" s="619"/>
      <c r="B714" s="619"/>
      <c r="C714" s="619"/>
      <c r="D714" s="619"/>
      <c r="E714" s="619"/>
      <c r="F714" s="619"/>
      <c r="G714" s="621"/>
      <c r="H714" s="619"/>
      <c r="I714" s="619"/>
      <c r="J714" s="619"/>
      <c r="K714" s="619"/>
      <c r="L714" s="619"/>
      <c r="M714" s="619"/>
      <c r="N714" s="619"/>
      <c r="O714" s="619"/>
      <c r="P714" s="619"/>
      <c r="Q714" s="619"/>
      <c r="R714" s="619"/>
      <c r="S714" s="619"/>
      <c r="T714" s="619"/>
      <c r="U714" s="619"/>
      <c r="V714" s="619"/>
      <c r="W714" s="619"/>
      <c r="X714" s="619"/>
      <c r="Y714" s="619"/>
      <c r="Z714" s="619"/>
    </row>
    <row r="715" spans="1:26" ht="11.25" customHeight="1">
      <c r="A715" s="619"/>
      <c r="B715" s="619"/>
      <c r="C715" s="619"/>
      <c r="D715" s="619"/>
      <c r="E715" s="619"/>
      <c r="F715" s="619"/>
      <c r="G715" s="621"/>
      <c r="H715" s="619"/>
      <c r="I715" s="619"/>
      <c r="J715" s="619"/>
      <c r="K715" s="619"/>
      <c r="L715" s="619"/>
      <c r="M715" s="619"/>
      <c r="N715" s="619"/>
      <c r="O715" s="619"/>
      <c r="P715" s="619"/>
      <c r="Q715" s="619"/>
      <c r="R715" s="619"/>
      <c r="S715" s="619"/>
      <c r="T715" s="619"/>
      <c r="U715" s="619"/>
      <c r="V715" s="619"/>
      <c r="W715" s="619"/>
      <c r="X715" s="619"/>
      <c r="Y715" s="619"/>
      <c r="Z715" s="619"/>
    </row>
    <row r="716" spans="1:26" ht="11.25" customHeight="1">
      <c r="A716" s="619"/>
      <c r="B716" s="619"/>
      <c r="C716" s="619"/>
      <c r="D716" s="619"/>
      <c r="E716" s="619"/>
      <c r="F716" s="619"/>
      <c r="G716" s="621"/>
      <c r="H716" s="619"/>
      <c r="I716" s="619"/>
      <c r="J716" s="619"/>
      <c r="K716" s="619"/>
      <c r="L716" s="619"/>
      <c r="M716" s="619"/>
      <c r="N716" s="619"/>
      <c r="O716" s="619"/>
      <c r="P716" s="619"/>
      <c r="Q716" s="619"/>
      <c r="R716" s="619"/>
      <c r="S716" s="619"/>
      <c r="T716" s="619"/>
      <c r="U716" s="619"/>
      <c r="V716" s="619"/>
      <c r="W716" s="619"/>
      <c r="X716" s="619"/>
      <c r="Y716" s="619"/>
      <c r="Z716" s="619"/>
    </row>
    <row r="717" spans="1:26" ht="11.25" customHeight="1">
      <c r="A717" s="619"/>
      <c r="B717" s="619"/>
      <c r="C717" s="619"/>
      <c r="D717" s="619"/>
      <c r="E717" s="619"/>
      <c r="F717" s="619"/>
      <c r="G717" s="621"/>
      <c r="H717" s="619"/>
      <c r="I717" s="619"/>
      <c r="J717" s="619"/>
      <c r="K717" s="619"/>
      <c r="L717" s="619"/>
      <c r="M717" s="619"/>
      <c r="N717" s="619"/>
      <c r="O717" s="619"/>
      <c r="P717" s="619"/>
      <c r="Q717" s="619"/>
      <c r="R717" s="619"/>
      <c r="S717" s="619"/>
      <c r="T717" s="619"/>
      <c r="U717" s="619"/>
      <c r="V717" s="619"/>
      <c r="W717" s="619"/>
      <c r="X717" s="619"/>
      <c r="Y717" s="619"/>
      <c r="Z717" s="619"/>
    </row>
    <row r="718" spans="1:26" ht="11.25" customHeight="1">
      <c r="A718" s="619"/>
      <c r="B718" s="619"/>
      <c r="C718" s="619"/>
      <c r="D718" s="619"/>
      <c r="E718" s="619"/>
      <c r="F718" s="619"/>
      <c r="G718" s="621"/>
      <c r="H718" s="619"/>
      <c r="I718" s="619"/>
      <c r="J718" s="619"/>
      <c r="K718" s="619"/>
      <c r="L718" s="619"/>
      <c r="M718" s="619"/>
      <c r="N718" s="619"/>
      <c r="O718" s="619"/>
      <c r="P718" s="619"/>
      <c r="Q718" s="619"/>
      <c r="R718" s="619"/>
      <c r="S718" s="619"/>
      <c r="T718" s="619"/>
      <c r="U718" s="619"/>
      <c r="V718" s="619"/>
      <c r="W718" s="619"/>
      <c r="X718" s="619"/>
      <c r="Y718" s="619"/>
      <c r="Z718" s="619"/>
    </row>
    <row r="719" spans="1:26" ht="11.25" customHeight="1">
      <c r="A719" s="619"/>
      <c r="B719" s="619"/>
      <c r="C719" s="619"/>
      <c r="D719" s="619"/>
      <c r="E719" s="619"/>
      <c r="F719" s="619"/>
      <c r="G719" s="621"/>
      <c r="H719" s="619"/>
      <c r="I719" s="619"/>
      <c r="J719" s="619"/>
      <c r="K719" s="619"/>
      <c r="L719" s="619"/>
      <c r="M719" s="619"/>
      <c r="N719" s="619"/>
      <c r="O719" s="619"/>
      <c r="P719" s="619"/>
      <c r="Q719" s="619"/>
      <c r="R719" s="619"/>
      <c r="S719" s="619"/>
      <c r="T719" s="619"/>
      <c r="U719" s="619"/>
      <c r="V719" s="619"/>
      <c r="W719" s="619"/>
      <c r="X719" s="619"/>
      <c r="Y719" s="619"/>
      <c r="Z719" s="619"/>
    </row>
    <row r="720" spans="1:26" ht="11.25" customHeight="1">
      <c r="A720" s="619"/>
      <c r="B720" s="619"/>
      <c r="C720" s="619"/>
      <c r="D720" s="619"/>
      <c r="E720" s="619"/>
      <c r="F720" s="619"/>
      <c r="G720" s="621"/>
      <c r="H720" s="619"/>
      <c r="I720" s="619"/>
      <c r="J720" s="619"/>
      <c r="K720" s="619"/>
      <c r="L720" s="619"/>
      <c r="M720" s="619"/>
      <c r="N720" s="619"/>
      <c r="O720" s="619"/>
      <c r="P720" s="619"/>
      <c r="Q720" s="619"/>
      <c r="R720" s="619"/>
      <c r="S720" s="619"/>
      <c r="T720" s="619"/>
      <c r="U720" s="619"/>
      <c r="V720" s="619"/>
      <c r="W720" s="619"/>
      <c r="X720" s="619"/>
      <c r="Y720" s="619"/>
      <c r="Z720" s="619"/>
    </row>
    <row r="721" spans="1:26" ht="11.25" customHeight="1">
      <c r="A721" s="619"/>
      <c r="B721" s="619"/>
      <c r="C721" s="619"/>
      <c r="D721" s="619"/>
      <c r="E721" s="619"/>
      <c r="F721" s="619"/>
      <c r="G721" s="621"/>
      <c r="H721" s="619"/>
      <c r="I721" s="619"/>
      <c r="J721" s="619"/>
      <c r="K721" s="619"/>
      <c r="L721" s="619"/>
      <c r="M721" s="619"/>
      <c r="N721" s="619"/>
      <c r="O721" s="619"/>
      <c r="P721" s="619"/>
      <c r="Q721" s="619"/>
      <c r="R721" s="619"/>
      <c r="S721" s="619"/>
      <c r="T721" s="619"/>
      <c r="U721" s="619"/>
      <c r="V721" s="619"/>
      <c r="W721" s="619"/>
      <c r="X721" s="619"/>
      <c r="Y721" s="619"/>
      <c r="Z721" s="619"/>
    </row>
    <row r="722" spans="1:26" ht="11.25" customHeight="1">
      <c r="A722" s="619"/>
      <c r="B722" s="619"/>
      <c r="C722" s="619"/>
      <c r="D722" s="619"/>
      <c r="E722" s="619"/>
      <c r="F722" s="619"/>
      <c r="G722" s="621"/>
      <c r="H722" s="619"/>
      <c r="I722" s="619"/>
      <c r="J722" s="619"/>
      <c r="K722" s="619"/>
      <c r="L722" s="619"/>
      <c r="M722" s="619"/>
      <c r="N722" s="619"/>
      <c r="O722" s="619"/>
      <c r="P722" s="619"/>
      <c r="Q722" s="619"/>
      <c r="R722" s="619"/>
      <c r="S722" s="619"/>
      <c r="T722" s="619"/>
      <c r="U722" s="619"/>
      <c r="V722" s="619"/>
      <c r="W722" s="619"/>
      <c r="X722" s="619"/>
      <c r="Y722" s="619"/>
      <c r="Z722" s="619"/>
    </row>
    <row r="723" spans="1:26" ht="11.25" customHeight="1">
      <c r="A723" s="619"/>
      <c r="B723" s="619"/>
      <c r="C723" s="619"/>
      <c r="D723" s="619"/>
      <c r="E723" s="619"/>
      <c r="F723" s="619"/>
      <c r="G723" s="621"/>
      <c r="H723" s="619"/>
      <c r="I723" s="619"/>
      <c r="J723" s="619"/>
      <c r="K723" s="619"/>
      <c r="L723" s="619"/>
      <c r="M723" s="619"/>
      <c r="N723" s="619"/>
      <c r="O723" s="619"/>
      <c r="P723" s="619"/>
      <c r="Q723" s="619"/>
      <c r="R723" s="619"/>
      <c r="S723" s="619"/>
      <c r="T723" s="619"/>
      <c r="U723" s="619"/>
      <c r="V723" s="619"/>
      <c r="W723" s="619"/>
      <c r="X723" s="619"/>
      <c r="Y723" s="619"/>
      <c r="Z723" s="619"/>
    </row>
    <row r="724" spans="1:26" ht="11.25" customHeight="1">
      <c r="A724" s="619"/>
      <c r="B724" s="619"/>
      <c r="C724" s="619"/>
      <c r="D724" s="619"/>
      <c r="E724" s="619"/>
      <c r="F724" s="619"/>
      <c r="G724" s="621"/>
      <c r="H724" s="619"/>
      <c r="I724" s="619"/>
      <c r="J724" s="619"/>
      <c r="K724" s="619"/>
      <c r="L724" s="619"/>
      <c r="M724" s="619"/>
      <c r="N724" s="619"/>
      <c r="O724" s="619"/>
      <c r="P724" s="619"/>
      <c r="Q724" s="619"/>
      <c r="R724" s="619"/>
      <c r="S724" s="619"/>
      <c r="T724" s="619"/>
      <c r="U724" s="619"/>
      <c r="V724" s="619"/>
      <c r="W724" s="619"/>
      <c r="X724" s="619"/>
      <c r="Y724" s="619"/>
      <c r="Z724" s="619"/>
    </row>
    <row r="725" spans="1:26" ht="11.25" customHeight="1">
      <c r="A725" s="619"/>
      <c r="B725" s="619"/>
      <c r="C725" s="619"/>
      <c r="D725" s="619"/>
      <c r="E725" s="619"/>
      <c r="F725" s="619"/>
      <c r="G725" s="621"/>
      <c r="H725" s="619"/>
      <c r="I725" s="619"/>
      <c r="J725" s="619"/>
      <c r="K725" s="619"/>
      <c r="L725" s="619"/>
      <c r="M725" s="619"/>
      <c r="N725" s="619"/>
      <c r="O725" s="619"/>
      <c r="P725" s="619"/>
      <c r="Q725" s="619"/>
      <c r="R725" s="619"/>
      <c r="S725" s="619"/>
      <c r="T725" s="619"/>
      <c r="U725" s="619"/>
      <c r="V725" s="619"/>
      <c r="W725" s="619"/>
      <c r="X725" s="619"/>
      <c r="Y725" s="619"/>
      <c r="Z725" s="619"/>
    </row>
    <row r="726" spans="1:26" ht="11.25" customHeight="1">
      <c r="A726" s="619"/>
      <c r="B726" s="619"/>
      <c r="C726" s="619"/>
      <c r="D726" s="619"/>
      <c r="E726" s="619"/>
      <c r="F726" s="619"/>
      <c r="G726" s="621"/>
      <c r="H726" s="619"/>
      <c r="I726" s="619"/>
      <c r="J726" s="619"/>
      <c r="K726" s="619"/>
      <c r="L726" s="619"/>
      <c r="M726" s="619"/>
      <c r="N726" s="619"/>
      <c r="O726" s="619"/>
      <c r="P726" s="619"/>
      <c r="Q726" s="619"/>
      <c r="R726" s="619"/>
      <c r="S726" s="619"/>
      <c r="T726" s="619"/>
      <c r="U726" s="619"/>
      <c r="V726" s="619"/>
      <c r="W726" s="619"/>
      <c r="X726" s="619"/>
      <c r="Y726" s="619"/>
      <c r="Z726" s="619"/>
    </row>
    <row r="727" spans="1:26" ht="11.25" customHeight="1">
      <c r="A727" s="619"/>
      <c r="B727" s="619"/>
      <c r="C727" s="619"/>
      <c r="D727" s="619"/>
      <c r="E727" s="619"/>
      <c r="F727" s="619"/>
      <c r="G727" s="621"/>
      <c r="H727" s="619"/>
      <c r="I727" s="619"/>
      <c r="J727" s="619"/>
      <c r="K727" s="619"/>
      <c r="L727" s="619"/>
      <c r="M727" s="619"/>
      <c r="N727" s="619"/>
      <c r="O727" s="619"/>
      <c r="P727" s="619"/>
      <c r="Q727" s="619"/>
      <c r="R727" s="619"/>
      <c r="S727" s="619"/>
      <c r="T727" s="619"/>
      <c r="U727" s="619"/>
      <c r="V727" s="619"/>
      <c r="W727" s="619"/>
      <c r="X727" s="619"/>
      <c r="Y727" s="619"/>
      <c r="Z727" s="619"/>
    </row>
    <row r="728" spans="1:26" ht="11.25" customHeight="1">
      <c r="A728" s="619"/>
      <c r="B728" s="619"/>
      <c r="C728" s="619"/>
      <c r="D728" s="619"/>
      <c r="E728" s="619"/>
      <c r="F728" s="619"/>
      <c r="G728" s="621"/>
      <c r="H728" s="619"/>
      <c r="I728" s="619"/>
      <c r="J728" s="619"/>
      <c r="K728" s="619"/>
      <c r="L728" s="619"/>
      <c r="M728" s="619"/>
      <c r="N728" s="619"/>
      <c r="O728" s="619"/>
      <c r="P728" s="619"/>
      <c r="Q728" s="619"/>
      <c r="R728" s="619"/>
      <c r="S728" s="619"/>
      <c r="T728" s="619"/>
      <c r="U728" s="619"/>
      <c r="V728" s="619"/>
      <c r="W728" s="619"/>
      <c r="X728" s="619"/>
      <c r="Y728" s="619"/>
      <c r="Z728" s="619"/>
    </row>
    <row r="729" spans="1:26" ht="11.25" customHeight="1">
      <c r="A729" s="619"/>
      <c r="B729" s="619"/>
      <c r="C729" s="619"/>
      <c r="D729" s="619"/>
      <c r="E729" s="619"/>
      <c r="F729" s="619"/>
      <c r="G729" s="621"/>
      <c r="H729" s="619"/>
      <c r="I729" s="619"/>
      <c r="J729" s="619"/>
      <c r="K729" s="619"/>
      <c r="L729" s="619"/>
      <c r="M729" s="619"/>
      <c r="N729" s="619"/>
      <c r="O729" s="619"/>
      <c r="P729" s="619"/>
      <c r="Q729" s="619"/>
      <c r="R729" s="619"/>
      <c r="S729" s="619"/>
      <c r="T729" s="619"/>
      <c r="U729" s="619"/>
      <c r="V729" s="619"/>
      <c r="W729" s="619"/>
      <c r="X729" s="619"/>
      <c r="Y729" s="619"/>
      <c r="Z729" s="619"/>
    </row>
    <row r="730" spans="1:26" ht="11.25" customHeight="1">
      <c r="A730" s="619"/>
      <c r="B730" s="619"/>
      <c r="C730" s="619"/>
      <c r="D730" s="619"/>
      <c r="E730" s="619"/>
      <c r="F730" s="619"/>
      <c r="G730" s="621"/>
      <c r="H730" s="619"/>
      <c r="I730" s="619"/>
      <c r="J730" s="619"/>
      <c r="K730" s="619"/>
      <c r="L730" s="619"/>
      <c r="M730" s="619"/>
      <c r="N730" s="619"/>
      <c r="O730" s="619"/>
      <c r="P730" s="619"/>
      <c r="Q730" s="619"/>
      <c r="R730" s="619"/>
      <c r="S730" s="619"/>
      <c r="T730" s="619"/>
      <c r="U730" s="619"/>
      <c r="V730" s="619"/>
      <c r="W730" s="619"/>
      <c r="X730" s="619"/>
      <c r="Y730" s="619"/>
      <c r="Z730" s="619"/>
    </row>
    <row r="731" spans="1:26" ht="11.25" customHeight="1">
      <c r="A731" s="619"/>
      <c r="B731" s="619"/>
      <c r="C731" s="619"/>
      <c r="D731" s="619"/>
      <c r="E731" s="619"/>
      <c r="F731" s="619"/>
      <c r="G731" s="621"/>
      <c r="H731" s="619"/>
      <c r="I731" s="619"/>
      <c r="J731" s="619"/>
      <c r="K731" s="619"/>
      <c r="L731" s="619"/>
      <c r="M731" s="619"/>
      <c r="N731" s="619"/>
      <c r="O731" s="619"/>
      <c r="P731" s="619"/>
      <c r="Q731" s="619"/>
      <c r="R731" s="619"/>
      <c r="S731" s="619"/>
      <c r="T731" s="619"/>
      <c r="U731" s="619"/>
      <c r="V731" s="619"/>
      <c r="W731" s="619"/>
      <c r="X731" s="619"/>
      <c r="Y731" s="619"/>
      <c r="Z731" s="619"/>
    </row>
    <row r="732" spans="1:26" ht="11.25" customHeight="1">
      <c r="A732" s="619"/>
      <c r="B732" s="619"/>
      <c r="C732" s="619"/>
      <c r="D732" s="619"/>
      <c r="E732" s="619"/>
      <c r="F732" s="619"/>
      <c r="G732" s="621"/>
      <c r="H732" s="619"/>
      <c r="I732" s="619"/>
      <c r="J732" s="619"/>
      <c r="K732" s="619"/>
      <c r="L732" s="619"/>
      <c r="M732" s="619"/>
      <c r="N732" s="619"/>
      <c r="O732" s="619"/>
      <c r="P732" s="619"/>
      <c r="Q732" s="619"/>
      <c r="R732" s="619"/>
      <c r="S732" s="619"/>
      <c r="T732" s="619"/>
      <c r="U732" s="619"/>
      <c r="V732" s="619"/>
      <c r="W732" s="619"/>
      <c r="X732" s="619"/>
      <c r="Y732" s="619"/>
      <c r="Z732" s="619"/>
    </row>
    <row r="733" spans="1:26" ht="11.25" customHeight="1">
      <c r="A733" s="619"/>
      <c r="B733" s="619"/>
      <c r="C733" s="619"/>
      <c r="D733" s="619"/>
      <c r="E733" s="619"/>
      <c r="F733" s="619"/>
      <c r="G733" s="621"/>
      <c r="H733" s="619"/>
      <c r="I733" s="619"/>
      <c r="J733" s="619"/>
      <c r="K733" s="619"/>
      <c r="L733" s="619"/>
      <c r="M733" s="619"/>
      <c r="N733" s="619"/>
      <c r="O733" s="619"/>
      <c r="P733" s="619"/>
      <c r="Q733" s="619"/>
      <c r="R733" s="619"/>
      <c r="S733" s="619"/>
      <c r="T733" s="619"/>
      <c r="U733" s="619"/>
      <c r="V733" s="619"/>
      <c r="W733" s="619"/>
      <c r="X733" s="619"/>
      <c r="Y733" s="619"/>
      <c r="Z733" s="619"/>
    </row>
    <row r="734" spans="1:26" ht="11.25" customHeight="1">
      <c r="A734" s="619"/>
      <c r="B734" s="619"/>
      <c r="C734" s="619"/>
      <c r="D734" s="619"/>
      <c r="E734" s="619"/>
      <c r="F734" s="619"/>
      <c r="G734" s="621"/>
      <c r="H734" s="619"/>
      <c r="I734" s="619"/>
      <c r="J734" s="619"/>
      <c r="K734" s="619"/>
      <c r="L734" s="619"/>
      <c r="M734" s="619"/>
      <c r="N734" s="619"/>
      <c r="O734" s="619"/>
      <c r="P734" s="619"/>
      <c r="Q734" s="619"/>
      <c r="R734" s="619"/>
      <c r="S734" s="619"/>
      <c r="T734" s="619"/>
      <c r="U734" s="619"/>
      <c r="V734" s="619"/>
      <c r="W734" s="619"/>
      <c r="X734" s="619"/>
      <c r="Y734" s="619"/>
      <c r="Z734" s="619"/>
    </row>
    <row r="735" spans="1:26" ht="11.25" customHeight="1">
      <c r="A735" s="619"/>
      <c r="B735" s="619"/>
      <c r="C735" s="619"/>
      <c r="D735" s="619"/>
      <c r="E735" s="619"/>
      <c r="F735" s="619"/>
      <c r="G735" s="621"/>
      <c r="H735" s="619"/>
      <c r="I735" s="619"/>
      <c r="J735" s="619"/>
      <c r="K735" s="619"/>
      <c r="L735" s="619"/>
      <c r="M735" s="619"/>
      <c r="N735" s="619"/>
      <c r="O735" s="619"/>
      <c r="P735" s="619"/>
      <c r="Q735" s="619"/>
      <c r="R735" s="619"/>
      <c r="S735" s="619"/>
      <c r="T735" s="619"/>
      <c r="U735" s="619"/>
      <c r="V735" s="619"/>
      <c r="W735" s="619"/>
      <c r="X735" s="619"/>
      <c r="Y735" s="619"/>
      <c r="Z735" s="619"/>
    </row>
    <row r="736" spans="1:26" ht="11.25" customHeight="1">
      <c r="A736" s="619"/>
      <c r="B736" s="619"/>
      <c r="C736" s="619"/>
      <c r="D736" s="619"/>
      <c r="E736" s="619"/>
      <c r="F736" s="619"/>
      <c r="G736" s="621"/>
      <c r="H736" s="619"/>
      <c r="I736" s="619"/>
      <c r="J736" s="619"/>
      <c r="K736" s="619"/>
      <c r="L736" s="619"/>
      <c r="M736" s="619"/>
      <c r="N736" s="619"/>
      <c r="O736" s="619"/>
      <c r="P736" s="619"/>
      <c r="Q736" s="619"/>
      <c r="R736" s="619"/>
      <c r="S736" s="619"/>
      <c r="T736" s="619"/>
      <c r="U736" s="619"/>
      <c r="V736" s="619"/>
      <c r="W736" s="619"/>
      <c r="X736" s="619"/>
      <c r="Y736" s="619"/>
      <c r="Z736" s="619"/>
    </row>
    <row r="737" spans="1:26" ht="11.25" customHeight="1">
      <c r="A737" s="619"/>
      <c r="B737" s="619"/>
      <c r="C737" s="619"/>
      <c r="D737" s="619"/>
      <c r="E737" s="619"/>
      <c r="F737" s="619"/>
      <c r="G737" s="621"/>
      <c r="H737" s="619"/>
      <c r="I737" s="619"/>
      <c r="J737" s="619"/>
      <c r="K737" s="619"/>
      <c r="L737" s="619"/>
      <c r="M737" s="619"/>
      <c r="N737" s="619"/>
      <c r="O737" s="619"/>
      <c r="P737" s="619"/>
      <c r="Q737" s="619"/>
      <c r="R737" s="619"/>
      <c r="S737" s="619"/>
      <c r="T737" s="619"/>
      <c r="U737" s="619"/>
      <c r="V737" s="619"/>
      <c r="W737" s="619"/>
      <c r="X737" s="619"/>
      <c r="Y737" s="619"/>
      <c r="Z737" s="619"/>
    </row>
    <row r="738" spans="1:26" ht="11.25" customHeight="1">
      <c r="A738" s="619"/>
      <c r="B738" s="619"/>
      <c r="C738" s="619"/>
      <c r="D738" s="619"/>
      <c r="E738" s="619"/>
      <c r="F738" s="619"/>
      <c r="G738" s="621"/>
      <c r="H738" s="619"/>
      <c r="I738" s="619"/>
      <c r="J738" s="619"/>
      <c r="K738" s="619"/>
      <c r="L738" s="619"/>
      <c r="M738" s="619"/>
      <c r="N738" s="619"/>
      <c r="O738" s="619"/>
      <c r="P738" s="619"/>
      <c r="Q738" s="619"/>
      <c r="R738" s="619"/>
      <c r="S738" s="619"/>
      <c r="T738" s="619"/>
      <c r="U738" s="619"/>
      <c r="V738" s="619"/>
      <c r="W738" s="619"/>
      <c r="X738" s="619"/>
      <c r="Y738" s="619"/>
      <c r="Z738" s="619"/>
    </row>
    <row r="739" spans="1:26" ht="11.25" customHeight="1">
      <c r="A739" s="619"/>
      <c r="B739" s="619"/>
      <c r="C739" s="619"/>
      <c r="D739" s="619"/>
      <c r="E739" s="619"/>
      <c r="F739" s="619"/>
      <c r="G739" s="621"/>
      <c r="H739" s="619"/>
      <c r="I739" s="619"/>
      <c r="J739" s="619"/>
      <c r="K739" s="619"/>
      <c r="L739" s="619"/>
      <c r="M739" s="619"/>
      <c r="N739" s="619"/>
      <c r="O739" s="619"/>
      <c r="P739" s="619"/>
      <c r="Q739" s="619"/>
      <c r="R739" s="619"/>
      <c r="S739" s="619"/>
      <c r="T739" s="619"/>
      <c r="U739" s="619"/>
      <c r="V739" s="619"/>
      <c r="W739" s="619"/>
      <c r="X739" s="619"/>
      <c r="Y739" s="619"/>
      <c r="Z739" s="619"/>
    </row>
    <row r="740" spans="1:26" ht="11.25" customHeight="1">
      <c r="A740" s="619"/>
      <c r="B740" s="619"/>
      <c r="C740" s="619"/>
      <c r="D740" s="619"/>
      <c r="E740" s="619"/>
      <c r="F740" s="619"/>
      <c r="G740" s="621"/>
      <c r="H740" s="619"/>
      <c r="I740" s="619"/>
      <c r="J740" s="619"/>
      <c r="K740" s="619"/>
      <c r="L740" s="619"/>
      <c r="M740" s="619"/>
      <c r="N740" s="619"/>
      <c r="O740" s="619"/>
      <c r="P740" s="619"/>
      <c r="Q740" s="619"/>
      <c r="R740" s="619"/>
      <c r="S740" s="619"/>
      <c r="T740" s="619"/>
      <c r="U740" s="619"/>
      <c r="V740" s="619"/>
      <c r="W740" s="619"/>
      <c r="X740" s="619"/>
      <c r="Y740" s="619"/>
      <c r="Z740" s="619"/>
    </row>
    <row r="741" spans="1:26" ht="11.25" customHeight="1">
      <c r="A741" s="619"/>
      <c r="B741" s="619"/>
      <c r="C741" s="619"/>
      <c r="D741" s="619"/>
      <c r="E741" s="619"/>
      <c r="F741" s="619"/>
      <c r="G741" s="621"/>
      <c r="H741" s="619"/>
      <c r="I741" s="619"/>
      <c r="J741" s="619"/>
      <c r="K741" s="619"/>
      <c r="L741" s="619"/>
      <c r="M741" s="619"/>
      <c r="N741" s="619"/>
      <c r="O741" s="619"/>
      <c r="P741" s="619"/>
      <c r="Q741" s="619"/>
      <c r="R741" s="619"/>
      <c r="S741" s="619"/>
      <c r="T741" s="619"/>
      <c r="U741" s="619"/>
      <c r="V741" s="619"/>
      <c r="W741" s="619"/>
      <c r="X741" s="619"/>
      <c r="Y741" s="619"/>
      <c r="Z741" s="619"/>
    </row>
    <row r="742" spans="1:26" ht="11.25" customHeight="1">
      <c r="A742" s="619"/>
      <c r="B742" s="619"/>
      <c r="C742" s="619"/>
      <c r="D742" s="619"/>
      <c r="E742" s="619"/>
      <c r="F742" s="619"/>
      <c r="G742" s="621"/>
      <c r="H742" s="619"/>
      <c r="I742" s="619"/>
      <c r="J742" s="619"/>
      <c r="K742" s="619"/>
      <c r="L742" s="619"/>
      <c r="M742" s="619"/>
      <c r="N742" s="619"/>
      <c r="O742" s="619"/>
      <c r="P742" s="619"/>
      <c r="Q742" s="619"/>
      <c r="R742" s="619"/>
      <c r="S742" s="619"/>
      <c r="T742" s="619"/>
      <c r="U742" s="619"/>
      <c r="V742" s="619"/>
      <c r="W742" s="619"/>
      <c r="X742" s="619"/>
      <c r="Y742" s="619"/>
      <c r="Z742" s="619"/>
    </row>
    <row r="743" spans="1:26" ht="11.25" customHeight="1">
      <c r="A743" s="619"/>
      <c r="B743" s="619"/>
      <c r="C743" s="619"/>
      <c r="D743" s="619"/>
      <c r="E743" s="619"/>
      <c r="F743" s="619"/>
      <c r="G743" s="621"/>
      <c r="H743" s="619"/>
      <c r="I743" s="619"/>
      <c r="J743" s="619"/>
      <c r="K743" s="619"/>
      <c r="L743" s="619"/>
      <c r="M743" s="619"/>
      <c r="N743" s="619"/>
      <c r="O743" s="619"/>
      <c r="P743" s="619"/>
      <c r="Q743" s="619"/>
      <c r="R743" s="619"/>
      <c r="S743" s="619"/>
      <c r="T743" s="619"/>
      <c r="U743" s="619"/>
      <c r="V743" s="619"/>
      <c r="W743" s="619"/>
      <c r="X743" s="619"/>
      <c r="Y743" s="619"/>
      <c r="Z743" s="619"/>
    </row>
    <row r="744" spans="1:26" ht="11.25" customHeight="1">
      <c r="A744" s="619"/>
      <c r="B744" s="619"/>
      <c r="C744" s="619"/>
      <c r="D744" s="619"/>
      <c r="E744" s="619"/>
      <c r="F744" s="619"/>
      <c r="G744" s="621"/>
      <c r="H744" s="619"/>
      <c r="I744" s="619"/>
      <c r="J744" s="619"/>
      <c r="K744" s="619"/>
      <c r="L744" s="619"/>
      <c r="M744" s="619"/>
      <c r="N744" s="619"/>
      <c r="O744" s="619"/>
      <c r="P744" s="619"/>
      <c r="Q744" s="619"/>
      <c r="R744" s="619"/>
      <c r="S744" s="619"/>
      <c r="T744" s="619"/>
      <c r="U744" s="619"/>
      <c r="V744" s="619"/>
      <c r="W744" s="619"/>
      <c r="X744" s="619"/>
      <c r="Y744" s="619"/>
      <c r="Z744" s="619"/>
    </row>
    <row r="745" spans="1:26" ht="11.25" customHeight="1">
      <c r="A745" s="619"/>
      <c r="B745" s="619"/>
      <c r="C745" s="619"/>
      <c r="D745" s="619"/>
      <c r="E745" s="619"/>
      <c r="F745" s="619"/>
      <c r="G745" s="621"/>
      <c r="H745" s="619"/>
      <c r="I745" s="619"/>
      <c r="J745" s="619"/>
      <c r="K745" s="619"/>
      <c r="L745" s="619"/>
      <c r="M745" s="619"/>
      <c r="N745" s="619"/>
      <c r="O745" s="619"/>
      <c r="P745" s="619"/>
      <c r="Q745" s="619"/>
      <c r="R745" s="619"/>
      <c r="S745" s="619"/>
      <c r="T745" s="619"/>
      <c r="U745" s="619"/>
      <c r="V745" s="619"/>
      <c r="W745" s="619"/>
      <c r="X745" s="619"/>
      <c r="Y745" s="619"/>
      <c r="Z745" s="619"/>
    </row>
    <row r="746" spans="1:26" ht="11.25" customHeight="1">
      <c r="A746" s="619"/>
      <c r="B746" s="619"/>
      <c r="C746" s="619"/>
      <c r="D746" s="619"/>
      <c r="E746" s="619"/>
      <c r="F746" s="619"/>
      <c r="G746" s="621"/>
      <c r="H746" s="619"/>
      <c r="I746" s="619"/>
      <c r="J746" s="619"/>
      <c r="K746" s="619"/>
      <c r="L746" s="619"/>
      <c r="M746" s="619"/>
      <c r="N746" s="619"/>
      <c r="O746" s="619"/>
      <c r="P746" s="619"/>
      <c r="Q746" s="619"/>
      <c r="R746" s="619"/>
      <c r="S746" s="619"/>
      <c r="T746" s="619"/>
      <c r="U746" s="619"/>
      <c r="V746" s="619"/>
      <c r="W746" s="619"/>
      <c r="X746" s="619"/>
      <c r="Y746" s="619"/>
      <c r="Z746" s="619"/>
    </row>
    <row r="747" spans="1:26" ht="11.25" customHeight="1">
      <c r="A747" s="619"/>
      <c r="B747" s="619"/>
      <c r="C747" s="619"/>
      <c r="D747" s="619"/>
      <c r="E747" s="619"/>
      <c r="F747" s="619"/>
      <c r="G747" s="621"/>
      <c r="H747" s="619"/>
      <c r="I747" s="619"/>
      <c r="J747" s="619"/>
      <c r="K747" s="619"/>
      <c r="L747" s="619"/>
      <c r="M747" s="619"/>
      <c r="N747" s="619"/>
      <c r="O747" s="619"/>
      <c r="P747" s="619"/>
      <c r="Q747" s="619"/>
      <c r="R747" s="619"/>
      <c r="S747" s="619"/>
      <c r="T747" s="619"/>
      <c r="U747" s="619"/>
      <c r="V747" s="619"/>
      <c r="W747" s="619"/>
      <c r="X747" s="619"/>
      <c r="Y747" s="619"/>
      <c r="Z747" s="619"/>
    </row>
    <row r="748" spans="1:26" ht="11.25" customHeight="1">
      <c r="A748" s="619"/>
      <c r="B748" s="619"/>
      <c r="C748" s="619"/>
      <c r="D748" s="619"/>
      <c r="E748" s="619"/>
      <c r="F748" s="619"/>
      <c r="G748" s="621"/>
      <c r="H748" s="619"/>
      <c r="I748" s="619"/>
      <c r="J748" s="619"/>
      <c r="K748" s="619"/>
      <c r="L748" s="619"/>
      <c r="M748" s="619"/>
      <c r="N748" s="619"/>
      <c r="O748" s="619"/>
      <c r="P748" s="619"/>
      <c r="Q748" s="619"/>
      <c r="R748" s="619"/>
      <c r="S748" s="619"/>
      <c r="T748" s="619"/>
      <c r="U748" s="619"/>
      <c r="V748" s="619"/>
      <c r="W748" s="619"/>
      <c r="X748" s="619"/>
      <c r="Y748" s="619"/>
      <c r="Z748" s="619"/>
    </row>
    <row r="749" spans="1:26" ht="11.25" customHeight="1">
      <c r="A749" s="619"/>
      <c r="B749" s="619"/>
      <c r="C749" s="619"/>
      <c r="D749" s="619"/>
      <c r="E749" s="619"/>
      <c r="F749" s="619"/>
      <c r="G749" s="621"/>
      <c r="H749" s="619"/>
      <c r="I749" s="619"/>
      <c r="J749" s="619"/>
      <c r="K749" s="619"/>
      <c r="L749" s="619"/>
      <c r="M749" s="619"/>
      <c r="N749" s="619"/>
      <c r="O749" s="619"/>
      <c r="P749" s="619"/>
      <c r="Q749" s="619"/>
      <c r="R749" s="619"/>
      <c r="S749" s="619"/>
      <c r="T749" s="619"/>
      <c r="U749" s="619"/>
      <c r="V749" s="619"/>
      <c r="W749" s="619"/>
      <c r="X749" s="619"/>
      <c r="Y749" s="619"/>
      <c r="Z749" s="619"/>
    </row>
    <row r="750" spans="1:26" ht="11.25" customHeight="1">
      <c r="A750" s="619"/>
      <c r="B750" s="619"/>
      <c r="C750" s="619"/>
      <c r="D750" s="619"/>
      <c r="E750" s="619"/>
      <c r="F750" s="619"/>
      <c r="G750" s="621"/>
      <c r="H750" s="619"/>
      <c r="I750" s="619"/>
      <c r="J750" s="619"/>
      <c r="K750" s="619"/>
      <c r="L750" s="619"/>
      <c r="M750" s="619"/>
      <c r="N750" s="619"/>
      <c r="O750" s="619"/>
      <c r="P750" s="619"/>
      <c r="Q750" s="619"/>
      <c r="R750" s="619"/>
      <c r="S750" s="619"/>
      <c r="T750" s="619"/>
      <c r="U750" s="619"/>
      <c r="V750" s="619"/>
      <c r="W750" s="619"/>
      <c r="X750" s="619"/>
      <c r="Y750" s="619"/>
      <c r="Z750" s="619"/>
    </row>
    <row r="751" spans="1:26" ht="11.25" customHeight="1">
      <c r="A751" s="619"/>
      <c r="B751" s="619"/>
      <c r="C751" s="619"/>
      <c r="D751" s="619"/>
      <c r="E751" s="619"/>
      <c r="F751" s="619"/>
      <c r="G751" s="621"/>
      <c r="H751" s="619"/>
      <c r="I751" s="619"/>
      <c r="J751" s="619"/>
      <c r="K751" s="619"/>
      <c r="L751" s="619"/>
      <c r="M751" s="619"/>
      <c r="N751" s="619"/>
      <c r="O751" s="619"/>
      <c r="P751" s="619"/>
      <c r="Q751" s="619"/>
      <c r="R751" s="619"/>
      <c r="S751" s="619"/>
      <c r="T751" s="619"/>
      <c r="U751" s="619"/>
      <c r="V751" s="619"/>
      <c r="W751" s="619"/>
      <c r="X751" s="619"/>
      <c r="Y751" s="619"/>
      <c r="Z751" s="619"/>
    </row>
    <row r="752" spans="1:26" ht="11.25" customHeight="1">
      <c r="A752" s="619"/>
      <c r="B752" s="619"/>
      <c r="C752" s="619"/>
      <c r="D752" s="619"/>
      <c r="E752" s="619"/>
      <c r="F752" s="619"/>
      <c r="G752" s="621"/>
      <c r="H752" s="619"/>
      <c r="I752" s="619"/>
      <c r="J752" s="619"/>
      <c r="K752" s="619"/>
      <c r="L752" s="619"/>
      <c r="M752" s="619"/>
      <c r="N752" s="619"/>
      <c r="O752" s="619"/>
      <c r="P752" s="619"/>
      <c r="Q752" s="619"/>
      <c r="R752" s="619"/>
      <c r="S752" s="619"/>
      <c r="T752" s="619"/>
      <c r="U752" s="619"/>
      <c r="V752" s="619"/>
      <c r="W752" s="619"/>
      <c r="X752" s="619"/>
      <c r="Y752" s="619"/>
      <c r="Z752" s="619"/>
    </row>
    <row r="753" spans="1:26" ht="11.25" customHeight="1">
      <c r="A753" s="619"/>
      <c r="B753" s="619"/>
      <c r="C753" s="619"/>
      <c r="D753" s="619"/>
      <c r="E753" s="619"/>
      <c r="F753" s="619"/>
      <c r="G753" s="621"/>
      <c r="H753" s="619"/>
      <c r="I753" s="619"/>
      <c r="J753" s="619"/>
      <c r="K753" s="619"/>
      <c r="L753" s="619"/>
      <c r="M753" s="619"/>
      <c r="N753" s="619"/>
      <c r="O753" s="619"/>
      <c r="P753" s="619"/>
      <c r="Q753" s="619"/>
      <c r="R753" s="619"/>
      <c r="S753" s="619"/>
      <c r="T753" s="619"/>
      <c r="U753" s="619"/>
      <c r="V753" s="619"/>
      <c r="W753" s="619"/>
      <c r="X753" s="619"/>
      <c r="Y753" s="619"/>
      <c r="Z753" s="619"/>
    </row>
    <row r="754" spans="1:26" ht="11.25" customHeight="1">
      <c r="A754" s="619"/>
      <c r="B754" s="619"/>
      <c r="C754" s="619"/>
      <c r="D754" s="619"/>
      <c r="E754" s="619"/>
      <c r="F754" s="619"/>
      <c r="G754" s="621"/>
      <c r="H754" s="619"/>
      <c r="I754" s="619"/>
      <c r="J754" s="619"/>
      <c r="K754" s="619"/>
      <c r="L754" s="619"/>
      <c r="M754" s="619"/>
      <c r="N754" s="619"/>
      <c r="O754" s="619"/>
      <c r="P754" s="619"/>
      <c r="Q754" s="619"/>
      <c r="R754" s="619"/>
      <c r="S754" s="619"/>
      <c r="T754" s="619"/>
      <c r="U754" s="619"/>
      <c r="V754" s="619"/>
      <c r="W754" s="619"/>
      <c r="X754" s="619"/>
      <c r="Y754" s="619"/>
      <c r="Z754" s="619"/>
    </row>
    <row r="755" spans="1:26" ht="11.25" customHeight="1">
      <c r="A755" s="619"/>
      <c r="B755" s="619"/>
      <c r="C755" s="619"/>
      <c r="D755" s="619"/>
      <c r="E755" s="619"/>
      <c r="F755" s="619"/>
      <c r="G755" s="621"/>
      <c r="H755" s="619"/>
      <c r="I755" s="619"/>
      <c r="J755" s="619"/>
      <c r="K755" s="619"/>
      <c r="L755" s="619"/>
      <c r="M755" s="619"/>
      <c r="N755" s="619"/>
      <c r="O755" s="619"/>
      <c r="P755" s="619"/>
      <c r="Q755" s="619"/>
      <c r="R755" s="619"/>
      <c r="S755" s="619"/>
      <c r="T755" s="619"/>
      <c r="U755" s="619"/>
      <c r="V755" s="619"/>
      <c r="W755" s="619"/>
      <c r="X755" s="619"/>
      <c r="Y755" s="619"/>
      <c r="Z755" s="619"/>
    </row>
    <row r="756" spans="1:26" ht="11.25" customHeight="1">
      <c r="A756" s="619"/>
      <c r="B756" s="619"/>
      <c r="C756" s="619"/>
      <c r="D756" s="619"/>
      <c r="E756" s="619"/>
      <c r="F756" s="619"/>
      <c r="G756" s="621"/>
      <c r="H756" s="619"/>
      <c r="I756" s="619"/>
      <c r="J756" s="619"/>
      <c r="K756" s="619"/>
      <c r="L756" s="619"/>
      <c r="M756" s="619"/>
      <c r="N756" s="619"/>
      <c r="O756" s="619"/>
      <c r="P756" s="619"/>
      <c r="Q756" s="619"/>
      <c r="R756" s="619"/>
      <c r="S756" s="619"/>
      <c r="T756" s="619"/>
      <c r="U756" s="619"/>
      <c r="V756" s="619"/>
      <c r="W756" s="619"/>
      <c r="X756" s="619"/>
      <c r="Y756" s="619"/>
      <c r="Z756" s="619"/>
    </row>
    <row r="757" spans="1:26" ht="11.25" customHeight="1">
      <c r="A757" s="619"/>
      <c r="B757" s="619"/>
      <c r="C757" s="619"/>
      <c r="D757" s="619"/>
      <c r="E757" s="619"/>
      <c r="F757" s="619"/>
      <c r="G757" s="621"/>
      <c r="H757" s="619"/>
      <c r="I757" s="619"/>
      <c r="J757" s="619"/>
      <c r="K757" s="619"/>
      <c r="L757" s="619"/>
      <c r="M757" s="619"/>
      <c r="N757" s="619"/>
      <c r="O757" s="619"/>
      <c r="P757" s="619"/>
      <c r="Q757" s="619"/>
      <c r="R757" s="619"/>
      <c r="S757" s="619"/>
      <c r="T757" s="619"/>
      <c r="U757" s="619"/>
      <c r="V757" s="619"/>
      <c r="W757" s="619"/>
      <c r="X757" s="619"/>
      <c r="Y757" s="619"/>
      <c r="Z757" s="619"/>
    </row>
    <row r="758" spans="1:26" ht="11.25" customHeight="1">
      <c r="A758" s="619"/>
      <c r="B758" s="619"/>
      <c r="C758" s="619"/>
      <c r="D758" s="619"/>
      <c r="E758" s="619"/>
      <c r="F758" s="619"/>
      <c r="G758" s="621"/>
      <c r="H758" s="619"/>
      <c r="I758" s="619"/>
      <c r="J758" s="619"/>
      <c r="K758" s="619"/>
      <c r="L758" s="619"/>
      <c r="M758" s="619"/>
      <c r="N758" s="619"/>
      <c r="O758" s="619"/>
      <c r="P758" s="619"/>
      <c r="Q758" s="619"/>
      <c r="R758" s="619"/>
      <c r="S758" s="619"/>
      <c r="T758" s="619"/>
      <c r="U758" s="619"/>
      <c r="V758" s="619"/>
      <c r="W758" s="619"/>
      <c r="X758" s="619"/>
      <c r="Y758" s="619"/>
      <c r="Z758" s="619"/>
    </row>
    <row r="759" spans="1:26" ht="11.25" customHeight="1">
      <c r="A759" s="619"/>
      <c r="B759" s="619"/>
      <c r="C759" s="619"/>
      <c r="D759" s="619"/>
      <c r="E759" s="619"/>
      <c r="F759" s="619"/>
      <c r="G759" s="621"/>
      <c r="H759" s="619"/>
      <c r="I759" s="619"/>
      <c r="J759" s="619"/>
      <c r="K759" s="619"/>
      <c r="L759" s="619"/>
      <c r="M759" s="619"/>
      <c r="N759" s="619"/>
      <c r="O759" s="619"/>
      <c r="P759" s="619"/>
      <c r="Q759" s="619"/>
      <c r="R759" s="619"/>
      <c r="S759" s="619"/>
      <c r="T759" s="619"/>
      <c r="U759" s="619"/>
      <c r="V759" s="619"/>
      <c r="W759" s="619"/>
      <c r="X759" s="619"/>
      <c r="Y759" s="619"/>
      <c r="Z759" s="619"/>
    </row>
    <row r="760" spans="1:26" ht="11.25" customHeight="1">
      <c r="A760" s="619"/>
      <c r="B760" s="619"/>
      <c r="C760" s="619"/>
      <c r="D760" s="619"/>
      <c r="E760" s="619"/>
      <c r="F760" s="619"/>
      <c r="G760" s="621"/>
      <c r="H760" s="619"/>
      <c r="I760" s="619"/>
      <c r="J760" s="619"/>
      <c r="K760" s="619"/>
      <c r="L760" s="619"/>
      <c r="M760" s="619"/>
      <c r="N760" s="619"/>
      <c r="O760" s="619"/>
      <c r="P760" s="619"/>
      <c r="Q760" s="619"/>
      <c r="R760" s="619"/>
      <c r="S760" s="619"/>
      <c r="T760" s="619"/>
      <c r="U760" s="619"/>
      <c r="V760" s="619"/>
      <c r="W760" s="619"/>
      <c r="X760" s="619"/>
      <c r="Y760" s="619"/>
      <c r="Z760" s="619"/>
    </row>
    <row r="761" spans="1:26" ht="11.25" customHeight="1">
      <c r="A761" s="619"/>
      <c r="B761" s="619"/>
      <c r="C761" s="619"/>
      <c r="D761" s="619"/>
      <c r="E761" s="619"/>
      <c r="F761" s="619"/>
      <c r="G761" s="621"/>
      <c r="H761" s="619"/>
      <c r="I761" s="619"/>
      <c r="J761" s="619"/>
      <c r="K761" s="619"/>
      <c r="L761" s="619"/>
      <c r="M761" s="619"/>
      <c r="N761" s="619"/>
      <c r="O761" s="619"/>
      <c r="P761" s="619"/>
      <c r="Q761" s="619"/>
      <c r="R761" s="619"/>
      <c r="S761" s="619"/>
      <c r="T761" s="619"/>
      <c r="U761" s="619"/>
      <c r="V761" s="619"/>
      <c r="W761" s="619"/>
      <c r="X761" s="619"/>
      <c r="Y761" s="619"/>
      <c r="Z761" s="619"/>
    </row>
    <row r="762" spans="1:26" ht="11.25" customHeight="1">
      <c r="A762" s="619"/>
      <c r="B762" s="619"/>
      <c r="C762" s="619"/>
      <c r="D762" s="619"/>
      <c r="E762" s="619"/>
      <c r="F762" s="619"/>
      <c r="G762" s="621"/>
      <c r="H762" s="619"/>
      <c r="I762" s="619"/>
      <c r="J762" s="619"/>
      <c r="K762" s="619"/>
      <c r="L762" s="619"/>
      <c r="M762" s="619"/>
      <c r="N762" s="619"/>
      <c r="O762" s="619"/>
      <c r="P762" s="619"/>
      <c r="Q762" s="619"/>
      <c r="R762" s="619"/>
      <c r="S762" s="619"/>
      <c r="T762" s="619"/>
      <c r="U762" s="619"/>
      <c r="V762" s="619"/>
      <c r="W762" s="619"/>
      <c r="X762" s="619"/>
      <c r="Y762" s="619"/>
      <c r="Z762" s="619"/>
    </row>
    <row r="763" spans="1:26" ht="11.25" customHeight="1">
      <c r="A763" s="619"/>
      <c r="B763" s="619"/>
      <c r="C763" s="619"/>
      <c r="D763" s="619"/>
      <c r="E763" s="619"/>
      <c r="F763" s="619"/>
      <c r="G763" s="621"/>
      <c r="H763" s="619"/>
      <c r="I763" s="619"/>
      <c r="J763" s="619"/>
      <c r="K763" s="619"/>
      <c r="L763" s="619"/>
      <c r="M763" s="619"/>
      <c r="N763" s="619"/>
      <c r="O763" s="619"/>
      <c r="P763" s="619"/>
      <c r="Q763" s="619"/>
      <c r="R763" s="619"/>
      <c r="S763" s="619"/>
      <c r="T763" s="619"/>
      <c r="U763" s="619"/>
      <c r="V763" s="619"/>
      <c r="W763" s="619"/>
      <c r="X763" s="619"/>
      <c r="Y763" s="619"/>
      <c r="Z763" s="619"/>
    </row>
    <row r="764" spans="1:26" ht="11.25" customHeight="1">
      <c r="A764" s="619"/>
      <c r="B764" s="619"/>
      <c r="C764" s="619"/>
      <c r="D764" s="619"/>
      <c r="E764" s="619"/>
      <c r="F764" s="619"/>
      <c r="G764" s="621"/>
      <c r="H764" s="619"/>
      <c r="I764" s="619"/>
      <c r="J764" s="619"/>
      <c r="K764" s="619"/>
      <c r="L764" s="619"/>
      <c r="M764" s="619"/>
      <c r="N764" s="619"/>
      <c r="O764" s="619"/>
      <c r="P764" s="619"/>
      <c r="Q764" s="619"/>
      <c r="R764" s="619"/>
      <c r="S764" s="619"/>
      <c r="T764" s="619"/>
      <c r="U764" s="619"/>
      <c r="V764" s="619"/>
      <c r="W764" s="619"/>
      <c r="X764" s="619"/>
      <c r="Y764" s="619"/>
      <c r="Z764" s="619"/>
    </row>
    <row r="765" spans="1:26" ht="11.25" customHeight="1">
      <c r="A765" s="619"/>
      <c r="B765" s="619"/>
      <c r="C765" s="619"/>
      <c r="D765" s="619"/>
      <c r="E765" s="619"/>
      <c r="F765" s="619"/>
      <c r="G765" s="621"/>
      <c r="H765" s="619"/>
      <c r="I765" s="619"/>
      <c r="J765" s="619"/>
      <c r="K765" s="619"/>
      <c r="L765" s="619"/>
      <c r="M765" s="619"/>
      <c r="N765" s="619"/>
      <c r="O765" s="619"/>
      <c r="P765" s="619"/>
      <c r="Q765" s="619"/>
      <c r="R765" s="619"/>
      <c r="S765" s="619"/>
      <c r="T765" s="619"/>
      <c r="U765" s="619"/>
      <c r="V765" s="619"/>
      <c r="W765" s="619"/>
      <c r="X765" s="619"/>
      <c r="Y765" s="619"/>
      <c r="Z765" s="619"/>
    </row>
    <row r="766" spans="1:26" ht="11.25" customHeight="1">
      <c r="A766" s="619"/>
      <c r="B766" s="619"/>
      <c r="C766" s="619"/>
      <c r="D766" s="619"/>
      <c r="E766" s="619"/>
      <c r="F766" s="619"/>
      <c r="G766" s="621"/>
      <c r="H766" s="619"/>
      <c r="I766" s="619"/>
      <c r="J766" s="619"/>
      <c r="K766" s="619"/>
      <c r="L766" s="619"/>
      <c r="M766" s="619"/>
      <c r="N766" s="619"/>
      <c r="O766" s="619"/>
      <c r="P766" s="619"/>
      <c r="Q766" s="619"/>
      <c r="R766" s="619"/>
      <c r="S766" s="619"/>
      <c r="T766" s="619"/>
      <c r="U766" s="619"/>
      <c r="V766" s="619"/>
      <c r="W766" s="619"/>
      <c r="X766" s="619"/>
      <c r="Y766" s="619"/>
      <c r="Z766" s="619"/>
    </row>
    <row r="767" spans="1:26" ht="11.25" customHeight="1">
      <c r="A767" s="619"/>
      <c r="B767" s="619"/>
      <c r="C767" s="619"/>
      <c r="D767" s="619"/>
      <c r="E767" s="619"/>
      <c r="F767" s="619"/>
      <c r="G767" s="621"/>
      <c r="H767" s="619"/>
      <c r="I767" s="619"/>
      <c r="J767" s="619"/>
      <c r="K767" s="619"/>
      <c r="L767" s="619"/>
      <c r="M767" s="619"/>
      <c r="N767" s="619"/>
      <c r="O767" s="619"/>
      <c r="P767" s="619"/>
      <c r="Q767" s="619"/>
      <c r="R767" s="619"/>
      <c r="S767" s="619"/>
      <c r="T767" s="619"/>
      <c r="U767" s="619"/>
      <c r="V767" s="619"/>
      <c r="W767" s="619"/>
      <c r="X767" s="619"/>
      <c r="Y767" s="619"/>
      <c r="Z767" s="619"/>
    </row>
    <row r="768" spans="1:26" ht="11.25" customHeight="1">
      <c r="A768" s="619"/>
      <c r="B768" s="619"/>
      <c r="C768" s="619"/>
      <c r="D768" s="619"/>
      <c r="E768" s="619"/>
      <c r="F768" s="619"/>
      <c r="G768" s="621"/>
      <c r="H768" s="619"/>
      <c r="I768" s="619"/>
      <c r="J768" s="619"/>
      <c r="K768" s="619"/>
      <c r="L768" s="619"/>
      <c r="M768" s="619"/>
      <c r="N768" s="619"/>
      <c r="O768" s="619"/>
      <c r="P768" s="619"/>
      <c r="Q768" s="619"/>
      <c r="R768" s="619"/>
      <c r="S768" s="619"/>
      <c r="T768" s="619"/>
      <c r="U768" s="619"/>
      <c r="V768" s="619"/>
      <c r="W768" s="619"/>
      <c r="X768" s="619"/>
      <c r="Y768" s="619"/>
      <c r="Z768" s="619"/>
    </row>
    <row r="769" spans="1:26" ht="11.25" customHeight="1">
      <c r="A769" s="619"/>
      <c r="B769" s="619"/>
      <c r="C769" s="619"/>
      <c r="D769" s="619"/>
      <c r="E769" s="619"/>
      <c r="F769" s="619"/>
      <c r="G769" s="621"/>
      <c r="H769" s="619"/>
      <c r="I769" s="619"/>
      <c r="J769" s="619"/>
      <c r="K769" s="619"/>
      <c r="L769" s="619"/>
      <c r="M769" s="619"/>
      <c r="N769" s="619"/>
      <c r="O769" s="619"/>
      <c r="P769" s="619"/>
      <c r="Q769" s="619"/>
      <c r="R769" s="619"/>
      <c r="S769" s="619"/>
      <c r="T769" s="619"/>
      <c r="U769" s="619"/>
      <c r="V769" s="619"/>
      <c r="W769" s="619"/>
      <c r="X769" s="619"/>
      <c r="Y769" s="619"/>
      <c r="Z769" s="619"/>
    </row>
    <row r="770" spans="1:26" ht="11.25" customHeight="1">
      <c r="A770" s="619"/>
      <c r="B770" s="619"/>
      <c r="C770" s="619"/>
      <c r="D770" s="619"/>
      <c r="E770" s="619"/>
      <c r="F770" s="619"/>
      <c r="G770" s="621"/>
      <c r="H770" s="619"/>
      <c r="I770" s="619"/>
      <c r="J770" s="619"/>
      <c r="K770" s="619"/>
      <c r="L770" s="619"/>
      <c r="M770" s="619"/>
      <c r="N770" s="619"/>
      <c r="O770" s="619"/>
      <c r="P770" s="619"/>
      <c r="Q770" s="619"/>
      <c r="R770" s="619"/>
      <c r="S770" s="619"/>
      <c r="T770" s="619"/>
      <c r="U770" s="619"/>
      <c r="V770" s="619"/>
      <c r="W770" s="619"/>
      <c r="X770" s="619"/>
      <c r="Y770" s="619"/>
      <c r="Z770" s="619"/>
    </row>
    <row r="771" spans="1:26" ht="11.25" customHeight="1">
      <c r="A771" s="619"/>
      <c r="B771" s="619"/>
      <c r="C771" s="619"/>
      <c r="D771" s="619"/>
      <c r="E771" s="619"/>
      <c r="F771" s="619"/>
      <c r="G771" s="621"/>
      <c r="H771" s="619"/>
      <c r="I771" s="619"/>
      <c r="J771" s="619"/>
      <c r="K771" s="619"/>
      <c r="L771" s="619"/>
      <c r="M771" s="619"/>
      <c r="N771" s="619"/>
      <c r="O771" s="619"/>
      <c r="P771" s="619"/>
      <c r="Q771" s="619"/>
      <c r="R771" s="619"/>
      <c r="S771" s="619"/>
      <c r="T771" s="619"/>
      <c r="U771" s="619"/>
      <c r="V771" s="619"/>
      <c r="W771" s="619"/>
      <c r="X771" s="619"/>
      <c r="Y771" s="619"/>
      <c r="Z771" s="619"/>
    </row>
    <row r="772" spans="1:26" ht="11.25" customHeight="1">
      <c r="A772" s="619"/>
      <c r="B772" s="619"/>
      <c r="C772" s="619"/>
      <c r="D772" s="619"/>
      <c r="E772" s="619"/>
      <c r="F772" s="619"/>
      <c r="G772" s="621"/>
      <c r="H772" s="619"/>
      <c r="I772" s="619"/>
      <c r="J772" s="619"/>
      <c r="K772" s="619"/>
      <c r="L772" s="619"/>
      <c r="M772" s="619"/>
      <c r="N772" s="619"/>
      <c r="O772" s="619"/>
      <c r="P772" s="619"/>
      <c r="Q772" s="619"/>
      <c r="R772" s="619"/>
      <c r="S772" s="619"/>
      <c r="T772" s="619"/>
      <c r="U772" s="619"/>
      <c r="V772" s="619"/>
      <c r="W772" s="619"/>
      <c r="X772" s="619"/>
      <c r="Y772" s="619"/>
      <c r="Z772" s="619"/>
    </row>
    <row r="773" spans="1:26" ht="11.25" customHeight="1">
      <c r="A773" s="619"/>
      <c r="B773" s="619"/>
      <c r="C773" s="619"/>
      <c r="D773" s="619"/>
      <c r="E773" s="619"/>
      <c r="F773" s="619"/>
      <c r="G773" s="621"/>
      <c r="H773" s="619"/>
      <c r="I773" s="619"/>
      <c r="J773" s="619"/>
      <c r="K773" s="619"/>
      <c r="L773" s="619"/>
      <c r="M773" s="619"/>
      <c r="N773" s="619"/>
      <c r="O773" s="619"/>
      <c r="P773" s="619"/>
      <c r="Q773" s="619"/>
      <c r="R773" s="619"/>
      <c r="S773" s="619"/>
      <c r="T773" s="619"/>
      <c r="U773" s="619"/>
      <c r="V773" s="619"/>
      <c r="W773" s="619"/>
      <c r="X773" s="619"/>
      <c r="Y773" s="619"/>
      <c r="Z773" s="619"/>
    </row>
    <row r="774" spans="1:26" ht="11.25" customHeight="1">
      <c r="A774" s="619"/>
      <c r="B774" s="619"/>
      <c r="C774" s="619"/>
      <c r="D774" s="619"/>
      <c r="E774" s="619"/>
      <c r="F774" s="619"/>
      <c r="G774" s="621"/>
      <c r="H774" s="619"/>
      <c r="I774" s="619"/>
      <c r="J774" s="619"/>
      <c r="K774" s="619"/>
      <c r="L774" s="619"/>
      <c r="M774" s="619"/>
      <c r="N774" s="619"/>
      <c r="O774" s="619"/>
      <c r="P774" s="619"/>
      <c r="Q774" s="619"/>
      <c r="R774" s="619"/>
      <c r="S774" s="619"/>
      <c r="T774" s="619"/>
      <c r="U774" s="619"/>
      <c r="V774" s="619"/>
      <c r="W774" s="619"/>
      <c r="X774" s="619"/>
      <c r="Y774" s="619"/>
      <c r="Z774" s="619"/>
    </row>
    <row r="775" spans="1:26" ht="11.25" customHeight="1">
      <c r="A775" s="619"/>
      <c r="B775" s="619"/>
      <c r="C775" s="619"/>
      <c r="D775" s="619"/>
      <c r="E775" s="619"/>
      <c r="F775" s="619"/>
      <c r="G775" s="621"/>
      <c r="H775" s="619"/>
      <c r="I775" s="619"/>
      <c r="J775" s="619"/>
      <c r="K775" s="619"/>
      <c r="L775" s="619"/>
      <c r="M775" s="619"/>
      <c r="N775" s="619"/>
      <c r="O775" s="619"/>
      <c r="P775" s="619"/>
      <c r="Q775" s="619"/>
      <c r="R775" s="619"/>
      <c r="S775" s="619"/>
      <c r="T775" s="619"/>
      <c r="U775" s="619"/>
      <c r="V775" s="619"/>
      <c r="W775" s="619"/>
      <c r="X775" s="619"/>
      <c r="Y775" s="619"/>
      <c r="Z775" s="619"/>
    </row>
    <row r="776" spans="1:26" ht="11.25" customHeight="1">
      <c r="A776" s="619"/>
      <c r="B776" s="619"/>
      <c r="C776" s="619"/>
      <c r="D776" s="619"/>
      <c r="E776" s="619"/>
      <c r="F776" s="619"/>
      <c r="G776" s="621"/>
      <c r="H776" s="619"/>
      <c r="I776" s="619"/>
      <c r="J776" s="619"/>
      <c r="K776" s="619"/>
      <c r="L776" s="619"/>
      <c r="M776" s="619"/>
      <c r="N776" s="619"/>
      <c r="O776" s="619"/>
      <c r="P776" s="619"/>
      <c r="Q776" s="619"/>
      <c r="R776" s="619"/>
      <c r="S776" s="619"/>
      <c r="T776" s="619"/>
      <c r="U776" s="619"/>
      <c r="V776" s="619"/>
      <c r="W776" s="619"/>
      <c r="X776" s="619"/>
      <c r="Y776" s="619"/>
      <c r="Z776" s="619"/>
    </row>
    <row r="777" spans="1:26" ht="11.25" customHeight="1">
      <c r="A777" s="619"/>
      <c r="B777" s="619"/>
      <c r="C777" s="619"/>
      <c r="D777" s="619"/>
      <c r="E777" s="619"/>
      <c r="F777" s="619"/>
      <c r="G777" s="621"/>
      <c r="H777" s="619"/>
      <c r="I777" s="619"/>
      <c r="J777" s="619"/>
      <c r="K777" s="619"/>
      <c r="L777" s="619"/>
      <c r="M777" s="619"/>
      <c r="N777" s="619"/>
      <c r="O777" s="619"/>
      <c r="P777" s="619"/>
      <c r="Q777" s="619"/>
      <c r="R777" s="619"/>
      <c r="S777" s="619"/>
      <c r="T777" s="619"/>
      <c r="U777" s="619"/>
      <c r="V777" s="619"/>
      <c r="W777" s="619"/>
      <c r="X777" s="619"/>
      <c r="Y777" s="619"/>
      <c r="Z777" s="619"/>
    </row>
    <row r="778" spans="1:26" ht="11.25" customHeight="1">
      <c r="A778" s="619"/>
      <c r="B778" s="619"/>
      <c r="C778" s="619"/>
      <c r="D778" s="619"/>
      <c r="E778" s="619"/>
      <c r="F778" s="619"/>
      <c r="G778" s="621"/>
      <c r="H778" s="619"/>
      <c r="I778" s="619"/>
      <c r="J778" s="619"/>
      <c r="K778" s="619"/>
      <c r="L778" s="619"/>
      <c r="M778" s="619"/>
      <c r="N778" s="619"/>
      <c r="O778" s="619"/>
      <c r="P778" s="619"/>
      <c r="Q778" s="619"/>
      <c r="R778" s="619"/>
      <c r="S778" s="619"/>
      <c r="T778" s="619"/>
      <c r="U778" s="619"/>
      <c r="V778" s="619"/>
      <c r="W778" s="619"/>
      <c r="X778" s="619"/>
      <c r="Y778" s="619"/>
      <c r="Z778" s="619"/>
    </row>
    <row r="779" spans="1:26" ht="11.25" customHeight="1">
      <c r="A779" s="619"/>
      <c r="B779" s="619"/>
      <c r="C779" s="619"/>
      <c r="D779" s="619"/>
      <c r="E779" s="619"/>
      <c r="F779" s="619"/>
      <c r="G779" s="621"/>
      <c r="H779" s="619"/>
      <c r="I779" s="619"/>
      <c r="J779" s="619"/>
      <c r="K779" s="619"/>
      <c r="L779" s="619"/>
      <c r="M779" s="619"/>
      <c r="N779" s="619"/>
      <c r="O779" s="619"/>
      <c r="P779" s="619"/>
      <c r="Q779" s="619"/>
      <c r="R779" s="619"/>
      <c r="S779" s="619"/>
      <c r="T779" s="619"/>
      <c r="U779" s="619"/>
      <c r="V779" s="619"/>
      <c r="W779" s="619"/>
      <c r="X779" s="619"/>
      <c r="Y779" s="619"/>
      <c r="Z779" s="619"/>
    </row>
    <row r="780" spans="1:26" ht="11.25" customHeight="1">
      <c r="A780" s="619"/>
      <c r="B780" s="619"/>
      <c r="C780" s="619"/>
      <c r="D780" s="619"/>
      <c r="E780" s="619"/>
      <c r="F780" s="619"/>
      <c r="G780" s="621"/>
      <c r="H780" s="619"/>
      <c r="I780" s="619"/>
      <c r="J780" s="619"/>
      <c r="K780" s="619"/>
      <c r="L780" s="619"/>
      <c r="M780" s="619"/>
      <c r="N780" s="619"/>
      <c r="O780" s="619"/>
      <c r="P780" s="619"/>
      <c r="Q780" s="619"/>
      <c r="R780" s="619"/>
      <c r="S780" s="619"/>
      <c r="T780" s="619"/>
      <c r="U780" s="619"/>
      <c r="V780" s="619"/>
      <c r="W780" s="619"/>
      <c r="X780" s="619"/>
      <c r="Y780" s="619"/>
      <c r="Z780" s="619"/>
    </row>
    <row r="781" spans="1:26" ht="11.25" customHeight="1">
      <c r="A781" s="619"/>
      <c r="B781" s="619"/>
      <c r="C781" s="619"/>
      <c r="D781" s="619"/>
      <c r="E781" s="619"/>
      <c r="F781" s="619"/>
      <c r="G781" s="621"/>
      <c r="H781" s="619"/>
      <c r="I781" s="619"/>
      <c r="J781" s="619"/>
      <c r="K781" s="619"/>
      <c r="L781" s="619"/>
      <c r="M781" s="619"/>
      <c r="N781" s="619"/>
      <c r="O781" s="619"/>
      <c r="P781" s="619"/>
      <c r="Q781" s="619"/>
      <c r="R781" s="619"/>
      <c r="S781" s="619"/>
      <c r="T781" s="619"/>
      <c r="U781" s="619"/>
      <c r="V781" s="619"/>
      <c r="W781" s="619"/>
      <c r="X781" s="619"/>
      <c r="Y781" s="619"/>
      <c r="Z781" s="619"/>
    </row>
    <row r="782" spans="1:26" ht="11.25" customHeight="1">
      <c r="A782" s="619"/>
      <c r="B782" s="619"/>
      <c r="C782" s="619"/>
      <c r="D782" s="619"/>
      <c r="E782" s="619"/>
      <c r="F782" s="619"/>
      <c r="G782" s="621"/>
      <c r="H782" s="619"/>
      <c r="I782" s="619"/>
      <c r="J782" s="619"/>
      <c r="K782" s="619"/>
      <c r="L782" s="619"/>
      <c r="M782" s="619"/>
      <c r="N782" s="619"/>
      <c r="O782" s="619"/>
      <c r="P782" s="619"/>
      <c r="Q782" s="619"/>
      <c r="R782" s="619"/>
      <c r="S782" s="619"/>
      <c r="T782" s="619"/>
      <c r="U782" s="619"/>
      <c r="V782" s="619"/>
      <c r="W782" s="619"/>
      <c r="X782" s="619"/>
      <c r="Y782" s="619"/>
      <c r="Z782" s="619"/>
    </row>
    <row r="783" spans="1:26" ht="11.25" customHeight="1">
      <c r="A783" s="619"/>
      <c r="B783" s="619"/>
      <c r="C783" s="619"/>
      <c r="D783" s="619"/>
      <c r="E783" s="619"/>
      <c r="F783" s="619"/>
      <c r="G783" s="621"/>
      <c r="H783" s="619"/>
      <c r="I783" s="619"/>
      <c r="J783" s="619"/>
      <c r="K783" s="619"/>
      <c r="L783" s="619"/>
      <c r="M783" s="619"/>
      <c r="N783" s="619"/>
      <c r="O783" s="619"/>
      <c r="P783" s="619"/>
      <c r="Q783" s="619"/>
      <c r="R783" s="619"/>
      <c r="S783" s="619"/>
      <c r="T783" s="619"/>
      <c r="U783" s="619"/>
      <c r="V783" s="619"/>
      <c r="W783" s="619"/>
      <c r="X783" s="619"/>
      <c r="Y783" s="619"/>
      <c r="Z783" s="619"/>
    </row>
    <row r="784" spans="1:26" ht="11.25" customHeight="1">
      <c r="A784" s="619"/>
      <c r="B784" s="619"/>
      <c r="C784" s="619"/>
      <c r="D784" s="619"/>
      <c r="E784" s="619"/>
      <c r="F784" s="619"/>
      <c r="G784" s="621"/>
      <c r="H784" s="619"/>
      <c r="I784" s="619"/>
      <c r="J784" s="619"/>
      <c r="K784" s="619"/>
      <c r="L784" s="619"/>
      <c r="M784" s="619"/>
      <c r="N784" s="619"/>
      <c r="O784" s="619"/>
      <c r="P784" s="619"/>
      <c r="Q784" s="619"/>
      <c r="R784" s="619"/>
      <c r="S784" s="619"/>
      <c r="T784" s="619"/>
      <c r="U784" s="619"/>
      <c r="V784" s="619"/>
      <c r="W784" s="619"/>
      <c r="X784" s="619"/>
      <c r="Y784" s="619"/>
      <c r="Z784" s="619"/>
    </row>
    <row r="785" spans="1:26" ht="11.25" customHeight="1">
      <c r="A785" s="619"/>
      <c r="B785" s="619"/>
      <c r="C785" s="619"/>
      <c r="D785" s="619"/>
      <c r="E785" s="619"/>
      <c r="F785" s="619"/>
      <c r="G785" s="621"/>
      <c r="H785" s="619"/>
      <c r="I785" s="619"/>
      <c r="J785" s="619"/>
      <c r="K785" s="619"/>
      <c r="L785" s="619"/>
      <c r="M785" s="619"/>
      <c r="N785" s="619"/>
      <c r="O785" s="619"/>
      <c r="P785" s="619"/>
      <c r="Q785" s="619"/>
      <c r="R785" s="619"/>
      <c r="S785" s="619"/>
      <c r="T785" s="619"/>
      <c r="U785" s="619"/>
      <c r="V785" s="619"/>
      <c r="W785" s="619"/>
      <c r="X785" s="619"/>
      <c r="Y785" s="619"/>
      <c r="Z785" s="619"/>
    </row>
    <row r="786" spans="1:26" ht="11.25" customHeight="1">
      <c r="A786" s="619"/>
      <c r="B786" s="619"/>
      <c r="C786" s="619"/>
      <c r="D786" s="619"/>
      <c r="E786" s="619"/>
      <c r="F786" s="619"/>
      <c r="G786" s="621"/>
      <c r="H786" s="619"/>
      <c r="I786" s="619"/>
      <c r="J786" s="619"/>
      <c r="K786" s="619"/>
      <c r="L786" s="619"/>
      <c r="M786" s="619"/>
      <c r="N786" s="619"/>
      <c r="O786" s="619"/>
      <c r="P786" s="619"/>
      <c r="Q786" s="619"/>
      <c r="R786" s="619"/>
      <c r="S786" s="619"/>
      <c r="T786" s="619"/>
      <c r="U786" s="619"/>
      <c r="V786" s="619"/>
      <c r="W786" s="619"/>
      <c r="X786" s="619"/>
      <c r="Y786" s="619"/>
      <c r="Z786" s="619"/>
    </row>
    <row r="787" spans="1:26" ht="11.25" customHeight="1">
      <c r="A787" s="619"/>
      <c r="B787" s="619"/>
      <c r="C787" s="619"/>
      <c r="D787" s="619"/>
      <c r="E787" s="619"/>
      <c r="F787" s="619"/>
      <c r="G787" s="621"/>
      <c r="H787" s="619"/>
      <c r="I787" s="619"/>
      <c r="J787" s="619"/>
      <c r="K787" s="619"/>
      <c r="L787" s="619"/>
      <c r="M787" s="619"/>
      <c r="N787" s="619"/>
      <c r="O787" s="619"/>
      <c r="P787" s="619"/>
      <c r="Q787" s="619"/>
      <c r="R787" s="619"/>
      <c r="S787" s="619"/>
      <c r="T787" s="619"/>
      <c r="U787" s="619"/>
      <c r="V787" s="619"/>
      <c r="W787" s="619"/>
      <c r="X787" s="619"/>
      <c r="Y787" s="619"/>
      <c r="Z787" s="619"/>
    </row>
    <row r="788" spans="1:26" ht="11.25" customHeight="1">
      <c r="A788" s="619"/>
      <c r="B788" s="619"/>
      <c r="C788" s="619"/>
      <c r="D788" s="619"/>
      <c r="E788" s="619"/>
      <c r="F788" s="619"/>
      <c r="G788" s="621"/>
      <c r="H788" s="619"/>
      <c r="I788" s="619"/>
      <c r="J788" s="619"/>
      <c r="K788" s="619"/>
      <c r="L788" s="619"/>
      <c r="M788" s="619"/>
      <c r="N788" s="619"/>
      <c r="O788" s="619"/>
      <c r="P788" s="619"/>
      <c r="Q788" s="619"/>
      <c r="R788" s="619"/>
      <c r="S788" s="619"/>
      <c r="T788" s="619"/>
      <c r="U788" s="619"/>
      <c r="V788" s="619"/>
      <c r="W788" s="619"/>
      <c r="X788" s="619"/>
      <c r="Y788" s="619"/>
      <c r="Z788" s="619"/>
    </row>
    <row r="789" spans="1:26" ht="11.25" customHeight="1">
      <c r="A789" s="619"/>
      <c r="B789" s="619"/>
      <c r="C789" s="619"/>
      <c r="D789" s="619"/>
      <c r="E789" s="619"/>
      <c r="F789" s="619"/>
      <c r="G789" s="621"/>
      <c r="H789" s="619"/>
      <c r="I789" s="619"/>
      <c r="J789" s="619"/>
      <c r="K789" s="619"/>
      <c r="L789" s="619"/>
      <c r="M789" s="619"/>
      <c r="N789" s="619"/>
      <c r="O789" s="619"/>
      <c r="P789" s="619"/>
      <c r="Q789" s="619"/>
      <c r="R789" s="619"/>
      <c r="S789" s="619"/>
      <c r="T789" s="619"/>
      <c r="U789" s="619"/>
      <c r="V789" s="619"/>
      <c r="W789" s="619"/>
      <c r="X789" s="619"/>
      <c r="Y789" s="619"/>
      <c r="Z789" s="619"/>
    </row>
    <row r="790" spans="1:26" ht="11.25" customHeight="1">
      <c r="A790" s="619"/>
      <c r="B790" s="619"/>
      <c r="C790" s="619"/>
      <c r="D790" s="619"/>
      <c r="E790" s="619"/>
      <c r="F790" s="619"/>
      <c r="G790" s="621"/>
      <c r="H790" s="619"/>
      <c r="I790" s="619"/>
      <c r="J790" s="619"/>
      <c r="K790" s="619"/>
      <c r="L790" s="619"/>
      <c r="M790" s="619"/>
      <c r="N790" s="619"/>
      <c r="O790" s="619"/>
      <c r="P790" s="619"/>
      <c r="Q790" s="619"/>
      <c r="R790" s="619"/>
      <c r="S790" s="619"/>
      <c r="T790" s="619"/>
      <c r="U790" s="619"/>
      <c r="V790" s="619"/>
      <c r="W790" s="619"/>
      <c r="X790" s="619"/>
      <c r="Y790" s="619"/>
      <c r="Z790" s="619"/>
    </row>
    <row r="791" spans="1:26" ht="11.25" customHeight="1">
      <c r="A791" s="619"/>
      <c r="B791" s="619"/>
      <c r="C791" s="619"/>
      <c r="D791" s="619"/>
      <c r="E791" s="619"/>
      <c r="F791" s="619"/>
      <c r="G791" s="621"/>
      <c r="H791" s="619"/>
      <c r="I791" s="619"/>
      <c r="J791" s="619"/>
      <c r="K791" s="619"/>
      <c r="L791" s="619"/>
      <c r="M791" s="619"/>
      <c r="N791" s="619"/>
      <c r="O791" s="619"/>
      <c r="P791" s="619"/>
      <c r="Q791" s="619"/>
      <c r="R791" s="619"/>
      <c r="S791" s="619"/>
      <c r="T791" s="619"/>
      <c r="U791" s="619"/>
      <c r="V791" s="619"/>
      <c r="W791" s="619"/>
      <c r="X791" s="619"/>
      <c r="Y791" s="619"/>
      <c r="Z791" s="619"/>
    </row>
    <row r="792" spans="1:26" ht="11.25" customHeight="1">
      <c r="A792" s="619"/>
      <c r="B792" s="619"/>
      <c r="C792" s="619"/>
      <c r="D792" s="619"/>
      <c r="E792" s="619"/>
      <c r="F792" s="619"/>
      <c r="G792" s="621"/>
      <c r="H792" s="619"/>
      <c r="I792" s="619"/>
      <c r="J792" s="619"/>
      <c r="K792" s="619"/>
      <c r="L792" s="619"/>
      <c r="M792" s="619"/>
      <c r="N792" s="619"/>
      <c r="O792" s="619"/>
      <c r="P792" s="619"/>
      <c r="Q792" s="619"/>
      <c r="R792" s="619"/>
      <c r="S792" s="619"/>
      <c r="T792" s="619"/>
      <c r="U792" s="619"/>
      <c r="V792" s="619"/>
      <c r="W792" s="619"/>
      <c r="X792" s="619"/>
      <c r="Y792" s="619"/>
      <c r="Z792" s="619"/>
    </row>
    <row r="793" spans="1:26" ht="11.25" customHeight="1">
      <c r="A793" s="619"/>
      <c r="B793" s="619"/>
      <c r="C793" s="619"/>
      <c r="D793" s="619"/>
      <c r="E793" s="619"/>
      <c r="F793" s="619"/>
      <c r="G793" s="621"/>
      <c r="H793" s="619"/>
      <c r="I793" s="619"/>
      <c r="J793" s="619"/>
      <c r="K793" s="619"/>
      <c r="L793" s="619"/>
      <c r="M793" s="619"/>
      <c r="N793" s="619"/>
      <c r="O793" s="619"/>
      <c r="P793" s="619"/>
      <c r="Q793" s="619"/>
      <c r="R793" s="619"/>
      <c r="S793" s="619"/>
      <c r="T793" s="619"/>
      <c r="U793" s="619"/>
      <c r="V793" s="619"/>
      <c r="W793" s="619"/>
      <c r="X793" s="619"/>
      <c r="Y793" s="619"/>
      <c r="Z793" s="619"/>
    </row>
    <row r="794" spans="1:26" ht="11.25" customHeight="1">
      <c r="A794" s="619"/>
      <c r="B794" s="619"/>
      <c r="C794" s="619"/>
      <c r="D794" s="619"/>
      <c r="E794" s="619"/>
      <c r="F794" s="619"/>
      <c r="G794" s="621"/>
      <c r="H794" s="619"/>
      <c r="I794" s="619"/>
      <c r="J794" s="619"/>
      <c r="K794" s="619"/>
      <c r="L794" s="619"/>
      <c r="M794" s="619"/>
      <c r="N794" s="619"/>
      <c r="O794" s="619"/>
      <c r="P794" s="619"/>
      <c r="Q794" s="619"/>
      <c r="R794" s="619"/>
      <c r="S794" s="619"/>
      <c r="T794" s="619"/>
      <c r="U794" s="619"/>
      <c r="V794" s="619"/>
      <c r="W794" s="619"/>
      <c r="X794" s="619"/>
      <c r="Y794" s="619"/>
      <c r="Z794" s="619"/>
    </row>
    <row r="795" spans="1:26" ht="11.25" customHeight="1">
      <c r="A795" s="619"/>
      <c r="B795" s="619"/>
      <c r="C795" s="619"/>
      <c r="D795" s="619"/>
      <c r="E795" s="619"/>
      <c r="F795" s="619"/>
      <c r="G795" s="621"/>
      <c r="H795" s="619"/>
      <c r="I795" s="619"/>
      <c r="J795" s="619"/>
      <c r="K795" s="619"/>
      <c r="L795" s="619"/>
      <c r="M795" s="619"/>
      <c r="N795" s="619"/>
      <c r="O795" s="619"/>
      <c r="P795" s="619"/>
      <c r="Q795" s="619"/>
      <c r="R795" s="619"/>
      <c r="S795" s="619"/>
      <c r="T795" s="619"/>
      <c r="U795" s="619"/>
      <c r="V795" s="619"/>
      <c r="W795" s="619"/>
      <c r="X795" s="619"/>
      <c r="Y795" s="619"/>
      <c r="Z795" s="619"/>
    </row>
    <row r="796" spans="1:26" ht="11.25" customHeight="1">
      <c r="A796" s="619"/>
      <c r="B796" s="619"/>
      <c r="C796" s="619"/>
      <c r="D796" s="619"/>
      <c r="E796" s="619"/>
      <c r="F796" s="619"/>
      <c r="G796" s="621"/>
      <c r="H796" s="619"/>
      <c r="I796" s="619"/>
      <c r="J796" s="619"/>
      <c r="K796" s="619"/>
      <c r="L796" s="619"/>
      <c r="M796" s="619"/>
      <c r="N796" s="619"/>
      <c r="O796" s="619"/>
      <c r="P796" s="619"/>
      <c r="Q796" s="619"/>
      <c r="R796" s="619"/>
      <c r="S796" s="619"/>
      <c r="T796" s="619"/>
      <c r="U796" s="619"/>
      <c r="V796" s="619"/>
      <c r="W796" s="619"/>
      <c r="X796" s="619"/>
      <c r="Y796" s="619"/>
      <c r="Z796" s="619"/>
    </row>
    <row r="797" spans="1:26" ht="11.25" customHeight="1">
      <c r="A797" s="619"/>
      <c r="B797" s="619"/>
      <c r="C797" s="619"/>
      <c r="D797" s="619"/>
      <c r="E797" s="619"/>
      <c r="F797" s="619"/>
      <c r="G797" s="621"/>
      <c r="H797" s="619"/>
      <c r="I797" s="619"/>
      <c r="J797" s="619"/>
      <c r="K797" s="619"/>
      <c r="L797" s="619"/>
      <c r="M797" s="619"/>
      <c r="N797" s="619"/>
      <c r="O797" s="619"/>
      <c r="P797" s="619"/>
      <c r="Q797" s="619"/>
      <c r="R797" s="619"/>
      <c r="S797" s="619"/>
      <c r="T797" s="619"/>
      <c r="U797" s="619"/>
      <c r="V797" s="619"/>
      <c r="W797" s="619"/>
      <c r="X797" s="619"/>
      <c r="Y797" s="619"/>
      <c r="Z797" s="619"/>
    </row>
    <row r="798" spans="1:26" ht="11.25" customHeight="1">
      <c r="A798" s="619"/>
      <c r="B798" s="619"/>
      <c r="C798" s="619"/>
      <c r="D798" s="619"/>
      <c r="E798" s="619"/>
      <c r="F798" s="619"/>
      <c r="G798" s="621"/>
      <c r="H798" s="619"/>
      <c r="I798" s="619"/>
      <c r="J798" s="619"/>
      <c r="K798" s="619"/>
      <c r="L798" s="619"/>
      <c r="M798" s="619"/>
      <c r="N798" s="619"/>
      <c r="O798" s="619"/>
      <c r="P798" s="619"/>
      <c r="Q798" s="619"/>
      <c r="R798" s="619"/>
      <c r="S798" s="619"/>
      <c r="T798" s="619"/>
      <c r="U798" s="619"/>
      <c r="V798" s="619"/>
      <c r="W798" s="619"/>
      <c r="X798" s="619"/>
      <c r="Y798" s="619"/>
      <c r="Z798" s="619"/>
    </row>
    <row r="799" spans="1:26" ht="11.25" customHeight="1">
      <c r="A799" s="619"/>
      <c r="B799" s="619"/>
      <c r="C799" s="619"/>
      <c r="D799" s="619"/>
      <c r="E799" s="619"/>
      <c r="F799" s="619"/>
      <c r="G799" s="621"/>
      <c r="H799" s="619"/>
      <c r="I799" s="619"/>
      <c r="J799" s="619"/>
      <c r="K799" s="619"/>
      <c r="L799" s="619"/>
      <c r="M799" s="619"/>
      <c r="N799" s="619"/>
      <c r="O799" s="619"/>
      <c r="P799" s="619"/>
      <c r="Q799" s="619"/>
      <c r="R799" s="619"/>
      <c r="S799" s="619"/>
      <c r="T799" s="619"/>
      <c r="U799" s="619"/>
      <c r="V799" s="619"/>
      <c r="W799" s="619"/>
      <c r="X799" s="619"/>
      <c r="Y799" s="619"/>
      <c r="Z799" s="619"/>
    </row>
    <row r="800" spans="1:26" ht="11.25" customHeight="1">
      <c r="A800" s="619"/>
      <c r="B800" s="619"/>
      <c r="C800" s="619"/>
      <c r="D800" s="619"/>
      <c r="E800" s="619"/>
      <c r="F800" s="619"/>
      <c r="G800" s="621"/>
      <c r="H800" s="619"/>
      <c r="I800" s="619"/>
      <c r="J800" s="619"/>
      <c r="K800" s="619"/>
      <c r="L800" s="619"/>
      <c r="M800" s="619"/>
      <c r="N800" s="619"/>
      <c r="O800" s="619"/>
      <c r="P800" s="619"/>
      <c r="Q800" s="619"/>
      <c r="R800" s="619"/>
      <c r="S800" s="619"/>
      <c r="T800" s="619"/>
      <c r="U800" s="619"/>
      <c r="V800" s="619"/>
      <c r="W800" s="619"/>
      <c r="X800" s="619"/>
      <c r="Y800" s="619"/>
      <c r="Z800" s="619"/>
    </row>
    <row r="801" spans="1:26" ht="11.25" customHeight="1">
      <c r="A801" s="619"/>
      <c r="B801" s="619"/>
      <c r="C801" s="619"/>
      <c r="D801" s="619"/>
      <c r="E801" s="619"/>
      <c r="F801" s="619"/>
      <c r="G801" s="621"/>
      <c r="H801" s="619"/>
      <c r="I801" s="619"/>
      <c r="J801" s="619"/>
      <c r="K801" s="619"/>
      <c r="L801" s="619"/>
      <c r="M801" s="619"/>
      <c r="N801" s="619"/>
      <c r="O801" s="619"/>
      <c r="P801" s="619"/>
      <c r="Q801" s="619"/>
      <c r="R801" s="619"/>
      <c r="S801" s="619"/>
      <c r="T801" s="619"/>
      <c r="U801" s="619"/>
      <c r="V801" s="619"/>
      <c r="W801" s="619"/>
      <c r="X801" s="619"/>
      <c r="Y801" s="619"/>
      <c r="Z801" s="619"/>
    </row>
    <row r="802" spans="1:26" ht="11.25" customHeight="1">
      <c r="A802" s="619"/>
      <c r="B802" s="619"/>
      <c r="C802" s="619"/>
      <c r="D802" s="619"/>
      <c r="E802" s="619"/>
      <c r="F802" s="619"/>
      <c r="G802" s="621"/>
      <c r="H802" s="619"/>
      <c r="I802" s="619"/>
      <c r="J802" s="619"/>
      <c r="K802" s="619"/>
      <c r="L802" s="619"/>
      <c r="M802" s="619"/>
      <c r="N802" s="619"/>
      <c r="O802" s="619"/>
      <c r="P802" s="619"/>
      <c r="Q802" s="619"/>
      <c r="R802" s="619"/>
      <c r="S802" s="619"/>
      <c r="T802" s="619"/>
      <c r="U802" s="619"/>
      <c r="V802" s="619"/>
      <c r="W802" s="619"/>
      <c r="X802" s="619"/>
      <c r="Y802" s="619"/>
      <c r="Z802" s="619"/>
    </row>
    <row r="803" spans="1:26" ht="11.25" customHeight="1">
      <c r="A803" s="619"/>
      <c r="B803" s="619"/>
      <c r="C803" s="619"/>
      <c r="D803" s="619"/>
      <c r="E803" s="619"/>
      <c r="F803" s="619"/>
      <c r="G803" s="621"/>
      <c r="H803" s="619"/>
      <c r="I803" s="619"/>
      <c r="J803" s="619"/>
      <c r="K803" s="619"/>
      <c r="L803" s="619"/>
      <c r="M803" s="619"/>
      <c r="N803" s="619"/>
      <c r="O803" s="619"/>
      <c r="P803" s="619"/>
      <c r="Q803" s="619"/>
      <c r="R803" s="619"/>
      <c r="S803" s="619"/>
      <c r="T803" s="619"/>
      <c r="U803" s="619"/>
      <c r="V803" s="619"/>
      <c r="W803" s="619"/>
      <c r="X803" s="619"/>
      <c r="Y803" s="619"/>
      <c r="Z803" s="619"/>
    </row>
    <row r="804" spans="1:26" ht="11.25" customHeight="1">
      <c r="A804" s="619"/>
      <c r="B804" s="619"/>
      <c r="C804" s="619"/>
      <c r="D804" s="619"/>
      <c r="E804" s="619"/>
      <c r="F804" s="619"/>
      <c r="G804" s="621"/>
      <c r="H804" s="619"/>
      <c r="I804" s="619"/>
      <c r="J804" s="619"/>
      <c r="K804" s="619"/>
      <c r="L804" s="619"/>
      <c r="M804" s="619"/>
      <c r="N804" s="619"/>
      <c r="O804" s="619"/>
      <c r="P804" s="619"/>
      <c r="Q804" s="619"/>
      <c r="R804" s="619"/>
      <c r="S804" s="619"/>
      <c r="T804" s="619"/>
      <c r="U804" s="619"/>
      <c r="V804" s="619"/>
      <c r="W804" s="619"/>
      <c r="X804" s="619"/>
      <c r="Y804" s="619"/>
      <c r="Z804" s="619"/>
    </row>
    <row r="805" spans="1:26" ht="11.25" customHeight="1">
      <c r="A805" s="619"/>
      <c r="B805" s="619"/>
      <c r="C805" s="619"/>
      <c r="D805" s="619"/>
      <c r="E805" s="619"/>
      <c r="F805" s="619"/>
      <c r="G805" s="621"/>
      <c r="H805" s="619"/>
      <c r="I805" s="619"/>
      <c r="J805" s="619"/>
      <c r="K805" s="619"/>
      <c r="L805" s="619"/>
      <c r="M805" s="619"/>
      <c r="N805" s="619"/>
      <c r="O805" s="619"/>
      <c r="P805" s="619"/>
      <c r="Q805" s="619"/>
      <c r="R805" s="619"/>
      <c r="S805" s="619"/>
      <c r="T805" s="619"/>
      <c r="U805" s="619"/>
      <c r="V805" s="619"/>
      <c r="W805" s="619"/>
      <c r="X805" s="619"/>
      <c r="Y805" s="619"/>
      <c r="Z805" s="619"/>
    </row>
    <row r="806" spans="1:26" ht="11.25" customHeight="1">
      <c r="A806" s="619"/>
      <c r="B806" s="619"/>
      <c r="C806" s="619"/>
      <c r="D806" s="619"/>
      <c r="E806" s="619"/>
      <c r="F806" s="619"/>
      <c r="G806" s="621"/>
      <c r="H806" s="619"/>
      <c r="I806" s="619"/>
      <c r="J806" s="619"/>
      <c r="K806" s="619"/>
      <c r="L806" s="619"/>
      <c r="M806" s="619"/>
      <c r="N806" s="619"/>
      <c r="O806" s="619"/>
      <c r="P806" s="619"/>
      <c r="Q806" s="619"/>
      <c r="R806" s="619"/>
      <c r="S806" s="619"/>
      <c r="T806" s="619"/>
      <c r="U806" s="619"/>
      <c r="V806" s="619"/>
      <c r="W806" s="619"/>
      <c r="X806" s="619"/>
      <c r="Y806" s="619"/>
      <c r="Z806" s="619"/>
    </row>
    <row r="807" spans="1:26" ht="11.25" customHeight="1">
      <c r="A807" s="619"/>
      <c r="B807" s="619"/>
      <c r="C807" s="619"/>
      <c r="D807" s="619"/>
      <c r="E807" s="619"/>
      <c r="F807" s="619"/>
      <c r="G807" s="621"/>
      <c r="H807" s="619"/>
      <c r="I807" s="619"/>
      <c r="J807" s="619"/>
      <c r="K807" s="619"/>
      <c r="L807" s="619"/>
      <c r="M807" s="619"/>
      <c r="N807" s="619"/>
      <c r="O807" s="619"/>
      <c r="P807" s="619"/>
      <c r="Q807" s="619"/>
      <c r="R807" s="619"/>
      <c r="S807" s="619"/>
      <c r="T807" s="619"/>
      <c r="U807" s="619"/>
      <c r="V807" s="619"/>
      <c r="W807" s="619"/>
      <c r="X807" s="619"/>
      <c r="Y807" s="619"/>
      <c r="Z807" s="619"/>
    </row>
    <row r="808" spans="1:26" ht="11.25" customHeight="1">
      <c r="A808" s="619"/>
      <c r="B808" s="619"/>
      <c r="C808" s="619"/>
      <c r="D808" s="619"/>
      <c r="E808" s="619"/>
      <c r="F808" s="619"/>
      <c r="G808" s="621"/>
      <c r="H808" s="619"/>
      <c r="I808" s="619"/>
      <c r="J808" s="619"/>
      <c r="K808" s="619"/>
      <c r="L808" s="619"/>
      <c r="M808" s="619"/>
      <c r="N808" s="619"/>
      <c r="O808" s="619"/>
      <c r="P808" s="619"/>
      <c r="Q808" s="619"/>
      <c r="R808" s="619"/>
      <c r="S808" s="619"/>
      <c r="T808" s="619"/>
      <c r="U808" s="619"/>
      <c r="V808" s="619"/>
      <c r="W808" s="619"/>
      <c r="X808" s="619"/>
      <c r="Y808" s="619"/>
      <c r="Z808" s="619"/>
    </row>
    <row r="809" spans="1:26" ht="11.25" customHeight="1">
      <c r="A809" s="619"/>
      <c r="B809" s="619"/>
      <c r="C809" s="619"/>
      <c r="D809" s="619"/>
      <c r="E809" s="619"/>
      <c r="F809" s="619"/>
      <c r="G809" s="621"/>
      <c r="H809" s="619"/>
      <c r="I809" s="619"/>
      <c r="J809" s="619"/>
      <c r="K809" s="619"/>
      <c r="L809" s="619"/>
      <c r="M809" s="619"/>
      <c r="N809" s="619"/>
      <c r="O809" s="619"/>
      <c r="P809" s="619"/>
      <c r="Q809" s="619"/>
      <c r="R809" s="619"/>
      <c r="S809" s="619"/>
      <c r="T809" s="619"/>
      <c r="U809" s="619"/>
      <c r="V809" s="619"/>
      <c r="W809" s="619"/>
      <c r="X809" s="619"/>
      <c r="Y809" s="619"/>
      <c r="Z809" s="619"/>
    </row>
    <row r="810" spans="1:26" ht="11.25" customHeight="1">
      <c r="A810" s="619"/>
      <c r="B810" s="619"/>
      <c r="C810" s="619"/>
      <c r="D810" s="619"/>
      <c r="E810" s="619"/>
      <c r="F810" s="619"/>
      <c r="G810" s="621"/>
      <c r="H810" s="619"/>
      <c r="I810" s="619"/>
      <c r="J810" s="619"/>
      <c r="K810" s="619"/>
      <c r="L810" s="619"/>
      <c r="M810" s="619"/>
      <c r="N810" s="619"/>
      <c r="O810" s="619"/>
      <c r="P810" s="619"/>
      <c r="Q810" s="619"/>
      <c r="R810" s="619"/>
      <c r="S810" s="619"/>
      <c r="T810" s="619"/>
      <c r="U810" s="619"/>
      <c r="V810" s="619"/>
      <c r="W810" s="619"/>
      <c r="X810" s="619"/>
      <c r="Y810" s="619"/>
      <c r="Z810" s="619"/>
    </row>
    <row r="811" spans="1:26" ht="11.25" customHeight="1">
      <c r="A811" s="619"/>
      <c r="B811" s="619"/>
      <c r="C811" s="619"/>
      <c r="D811" s="619"/>
      <c r="E811" s="619"/>
      <c r="F811" s="619"/>
      <c r="G811" s="621"/>
      <c r="H811" s="619"/>
      <c r="I811" s="619"/>
      <c r="J811" s="619"/>
      <c r="K811" s="619"/>
      <c r="L811" s="619"/>
      <c r="M811" s="619"/>
      <c r="N811" s="619"/>
      <c r="O811" s="619"/>
      <c r="P811" s="619"/>
      <c r="Q811" s="619"/>
      <c r="R811" s="619"/>
      <c r="S811" s="619"/>
      <c r="T811" s="619"/>
      <c r="U811" s="619"/>
      <c r="V811" s="619"/>
      <c r="W811" s="619"/>
      <c r="X811" s="619"/>
      <c r="Y811" s="619"/>
      <c r="Z811" s="619"/>
    </row>
    <row r="812" spans="1:26" ht="11.25" customHeight="1">
      <c r="A812" s="619"/>
      <c r="B812" s="619"/>
      <c r="C812" s="619"/>
      <c r="D812" s="619"/>
      <c r="E812" s="619"/>
      <c r="F812" s="619"/>
      <c r="G812" s="621"/>
      <c r="H812" s="619"/>
      <c r="I812" s="619"/>
      <c r="J812" s="619"/>
      <c r="K812" s="619"/>
      <c r="L812" s="619"/>
      <c r="M812" s="619"/>
      <c r="N812" s="619"/>
      <c r="O812" s="619"/>
      <c r="P812" s="619"/>
      <c r="Q812" s="619"/>
      <c r="R812" s="619"/>
      <c r="S812" s="619"/>
      <c r="T812" s="619"/>
      <c r="U812" s="619"/>
      <c r="V812" s="619"/>
      <c r="W812" s="619"/>
      <c r="X812" s="619"/>
      <c r="Y812" s="619"/>
      <c r="Z812" s="619"/>
    </row>
    <row r="813" spans="1:26" ht="11.25" customHeight="1">
      <c r="A813" s="619"/>
      <c r="B813" s="619"/>
      <c r="C813" s="619"/>
      <c r="D813" s="619"/>
      <c r="E813" s="619"/>
      <c r="F813" s="619"/>
      <c r="G813" s="621"/>
      <c r="H813" s="619"/>
      <c r="I813" s="619"/>
      <c r="J813" s="619"/>
      <c r="K813" s="619"/>
      <c r="L813" s="619"/>
      <c r="M813" s="619"/>
      <c r="N813" s="619"/>
      <c r="O813" s="619"/>
      <c r="P813" s="619"/>
      <c r="Q813" s="619"/>
      <c r="R813" s="619"/>
      <c r="S813" s="619"/>
      <c r="T813" s="619"/>
      <c r="U813" s="619"/>
      <c r="V813" s="619"/>
      <c r="W813" s="619"/>
      <c r="X813" s="619"/>
      <c r="Y813" s="619"/>
      <c r="Z813" s="619"/>
    </row>
    <row r="814" spans="1:26" ht="11.25" customHeight="1">
      <c r="A814" s="619"/>
      <c r="B814" s="619"/>
      <c r="C814" s="619"/>
      <c r="D814" s="619"/>
      <c r="E814" s="619"/>
      <c r="F814" s="619"/>
      <c r="G814" s="621"/>
      <c r="H814" s="619"/>
      <c r="I814" s="619"/>
      <c r="J814" s="619"/>
      <c r="K814" s="619"/>
      <c r="L814" s="619"/>
      <c r="M814" s="619"/>
      <c r="N814" s="619"/>
      <c r="O814" s="619"/>
      <c r="P814" s="619"/>
      <c r="Q814" s="619"/>
      <c r="R814" s="619"/>
      <c r="S814" s="619"/>
      <c r="T814" s="619"/>
      <c r="U814" s="619"/>
      <c r="V814" s="619"/>
      <c r="W814" s="619"/>
      <c r="X814" s="619"/>
      <c r="Y814" s="619"/>
      <c r="Z814" s="619"/>
    </row>
    <row r="815" spans="1:26" ht="11.25" customHeight="1">
      <c r="A815" s="619"/>
      <c r="B815" s="619"/>
      <c r="C815" s="619"/>
      <c r="D815" s="619"/>
      <c r="E815" s="619"/>
      <c r="F815" s="619"/>
      <c r="G815" s="621"/>
      <c r="H815" s="619"/>
      <c r="I815" s="619"/>
      <c r="J815" s="619"/>
      <c r="K815" s="619"/>
      <c r="L815" s="619"/>
      <c r="M815" s="619"/>
      <c r="N815" s="619"/>
      <c r="O815" s="619"/>
      <c r="P815" s="619"/>
      <c r="Q815" s="619"/>
      <c r="R815" s="619"/>
      <c r="S815" s="619"/>
      <c r="T815" s="619"/>
      <c r="U815" s="619"/>
      <c r="V815" s="619"/>
      <c r="W815" s="619"/>
      <c r="X815" s="619"/>
      <c r="Y815" s="619"/>
      <c r="Z815" s="619"/>
    </row>
    <row r="816" spans="1:26" ht="11.25" customHeight="1">
      <c r="A816" s="619"/>
      <c r="B816" s="619"/>
      <c r="C816" s="619"/>
      <c r="D816" s="619"/>
      <c r="E816" s="619"/>
      <c r="F816" s="619"/>
      <c r="G816" s="621"/>
      <c r="H816" s="619"/>
      <c r="I816" s="619"/>
      <c r="J816" s="619"/>
      <c r="K816" s="619"/>
      <c r="L816" s="619"/>
      <c r="M816" s="619"/>
      <c r="N816" s="619"/>
      <c r="O816" s="619"/>
      <c r="P816" s="619"/>
      <c r="Q816" s="619"/>
      <c r="R816" s="619"/>
      <c r="S816" s="619"/>
      <c r="T816" s="619"/>
      <c r="U816" s="619"/>
      <c r="V816" s="619"/>
      <c r="W816" s="619"/>
      <c r="X816" s="619"/>
      <c r="Y816" s="619"/>
      <c r="Z816" s="619"/>
    </row>
    <row r="817" spans="1:26" ht="11.25" customHeight="1">
      <c r="A817" s="619"/>
      <c r="B817" s="619"/>
      <c r="C817" s="619"/>
      <c r="D817" s="619"/>
      <c r="E817" s="619"/>
      <c r="F817" s="619"/>
      <c r="G817" s="621"/>
      <c r="H817" s="619"/>
      <c r="I817" s="619"/>
      <c r="J817" s="619"/>
      <c r="K817" s="619"/>
      <c r="L817" s="619"/>
      <c r="M817" s="619"/>
      <c r="N817" s="619"/>
      <c r="O817" s="619"/>
      <c r="P817" s="619"/>
      <c r="Q817" s="619"/>
      <c r="R817" s="619"/>
      <c r="S817" s="619"/>
      <c r="T817" s="619"/>
      <c r="U817" s="619"/>
      <c r="V817" s="619"/>
      <c r="W817" s="619"/>
      <c r="X817" s="619"/>
      <c r="Y817" s="619"/>
      <c r="Z817" s="619"/>
    </row>
    <row r="818" spans="1:26" ht="11.25" customHeight="1">
      <c r="A818" s="619"/>
      <c r="B818" s="619"/>
      <c r="C818" s="619"/>
      <c r="D818" s="619"/>
      <c r="E818" s="619"/>
      <c r="F818" s="619"/>
      <c r="G818" s="621"/>
      <c r="H818" s="619"/>
      <c r="I818" s="619"/>
      <c r="J818" s="619"/>
      <c r="K818" s="619"/>
      <c r="L818" s="619"/>
      <c r="M818" s="619"/>
      <c r="N818" s="619"/>
      <c r="O818" s="619"/>
      <c r="P818" s="619"/>
      <c r="Q818" s="619"/>
      <c r="R818" s="619"/>
      <c r="S818" s="619"/>
      <c r="T818" s="619"/>
      <c r="U818" s="619"/>
      <c r="V818" s="619"/>
      <c r="W818" s="619"/>
      <c r="X818" s="619"/>
      <c r="Y818" s="619"/>
      <c r="Z818" s="619"/>
    </row>
    <row r="819" spans="1:26" ht="11.25" customHeight="1">
      <c r="A819" s="619"/>
      <c r="B819" s="619"/>
      <c r="C819" s="619"/>
      <c r="D819" s="619"/>
      <c r="E819" s="619"/>
      <c r="F819" s="619"/>
      <c r="G819" s="621"/>
      <c r="H819" s="619"/>
      <c r="I819" s="619"/>
      <c r="J819" s="619"/>
      <c r="K819" s="619"/>
      <c r="L819" s="619"/>
      <c r="M819" s="619"/>
      <c r="N819" s="619"/>
      <c r="O819" s="619"/>
      <c r="P819" s="619"/>
      <c r="Q819" s="619"/>
      <c r="R819" s="619"/>
      <c r="S819" s="619"/>
      <c r="T819" s="619"/>
      <c r="U819" s="619"/>
      <c r="V819" s="619"/>
      <c r="W819" s="619"/>
      <c r="X819" s="619"/>
      <c r="Y819" s="619"/>
      <c r="Z819" s="619"/>
    </row>
    <row r="820" spans="1:26" ht="11.25" customHeight="1">
      <c r="A820" s="619"/>
      <c r="B820" s="619"/>
      <c r="C820" s="619"/>
      <c r="D820" s="619"/>
      <c r="E820" s="619"/>
      <c r="F820" s="619"/>
      <c r="G820" s="621"/>
      <c r="H820" s="619"/>
      <c r="I820" s="619"/>
      <c r="J820" s="619"/>
      <c r="K820" s="619"/>
      <c r="L820" s="619"/>
      <c r="M820" s="619"/>
      <c r="N820" s="619"/>
      <c r="O820" s="619"/>
      <c r="P820" s="619"/>
      <c r="Q820" s="619"/>
      <c r="R820" s="619"/>
      <c r="S820" s="619"/>
      <c r="T820" s="619"/>
      <c r="U820" s="619"/>
      <c r="V820" s="619"/>
      <c r="W820" s="619"/>
      <c r="X820" s="619"/>
      <c r="Y820" s="619"/>
      <c r="Z820" s="619"/>
    </row>
    <row r="821" spans="1:26" ht="11.25" customHeight="1">
      <c r="A821" s="619"/>
      <c r="B821" s="619"/>
      <c r="C821" s="619"/>
      <c r="D821" s="619"/>
      <c r="E821" s="619"/>
      <c r="F821" s="619"/>
      <c r="G821" s="621"/>
      <c r="H821" s="619"/>
      <c r="I821" s="619"/>
      <c r="J821" s="619"/>
      <c r="K821" s="619"/>
      <c r="L821" s="619"/>
      <c r="M821" s="619"/>
      <c r="N821" s="619"/>
      <c r="O821" s="619"/>
      <c r="P821" s="619"/>
      <c r="Q821" s="619"/>
      <c r="R821" s="619"/>
      <c r="S821" s="619"/>
      <c r="T821" s="619"/>
      <c r="U821" s="619"/>
      <c r="V821" s="619"/>
      <c r="W821" s="619"/>
      <c r="X821" s="619"/>
      <c r="Y821" s="619"/>
      <c r="Z821" s="619"/>
    </row>
    <row r="822" spans="1:26" ht="11.25" customHeight="1">
      <c r="A822" s="619"/>
      <c r="B822" s="619"/>
      <c r="C822" s="619"/>
      <c r="D822" s="619"/>
      <c r="E822" s="619"/>
      <c r="F822" s="619"/>
      <c r="G822" s="621"/>
      <c r="H822" s="619"/>
      <c r="I822" s="619"/>
      <c r="J822" s="619"/>
      <c r="K822" s="619"/>
      <c r="L822" s="619"/>
      <c r="M822" s="619"/>
      <c r="N822" s="619"/>
      <c r="O822" s="619"/>
      <c r="P822" s="619"/>
      <c r="Q822" s="619"/>
      <c r="R822" s="619"/>
      <c r="S822" s="619"/>
      <c r="T822" s="619"/>
      <c r="U822" s="619"/>
      <c r="V822" s="619"/>
      <c r="W822" s="619"/>
      <c r="X822" s="619"/>
      <c r="Y822" s="619"/>
      <c r="Z822" s="619"/>
    </row>
    <row r="823" spans="1:26" ht="11.25" customHeight="1">
      <c r="A823" s="619"/>
      <c r="B823" s="619"/>
      <c r="C823" s="619"/>
      <c r="D823" s="619"/>
      <c r="E823" s="619"/>
      <c r="F823" s="619"/>
      <c r="G823" s="621"/>
      <c r="H823" s="619"/>
      <c r="I823" s="619"/>
      <c r="J823" s="619"/>
      <c r="K823" s="619"/>
      <c r="L823" s="619"/>
      <c r="M823" s="619"/>
      <c r="N823" s="619"/>
      <c r="O823" s="619"/>
      <c r="P823" s="619"/>
      <c r="Q823" s="619"/>
      <c r="R823" s="619"/>
      <c r="S823" s="619"/>
      <c r="T823" s="619"/>
      <c r="U823" s="619"/>
      <c r="V823" s="619"/>
      <c r="W823" s="619"/>
      <c r="X823" s="619"/>
      <c r="Y823" s="619"/>
      <c r="Z823" s="619"/>
    </row>
    <row r="824" spans="1:26" ht="11.25" customHeight="1">
      <c r="A824" s="619"/>
      <c r="B824" s="619"/>
      <c r="C824" s="619"/>
      <c r="D824" s="619"/>
      <c r="E824" s="619"/>
      <c r="F824" s="619"/>
      <c r="G824" s="621"/>
      <c r="H824" s="619"/>
      <c r="I824" s="619"/>
      <c r="J824" s="619"/>
      <c r="K824" s="619"/>
      <c r="L824" s="619"/>
      <c r="M824" s="619"/>
      <c r="N824" s="619"/>
      <c r="O824" s="619"/>
      <c r="P824" s="619"/>
      <c r="Q824" s="619"/>
      <c r="R824" s="619"/>
      <c r="S824" s="619"/>
      <c r="T824" s="619"/>
      <c r="U824" s="619"/>
      <c r="V824" s="619"/>
      <c r="W824" s="619"/>
      <c r="X824" s="619"/>
      <c r="Y824" s="619"/>
      <c r="Z824" s="619"/>
    </row>
    <row r="825" spans="1:26" ht="11.25" customHeight="1">
      <c r="A825" s="619"/>
      <c r="B825" s="619"/>
      <c r="C825" s="619"/>
      <c r="D825" s="619"/>
      <c r="E825" s="619"/>
      <c r="F825" s="619"/>
      <c r="G825" s="621"/>
      <c r="H825" s="619"/>
      <c r="I825" s="619"/>
      <c r="J825" s="619"/>
      <c r="K825" s="619"/>
      <c r="L825" s="619"/>
      <c r="M825" s="619"/>
      <c r="N825" s="619"/>
      <c r="O825" s="619"/>
      <c r="P825" s="619"/>
      <c r="Q825" s="619"/>
      <c r="R825" s="619"/>
      <c r="S825" s="619"/>
      <c r="T825" s="619"/>
      <c r="U825" s="619"/>
      <c r="V825" s="619"/>
      <c r="W825" s="619"/>
      <c r="X825" s="619"/>
      <c r="Y825" s="619"/>
      <c r="Z825" s="619"/>
    </row>
    <row r="826" spans="1:26" ht="11.25" customHeight="1">
      <c r="A826" s="619"/>
      <c r="B826" s="619"/>
      <c r="C826" s="619"/>
      <c r="D826" s="619"/>
      <c r="E826" s="619"/>
      <c r="F826" s="619"/>
      <c r="G826" s="621"/>
      <c r="H826" s="619"/>
      <c r="I826" s="619"/>
      <c r="J826" s="619"/>
      <c r="K826" s="619"/>
      <c r="L826" s="619"/>
      <c r="M826" s="619"/>
      <c r="N826" s="619"/>
      <c r="O826" s="619"/>
      <c r="P826" s="619"/>
      <c r="Q826" s="619"/>
      <c r="R826" s="619"/>
      <c r="S826" s="619"/>
      <c r="T826" s="619"/>
      <c r="U826" s="619"/>
      <c r="V826" s="619"/>
      <c r="W826" s="619"/>
      <c r="X826" s="619"/>
      <c r="Y826" s="619"/>
      <c r="Z826" s="619"/>
    </row>
    <row r="827" spans="1:26" ht="11.25" customHeight="1">
      <c r="A827" s="619"/>
      <c r="B827" s="619"/>
      <c r="C827" s="619"/>
      <c r="D827" s="619"/>
      <c r="E827" s="619"/>
      <c r="F827" s="619"/>
      <c r="G827" s="621"/>
      <c r="H827" s="619"/>
      <c r="I827" s="619"/>
      <c r="J827" s="619"/>
      <c r="K827" s="619"/>
      <c r="L827" s="619"/>
      <c r="M827" s="619"/>
      <c r="N827" s="619"/>
      <c r="O827" s="619"/>
      <c r="P827" s="619"/>
      <c r="Q827" s="619"/>
      <c r="R827" s="619"/>
      <c r="S827" s="619"/>
      <c r="T827" s="619"/>
      <c r="U827" s="619"/>
      <c r="V827" s="619"/>
      <c r="W827" s="619"/>
      <c r="X827" s="619"/>
      <c r="Y827" s="619"/>
      <c r="Z827" s="619"/>
    </row>
    <row r="828" spans="1:26" ht="11.25" customHeight="1">
      <c r="A828" s="619"/>
      <c r="B828" s="619"/>
      <c r="C828" s="619"/>
      <c r="D828" s="619"/>
      <c r="E828" s="619"/>
      <c r="F828" s="619"/>
      <c r="G828" s="621"/>
      <c r="H828" s="619"/>
      <c r="I828" s="619"/>
      <c r="J828" s="619"/>
      <c r="K828" s="619"/>
      <c r="L828" s="619"/>
      <c r="M828" s="619"/>
      <c r="N828" s="619"/>
      <c r="O828" s="619"/>
      <c r="P828" s="619"/>
      <c r="Q828" s="619"/>
      <c r="R828" s="619"/>
      <c r="S828" s="619"/>
      <c r="T828" s="619"/>
      <c r="U828" s="619"/>
      <c r="V828" s="619"/>
      <c r="W828" s="619"/>
      <c r="X828" s="619"/>
      <c r="Y828" s="619"/>
      <c r="Z828" s="619"/>
    </row>
    <row r="829" spans="1:26" ht="11.25" customHeight="1">
      <c r="A829" s="619"/>
      <c r="B829" s="619"/>
      <c r="C829" s="619"/>
      <c r="D829" s="619"/>
      <c r="E829" s="619"/>
      <c r="F829" s="619"/>
      <c r="G829" s="621"/>
      <c r="H829" s="619"/>
      <c r="I829" s="619"/>
      <c r="J829" s="619"/>
      <c r="K829" s="619"/>
      <c r="L829" s="619"/>
      <c r="M829" s="619"/>
      <c r="N829" s="619"/>
      <c r="O829" s="619"/>
      <c r="P829" s="619"/>
      <c r="Q829" s="619"/>
      <c r="R829" s="619"/>
      <c r="S829" s="619"/>
      <c r="T829" s="619"/>
      <c r="U829" s="619"/>
      <c r="V829" s="619"/>
      <c r="W829" s="619"/>
      <c r="X829" s="619"/>
      <c r="Y829" s="619"/>
      <c r="Z829" s="619"/>
    </row>
    <row r="830" spans="1:26" ht="11.25" customHeight="1">
      <c r="A830" s="619"/>
      <c r="B830" s="619"/>
      <c r="C830" s="619"/>
      <c r="D830" s="619"/>
      <c r="E830" s="619"/>
      <c r="F830" s="619"/>
      <c r="G830" s="621"/>
      <c r="H830" s="619"/>
      <c r="I830" s="619"/>
      <c r="J830" s="619"/>
      <c r="K830" s="619"/>
      <c r="L830" s="619"/>
      <c r="M830" s="619"/>
      <c r="N830" s="619"/>
      <c r="O830" s="619"/>
      <c r="P830" s="619"/>
      <c r="Q830" s="619"/>
      <c r="R830" s="619"/>
      <c r="S830" s="619"/>
      <c r="T830" s="619"/>
      <c r="U830" s="619"/>
      <c r="V830" s="619"/>
      <c r="W830" s="619"/>
      <c r="X830" s="619"/>
      <c r="Y830" s="619"/>
      <c r="Z830" s="619"/>
    </row>
    <row r="831" spans="1:26" ht="11.25" customHeight="1">
      <c r="A831" s="619"/>
      <c r="B831" s="619"/>
      <c r="C831" s="619"/>
      <c r="D831" s="619"/>
      <c r="E831" s="619"/>
      <c r="F831" s="619"/>
      <c r="G831" s="621"/>
      <c r="H831" s="619"/>
      <c r="I831" s="619"/>
      <c r="J831" s="619"/>
      <c r="K831" s="619"/>
      <c r="L831" s="619"/>
      <c r="M831" s="619"/>
      <c r="N831" s="619"/>
      <c r="O831" s="619"/>
      <c r="P831" s="619"/>
      <c r="Q831" s="619"/>
      <c r="R831" s="619"/>
      <c r="S831" s="619"/>
      <c r="T831" s="619"/>
      <c r="U831" s="619"/>
      <c r="V831" s="619"/>
      <c r="W831" s="619"/>
      <c r="X831" s="619"/>
      <c r="Y831" s="619"/>
      <c r="Z831" s="619"/>
    </row>
    <row r="832" spans="1:26" ht="11.25" customHeight="1">
      <c r="A832" s="619"/>
      <c r="B832" s="619"/>
      <c r="C832" s="619"/>
      <c r="D832" s="619"/>
      <c r="E832" s="619"/>
      <c r="F832" s="619"/>
      <c r="G832" s="621"/>
      <c r="H832" s="619"/>
      <c r="I832" s="619"/>
      <c r="J832" s="619"/>
      <c r="K832" s="619"/>
      <c r="L832" s="619"/>
      <c r="M832" s="619"/>
      <c r="N832" s="619"/>
      <c r="O832" s="619"/>
      <c r="P832" s="619"/>
      <c r="Q832" s="619"/>
      <c r="R832" s="619"/>
      <c r="S832" s="619"/>
      <c r="T832" s="619"/>
      <c r="U832" s="619"/>
      <c r="V832" s="619"/>
      <c r="W832" s="619"/>
      <c r="X832" s="619"/>
      <c r="Y832" s="619"/>
      <c r="Z832" s="619"/>
    </row>
    <row r="833" spans="1:26" ht="11.25" customHeight="1">
      <c r="A833" s="619"/>
      <c r="B833" s="619"/>
      <c r="C833" s="619"/>
      <c r="D833" s="619"/>
      <c r="E833" s="619"/>
      <c r="F833" s="619"/>
      <c r="G833" s="621"/>
      <c r="H833" s="619"/>
      <c r="I833" s="619"/>
      <c r="J833" s="619"/>
      <c r="K833" s="619"/>
      <c r="L833" s="619"/>
      <c r="M833" s="619"/>
      <c r="N833" s="619"/>
      <c r="O833" s="619"/>
      <c r="P833" s="619"/>
      <c r="Q833" s="619"/>
      <c r="R833" s="619"/>
      <c r="S833" s="619"/>
      <c r="T833" s="619"/>
      <c r="U833" s="619"/>
      <c r="V833" s="619"/>
      <c r="W833" s="619"/>
      <c r="X833" s="619"/>
      <c r="Y833" s="619"/>
      <c r="Z833" s="619"/>
    </row>
    <row r="834" spans="1:26" ht="11.25" customHeight="1">
      <c r="A834" s="619"/>
      <c r="B834" s="619"/>
      <c r="C834" s="619"/>
      <c r="D834" s="619"/>
      <c r="E834" s="619"/>
      <c r="F834" s="619"/>
      <c r="G834" s="621"/>
      <c r="H834" s="619"/>
      <c r="I834" s="619"/>
      <c r="J834" s="619"/>
      <c r="K834" s="619"/>
      <c r="L834" s="619"/>
      <c r="M834" s="619"/>
      <c r="N834" s="619"/>
      <c r="O834" s="619"/>
      <c r="P834" s="619"/>
      <c r="Q834" s="619"/>
      <c r="R834" s="619"/>
      <c r="S834" s="619"/>
      <c r="T834" s="619"/>
      <c r="U834" s="619"/>
      <c r="V834" s="619"/>
      <c r="W834" s="619"/>
      <c r="X834" s="619"/>
      <c r="Y834" s="619"/>
      <c r="Z834" s="619"/>
    </row>
    <row r="835" spans="1:26" ht="11.25" customHeight="1">
      <c r="A835" s="619"/>
      <c r="B835" s="619"/>
      <c r="C835" s="619"/>
      <c r="D835" s="619"/>
      <c r="E835" s="619"/>
      <c r="F835" s="619"/>
      <c r="G835" s="621"/>
      <c r="H835" s="619"/>
      <c r="I835" s="619"/>
      <c r="J835" s="619"/>
      <c r="K835" s="619"/>
      <c r="L835" s="619"/>
      <c r="M835" s="619"/>
      <c r="N835" s="619"/>
      <c r="O835" s="619"/>
      <c r="P835" s="619"/>
      <c r="Q835" s="619"/>
      <c r="R835" s="619"/>
      <c r="S835" s="619"/>
      <c r="T835" s="619"/>
      <c r="U835" s="619"/>
      <c r="V835" s="619"/>
      <c r="W835" s="619"/>
      <c r="X835" s="619"/>
      <c r="Y835" s="619"/>
      <c r="Z835" s="619"/>
    </row>
    <row r="836" spans="1:26" ht="11.25" customHeight="1">
      <c r="A836" s="619"/>
      <c r="B836" s="619"/>
      <c r="C836" s="619"/>
      <c r="D836" s="619"/>
      <c r="E836" s="619"/>
      <c r="F836" s="619"/>
      <c r="G836" s="621"/>
      <c r="H836" s="619"/>
      <c r="I836" s="619"/>
      <c r="J836" s="619"/>
      <c r="K836" s="619"/>
      <c r="L836" s="619"/>
      <c r="M836" s="619"/>
      <c r="N836" s="619"/>
      <c r="O836" s="619"/>
      <c r="P836" s="619"/>
      <c r="Q836" s="619"/>
      <c r="R836" s="619"/>
      <c r="S836" s="619"/>
      <c r="T836" s="619"/>
      <c r="U836" s="619"/>
      <c r="V836" s="619"/>
      <c r="W836" s="619"/>
      <c r="X836" s="619"/>
      <c r="Y836" s="619"/>
      <c r="Z836" s="619"/>
    </row>
    <row r="837" spans="1:26" ht="11.25" customHeight="1">
      <c r="A837" s="619"/>
      <c r="B837" s="619"/>
      <c r="C837" s="619"/>
      <c r="D837" s="619"/>
      <c r="E837" s="619"/>
      <c r="F837" s="619"/>
      <c r="G837" s="621"/>
      <c r="H837" s="619"/>
      <c r="I837" s="619"/>
      <c r="J837" s="619"/>
      <c r="K837" s="619"/>
      <c r="L837" s="619"/>
      <c r="M837" s="619"/>
      <c r="N837" s="619"/>
      <c r="O837" s="619"/>
      <c r="P837" s="619"/>
      <c r="Q837" s="619"/>
      <c r="R837" s="619"/>
      <c r="S837" s="619"/>
      <c r="T837" s="619"/>
      <c r="U837" s="619"/>
      <c r="V837" s="619"/>
      <c r="W837" s="619"/>
      <c r="X837" s="619"/>
      <c r="Y837" s="619"/>
      <c r="Z837" s="619"/>
    </row>
    <row r="838" spans="1:26" ht="11.25" customHeight="1">
      <c r="A838" s="619"/>
      <c r="B838" s="619"/>
      <c r="C838" s="619"/>
      <c r="D838" s="619"/>
      <c r="E838" s="619"/>
      <c r="F838" s="619"/>
      <c r="G838" s="621"/>
      <c r="H838" s="619"/>
      <c r="I838" s="619"/>
      <c r="J838" s="619"/>
      <c r="K838" s="619"/>
      <c r="L838" s="619"/>
      <c r="M838" s="619"/>
      <c r="N838" s="619"/>
      <c r="O838" s="619"/>
      <c r="P838" s="619"/>
      <c r="Q838" s="619"/>
      <c r="R838" s="619"/>
      <c r="S838" s="619"/>
      <c r="T838" s="619"/>
      <c r="U838" s="619"/>
      <c r="V838" s="619"/>
      <c r="W838" s="619"/>
      <c r="X838" s="619"/>
      <c r="Y838" s="619"/>
      <c r="Z838" s="619"/>
    </row>
    <row r="839" spans="1:26" ht="11.25" customHeight="1">
      <c r="A839" s="619"/>
      <c r="B839" s="619"/>
      <c r="C839" s="619"/>
      <c r="D839" s="619"/>
      <c r="E839" s="619"/>
      <c r="F839" s="619"/>
      <c r="G839" s="621"/>
      <c r="H839" s="619"/>
      <c r="I839" s="619"/>
      <c r="J839" s="619"/>
      <c r="K839" s="619"/>
      <c r="L839" s="619"/>
      <c r="M839" s="619"/>
      <c r="N839" s="619"/>
      <c r="O839" s="619"/>
      <c r="P839" s="619"/>
      <c r="Q839" s="619"/>
      <c r="R839" s="619"/>
      <c r="S839" s="619"/>
      <c r="T839" s="619"/>
      <c r="U839" s="619"/>
      <c r="V839" s="619"/>
      <c r="W839" s="619"/>
      <c r="X839" s="619"/>
      <c r="Y839" s="619"/>
      <c r="Z839" s="619"/>
    </row>
    <row r="840" spans="1:26" ht="11.25" customHeight="1">
      <c r="A840" s="619"/>
      <c r="B840" s="619"/>
      <c r="C840" s="619"/>
      <c r="D840" s="619"/>
      <c r="E840" s="619"/>
      <c r="F840" s="619"/>
      <c r="G840" s="621"/>
      <c r="H840" s="619"/>
      <c r="I840" s="619"/>
      <c r="J840" s="619"/>
      <c r="K840" s="619"/>
      <c r="L840" s="619"/>
      <c r="M840" s="619"/>
      <c r="N840" s="619"/>
      <c r="O840" s="619"/>
      <c r="P840" s="619"/>
      <c r="Q840" s="619"/>
      <c r="R840" s="619"/>
      <c r="S840" s="619"/>
      <c r="T840" s="619"/>
      <c r="U840" s="619"/>
      <c r="V840" s="619"/>
      <c r="W840" s="619"/>
      <c r="X840" s="619"/>
      <c r="Y840" s="619"/>
      <c r="Z840" s="619"/>
    </row>
    <row r="841" spans="1:26" ht="11.25" customHeight="1">
      <c r="A841" s="619"/>
      <c r="B841" s="619"/>
      <c r="C841" s="619"/>
      <c r="D841" s="619"/>
      <c r="E841" s="619"/>
      <c r="F841" s="619"/>
      <c r="G841" s="621"/>
      <c r="H841" s="619"/>
      <c r="I841" s="619"/>
      <c r="J841" s="619"/>
      <c r="K841" s="619"/>
      <c r="L841" s="619"/>
      <c r="M841" s="619"/>
      <c r="N841" s="619"/>
      <c r="O841" s="619"/>
      <c r="P841" s="619"/>
      <c r="Q841" s="619"/>
      <c r="R841" s="619"/>
      <c r="S841" s="619"/>
      <c r="T841" s="619"/>
      <c r="U841" s="619"/>
      <c r="V841" s="619"/>
      <c r="W841" s="619"/>
      <c r="X841" s="619"/>
      <c r="Y841" s="619"/>
      <c r="Z841" s="619"/>
    </row>
    <row r="842" spans="1:26" ht="11.25" customHeight="1">
      <c r="A842" s="619"/>
      <c r="B842" s="619"/>
      <c r="C842" s="619"/>
      <c r="D842" s="619"/>
      <c r="E842" s="619"/>
      <c r="F842" s="619"/>
      <c r="G842" s="621"/>
      <c r="H842" s="619"/>
      <c r="I842" s="619"/>
      <c r="J842" s="619"/>
      <c r="K842" s="619"/>
      <c r="L842" s="619"/>
      <c r="M842" s="619"/>
      <c r="N842" s="619"/>
      <c r="O842" s="619"/>
      <c r="P842" s="619"/>
      <c r="Q842" s="619"/>
      <c r="R842" s="619"/>
      <c r="S842" s="619"/>
      <c r="T842" s="619"/>
      <c r="U842" s="619"/>
      <c r="V842" s="619"/>
      <c r="W842" s="619"/>
      <c r="X842" s="619"/>
      <c r="Y842" s="619"/>
      <c r="Z842" s="619"/>
    </row>
    <row r="843" spans="1:26" ht="11.25" customHeight="1">
      <c r="A843" s="619"/>
      <c r="B843" s="619"/>
      <c r="C843" s="619"/>
      <c r="D843" s="619"/>
      <c r="E843" s="619"/>
      <c r="F843" s="619"/>
      <c r="G843" s="621"/>
      <c r="H843" s="619"/>
      <c r="I843" s="619"/>
      <c r="J843" s="619"/>
      <c r="K843" s="619"/>
      <c r="L843" s="619"/>
      <c r="M843" s="619"/>
      <c r="N843" s="619"/>
      <c r="O843" s="619"/>
      <c r="P843" s="619"/>
      <c r="Q843" s="619"/>
      <c r="R843" s="619"/>
      <c r="S843" s="619"/>
      <c r="T843" s="619"/>
      <c r="U843" s="619"/>
      <c r="V843" s="619"/>
      <c r="W843" s="619"/>
      <c r="X843" s="619"/>
      <c r="Y843" s="619"/>
      <c r="Z843" s="619"/>
    </row>
    <row r="844" spans="1:26" ht="11.25" customHeight="1">
      <c r="A844" s="619"/>
      <c r="B844" s="619"/>
      <c r="C844" s="619"/>
      <c r="D844" s="619"/>
      <c r="E844" s="619"/>
      <c r="F844" s="619"/>
      <c r="G844" s="621"/>
      <c r="H844" s="619"/>
      <c r="I844" s="619"/>
      <c r="J844" s="619"/>
      <c r="K844" s="619"/>
      <c r="L844" s="619"/>
      <c r="M844" s="619"/>
      <c r="N844" s="619"/>
      <c r="O844" s="619"/>
      <c r="P844" s="619"/>
      <c r="Q844" s="619"/>
      <c r="R844" s="619"/>
      <c r="S844" s="619"/>
      <c r="T844" s="619"/>
      <c r="U844" s="619"/>
      <c r="V844" s="619"/>
      <c r="W844" s="619"/>
      <c r="X844" s="619"/>
      <c r="Y844" s="619"/>
      <c r="Z844" s="619"/>
    </row>
    <row r="845" spans="1:26" ht="11.25" customHeight="1">
      <c r="A845" s="619"/>
      <c r="B845" s="619"/>
      <c r="C845" s="619"/>
      <c r="D845" s="619"/>
      <c r="E845" s="619"/>
      <c r="F845" s="619"/>
      <c r="G845" s="621"/>
      <c r="H845" s="619"/>
      <c r="I845" s="619"/>
      <c r="J845" s="619"/>
      <c r="K845" s="619"/>
      <c r="L845" s="619"/>
      <c r="M845" s="619"/>
      <c r="N845" s="619"/>
      <c r="O845" s="619"/>
      <c r="P845" s="619"/>
      <c r="Q845" s="619"/>
      <c r="R845" s="619"/>
      <c r="S845" s="619"/>
      <c r="T845" s="619"/>
      <c r="U845" s="619"/>
      <c r="V845" s="619"/>
      <c r="W845" s="619"/>
      <c r="X845" s="619"/>
      <c r="Y845" s="619"/>
      <c r="Z845" s="619"/>
    </row>
    <row r="846" spans="1:26" ht="11.25" customHeight="1">
      <c r="A846" s="619"/>
      <c r="B846" s="619"/>
      <c r="C846" s="619"/>
      <c r="D846" s="619"/>
      <c r="E846" s="619"/>
      <c r="F846" s="619"/>
      <c r="G846" s="621"/>
      <c r="H846" s="619"/>
      <c r="I846" s="619"/>
      <c r="J846" s="619"/>
      <c r="K846" s="619"/>
      <c r="L846" s="619"/>
      <c r="M846" s="619"/>
      <c r="N846" s="619"/>
      <c r="O846" s="619"/>
      <c r="P846" s="619"/>
      <c r="Q846" s="619"/>
      <c r="R846" s="619"/>
      <c r="S846" s="619"/>
      <c r="T846" s="619"/>
      <c r="U846" s="619"/>
      <c r="V846" s="619"/>
      <c r="W846" s="619"/>
      <c r="X846" s="619"/>
      <c r="Y846" s="619"/>
      <c r="Z846" s="619"/>
    </row>
    <row r="847" spans="1:26" ht="11.25" customHeight="1">
      <c r="A847" s="619"/>
      <c r="B847" s="619"/>
      <c r="C847" s="619"/>
      <c r="D847" s="619"/>
      <c r="E847" s="619"/>
      <c r="F847" s="619"/>
      <c r="G847" s="621"/>
      <c r="H847" s="619"/>
      <c r="I847" s="619"/>
      <c r="J847" s="619"/>
      <c r="K847" s="619"/>
      <c r="L847" s="619"/>
      <c r="M847" s="619"/>
      <c r="N847" s="619"/>
      <c r="O847" s="619"/>
      <c r="P847" s="619"/>
      <c r="Q847" s="619"/>
      <c r="R847" s="619"/>
      <c r="S847" s="619"/>
      <c r="T847" s="619"/>
      <c r="U847" s="619"/>
      <c r="V847" s="619"/>
      <c r="W847" s="619"/>
      <c r="X847" s="619"/>
      <c r="Y847" s="619"/>
      <c r="Z847" s="619"/>
    </row>
    <row r="848" spans="1:26" ht="11.25" customHeight="1">
      <c r="A848" s="619"/>
      <c r="B848" s="619"/>
      <c r="C848" s="619"/>
      <c r="D848" s="619"/>
      <c r="E848" s="619"/>
      <c r="F848" s="619"/>
      <c r="G848" s="621"/>
      <c r="H848" s="619"/>
      <c r="I848" s="619"/>
      <c r="J848" s="619"/>
      <c r="K848" s="619"/>
      <c r="L848" s="619"/>
      <c r="M848" s="619"/>
      <c r="N848" s="619"/>
      <c r="O848" s="619"/>
      <c r="P848" s="619"/>
      <c r="Q848" s="619"/>
      <c r="R848" s="619"/>
      <c r="S848" s="619"/>
      <c r="T848" s="619"/>
      <c r="U848" s="619"/>
      <c r="V848" s="619"/>
      <c r="W848" s="619"/>
      <c r="X848" s="619"/>
      <c r="Y848" s="619"/>
      <c r="Z848" s="619"/>
    </row>
    <row r="849" spans="1:26" ht="11.25" customHeight="1">
      <c r="A849" s="619"/>
      <c r="B849" s="619"/>
      <c r="C849" s="619"/>
      <c r="D849" s="619"/>
      <c r="E849" s="619"/>
      <c r="F849" s="619"/>
      <c r="G849" s="621"/>
      <c r="H849" s="619"/>
      <c r="I849" s="619"/>
      <c r="J849" s="619"/>
      <c r="K849" s="619"/>
      <c r="L849" s="619"/>
      <c r="M849" s="619"/>
      <c r="N849" s="619"/>
      <c r="O849" s="619"/>
      <c r="P849" s="619"/>
      <c r="Q849" s="619"/>
      <c r="R849" s="619"/>
      <c r="S849" s="619"/>
      <c r="T849" s="619"/>
      <c r="U849" s="619"/>
      <c r="V849" s="619"/>
      <c r="W849" s="619"/>
      <c r="X849" s="619"/>
      <c r="Y849" s="619"/>
      <c r="Z849" s="619"/>
    </row>
    <row r="850" spans="1:26" ht="11.25" customHeight="1">
      <c r="A850" s="619"/>
      <c r="B850" s="619"/>
      <c r="C850" s="619"/>
      <c r="D850" s="619"/>
      <c r="E850" s="619"/>
      <c r="F850" s="619"/>
      <c r="G850" s="621"/>
      <c r="H850" s="619"/>
      <c r="I850" s="619"/>
      <c r="J850" s="619"/>
      <c r="K850" s="619"/>
      <c r="L850" s="619"/>
      <c r="M850" s="619"/>
      <c r="N850" s="619"/>
      <c r="O850" s="619"/>
      <c r="P850" s="619"/>
      <c r="Q850" s="619"/>
      <c r="R850" s="619"/>
      <c r="S850" s="619"/>
      <c r="T850" s="619"/>
      <c r="U850" s="619"/>
      <c r="V850" s="619"/>
      <c r="W850" s="619"/>
      <c r="X850" s="619"/>
      <c r="Y850" s="619"/>
      <c r="Z850" s="619"/>
    </row>
    <row r="851" spans="1:26" ht="11.25" customHeight="1">
      <c r="A851" s="619"/>
      <c r="B851" s="619"/>
      <c r="C851" s="619"/>
      <c r="D851" s="619"/>
      <c r="E851" s="619"/>
      <c r="F851" s="619"/>
      <c r="G851" s="621"/>
      <c r="H851" s="619"/>
      <c r="I851" s="619"/>
      <c r="J851" s="619"/>
      <c r="K851" s="619"/>
      <c r="L851" s="619"/>
      <c r="M851" s="619"/>
      <c r="N851" s="619"/>
      <c r="O851" s="619"/>
      <c r="P851" s="619"/>
      <c r="Q851" s="619"/>
      <c r="R851" s="619"/>
      <c r="S851" s="619"/>
      <c r="T851" s="619"/>
      <c r="U851" s="619"/>
      <c r="V851" s="619"/>
      <c r="W851" s="619"/>
      <c r="X851" s="619"/>
      <c r="Y851" s="619"/>
      <c r="Z851" s="619"/>
    </row>
    <row r="852" spans="1:26" ht="11.25" customHeight="1">
      <c r="A852" s="619"/>
      <c r="B852" s="619"/>
      <c r="C852" s="619"/>
      <c r="D852" s="619"/>
      <c r="E852" s="619"/>
      <c r="F852" s="619"/>
      <c r="G852" s="621"/>
      <c r="H852" s="619"/>
      <c r="I852" s="619"/>
      <c r="J852" s="619"/>
      <c r="K852" s="619"/>
      <c r="L852" s="619"/>
      <c r="M852" s="619"/>
      <c r="N852" s="619"/>
      <c r="O852" s="619"/>
      <c r="P852" s="619"/>
      <c r="Q852" s="619"/>
      <c r="R852" s="619"/>
      <c r="S852" s="619"/>
      <c r="T852" s="619"/>
      <c r="U852" s="619"/>
      <c r="V852" s="619"/>
      <c r="W852" s="619"/>
      <c r="X852" s="619"/>
      <c r="Y852" s="619"/>
      <c r="Z852" s="619"/>
    </row>
    <row r="853" spans="1:26" ht="11.25" customHeight="1">
      <c r="A853" s="619"/>
      <c r="B853" s="619"/>
      <c r="C853" s="619"/>
      <c r="D853" s="619"/>
      <c r="E853" s="619"/>
      <c r="F853" s="619"/>
      <c r="G853" s="621"/>
      <c r="H853" s="619"/>
      <c r="I853" s="619"/>
      <c r="J853" s="619"/>
      <c r="K853" s="619"/>
      <c r="L853" s="619"/>
      <c r="M853" s="619"/>
      <c r="N853" s="619"/>
      <c r="O853" s="619"/>
      <c r="P853" s="619"/>
      <c r="Q853" s="619"/>
      <c r="R853" s="619"/>
      <c r="S853" s="619"/>
      <c r="T853" s="619"/>
      <c r="U853" s="619"/>
      <c r="V853" s="619"/>
      <c r="W853" s="619"/>
      <c r="X853" s="619"/>
      <c r="Y853" s="619"/>
      <c r="Z853" s="619"/>
    </row>
    <row r="854" spans="1:26" ht="11.25" customHeight="1">
      <c r="A854" s="619"/>
      <c r="B854" s="619"/>
      <c r="C854" s="619"/>
      <c r="D854" s="619"/>
      <c r="E854" s="619"/>
      <c r="F854" s="619"/>
      <c r="G854" s="621"/>
      <c r="H854" s="619"/>
      <c r="I854" s="619"/>
      <c r="J854" s="619"/>
      <c r="K854" s="619"/>
      <c r="L854" s="619"/>
      <c r="M854" s="619"/>
      <c r="N854" s="619"/>
      <c r="O854" s="619"/>
      <c r="P854" s="619"/>
      <c r="Q854" s="619"/>
      <c r="R854" s="619"/>
      <c r="S854" s="619"/>
      <c r="T854" s="619"/>
      <c r="U854" s="619"/>
      <c r="V854" s="619"/>
      <c r="W854" s="619"/>
      <c r="X854" s="619"/>
      <c r="Y854" s="619"/>
      <c r="Z854" s="619"/>
    </row>
    <row r="855" spans="1:26" ht="11.25" customHeight="1">
      <c r="A855" s="619"/>
      <c r="B855" s="619"/>
      <c r="C855" s="619"/>
      <c r="D855" s="619"/>
      <c r="E855" s="619"/>
      <c r="F855" s="619"/>
      <c r="G855" s="621"/>
      <c r="H855" s="619"/>
      <c r="I855" s="619"/>
      <c r="J855" s="619"/>
      <c r="K855" s="619"/>
      <c r="L855" s="619"/>
      <c r="M855" s="619"/>
      <c r="N855" s="619"/>
      <c r="O855" s="619"/>
      <c r="P855" s="619"/>
      <c r="Q855" s="619"/>
      <c r="R855" s="619"/>
      <c r="S855" s="619"/>
      <c r="T855" s="619"/>
      <c r="U855" s="619"/>
      <c r="V855" s="619"/>
      <c r="W855" s="619"/>
      <c r="X855" s="619"/>
      <c r="Y855" s="619"/>
      <c r="Z855" s="619"/>
    </row>
    <row r="856" spans="1:26" ht="11.25" customHeight="1">
      <c r="A856" s="619"/>
      <c r="B856" s="619"/>
      <c r="C856" s="619"/>
      <c r="D856" s="619"/>
      <c r="E856" s="619"/>
      <c r="F856" s="619"/>
      <c r="G856" s="621"/>
      <c r="H856" s="619"/>
      <c r="I856" s="619"/>
      <c r="J856" s="619"/>
      <c r="K856" s="619"/>
      <c r="L856" s="619"/>
      <c r="M856" s="619"/>
      <c r="N856" s="619"/>
      <c r="O856" s="619"/>
      <c r="P856" s="619"/>
      <c r="Q856" s="619"/>
      <c r="R856" s="619"/>
      <c r="S856" s="619"/>
      <c r="T856" s="619"/>
      <c r="U856" s="619"/>
      <c r="V856" s="619"/>
      <c r="W856" s="619"/>
      <c r="X856" s="619"/>
      <c r="Y856" s="619"/>
      <c r="Z856" s="619"/>
    </row>
    <row r="857" spans="1:26" ht="11.25" customHeight="1">
      <c r="A857" s="619"/>
      <c r="B857" s="619"/>
      <c r="C857" s="619"/>
      <c r="D857" s="619"/>
      <c r="E857" s="619"/>
      <c r="F857" s="619"/>
      <c r="G857" s="621"/>
      <c r="H857" s="619"/>
      <c r="I857" s="619"/>
      <c r="J857" s="619"/>
      <c r="K857" s="619"/>
      <c r="L857" s="619"/>
      <c r="M857" s="619"/>
      <c r="N857" s="619"/>
      <c r="O857" s="619"/>
      <c r="P857" s="619"/>
      <c r="Q857" s="619"/>
      <c r="R857" s="619"/>
      <c r="S857" s="619"/>
      <c r="T857" s="619"/>
      <c r="U857" s="619"/>
      <c r="V857" s="619"/>
      <c r="W857" s="619"/>
      <c r="X857" s="619"/>
      <c r="Y857" s="619"/>
      <c r="Z857" s="619"/>
    </row>
    <row r="858" spans="1:26" ht="11.25" customHeight="1">
      <c r="A858" s="619"/>
      <c r="B858" s="619"/>
      <c r="C858" s="619"/>
      <c r="D858" s="619"/>
      <c r="E858" s="619"/>
      <c r="F858" s="619"/>
      <c r="G858" s="621"/>
      <c r="H858" s="619"/>
      <c r="I858" s="619"/>
      <c r="J858" s="619"/>
      <c r="K858" s="619"/>
      <c r="L858" s="619"/>
      <c r="M858" s="619"/>
      <c r="N858" s="619"/>
      <c r="O858" s="619"/>
      <c r="P858" s="619"/>
      <c r="Q858" s="619"/>
      <c r="R858" s="619"/>
      <c r="S858" s="619"/>
      <c r="T858" s="619"/>
      <c r="U858" s="619"/>
      <c r="V858" s="619"/>
      <c r="W858" s="619"/>
      <c r="X858" s="619"/>
      <c r="Y858" s="619"/>
      <c r="Z858" s="619"/>
    </row>
    <row r="859" spans="1:26" ht="11.25" customHeight="1">
      <c r="A859" s="619"/>
      <c r="B859" s="619"/>
      <c r="C859" s="619"/>
      <c r="D859" s="619"/>
      <c r="E859" s="619"/>
      <c r="F859" s="619"/>
      <c r="G859" s="621"/>
      <c r="H859" s="619"/>
      <c r="I859" s="619"/>
      <c r="J859" s="619"/>
      <c r="K859" s="619"/>
      <c r="L859" s="619"/>
      <c r="M859" s="619"/>
      <c r="N859" s="619"/>
      <c r="O859" s="619"/>
      <c r="P859" s="619"/>
      <c r="Q859" s="619"/>
      <c r="R859" s="619"/>
      <c r="S859" s="619"/>
      <c r="T859" s="619"/>
      <c r="U859" s="619"/>
      <c r="V859" s="619"/>
      <c r="W859" s="619"/>
      <c r="X859" s="619"/>
      <c r="Y859" s="619"/>
      <c r="Z859" s="619"/>
    </row>
    <row r="860" spans="1:26" ht="11.25" customHeight="1">
      <c r="A860" s="619"/>
      <c r="B860" s="619"/>
      <c r="C860" s="619"/>
      <c r="D860" s="619"/>
      <c r="E860" s="619"/>
      <c r="F860" s="619"/>
      <c r="G860" s="621"/>
      <c r="H860" s="619"/>
      <c r="I860" s="619"/>
      <c r="J860" s="619"/>
      <c r="K860" s="619"/>
      <c r="L860" s="619"/>
      <c r="M860" s="619"/>
      <c r="N860" s="619"/>
      <c r="O860" s="619"/>
      <c r="P860" s="619"/>
      <c r="Q860" s="619"/>
      <c r="R860" s="619"/>
      <c r="S860" s="619"/>
      <c r="T860" s="619"/>
      <c r="U860" s="619"/>
      <c r="V860" s="619"/>
      <c r="W860" s="619"/>
      <c r="X860" s="619"/>
      <c r="Y860" s="619"/>
      <c r="Z860" s="619"/>
    </row>
    <row r="861" spans="1:26" ht="11.25" customHeight="1">
      <c r="A861" s="619"/>
      <c r="B861" s="619"/>
      <c r="C861" s="619"/>
      <c r="D861" s="619"/>
      <c r="E861" s="619"/>
      <c r="F861" s="619"/>
      <c r="G861" s="621"/>
      <c r="H861" s="619"/>
      <c r="I861" s="619"/>
      <c r="J861" s="619"/>
      <c r="K861" s="619"/>
      <c r="L861" s="619"/>
      <c r="M861" s="619"/>
      <c r="N861" s="619"/>
      <c r="O861" s="619"/>
      <c r="P861" s="619"/>
      <c r="Q861" s="619"/>
      <c r="R861" s="619"/>
      <c r="S861" s="619"/>
      <c r="T861" s="619"/>
      <c r="U861" s="619"/>
      <c r="V861" s="619"/>
      <c r="W861" s="619"/>
      <c r="X861" s="619"/>
      <c r="Y861" s="619"/>
      <c r="Z861" s="619"/>
    </row>
    <row r="862" spans="1:26" ht="11.25" customHeight="1">
      <c r="A862" s="619"/>
      <c r="B862" s="619"/>
      <c r="C862" s="619"/>
      <c r="D862" s="619"/>
      <c r="E862" s="619"/>
      <c r="F862" s="619"/>
      <c r="G862" s="621"/>
      <c r="H862" s="619"/>
      <c r="I862" s="619"/>
      <c r="J862" s="619"/>
      <c r="K862" s="619"/>
      <c r="L862" s="619"/>
      <c r="M862" s="619"/>
      <c r="N862" s="619"/>
      <c r="O862" s="619"/>
      <c r="P862" s="619"/>
      <c r="Q862" s="619"/>
      <c r="R862" s="619"/>
      <c r="S862" s="619"/>
      <c r="T862" s="619"/>
      <c r="U862" s="619"/>
      <c r="V862" s="619"/>
      <c r="W862" s="619"/>
      <c r="X862" s="619"/>
      <c r="Y862" s="619"/>
      <c r="Z862" s="619"/>
    </row>
    <row r="863" spans="1:26" ht="11.25" customHeight="1">
      <c r="A863" s="619"/>
      <c r="B863" s="619"/>
      <c r="C863" s="619"/>
      <c r="D863" s="619"/>
      <c r="E863" s="619"/>
      <c r="F863" s="619"/>
      <c r="G863" s="621"/>
      <c r="H863" s="619"/>
      <c r="I863" s="619"/>
      <c r="J863" s="619"/>
      <c r="K863" s="619"/>
      <c r="L863" s="619"/>
      <c r="M863" s="619"/>
      <c r="N863" s="619"/>
      <c r="O863" s="619"/>
      <c r="P863" s="619"/>
      <c r="Q863" s="619"/>
      <c r="R863" s="619"/>
      <c r="S863" s="619"/>
      <c r="T863" s="619"/>
      <c r="U863" s="619"/>
      <c r="V863" s="619"/>
      <c r="W863" s="619"/>
      <c r="X863" s="619"/>
      <c r="Y863" s="619"/>
      <c r="Z863" s="619"/>
    </row>
    <row r="864" spans="1:26" ht="11.25" customHeight="1">
      <c r="A864" s="619"/>
      <c r="B864" s="619"/>
      <c r="C864" s="619"/>
      <c r="D864" s="619"/>
      <c r="E864" s="619"/>
      <c r="F864" s="619"/>
      <c r="G864" s="621"/>
      <c r="H864" s="619"/>
      <c r="I864" s="619"/>
      <c r="J864" s="619"/>
      <c r="K864" s="619"/>
      <c r="L864" s="619"/>
      <c r="M864" s="619"/>
      <c r="N864" s="619"/>
      <c r="O864" s="619"/>
      <c r="P864" s="619"/>
      <c r="Q864" s="619"/>
      <c r="R864" s="619"/>
      <c r="S864" s="619"/>
      <c r="T864" s="619"/>
      <c r="U864" s="619"/>
      <c r="V864" s="619"/>
      <c r="W864" s="619"/>
      <c r="X864" s="619"/>
      <c r="Y864" s="619"/>
      <c r="Z864" s="619"/>
    </row>
    <row r="865" spans="1:26" ht="11.25" customHeight="1">
      <c r="A865" s="619"/>
      <c r="B865" s="619"/>
      <c r="C865" s="619"/>
      <c r="D865" s="619"/>
      <c r="E865" s="619"/>
      <c r="F865" s="619"/>
      <c r="G865" s="621"/>
      <c r="H865" s="619"/>
      <c r="I865" s="619"/>
      <c r="J865" s="619"/>
      <c r="K865" s="619"/>
      <c r="L865" s="619"/>
      <c r="M865" s="619"/>
      <c r="N865" s="619"/>
      <c r="O865" s="619"/>
      <c r="P865" s="619"/>
      <c r="Q865" s="619"/>
      <c r="R865" s="619"/>
      <c r="S865" s="619"/>
      <c r="T865" s="619"/>
      <c r="U865" s="619"/>
      <c r="V865" s="619"/>
      <c r="W865" s="619"/>
      <c r="X865" s="619"/>
      <c r="Y865" s="619"/>
      <c r="Z865" s="619"/>
    </row>
    <row r="866" spans="1:26" ht="11.25" customHeight="1">
      <c r="A866" s="619"/>
      <c r="B866" s="619"/>
      <c r="C866" s="619"/>
      <c r="D866" s="619"/>
      <c r="E866" s="619"/>
      <c r="F866" s="619"/>
      <c r="G866" s="621"/>
      <c r="H866" s="619"/>
      <c r="I866" s="619"/>
      <c r="J866" s="619"/>
      <c r="K866" s="619"/>
      <c r="L866" s="619"/>
      <c r="M866" s="619"/>
      <c r="N866" s="619"/>
      <c r="O866" s="619"/>
      <c r="P866" s="619"/>
      <c r="Q866" s="619"/>
      <c r="R866" s="619"/>
      <c r="S866" s="619"/>
      <c r="T866" s="619"/>
      <c r="U866" s="619"/>
      <c r="V866" s="619"/>
      <c r="W866" s="619"/>
      <c r="X866" s="619"/>
      <c r="Y866" s="619"/>
      <c r="Z866" s="619"/>
    </row>
    <row r="867" spans="1:26" ht="11.25" customHeight="1">
      <c r="A867" s="619"/>
      <c r="B867" s="619"/>
      <c r="C867" s="619"/>
      <c r="D867" s="619"/>
      <c r="E867" s="619"/>
      <c r="F867" s="619"/>
      <c r="G867" s="621"/>
      <c r="H867" s="619"/>
      <c r="I867" s="619"/>
      <c r="J867" s="619"/>
      <c r="K867" s="619"/>
      <c r="L867" s="619"/>
      <c r="M867" s="619"/>
      <c r="N867" s="619"/>
      <c r="O867" s="619"/>
      <c r="P867" s="619"/>
      <c r="Q867" s="619"/>
      <c r="R867" s="619"/>
      <c r="S867" s="619"/>
      <c r="T867" s="619"/>
      <c r="U867" s="619"/>
      <c r="V867" s="619"/>
      <c r="W867" s="619"/>
      <c r="X867" s="619"/>
      <c r="Y867" s="619"/>
      <c r="Z867" s="619"/>
    </row>
    <row r="868" spans="1:26" ht="11.25" customHeight="1">
      <c r="A868" s="619"/>
      <c r="B868" s="619"/>
      <c r="C868" s="619"/>
      <c r="D868" s="619"/>
      <c r="E868" s="619"/>
      <c r="F868" s="619"/>
      <c r="G868" s="621"/>
      <c r="H868" s="619"/>
      <c r="I868" s="619"/>
      <c r="J868" s="619"/>
      <c r="K868" s="619"/>
      <c r="L868" s="619"/>
      <c r="M868" s="619"/>
      <c r="N868" s="619"/>
      <c r="O868" s="619"/>
      <c r="P868" s="619"/>
      <c r="Q868" s="619"/>
      <c r="R868" s="619"/>
      <c r="S868" s="619"/>
      <c r="T868" s="619"/>
      <c r="U868" s="619"/>
      <c r="V868" s="619"/>
      <c r="W868" s="619"/>
      <c r="X868" s="619"/>
      <c r="Y868" s="619"/>
      <c r="Z868" s="619"/>
    </row>
    <row r="869" spans="1:26" ht="11.25" customHeight="1">
      <c r="A869" s="619"/>
      <c r="B869" s="619"/>
      <c r="C869" s="619"/>
      <c r="D869" s="619"/>
      <c r="E869" s="619"/>
      <c r="F869" s="619"/>
      <c r="G869" s="621"/>
      <c r="H869" s="619"/>
      <c r="I869" s="619"/>
      <c r="J869" s="619"/>
      <c r="K869" s="619"/>
      <c r="L869" s="619"/>
      <c r="M869" s="619"/>
      <c r="N869" s="619"/>
      <c r="O869" s="619"/>
      <c r="P869" s="619"/>
      <c r="Q869" s="619"/>
      <c r="R869" s="619"/>
      <c r="S869" s="619"/>
      <c r="T869" s="619"/>
      <c r="U869" s="619"/>
      <c r="V869" s="619"/>
      <c r="W869" s="619"/>
      <c r="X869" s="619"/>
      <c r="Y869" s="619"/>
      <c r="Z869" s="619"/>
    </row>
    <row r="870" spans="1:26" ht="11.25" customHeight="1">
      <c r="A870" s="619"/>
      <c r="B870" s="619"/>
      <c r="C870" s="619"/>
      <c r="D870" s="619"/>
      <c r="E870" s="619"/>
      <c r="F870" s="619"/>
      <c r="G870" s="621"/>
      <c r="H870" s="619"/>
      <c r="I870" s="619"/>
      <c r="J870" s="619"/>
      <c r="K870" s="619"/>
      <c r="L870" s="619"/>
      <c r="M870" s="619"/>
      <c r="N870" s="619"/>
      <c r="O870" s="619"/>
      <c r="P870" s="619"/>
      <c r="Q870" s="619"/>
      <c r="R870" s="619"/>
      <c r="S870" s="619"/>
      <c r="T870" s="619"/>
      <c r="U870" s="619"/>
      <c r="V870" s="619"/>
      <c r="W870" s="619"/>
      <c r="X870" s="619"/>
      <c r="Y870" s="619"/>
      <c r="Z870" s="619"/>
    </row>
    <row r="871" spans="1:26" ht="11.25" customHeight="1">
      <c r="A871" s="619"/>
      <c r="B871" s="619"/>
      <c r="C871" s="619"/>
      <c r="D871" s="619"/>
      <c r="E871" s="619"/>
      <c r="F871" s="619"/>
      <c r="G871" s="621"/>
      <c r="H871" s="619"/>
      <c r="I871" s="619"/>
      <c r="J871" s="619"/>
      <c r="K871" s="619"/>
      <c r="L871" s="619"/>
      <c r="M871" s="619"/>
      <c r="N871" s="619"/>
      <c r="O871" s="619"/>
      <c r="P871" s="619"/>
      <c r="Q871" s="619"/>
      <c r="R871" s="619"/>
      <c r="S871" s="619"/>
      <c r="T871" s="619"/>
      <c r="U871" s="619"/>
      <c r="V871" s="619"/>
      <c r="W871" s="619"/>
      <c r="X871" s="619"/>
      <c r="Y871" s="619"/>
      <c r="Z871" s="619"/>
    </row>
    <row r="872" spans="1:26" ht="11.25" customHeight="1">
      <c r="A872" s="619"/>
      <c r="B872" s="619"/>
      <c r="C872" s="619"/>
      <c r="D872" s="619"/>
      <c r="E872" s="619"/>
      <c r="F872" s="619"/>
      <c r="G872" s="621"/>
      <c r="H872" s="619"/>
      <c r="I872" s="619"/>
      <c r="J872" s="619"/>
      <c r="K872" s="619"/>
      <c r="L872" s="619"/>
      <c r="M872" s="619"/>
      <c r="N872" s="619"/>
      <c r="O872" s="619"/>
      <c r="P872" s="619"/>
      <c r="Q872" s="619"/>
      <c r="R872" s="619"/>
      <c r="S872" s="619"/>
      <c r="T872" s="619"/>
      <c r="U872" s="619"/>
      <c r="V872" s="619"/>
      <c r="W872" s="619"/>
      <c r="X872" s="619"/>
      <c r="Y872" s="619"/>
      <c r="Z872" s="619"/>
    </row>
    <row r="873" spans="1:26" ht="11.25" customHeight="1">
      <c r="A873" s="619"/>
      <c r="B873" s="619"/>
      <c r="C873" s="619"/>
      <c r="D873" s="619"/>
      <c r="E873" s="619"/>
      <c r="F873" s="619"/>
      <c r="G873" s="621"/>
      <c r="H873" s="619"/>
      <c r="I873" s="619"/>
      <c r="J873" s="619"/>
      <c r="K873" s="619"/>
      <c r="L873" s="619"/>
      <c r="M873" s="619"/>
      <c r="N873" s="619"/>
      <c r="O873" s="619"/>
      <c r="P873" s="619"/>
      <c r="Q873" s="619"/>
      <c r="R873" s="619"/>
      <c r="S873" s="619"/>
      <c r="T873" s="619"/>
      <c r="U873" s="619"/>
      <c r="V873" s="619"/>
      <c r="W873" s="619"/>
      <c r="X873" s="619"/>
      <c r="Y873" s="619"/>
      <c r="Z873" s="619"/>
    </row>
    <row r="874" spans="1:26" ht="11.25" customHeight="1">
      <c r="A874" s="619"/>
      <c r="B874" s="619"/>
      <c r="C874" s="619"/>
      <c r="D874" s="619"/>
      <c r="E874" s="619"/>
      <c r="F874" s="619"/>
      <c r="G874" s="621"/>
      <c r="H874" s="619"/>
      <c r="I874" s="619"/>
      <c r="J874" s="619"/>
      <c r="K874" s="619"/>
      <c r="L874" s="619"/>
      <c r="M874" s="619"/>
      <c r="N874" s="619"/>
      <c r="O874" s="619"/>
      <c r="P874" s="619"/>
      <c r="Q874" s="619"/>
      <c r="R874" s="619"/>
      <c r="S874" s="619"/>
      <c r="T874" s="619"/>
      <c r="U874" s="619"/>
      <c r="V874" s="619"/>
      <c r="W874" s="619"/>
      <c r="X874" s="619"/>
      <c r="Y874" s="619"/>
      <c r="Z874" s="619"/>
    </row>
    <row r="875" spans="1:26" ht="11.25" customHeight="1">
      <c r="A875" s="619"/>
      <c r="B875" s="619"/>
      <c r="C875" s="619"/>
      <c r="D875" s="619"/>
      <c r="E875" s="619"/>
      <c r="F875" s="619"/>
      <c r="G875" s="621"/>
      <c r="H875" s="619"/>
      <c r="I875" s="619"/>
      <c r="J875" s="619"/>
      <c r="K875" s="619"/>
      <c r="L875" s="619"/>
      <c r="M875" s="619"/>
      <c r="N875" s="619"/>
      <c r="O875" s="619"/>
      <c r="P875" s="619"/>
      <c r="Q875" s="619"/>
      <c r="R875" s="619"/>
      <c r="S875" s="619"/>
      <c r="T875" s="619"/>
      <c r="U875" s="619"/>
      <c r="V875" s="619"/>
      <c r="W875" s="619"/>
      <c r="X875" s="619"/>
      <c r="Y875" s="619"/>
      <c r="Z875" s="619"/>
    </row>
    <row r="876" spans="1:26" ht="11.25" customHeight="1">
      <c r="A876" s="619"/>
      <c r="B876" s="619"/>
      <c r="C876" s="619"/>
      <c r="D876" s="619"/>
      <c r="E876" s="619"/>
      <c r="F876" s="619"/>
      <c r="G876" s="621"/>
      <c r="H876" s="619"/>
      <c r="I876" s="619"/>
      <c r="J876" s="619"/>
      <c r="K876" s="619"/>
      <c r="L876" s="619"/>
      <c r="M876" s="619"/>
      <c r="N876" s="619"/>
      <c r="O876" s="619"/>
      <c r="P876" s="619"/>
      <c r="Q876" s="619"/>
      <c r="R876" s="619"/>
      <c r="S876" s="619"/>
      <c r="T876" s="619"/>
      <c r="U876" s="619"/>
      <c r="V876" s="619"/>
      <c r="W876" s="619"/>
      <c r="X876" s="619"/>
      <c r="Y876" s="619"/>
      <c r="Z876" s="619"/>
    </row>
    <row r="877" spans="1:26" ht="11.25" customHeight="1">
      <c r="A877" s="619"/>
      <c r="B877" s="619"/>
      <c r="C877" s="619"/>
      <c r="D877" s="619"/>
      <c r="E877" s="619"/>
      <c r="F877" s="619"/>
      <c r="G877" s="621"/>
      <c r="H877" s="619"/>
      <c r="I877" s="619"/>
      <c r="J877" s="619"/>
      <c r="K877" s="619"/>
      <c r="L877" s="619"/>
      <c r="M877" s="619"/>
      <c r="N877" s="619"/>
      <c r="O877" s="619"/>
      <c r="P877" s="619"/>
      <c r="Q877" s="619"/>
      <c r="R877" s="619"/>
      <c r="S877" s="619"/>
      <c r="T877" s="619"/>
      <c r="U877" s="619"/>
      <c r="V877" s="619"/>
      <c r="W877" s="619"/>
      <c r="X877" s="619"/>
      <c r="Y877" s="619"/>
      <c r="Z877" s="619"/>
    </row>
    <row r="878" spans="1:26" ht="11.25" customHeight="1">
      <c r="A878" s="619"/>
      <c r="B878" s="619"/>
      <c r="C878" s="619"/>
      <c r="D878" s="619"/>
      <c r="E878" s="619"/>
      <c r="F878" s="619"/>
      <c r="G878" s="621"/>
      <c r="H878" s="619"/>
      <c r="I878" s="619"/>
      <c r="J878" s="619"/>
      <c r="K878" s="619"/>
      <c r="L878" s="619"/>
      <c r="M878" s="619"/>
      <c r="N878" s="619"/>
      <c r="O878" s="619"/>
      <c r="P878" s="619"/>
      <c r="Q878" s="619"/>
      <c r="R878" s="619"/>
      <c r="S878" s="619"/>
      <c r="T878" s="619"/>
      <c r="U878" s="619"/>
      <c r="V878" s="619"/>
      <c r="W878" s="619"/>
      <c r="X878" s="619"/>
      <c r="Y878" s="619"/>
      <c r="Z878" s="619"/>
    </row>
    <row r="879" spans="1:26" ht="11.25" customHeight="1">
      <c r="A879" s="619"/>
      <c r="B879" s="619"/>
      <c r="C879" s="619"/>
      <c r="D879" s="619"/>
      <c r="E879" s="619"/>
      <c r="F879" s="619"/>
      <c r="G879" s="621"/>
      <c r="H879" s="619"/>
      <c r="I879" s="619"/>
      <c r="J879" s="619"/>
      <c r="K879" s="619"/>
      <c r="L879" s="619"/>
      <c r="M879" s="619"/>
      <c r="N879" s="619"/>
      <c r="O879" s="619"/>
      <c r="P879" s="619"/>
      <c r="Q879" s="619"/>
      <c r="R879" s="619"/>
      <c r="S879" s="619"/>
      <c r="T879" s="619"/>
      <c r="U879" s="619"/>
      <c r="V879" s="619"/>
      <c r="W879" s="619"/>
      <c r="X879" s="619"/>
      <c r="Y879" s="619"/>
      <c r="Z879" s="619"/>
    </row>
    <row r="880" spans="1:26" ht="11.25" customHeight="1">
      <c r="A880" s="619"/>
      <c r="B880" s="619"/>
      <c r="C880" s="619"/>
      <c r="D880" s="619"/>
      <c r="E880" s="619"/>
      <c r="F880" s="619"/>
      <c r="G880" s="621"/>
      <c r="H880" s="619"/>
      <c r="I880" s="619"/>
      <c r="J880" s="619"/>
      <c r="K880" s="619"/>
      <c r="L880" s="619"/>
      <c r="M880" s="619"/>
      <c r="N880" s="619"/>
      <c r="O880" s="619"/>
      <c r="P880" s="619"/>
      <c r="Q880" s="619"/>
      <c r="R880" s="619"/>
      <c r="S880" s="619"/>
      <c r="T880" s="619"/>
      <c r="U880" s="619"/>
      <c r="V880" s="619"/>
      <c r="W880" s="619"/>
      <c r="X880" s="619"/>
      <c r="Y880" s="619"/>
      <c r="Z880" s="619"/>
    </row>
    <row r="881" spans="1:26" ht="11.25" customHeight="1">
      <c r="A881" s="619"/>
      <c r="B881" s="619"/>
      <c r="C881" s="619"/>
      <c r="D881" s="619"/>
      <c r="E881" s="619"/>
      <c r="F881" s="619"/>
      <c r="G881" s="621"/>
      <c r="H881" s="619"/>
      <c r="I881" s="619"/>
      <c r="J881" s="619"/>
      <c r="K881" s="619"/>
      <c r="L881" s="619"/>
      <c r="M881" s="619"/>
      <c r="N881" s="619"/>
      <c r="O881" s="619"/>
      <c r="P881" s="619"/>
      <c r="Q881" s="619"/>
      <c r="R881" s="619"/>
      <c r="S881" s="619"/>
      <c r="T881" s="619"/>
      <c r="U881" s="619"/>
      <c r="V881" s="619"/>
      <c r="W881" s="619"/>
      <c r="X881" s="619"/>
      <c r="Y881" s="619"/>
      <c r="Z881" s="619"/>
    </row>
    <row r="882" spans="1:26" ht="11.25" customHeight="1">
      <c r="A882" s="619"/>
      <c r="B882" s="619"/>
      <c r="C882" s="619"/>
      <c r="D882" s="619"/>
      <c r="E882" s="619"/>
      <c r="F882" s="619"/>
      <c r="G882" s="621"/>
      <c r="H882" s="619"/>
      <c r="I882" s="619"/>
      <c r="J882" s="619"/>
      <c r="K882" s="619"/>
      <c r="L882" s="619"/>
      <c r="M882" s="619"/>
      <c r="N882" s="619"/>
      <c r="O882" s="619"/>
      <c r="P882" s="619"/>
      <c r="Q882" s="619"/>
      <c r="R882" s="619"/>
      <c r="S882" s="619"/>
      <c r="T882" s="619"/>
      <c r="U882" s="619"/>
      <c r="V882" s="619"/>
      <c r="W882" s="619"/>
      <c r="X882" s="619"/>
      <c r="Y882" s="619"/>
      <c r="Z882" s="619"/>
    </row>
    <row r="883" spans="1:26" ht="11.25" customHeight="1">
      <c r="A883" s="619"/>
      <c r="B883" s="619"/>
      <c r="C883" s="619"/>
      <c r="D883" s="619"/>
      <c r="E883" s="619"/>
      <c r="F883" s="619"/>
      <c r="G883" s="621"/>
      <c r="H883" s="619"/>
      <c r="I883" s="619"/>
      <c r="J883" s="619"/>
      <c r="K883" s="619"/>
      <c r="L883" s="619"/>
      <c r="M883" s="619"/>
      <c r="N883" s="619"/>
      <c r="O883" s="619"/>
      <c r="P883" s="619"/>
      <c r="Q883" s="619"/>
      <c r="R883" s="619"/>
      <c r="S883" s="619"/>
      <c r="T883" s="619"/>
      <c r="U883" s="619"/>
      <c r="V883" s="619"/>
      <c r="W883" s="619"/>
      <c r="X883" s="619"/>
      <c r="Y883" s="619"/>
      <c r="Z883" s="619"/>
    </row>
    <row r="884" spans="1:26" ht="11.25" customHeight="1">
      <c r="A884" s="619"/>
      <c r="B884" s="619"/>
      <c r="C884" s="619"/>
      <c r="D884" s="619"/>
      <c r="E884" s="619"/>
      <c r="F884" s="619"/>
      <c r="G884" s="621"/>
      <c r="H884" s="619"/>
      <c r="I884" s="619"/>
      <c r="J884" s="619"/>
      <c r="K884" s="619"/>
      <c r="L884" s="619"/>
      <c r="M884" s="619"/>
      <c r="N884" s="619"/>
      <c r="O884" s="619"/>
      <c r="P884" s="619"/>
      <c r="Q884" s="619"/>
      <c r="R884" s="619"/>
      <c r="S884" s="619"/>
      <c r="T884" s="619"/>
      <c r="U884" s="619"/>
      <c r="V884" s="619"/>
      <c r="W884" s="619"/>
      <c r="X884" s="619"/>
      <c r="Y884" s="619"/>
      <c r="Z884" s="619"/>
    </row>
    <row r="885" spans="1:26" ht="11.25" customHeight="1">
      <c r="A885" s="619"/>
      <c r="B885" s="619"/>
      <c r="C885" s="619"/>
      <c r="D885" s="619"/>
      <c r="E885" s="619"/>
      <c r="F885" s="619"/>
      <c r="G885" s="621"/>
      <c r="H885" s="619"/>
      <c r="I885" s="619"/>
      <c r="J885" s="619"/>
      <c r="K885" s="619"/>
      <c r="L885" s="619"/>
      <c r="M885" s="619"/>
      <c r="N885" s="619"/>
      <c r="O885" s="619"/>
      <c r="P885" s="619"/>
      <c r="Q885" s="619"/>
      <c r="R885" s="619"/>
      <c r="S885" s="619"/>
      <c r="T885" s="619"/>
      <c r="U885" s="619"/>
      <c r="V885" s="619"/>
      <c r="W885" s="619"/>
      <c r="X885" s="619"/>
      <c r="Y885" s="619"/>
      <c r="Z885" s="619"/>
    </row>
    <row r="886" spans="1:26" ht="11.25" customHeight="1">
      <c r="A886" s="619"/>
      <c r="B886" s="619"/>
      <c r="C886" s="619"/>
      <c r="D886" s="619"/>
      <c r="E886" s="619"/>
      <c r="F886" s="619"/>
      <c r="G886" s="621"/>
      <c r="H886" s="619"/>
      <c r="I886" s="619"/>
      <c r="J886" s="619"/>
      <c r="K886" s="619"/>
      <c r="L886" s="619"/>
      <c r="M886" s="619"/>
      <c r="N886" s="619"/>
      <c r="O886" s="619"/>
      <c r="P886" s="619"/>
      <c r="Q886" s="619"/>
      <c r="R886" s="619"/>
      <c r="S886" s="619"/>
      <c r="T886" s="619"/>
      <c r="U886" s="619"/>
      <c r="V886" s="619"/>
      <c r="W886" s="619"/>
      <c r="X886" s="619"/>
      <c r="Y886" s="619"/>
      <c r="Z886" s="619"/>
    </row>
    <row r="887" spans="1:26" ht="11.25" customHeight="1">
      <c r="A887" s="619"/>
      <c r="B887" s="619"/>
      <c r="C887" s="619"/>
      <c r="D887" s="619"/>
      <c r="E887" s="619"/>
      <c r="F887" s="619"/>
      <c r="G887" s="621"/>
      <c r="H887" s="619"/>
      <c r="I887" s="619"/>
      <c r="J887" s="619"/>
      <c r="K887" s="619"/>
      <c r="L887" s="619"/>
      <c r="M887" s="619"/>
      <c r="N887" s="619"/>
      <c r="O887" s="619"/>
      <c r="P887" s="619"/>
      <c r="Q887" s="619"/>
      <c r="R887" s="619"/>
      <c r="S887" s="619"/>
      <c r="T887" s="619"/>
      <c r="U887" s="619"/>
      <c r="V887" s="619"/>
      <c r="W887" s="619"/>
      <c r="X887" s="619"/>
      <c r="Y887" s="619"/>
      <c r="Z887" s="619"/>
    </row>
    <row r="888" spans="1:26" ht="11.25" customHeight="1">
      <c r="A888" s="619"/>
      <c r="B888" s="619"/>
      <c r="C888" s="619"/>
      <c r="D888" s="619"/>
      <c r="E888" s="619"/>
      <c r="F888" s="619"/>
      <c r="G888" s="621"/>
      <c r="H888" s="619"/>
      <c r="I888" s="619"/>
      <c r="J888" s="619"/>
      <c r="K888" s="619"/>
      <c r="L888" s="619"/>
      <c r="M888" s="619"/>
      <c r="N888" s="619"/>
      <c r="O888" s="619"/>
      <c r="P888" s="619"/>
      <c r="Q888" s="619"/>
      <c r="R888" s="619"/>
      <c r="S888" s="619"/>
      <c r="T888" s="619"/>
      <c r="U888" s="619"/>
      <c r="V888" s="619"/>
      <c r="W888" s="619"/>
      <c r="X888" s="619"/>
      <c r="Y888" s="619"/>
      <c r="Z888" s="619"/>
    </row>
    <row r="889" spans="1:26" ht="11.25" customHeight="1">
      <c r="A889" s="619"/>
      <c r="B889" s="619"/>
      <c r="C889" s="619"/>
      <c r="D889" s="619"/>
      <c r="E889" s="619"/>
      <c r="F889" s="619"/>
      <c r="G889" s="621"/>
      <c r="H889" s="619"/>
      <c r="I889" s="619"/>
      <c r="J889" s="619"/>
      <c r="K889" s="619"/>
      <c r="L889" s="619"/>
      <c r="M889" s="619"/>
      <c r="N889" s="619"/>
      <c r="O889" s="619"/>
      <c r="P889" s="619"/>
      <c r="Q889" s="619"/>
      <c r="R889" s="619"/>
      <c r="S889" s="619"/>
      <c r="T889" s="619"/>
      <c r="U889" s="619"/>
      <c r="V889" s="619"/>
      <c r="W889" s="619"/>
      <c r="X889" s="619"/>
      <c r="Y889" s="619"/>
      <c r="Z889" s="619"/>
    </row>
    <row r="890" spans="1:26" ht="11.25" customHeight="1">
      <c r="A890" s="619"/>
      <c r="B890" s="619"/>
      <c r="C890" s="619"/>
      <c r="D890" s="619"/>
      <c r="E890" s="619"/>
      <c r="F890" s="619"/>
      <c r="G890" s="621"/>
      <c r="H890" s="619"/>
      <c r="I890" s="619"/>
      <c r="J890" s="619"/>
      <c r="K890" s="619"/>
      <c r="L890" s="619"/>
      <c r="M890" s="619"/>
      <c r="N890" s="619"/>
      <c r="O890" s="619"/>
      <c r="P890" s="619"/>
      <c r="Q890" s="619"/>
      <c r="R890" s="619"/>
      <c r="S890" s="619"/>
      <c r="T890" s="619"/>
      <c r="U890" s="619"/>
      <c r="V890" s="619"/>
      <c r="W890" s="619"/>
      <c r="X890" s="619"/>
      <c r="Y890" s="619"/>
      <c r="Z890" s="619"/>
    </row>
    <row r="891" spans="1:26" ht="11.25" customHeight="1">
      <c r="A891" s="619"/>
      <c r="B891" s="619"/>
      <c r="C891" s="619"/>
      <c r="D891" s="619"/>
      <c r="E891" s="619"/>
      <c r="F891" s="619"/>
      <c r="G891" s="621"/>
      <c r="H891" s="619"/>
      <c r="I891" s="619"/>
      <c r="J891" s="619"/>
      <c r="K891" s="619"/>
      <c r="L891" s="619"/>
      <c r="M891" s="619"/>
      <c r="N891" s="619"/>
      <c r="O891" s="619"/>
      <c r="P891" s="619"/>
      <c r="Q891" s="619"/>
      <c r="R891" s="619"/>
      <c r="S891" s="619"/>
      <c r="T891" s="619"/>
      <c r="U891" s="619"/>
      <c r="V891" s="619"/>
      <c r="W891" s="619"/>
      <c r="X891" s="619"/>
      <c r="Y891" s="619"/>
      <c r="Z891" s="619"/>
    </row>
    <row r="892" spans="1:26" ht="11.25" customHeight="1">
      <c r="A892" s="619"/>
      <c r="B892" s="619"/>
      <c r="C892" s="619"/>
      <c r="D892" s="619"/>
      <c r="E892" s="619"/>
      <c r="F892" s="619"/>
      <c r="G892" s="621"/>
      <c r="H892" s="619"/>
      <c r="I892" s="619"/>
      <c r="J892" s="619"/>
      <c r="K892" s="619"/>
      <c r="L892" s="619"/>
      <c r="M892" s="619"/>
      <c r="N892" s="619"/>
      <c r="O892" s="619"/>
      <c r="P892" s="619"/>
      <c r="Q892" s="619"/>
      <c r="R892" s="619"/>
      <c r="S892" s="619"/>
      <c r="T892" s="619"/>
      <c r="U892" s="619"/>
      <c r="V892" s="619"/>
      <c r="W892" s="619"/>
      <c r="X892" s="619"/>
      <c r="Y892" s="619"/>
      <c r="Z892" s="619"/>
    </row>
    <row r="893" spans="1:26" ht="11.25" customHeight="1">
      <c r="A893" s="619"/>
      <c r="B893" s="619"/>
      <c r="C893" s="619"/>
      <c r="D893" s="619"/>
      <c r="E893" s="619"/>
      <c r="F893" s="619"/>
      <c r="G893" s="621"/>
      <c r="H893" s="619"/>
      <c r="I893" s="619"/>
      <c r="J893" s="619"/>
      <c r="K893" s="619"/>
      <c r="L893" s="619"/>
      <c r="M893" s="619"/>
      <c r="N893" s="619"/>
      <c r="O893" s="619"/>
      <c r="P893" s="619"/>
      <c r="Q893" s="619"/>
      <c r="R893" s="619"/>
      <c r="S893" s="619"/>
      <c r="T893" s="619"/>
      <c r="U893" s="619"/>
      <c r="V893" s="619"/>
      <c r="W893" s="619"/>
      <c r="X893" s="619"/>
      <c r="Y893" s="619"/>
      <c r="Z893" s="619"/>
    </row>
    <row r="894" spans="1:26" ht="11.25" customHeight="1">
      <c r="A894" s="619"/>
      <c r="B894" s="619"/>
      <c r="C894" s="619"/>
      <c r="D894" s="619"/>
      <c r="E894" s="619"/>
      <c r="F894" s="619"/>
      <c r="G894" s="621"/>
      <c r="H894" s="619"/>
      <c r="I894" s="619"/>
      <c r="J894" s="619"/>
      <c r="K894" s="619"/>
      <c r="L894" s="619"/>
      <c r="M894" s="619"/>
      <c r="N894" s="619"/>
      <c r="O894" s="619"/>
      <c r="P894" s="619"/>
      <c r="Q894" s="619"/>
      <c r="R894" s="619"/>
      <c r="S894" s="619"/>
      <c r="T894" s="619"/>
      <c r="U894" s="619"/>
      <c r="V894" s="619"/>
      <c r="W894" s="619"/>
      <c r="X894" s="619"/>
      <c r="Y894" s="619"/>
      <c r="Z894" s="619"/>
    </row>
    <row r="895" spans="1:26" ht="11.25" customHeight="1">
      <c r="A895" s="619"/>
      <c r="B895" s="619"/>
      <c r="C895" s="619"/>
      <c r="D895" s="619"/>
      <c r="E895" s="619"/>
      <c r="F895" s="619"/>
      <c r="G895" s="621"/>
      <c r="H895" s="619"/>
      <c r="I895" s="619"/>
      <c r="J895" s="619"/>
      <c r="K895" s="619"/>
      <c r="L895" s="619"/>
      <c r="M895" s="619"/>
      <c r="N895" s="619"/>
      <c r="O895" s="619"/>
      <c r="P895" s="619"/>
      <c r="Q895" s="619"/>
      <c r="R895" s="619"/>
      <c r="S895" s="619"/>
      <c r="T895" s="619"/>
      <c r="U895" s="619"/>
      <c r="V895" s="619"/>
      <c r="W895" s="619"/>
      <c r="X895" s="619"/>
      <c r="Y895" s="619"/>
      <c r="Z895" s="619"/>
    </row>
    <row r="896" spans="1:26" ht="11.25" customHeight="1">
      <c r="A896" s="619"/>
      <c r="B896" s="619"/>
      <c r="C896" s="619"/>
      <c r="D896" s="619"/>
      <c r="E896" s="619"/>
      <c r="F896" s="619"/>
      <c r="G896" s="621"/>
      <c r="H896" s="619"/>
      <c r="I896" s="619"/>
      <c r="J896" s="619"/>
      <c r="K896" s="619"/>
      <c r="L896" s="619"/>
      <c r="M896" s="619"/>
      <c r="N896" s="619"/>
      <c r="O896" s="619"/>
      <c r="P896" s="619"/>
      <c r="Q896" s="619"/>
      <c r="R896" s="619"/>
      <c r="S896" s="619"/>
      <c r="T896" s="619"/>
      <c r="U896" s="619"/>
      <c r="V896" s="619"/>
      <c r="W896" s="619"/>
      <c r="X896" s="619"/>
      <c r="Y896" s="619"/>
      <c r="Z896" s="619"/>
    </row>
    <row r="897" spans="1:26" ht="11.25" customHeight="1">
      <c r="A897" s="619"/>
      <c r="B897" s="619"/>
      <c r="C897" s="619"/>
      <c r="D897" s="619"/>
      <c r="E897" s="619"/>
      <c r="F897" s="619"/>
      <c r="G897" s="621"/>
      <c r="H897" s="619"/>
      <c r="I897" s="619"/>
      <c r="J897" s="619"/>
      <c r="K897" s="619"/>
      <c r="L897" s="619"/>
      <c r="M897" s="619"/>
      <c r="N897" s="619"/>
      <c r="O897" s="619"/>
      <c r="P897" s="619"/>
      <c r="Q897" s="619"/>
      <c r="R897" s="619"/>
      <c r="S897" s="619"/>
      <c r="T897" s="619"/>
      <c r="U897" s="619"/>
      <c r="V897" s="619"/>
      <c r="W897" s="619"/>
      <c r="X897" s="619"/>
      <c r="Y897" s="619"/>
      <c r="Z897" s="619"/>
    </row>
    <row r="898" spans="1:26" ht="11.25" customHeight="1">
      <c r="A898" s="619"/>
      <c r="B898" s="619"/>
      <c r="C898" s="619"/>
      <c r="D898" s="619"/>
      <c r="E898" s="619"/>
      <c r="F898" s="619"/>
      <c r="G898" s="621"/>
      <c r="H898" s="619"/>
      <c r="I898" s="619"/>
      <c r="J898" s="619"/>
      <c r="K898" s="619"/>
      <c r="L898" s="619"/>
      <c r="M898" s="619"/>
      <c r="N898" s="619"/>
      <c r="O898" s="619"/>
      <c r="P898" s="619"/>
      <c r="Q898" s="619"/>
      <c r="R898" s="619"/>
      <c r="S898" s="619"/>
      <c r="T898" s="619"/>
      <c r="U898" s="619"/>
      <c r="V898" s="619"/>
      <c r="W898" s="619"/>
      <c r="X898" s="619"/>
      <c r="Y898" s="619"/>
      <c r="Z898" s="619"/>
    </row>
    <row r="899" spans="1:26" ht="11.25" customHeight="1">
      <c r="A899" s="619"/>
      <c r="B899" s="619"/>
      <c r="C899" s="619"/>
      <c r="D899" s="619"/>
      <c r="E899" s="619"/>
      <c r="F899" s="619"/>
      <c r="G899" s="621"/>
      <c r="H899" s="619"/>
      <c r="I899" s="619"/>
      <c r="J899" s="619"/>
      <c r="K899" s="619"/>
      <c r="L899" s="619"/>
      <c r="M899" s="619"/>
      <c r="N899" s="619"/>
      <c r="O899" s="619"/>
      <c r="P899" s="619"/>
      <c r="Q899" s="619"/>
      <c r="R899" s="619"/>
      <c r="S899" s="619"/>
      <c r="T899" s="619"/>
      <c r="U899" s="619"/>
      <c r="V899" s="619"/>
      <c r="W899" s="619"/>
      <c r="X899" s="619"/>
      <c r="Y899" s="619"/>
      <c r="Z899" s="619"/>
    </row>
    <row r="900" spans="1:26" ht="11.25" customHeight="1">
      <c r="A900" s="619"/>
      <c r="B900" s="619"/>
      <c r="C900" s="619"/>
      <c r="D900" s="619"/>
      <c r="E900" s="619"/>
      <c r="F900" s="619"/>
      <c r="G900" s="621"/>
      <c r="H900" s="619"/>
      <c r="I900" s="619"/>
      <c r="J900" s="619"/>
      <c r="K900" s="619"/>
      <c r="L900" s="619"/>
      <c r="M900" s="619"/>
      <c r="N900" s="619"/>
      <c r="O900" s="619"/>
      <c r="P900" s="619"/>
      <c r="Q900" s="619"/>
      <c r="R900" s="619"/>
      <c r="S900" s="619"/>
      <c r="T900" s="619"/>
      <c r="U900" s="619"/>
      <c r="V900" s="619"/>
      <c r="W900" s="619"/>
      <c r="X900" s="619"/>
      <c r="Y900" s="619"/>
      <c r="Z900" s="619"/>
    </row>
    <row r="901" spans="1:26" ht="11.25" customHeight="1">
      <c r="A901" s="619"/>
      <c r="B901" s="619"/>
      <c r="C901" s="619"/>
      <c r="D901" s="619"/>
      <c r="E901" s="619"/>
      <c r="F901" s="619"/>
      <c r="G901" s="621"/>
      <c r="H901" s="619"/>
      <c r="I901" s="619"/>
      <c r="J901" s="619"/>
      <c r="K901" s="619"/>
      <c r="L901" s="619"/>
      <c r="M901" s="619"/>
      <c r="N901" s="619"/>
      <c r="O901" s="619"/>
      <c r="P901" s="619"/>
      <c r="Q901" s="619"/>
      <c r="R901" s="619"/>
      <c r="S901" s="619"/>
      <c r="T901" s="619"/>
      <c r="U901" s="619"/>
      <c r="V901" s="619"/>
      <c r="W901" s="619"/>
      <c r="X901" s="619"/>
      <c r="Y901" s="619"/>
      <c r="Z901" s="619"/>
    </row>
    <row r="902" spans="1:26" ht="11.25" customHeight="1">
      <c r="A902" s="619"/>
      <c r="B902" s="619"/>
      <c r="C902" s="619"/>
      <c r="D902" s="619"/>
      <c r="E902" s="619"/>
      <c r="F902" s="619"/>
      <c r="G902" s="621"/>
      <c r="H902" s="619"/>
      <c r="I902" s="619"/>
      <c r="J902" s="619"/>
      <c r="K902" s="619"/>
      <c r="L902" s="619"/>
      <c r="M902" s="619"/>
      <c r="N902" s="619"/>
      <c r="O902" s="619"/>
      <c r="P902" s="619"/>
      <c r="Q902" s="619"/>
      <c r="R902" s="619"/>
      <c r="S902" s="619"/>
      <c r="T902" s="619"/>
      <c r="U902" s="619"/>
      <c r="V902" s="619"/>
      <c r="W902" s="619"/>
      <c r="X902" s="619"/>
      <c r="Y902" s="619"/>
      <c r="Z902" s="619"/>
    </row>
    <row r="903" spans="1:26" ht="11.25" customHeight="1">
      <c r="A903" s="619"/>
      <c r="B903" s="619"/>
      <c r="C903" s="619"/>
      <c r="D903" s="619"/>
      <c r="E903" s="619"/>
      <c r="F903" s="619"/>
      <c r="G903" s="621"/>
      <c r="H903" s="619"/>
      <c r="I903" s="619"/>
      <c r="J903" s="619"/>
      <c r="K903" s="619"/>
      <c r="L903" s="619"/>
      <c r="M903" s="619"/>
      <c r="N903" s="619"/>
      <c r="O903" s="619"/>
      <c r="P903" s="619"/>
      <c r="Q903" s="619"/>
      <c r="R903" s="619"/>
      <c r="S903" s="619"/>
      <c r="T903" s="619"/>
      <c r="U903" s="619"/>
      <c r="V903" s="619"/>
      <c r="W903" s="619"/>
      <c r="X903" s="619"/>
      <c r="Y903" s="619"/>
      <c r="Z903" s="619"/>
    </row>
    <row r="904" spans="1:26" ht="11.25" customHeight="1">
      <c r="A904" s="619"/>
      <c r="B904" s="619"/>
      <c r="C904" s="619"/>
      <c r="D904" s="619"/>
      <c r="E904" s="619"/>
      <c r="F904" s="619"/>
      <c r="G904" s="621"/>
      <c r="H904" s="619"/>
      <c r="I904" s="619"/>
      <c r="J904" s="619"/>
      <c r="K904" s="619"/>
      <c r="L904" s="619"/>
      <c r="M904" s="619"/>
      <c r="N904" s="619"/>
      <c r="O904" s="619"/>
      <c r="P904" s="619"/>
      <c r="Q904" s="619"/>
      <c r="R904" s="619"/>
      <c r="S904" s="619"/>
      <c r="T904" s="619"/>
      <c r="U904" s="619"/>
      <c r="V904" s="619"/>
      <c r="W904" s="619"/>
      <c r="X904" s="619"/>
      <c r="Y904" s="619"/>
      <c r="Z904" s="619"/>
    </row>
    <row r="905" spans="1:26" ht="11.25" customHeight="1">
      <c r="A905" s="619"/>
      <c r="B905" s="619"/>
      <c r="C905" s="619"/>
      <c r="D905" s="619"/>
      <c r="E905" s="619"/>
      <c r="F905" s="619"/>
      <c r="G905" s="621"/>
      <c r="H905" s="619"/>
      <c r="I905" s="619"/>
      <c r="J905" s="619"/>
      <c r="K905" s="619"/>
      <c r="L905" s="619"/>
      <c r="M905" s="619"/>
      <c r="N905" s="619"/>
      <c r="O905" s="619"/>
      <c r="P905" s="619"/>
      <c r="Q905" s="619"/>
      <c r="R905" s="619"/>
      <c r="S905" s="619"/>
      <c r="T905" s="619"/>
      <c r="U905" s="619"/>
      <c r="V905" s="619"/>
      <c r="W905" s="619"/>
      <c r="X905" s="619"/>
      <c r="Y905" s="619"/>
      <c r="Z905" s="619"/>
    </row>
    <row r="906" spans="1:26" ht="11.25" customHeight="1">
      <c r="A906" s="619"/>
      <c r="B906" s="619"/>
      <c r="C906" s="619"/>
      <c r="D906" s="619"/>
      <c r="E906" s="619"/>
      <c r="F906" s="619"/>
      <c r="G906" s="621"/>
      <c r="H906" s="619"/>
      <c r="I906" s="619"/>
      <c r="J906" s="619"/>
      <c r="K906" s="619"/>
      <c r="L906" s="619"/>
      <c r="M906" s="619"/>
      <c r="N906" s="619"/>
      <c r="O906" s="619"/>
      <c r="P906" s="619"/>
      <c r="Q906" s="619"/>
      <c r="R906" s="619"/>
      <c r="S906" s="619"/>
      <c r="T906" s="619"/>
      <c r="U906" s="619"/>
      <c r="V906" s="619"/>
      <c r="W906" s="619"/>
      <c r="X906" s="619"/>
      <c r="Y906" s="619"/>
      <c r="Z906" s="619"/>
    </row>
    <row r="907" spans="1:26" ht="11.25" customHeight="1">
      <c r="A907" s="619"/>
      <c r="B907" s="619"/>
      <c r="C907" s="619"/>
      <c r="D907" s="619"/>
      <c r="E907" s="619"/>
      <c r="F907" s="619"/>
      <c r="G907" s="621"/>
      <c r="H907" s="619"/>
      <c r="I907" s="619"/>
      <c r="J907" s="619"/>
      <c r="K907" s="619"/>
      <c r="L907" s="619"/>
      <c r="M907" s="619"/>
      <c r="N907" s="619"/>
      <c r="O907" s="619"/>
      <c r="P907" s="619"/>
      <c r="Q907" s="619"/>
      <c r="R907" s="619"/>
      <c r="S907" s="619"/>
      <c r="T907" s="619"/>
      <c r="U907" s="619"/>
      <c r="V907" s="619"/>
      <c r="W907" s="619"/>
      <c r="X907" s="619"/>
      <c r="Y907" s="619"/>
      <c r="Z907" s="619"/>
    </row>
    <row r="908" spans="1:26" ht="11.25" customHeight="1">
      <c r="A908" s="619"/>
      <c r="B908" s="619"/>
      <c r="C908" s="619"/>
      <c r="D908" s="619"/>
      <c r="E908" s="619"/>
      <c r="F908" s="619"/>
      <c r="G908" s="621"/>
      <c r="H908" s="619"/>
      <c r="I908" s="619"/>
      <c r="J908" s="619"/>
      <c r="K908" s="619"/>
      <c r="L908" s="619"/>
      <c r="M908" s="619"/>
      <c r="N908" s="619"/>
      <c r="O908" s="619"/>
      <c r="P908" s="619"/>
      <c r="Q908" s="619"/>
      <c r="R908" s="619"/>
      <c r="S908" s="619"/>
      <c r="T908" s="619"/>
      <c r="U908" s="619"/>
      <c r="V908" s="619"/>
      <c r="W908" s="619"/>
      <c r="X908" s="619"/>
      <c r="Y908" s="619"/>
      <c r="Z908" s="619"/>
    </row>
    <row r="909" spans="1:26" ht="11.25" customHeight="1">
      <c r="A909" s="619"/>
      <c r="B909" s="619"/>
      <c r="C909" s="619"/>
      <c r="D909" s="619"/>
      <c r="E909" s="619"/>
      <c r="F909" s="619"/>
      <c r="G909" s="621"/>
      <c r="H909" s="619"/>
      <c r="I909" s="619"/>
      <c r="J909" s="619"/>
      <c r="K909" s="619"/>
      <c r="L909" s="619"/>
      <c r="M909" s="619"/>
      <c r="N909" s="619"/>
      <c r="O909" s="619"/>
      <c r="P909" s="619"/>
      <c r="Q909" s="619"/>
      <c r="R909" s="619"/>
      <c r="S909" s="619"/>
      <c r="T909" s="619"/>
      <c r="U909" s="619"/>
      <c r="V909" s="619"/>
      <c r="W909" s="619"/>
      <c r="X909" s="619"/>
      <c r="Y909" s="619"/>
      <c r="Z909" s="619"/>
    </row>
    <row r="910" spans="1:26" ht="11.25" customHeight="1">
      <c r="A910" s="619"/>
      <c r="B910" s="619"/>
      <c r="C910" s="619"/>
      <c r="D910" s="619"/>
      <c r="E910" s="619"/>
      <c r="F910" s="619"/>
      <c r="G910" s="621"/>
      <c r="H910" s="619"/>
      <c r="I910" s="619"/>
      <c r="J910" s="619"/>
      <c r="K910" s="619"/>
      <c r="L910" s="619"/>
      <c r="M910" s="619"/>
      <c r="N910" s="619"/>
      <c r="O910" s="619"/>
      <c r="P910" s="619"/>
      <c r="Q910" s="619"/>
      <c r="R910" s="619"/>
      <c r="S910" s="619"/>
      <c r="T910" s="619"/>
      <c r="U910" s="619"/>
      <c r="V910" s="619"/>
      <c r="W910" s="619"/>
      <c r="X910" s="619"/>
      <c r="Y910" s="619"/>
      <c r="Z910" s="619"/>
    </row>
    <row r="911" spans="1:26" ht="11.25" customHeight="1">
      <c r="A911" s="619"/>
      <c r="B911" s="619"/>
      <c r="C911" s="619"/>
      <c r="D911" s="619"/>
      <c r="E911" s="619"/>
      <c r="F911" s="619"/>
      <c r="G911" s="621"/>
      <c r="H911" s="619"/>
      <c r="I911" s="619"/>
      <c r="J911" s="619"/>
      <c r="K911" s="619"/>
      <c r="L911" s="619"/>
      <c r="M911" s="619"/>
      <c r="N911" s="619"/>
      <c r="O911" s="619"/>
      <c r="P911" s="619"/>
      <c r="Q911" s="619"/>
      <c r="R911" s="619"/>
      <c r="S911" s="619"/>
      <c r="T911" s="619"/>
      <c r="U911" s="619"/>
      <c r="V911" s="619"/>
      <c r="W911" s="619"/>
      <c r="X911" s="619"/>
      <c r="Y911" s="619"/>
      <c r="Z911" s="619"/>
    </row>
    <row r="912" spans="1:26" ht="11.25" customHeight="1">
      <c r="A912" s="619"/>
      <c r="B912" s="619"/>
      <c r="C912" s="619"/>
      <c r="D912" s="619"/>
      <c r="E912" s="619"/>
      <c r="F912" s="619"/>
      <c r="G912" s="621"/>
      <c r="H912" s="619"/>
      <c r="I912" s="619"/>
      <c r="J912" s="619"/>
      <c r="K912" s="619"/>
      <c r="L912" s="619"/>
      <c r="M912" s="619"/>
      <c r="N912" s="619"/>
      <c r="O912" s="619"/>
      <c r="P912" s="619"/>
      <c r="Q912" s="619"/>
      <c r="R912" s="619"/>
      <c r="S912" s="619"/>
      <c r="T912" s="619"/>
      <c r="U912" s="619"/>
      <c r="V912" s="619"/>
      <c r="W912" s="619"/>
      <c r="X912" s="619"/>
      <c r="Y912" s="619"/>
      <c r="Z912" s="619"/>
    </row>
    <row r="913" spans="1:26" ht="11.25" customHeight="1">
      <c r="A913" s="619"/>
      <c r="B913" s="619"/>
      <c r="C913" s="619"/>
      <c r="D913" s="619"/>
      <c r="E913" s="619"/>
      <c r="F913" s="619"/>
      <c r="G913" s="621"/>
      <c r="H913" s="619"/>
      <c r="I913" s="619"/>
      <c r="J913" s="619"/>
      <c r="K913" s="619"/>
      <c r="L913" s="619"/>
      <c r="M913" s="619"/>
      <c r="N913" s="619"/>
      <c r="O913" s="619"/>
      <c r="P913" s="619"/>
      <c r="Q913" s="619"/>
      <c r="R913" s="619"/>
      <c r="S913" s="619"/>
      <c r="T913" s="619"/>
      <c r="U913" s="619"/>
      <c r="V913" s="619"/>
      <c r="W913" s="619"/>
      <c r="X913" s="619"/>
      <c r="Y913" s="619"/>
      <c r="Z913" s="619"/>
    </row>
    <row r="914" spans="1:26" ht="11.25" customHeight="1">
      <c r="A914" s="619"/>
      <c r="B914" s="619"/>
      <c r="C914" s="619"/>
      <c r="D914" s="619"/>
      <c r="E914" s="619"/>
      <c r="F914" s="619"/>
      <c r="G914" s="621"/>
      <c r="H914" s="619"/>
      <c r="I914" s="619"/>
      <c r="J914" s="619"/>
      <c r="K914" s="619"/>
      <c r="L914" s="619"/>
      <c r="M914" s="619"/>
      <c r="N914" s="619"/>
      <c r="O914" s="619"/>
      <c r="P914" s="619"/>
      <c r="Q914" s="619"/>
      <c r="R914" s="619"/>
      <c r="S914" s="619"/>
      <c r="T914" s="619"/>
      <c r="U914" s="619"/>
      <c r="V914" s="619"/>
      <c r="W914" s="619"/>
      <c r="X914" s="619"/>
      <c r="Y914" s="619"/>
      <c r="Z914" s="619"/>
    </row>
    <row r="915" spans="1:26" ht="11.25" customHeight="1">
      <c r="A915" s="619"/>
      <c r="B915" s="619"/>
      <c r="C915" s="619"/>
      <c r="D915" s="619"/>
      <c r="E915" s="619"/>
      <c r="F915" s="619"/>
      <c r="G915" s="621"/>
      <c r="H915" s="619"/>
      <c r="I915" s="619"/>
      <c r="J915" s="619"/>
      <c r="K915" s="619"/>
      <c r="L915" s="619"/>
      <c r="M915" s="619"/>
      <c r="N915" s="619"/>
      <c r="O915" s="619"/>
      <c r="P915" s="619"/>
      <c r="Q915" s="619"/>
      <c r="R915" s="619"/>
      <c r="S915" s="619"/>
      <c r="T915" s="619"/>
      <c r="U915" s="619"/>
      <c r="V915" s="619"/>
      <c r="W915" s="619"/>
      <c r="X915" s="619"/>
      <c r="Y915" s="619"/>
      <c r="Z915" s="619"/>
    </row>
    <row r="916" spans="1:26" ht="11.25" customHeight="1">
      <c r="A916" s="619"/>
      <c r="B916" s="619"/>
      <c r="C916" s="619"/>
      <c r="D916" s="619"/>
      <c r="E916" s="619"/>
      <c r="F916" s="619"/>
      <c r="G916" s="621"/>
      <c r="H916" s="619"/>
      <c r="I916" s="619"/>
      <c r="J916" s="619"/>
      <c r="K916" s="619"/>
      <c r="L916" s="619"/>
      <c r="M916" s="619"/>
      <c r="N916" s="619"/>
      <c r="O916" s="619"/>
      <c r="P916" s="619"/>
      <c r="Q916" s="619"/>
      <c r="R916" s="619"/>
      <c r="S916" s="619"/>
      <c r="T916" s="619"/>
      <c r="U916" s="619"/>
      <c r="V916" s="619"/>
      <c r="W916" s="619"/>
      <c r="X916" s="619"/>
      <c r="Y916" s="619"/>
      <c r="Z916" s="619"/>
    </row>
    <row r="917" spans="1:26" ht="11.25" customHeight="1">
      <c r="A917" s="619"/>
      <c r="B917" s="619"/>
      <c r="C917" s="619"/>
      <c r="D917" s="619"/>
      <c r="E917" s="619"/>
      <c r="F917" s="619"/>
      <c r="G917" s="621"/>
      <c r="H917" s="619"/>
      <c r="I917" s="619"/>
      <c r="J917" s="619"/>
      <c r="K917" s="619"/>
      <c r="L917" s="619"/>
      <c r="M917" s="619"/>
      <c r="N917" s="619"/>
      <c r="O917" s="619"/>
      <c r="P917" s="619"/>
      <c r="Q917" s="619"/>
      <c r="R917" s="619"/>
      <c r="S917" s="619"/>
      <c r="T917" s="619"/>
      <c r="U917" s="619"/>
      <c r="V917" s="619"/>
      <c r="W917" s="619"/>
      <c r="X917" s="619"/>
      <c r="Y917" s="619"/>
      <c r="Z917" s="619"/>
    </row>
    <row r="918" spans="1:26" ht="11.25" customHeight="1">
      <c r="A918" s="619"/>
      <c r="B918" s="619"/>
      <c r="C918" s="619"/>
      <c r="D918" s="619"/>
      <c r="E918" s="619"/>
      <c r="F918" s="619"/>
      <c r="G918" s="621"/>
      <c r="H918" s="619"/>
      <c r="I918" s="619"/>
      <c r="J918" s="619"/>
      <c r="K918" s="619"/>
      <c r="L918" s="619"/>
      <c r="M918" s="619"/>
      <c r="N918" s="619"/>
      <c r="O918" s="619"/>
      <c r="P918" s="619"/>
      <c r="Q918" s="619"/>
      <c r="R918" s="619"/>
      <c r="S918" s="619"/>
      <c r="T918" s="619"/>
      <c r="U918" s="619"/>
      <c r="V918" s="619"/>
      <c r="W918" s="619"/>
      <c r="X918" s="619"/>
      <c r="Y918" s="619"/>
      <c r="Z918" s="619"/>
    </row>
    <row r="919" spans="1:26" ht="11.25" customHeight="1">
      <c r="A919" s="619"/>
      <c r="B919" s="619"/>
      <c r="C919" s="619"/>
      <c r="D919" s="619"/>
      <c r="E919" s="619"/>
      <c r="F919" s="619"/>
      <c r="G919" s="621"/>
      <c r="H919" s="619"/>
      <c r="I919" s="619"/>
      <c r="J919" s="619"/>
      <c r="K919" s="619"/>
      <c r="L919" s="619"/>
      <c r="M919" s="619"/>
      <c r="N919" s="619"/>
      <c r="O919" s="619"/>
      <c r="P919" s="619"/>
      <c r="Q919" s="619"/>
      <c r="R919" s="619"/>
      <c r="S919" s="619"/>
      <c r="T919" s="619"/>
      <c r="U919" s="619"/>
      <c r="V919" s="619"/>
      <c r="W919" s="619"/>
      <c r="X919" s="619"/>
      <c r="Y919" s="619"/>
      <c r="Z919" s="619"/>
    </row>
    <row r="920" spans="1:26" ht="11.25" customHeight="1">
      <c r="A920" s="619"/>
      <c r="B920" s="619"/>
      <c r="C920" s="619"/>
      <c r="D920" s="619"/>
      <c r="E920" s="619"/>
      <c r="F920" s="619"/>
      <c r="G920" s="621"/>
      <c r="H920" s="619"/>
      <c r="I920" s="619"/>
      <c r="J920" s="619"/>
      <c r="K920" s="619"/>
      <c r="L920" s="619"/>
      <c r="M920" s="619"/>
      <c r="N920" s="619"/>
      <c r="O920" s="619"/>
      <c r="P920" s="619"/>
      <c r="Q920" s="619"/>
      <c r="R920" s="619"/>
      <c r="S920" s="619"/>
      <c r="T920" s="619"/>
      <c r="U920" s="619"/>
      <c r="V920" s="619"/>
      <c r="W920" s="619"/>
      <c r="X920" s="619"/>
      <c r="Y920" s="619"/>
      <c r="Z920" s="619"/>
    </row>
    <row r="921" spans="1:26" ht="11.25" customHeight="1">
      <c r="A921" s="619"/>
      <c r="B921" s="619"/>
      <c r="C921" s="619"/>
      <c r="D921" s="619"/>
      <c r="E921" s="619"/>
      <c r="F921" s="619"/>
      <c r="G921" s="621"/>
      <c r="H921" s="619"/>
      <c r="I921" s="619"/>
      <c r="J921" s="619"/>
      <c r="K921" s="619"/>
      <c r="L921" s="619"/>
      <c r="M921" s="619"/>
      <c r="N921" s="619"/>
      <c r="O921" s="619"/>
      <c r="P921" s="619"/>
      <c r="Q921" s="619"/>
      <c r="R921" s="619"/>
      <c r="S921" s="619"/>
      <c r="T921" s="619"/>
      <c r="U921" s="619"/>
      <c r="V921" s="619"/>
      <c r="W921" s="619"/>
      <c r="X921" s="619"/>
      <c r="Y921" s="619"/>
      <c r="Z921" s="619"/>
    </row>
    <row r="922" spans="1:26" ht="11.25" customHeight="1">
      <c r="A922" s="619"/>
      <c r="B922" s="619"/>
      <c r="C922" s="619"/>
      <c r="D922" s="619"/>
      <c r="E922" s="619"/>
      <c r="F922" s="619"/>
      <c r="G922" s="621"/>
      <c r="H922" s="619"/>
      <c r="I922" s="619"/>
      <c r="J922" s="619"/>
      <c r="K922" s="619"/>
      <c r="L922" s="619"/>
      <c r="M922" s="619"/>
      <c r="N922" s="619"/>
      <c r="O922" s="619"/>
      <c r="P922" s="619"/>
      <c r="Q922" s="619"/>
      <c r="R922" s="619"/>
      <c r="S922" s="619"/>
      <c r="T922" s="619"/>
      <c r="U922" s="619"/>
      <c r="V922" s="619"/>
      <c r="W922" s="619"/>
      <c r="X922" s="619"/>
      <c r="Y922" s="619"/>
      <c r="Z922" s="619"/>
    </row>
    <row r="923" spans="1:26" ht="11.25" customHeight="1">
      <c r="A923" s="619"/>
      <c r="B923" s="619"/>
      <c r="C923" s="619"/>
      <c r="D923" s="619"/>
      <c r="E923" s="619"/>
      <c r="F923" s="619"/>
      <c r="G923" s="621"/>
      <c r="H923" s="619"/>
      <c r="I923" s="619"/>
      <c r="J923" s="619"/>
      <c r="K923" s="619"/>
      <c r="L923" s="619"/>
      <c r="M923" s="619"/>
      <c r="N923" s="619"/>
      <c r="O923" s="619"/>
      <c r="P923" s="619"/>
      <c r="Q923" s="619"/>
      <c r="R923" s="619"/>
      <c r="S923" s="619"/>
      <c r="T923" s="619"/>
      <c r="U923" s="619"/>
      <c r="V923" s="619"/>
      <c r="W923" s="619"/>
      <c r="X923" s="619"/>
      <c r="Y923" s="619"/>
      <c r="Z923" s="619"/>
    </row>
    <row r="924" spans="1:26" ht="11.25" customHeight="1">
      <c r="A924" s="619"/>
      <c r="B924" s="619"/>
      <c r="C924" s="619"/>
      <c r="D924" s="619"/>
      <c r="E924" s="619"/>
      <c r="F924" s="619"/>
      <c r="G924" s="621"/>
      <c r="H924" s="619"/>
      <c r="I924" s="619"/>
      <c r="J924" s="619"/>
      <c r="K924" s="619"/>
      <c r="L924" s="619"/>
      <c r="M924" s="619"/>
      <c r="N924" s="619"/>
      <c r="O924" s="619"/>
      <c r="P924" s="619"/>
      <c r="Q924" s="619"/>
      <c r="R924" s="619"/>
      <c r="S924" s="619"/>
      <c r="T924" s="619"/>
      <c r="U924" s="619"/>
      <c r="V924" s="619"/>
      <c r="W924" s="619"/>
      <c r="X924" s="619"/>
      <c r="Y924" s="619"/>
      <c r="Z924" s="619"/>
    </row>
    <row r="925" spans="1:26" ht="11.25" customHeight="1">
      <c r="A925" s="619"/>
      <c r="B925" s="619"/>
      <c r="C925" s="619"/>
      <c r="D925" s="619"/>
      <c r="E925" s="619"/>
      <c r="F925" s="619"/>
      <c r="G925" s="621"/>
      <c r="H925" s="619"/>
      <c r="I925" s="619"/>
      <c r="J925" s="619"/>
      <c r="K925" s="619"/>
      <c r="L925" s="619"/>
      <c r="M925" s="619"/>
      <c r="N925" s="619"/>
      <c r="O925" s="619"/>
      <c r="P925" s="619"/>
      <c r="Q925" s="619"/>
      <c r="R925" s="619"/>
      <c r="S925" s="619"/>
      <c r="T925" s="619"/>
      <c r="U925" s="619"/>
      <c r="V925" s="619"/>
      <c r="W925" s="619"/>
      <c r="X925" s="619"/>
      <c r="Y925" s="619"/>
      <c r="Z925" s="619"/>
    </row>
    <row r="926" spans="1:26" ht="11.25" customHeight="1">
      <c r="A926" s="619"/>
      <c r="B926" s="619"/>
      <c r="C926" s="619"/>
      <c r="D926" s="619"/>
      <c r="E926" s="619"/>
      <c r="F926" s="619"/>
      <c r="G926" s="621"/>
      <c r="H926" s="619"/>
      <c r="I926" s="619"/>
      <c r="J926" s="619"/>
      <c r="K926" s="619"/>
      <c r="L926" s="619"/>
      <c r="M926" s="619"/>
      <c r="N926" s="619"/>
      <c r="O926" s="619"/>
      <c r="P926" s="619"/>
      <c r="Q926" s="619"/>
      <c r="R926" s="619"/>
      <c r="S926" s="619"/>
      <c r="T926" s="619"/>
      <c r="U926" s="619"/>
      <c r="V926" s="619"/>
      <c r="W926" s="619"/>
      <c r="X926" s="619"/>
      <c r="Y926" s="619"/>
      <c r="Z926" s="619"/>
    </row>
    <row r="927" spans="1:26" ht="11.25" customHeight="1">
      <c r="A927" s="619"/>
      <c r="B927" s="619"/>
      <c r="C927" s="619"/>
      <c r="D927" s="619"/>
      <c r="E927" s="619"/>
      <c r="F927" s="619"/>
      <c r="G927" s="621"/>
      <c r="H927" s="619"/>
      <c r="I927" s="619"/>
      <c r="J927" s="619"/>
      <c r="K927" s="619"/>
      <c r="L927" s="619"/>
      <c r="M927" s="619"/>
      <c r="N927" s="619"/>
      <c r="O927" s="619"/>
      <c r="P927" s="619"/>
      <c r="Q927" s="619"/>
      <c r="R927" s="619"/>
      <c r="S927" s="619"/>
      <c r="T927" s="619"/>
      <c r="U927" s="619"/>
      <c r="V927" s="619"/>
      <c r="W927" s="619"/>
      <c r="X927" s="619"/>
      <c r="Y927" s="619"/>
      <c r="Z927" s="619"/>
    </row>
    <row r="928" spans="1:26" ht="11.25" customHeight="1">
      <c r="A928" s="619"/>
      <c r="B928" s="619"/>
      <c r="C928" s="619"/>
      <c r="D928" s="619"/>
      <c r="E928" s="619"/>
      <c r="F928" s="619"/>
      <c r="G928" s="621"/>
      <c r="H928" s="619"/>
      <c r="I928" s="619"/>
      <c r="J928" s="619"/>
      <c r="K928" s="619"/>
      <c r="L928" s="619"/>
      <c r="M928" s="619"/>
      <c r="N928" s="619"/>
      <c r="O928" s="619"/>
      <c r="P928" s="619"/>
      <c r="Q928" s="619"/>
      <c r="R928" s="619"/>
      <c r="S928" s="619"/>
      <c r="T928" s="619"/>
      <c r="U928" s="619"/>
      <c r="V928" s="619"/>
      <c r="W928" s="619"/>
      <c r="X928" s="619"/>
      <c r="Y928" s="619"/>
      <c r="Z928" s="619"/>
    </row>
    <row r="929" spans="1:26" ht="11.25" customHeight="1">
      <c r="A929" s="619"/>
      <c r="B929" s="619"/>
      <c r="C929" s="619"/>
      <c r="D929" s="619"/>
      <c r="E929" s="619"/>
      <c r="F929" s="619"/>
      <c r="G929" s="621"/>
      <c r="H929" s="619"/>
      <c r="I929" s="619"/>
      <c r="J929" s="619"/>
      <c r="K929" s="619"/>
      <c r="L929" s="619"/>
      <c r="M929" s="619"/>
      <c r="N929" s="619"/>
      <c r="O929" s="619"/>
      <c r="P929" s="619"/>
      <c r="Q929" s="619"/>
      <c r="R929" s="619"/>
      <c r="S929" s="619"/>
      <c r="T929" s="619"/>
      <c r="U929" s="619"/>
      <c r="V929" s="619"/>
      <c r="W929" s="619"/>
      <c r="X929" s="619"/>
      <c r="Y929" s="619"/>
      <c r="Z929" s="619"/>
    </row>
    <row r="930" spans="1:26" ht="11.25" customHeight="1">
      <c r="A930" s="619"/>
      <c r="B930" s="619"/>
      <c r="C930" s="619"/>
      <c r="D930" s="619"/>
      <c r="E930" s="619"/>
      <c r="F930" s="619"/>
      <c r="G930" s="621"/>
      <c r="H930" s="619"/>
      <c r="I930" s="619"/>
      <c r="J930" s="619"/>
      <c r="K930" s="619"/>
      <c r="L930" s="619"/>
      <c r="M930" s="619"/>
      <c r="N930" s="619"/>
      <c r="O930" s="619"/>
      <c r="P930" s="619"/>
      <c r="Q930" s="619"/>
      <c r="R930" s="619"/>
      <c r="S930" s="619"/>
      <c r="T930" s="619"/>
      <c r="U930" s="619"/>
      <c r="V930" s="619"/>
      <c r="W930" s="619"/>
      <c r="X930" s="619"/>
      <c r="Y930" s="619"/>
      <c r="Z930" s="619"/>
    </row>
    <row r="931" spans="1:26" ht="11.25" customHeight="1">
      <c r="A931" s="619"/>
      <c r="B931" s="619"/>
      <c r="C931" s="619"/>
      <c r="D931" s="619"/>
      <c r="E931" s="619"/>
      <c r="F931" s="619"/>
      <c r="G931" s="621"/>
      <c r="H931" s="619"/>
      <c r="I931" s="619"/>
      <c r="J931" s="619"/>
      <c r="K931" s="619"/>
      <c r="L931" s="619"/>
      <c r="M931" s="619"/>
      <c r="N931" s="619"/>
      <c r="O931" s="619"/>
      <c r="P931" s="619"/>
      <c r="Q931" s="619"/>
      <c r="R931" s="619"/>
      <c r="S931" s="619"/>
      <c r="T931" s="619"/>
      <c r="U931" s="619"/>
      <c r="V931" s="619"/>
      <c r="W931" s="619"/>
      <c r="X931" s="619"/>
      <c r="Y931" s="619"/>
      <c r="Z931" s="619"/>
    </row>
    <row r="932" spans="1:26" ht="11.25" customHeight="1">
      <c r="A932" s="619"/>
      <c r="B932" s="619"/>
      <c r="C932" s="619"/>
      <c r="D932" s="619"/>
      <c r="E932" s="619"/>
      <c r="F932" s="619"/>
      <c r="G932" s="621"/>
      <c r="H932" s="619"/>
      <c r="I932" s="619"/>
      <c r="J932" s="619"/>
      <c r="K932" s="619"/>
      <c r="L932" s="619"/>
      <c r="M932" s="619"/>
      <c r="N932" s="619"/>
      <c r="O932" s="619"/>
      <c r="P932" s="619"/>
      <c r="Q932" s="619"/>
      <c r="R932" s="619"/>
      <c r="S932" s="619"/>
      <c r="T932" s="619"/>
      <c r="U932" s="619"/>
      <c r="V932" s="619"/>
      <c r="W932" s="619"/>
      <c r="X932" s="619"/>
      <c r="Y932" s="619"/>
      <c r="Z932" s="619"/>
    </row>
    <row r="933" spans="1:26" ht="11.25" customHeight="1">
      <c r="A933" s="619"/>
      <c r="B933" s="619"/>
      <c r="C933" s="619"/>
      <c r="D933" s="619"/>
      <c r="E933" s="619"/>
      <c r="F933" s="619"/>
      <c r="G933" s="621"/>
      <c r="H933" s="619"/>
      <c r="I933" s="619"/>
      <c r="J933" s="619"/>
      <c r="K933" s="619"/>
      <c r="L933" s="619"/>
      <c r="M933" s="619"/>
      <c r="N933" s="619"/>
      <c r="O933" s="619"/>
      <c r="P933" s="619"/>
      <c r="Q933" s="619"/>
      <c r="R933" s="619"/>
      <c r="S933" s="619"/>
      <c r="T933" s="619"/>
      <c r="U933" s="619"/>
      <c r="V933" s="619"/>
      <c r="W933" s="619"/>
      <c r="X933" s="619"/>
      <c r="Y933" s="619"/>
      <c r="Z933" s="619"/>
    </row>
    <row r="934" spans="1:26" ht="11.25" customHeight="1">
      <c r="A934" s="619"/>
      <c r="B934" s="619"/>
      <c r="C934" s="619"/>
      <c r="D934" s="619"/>
      <c r="E934" s="619"/>
      <c r="F934" s="619"/>
      <c r="G934" s="621"/>
      <c r="H934" s="619"/>
      <c r="I934" s="619"/>
      <c r="J934" s="619"/>
      <c r="K934" s="619"/>
      <c r="L934" s="619"/>
      <c r="M934" s="619"/>
      <c r="N934" s="619"/>
      <c r="O934" s="619"/>
      <c r="P934" s="619"/>
      <c r="Q934" s="619"/>
      <c r="R934" s="619"/>
      <c r="S934" s="619"/>
      <c r="T934" s="619"/>
      <c r="U934" s="619"/>
      <c r="V934" s="619"/>
      <c r="W934" s="619"/>
      <c r="X934" s="619"/>
      <c r="Y934" s="619"/>
      <c r="Z934" s="619"/>
    </row>
    <row r="935" spans="1:26" ht="11.25" customHeight="1">
      <c r="A935" s="619"/>
      <c r="B935" s="619"/>
      <c r="C935" s="619"/>
      <c r="D935" s="619"/>
      <c r="E935" s="619"/>
      <c r="F935" s="619"/>
      <c r="G935" s="621"/>
      <c r="H935" s="619"/>
      <c r="I935" s="619"/>
      <c r="J935" s="619"/>
      <c r="K935" s="619"/>
      <c r="L935" s="619"/>
      <c r="M935" s="619"/>
      <c r="N935" s="619"/>
      <c r="O935" s="619"/>
      <c r="P935" s="619"/>
      <c r="Q935" s="619"/>
      <c r="R935" s="619"/>
      <c r="S935" s="619"/>
      <c r="T935" s="619"/>
      <c r="U935" s="619"/>
      <c r="V935" s="619"/>
      <c r="W935" s="619"/>
      <c r="X935" s="619"/>
      <c r="Y935" s="619"/>
      <c r="Z935" s="619"/>
    </row>
    <row r="936" spans="1:26" ht="11.25" customHeight="1">
      <c r="A936" s="619"/>
      <c r="B936" s="619"/>
      <c r="C936" s="619"/>
      <c r="D936" s="619"/>
      <c r="E936" s="619"/>
      <c r="F936" s="619"/>
      <c r="G936" s="621"/>
      <c r="H936" s="619"/>
      <c r="I936" s="619"/>
      <c r="J936" s="619"/>
      <c r="K936" s="619"/>
      <c r="L936" s="619"/>
      <c r="M936" s="619"/>
      <c r="N936" s="619"/>
      <c r="O936" s="619"/>
      <c r="P936" s="619"/>
      <c r="Q936" s="619"/>
      <c r="R936" s="619"/>
      <c r="S936" s="619"/>
      <c r="T936" s="619"/>
      <c r="U936" s="619"/>
      <c r="V936" s="619"/>
      <c r="W936" s="619"/>
      <c r="X936" s="619"/>
      <c r="Y936" s="619"/>
      <c r="Z936" s="619"/>
    </row>
    <row r="937" spans="1:26" ht="11.25" customHeight="1">
      <c r="A937" s="619"/>
      <c r="B937" s="619"/>
      <c r="C937" s="619"/>
      <c r="D937" s="619"/>
      <c r="E937" s="619"/>
      <c r="F937" s="619"/>
      <c r="G937" s="621"/>
      <c r="H937" s="619"/>
      <c r="I937" s="619"/>
      <c r="J937" s="619"/>
      <c r="K937" s="619"/>
      <c r="L937" s="619"/>
      <c r="M937" s="619"/>
      <c r="N937" s="619"/>
      <c r="O937" s="619"/>
      <c r="P937" s="619"/>
      <c r="Q937" s="619"/>
      <c r="R937" s="619"/>
      <c r="S937" s="619"/>
      <c r="T937" s="619"/>
      <c r="U937" s="619"/>
      <c r="V937" s="619"/>
      <c r="W937" s="619"/>
      <c r="X937" s="619"/>
      <c r="Y937" s="619"/>
      <c r="Z937" s="619"/>
    </row>
    <row r="938" spans="1:26" ht="11.25" customHeight="1">
      <c r="A938" s="619"/>
      <c r="B938" s="619"/>
      <c r="C938" s="619"/>
      <c r="D938" s="619"/>
      <c r="E938" s="619"/>
      <c r="F938" s="619"/>
      <c r="G938" s="621"/>
      <c r="H938" s="619"/>
      <c r="I938" s="619"/>
      <c r="J938" s="619"/>
      <c r="K938" s="619"/>
      <c r="L938" s="619"/>
      <c r="M938" s="619"/>
      <c r="N938" s="619"/>
      <c r="O938" s="619"/>
      <c r="P938" s="619"/>
      <c r="Q938" s="619"/>
      <c r="R938" s="619"/>
      <c r="S938" s="619"/>
      <c r="T938" s="619"/>
      <c r="U938" s="619"/>
      <c r="V938" s="619"/>
      <c r="W938" s="619"/>
      <c r="X938" s="619"/>
      <c r="Y938" s="619"/>
      <c r="Z938" s="619"/>
    </row>
    <row r="939" spans="1:26" ht="11.25" customHeight="1">
      <c r="A939" s="619"/>
      <c r="B939" s="619"/>
      <c r="C939" s="619"/>
      <c r="D939" s="619"/>
      <c r="E939" s="619"/>
      <c r="F939" s="619"/>
      <c r="G939" s="621"/>
      <c r="H939" s="619"/>
      <c r="I939" s="619"/>
      <c r="J939" s="619"/>
      <c r="K939" s="619"/>
      <c r="L939" s="619"/>
      <c r="M939" s="619"/>
      <c r="N939" s="619"/>
      <c r="O939" s="619"/>
      <c r="P939" s="619"/>
      <c r="Q939" s="619"/>
      <c r="R939" s="619"/>
      <c r="S939" s="619"/>
      <c r="T939" s="619"/>
      <c r="U939" s="619"/>
      <c r="V939" s="619"/>
      <c r="W939" s="619"/>
      <c r="X939" s="619"/>
      <c r="Y939" s="619"/>
      <c r="Z939" s="619"/>
    </row>
    <row r="940" spans="1:26" ht="11.25" customHeight="1">
      <c r="A940" s="619"/>
      <c r="B940" s="619"/>
      <c r="C940" s="619"/>
      <c r="D940" s="619"/>
      <c r="E940" s="619"/>
      <c r="F940" s="619"/>
      <c r="G940" s="621"/>
      <c r="H940" s="619"/>
      <c r="I940" s="619"/>
      <c r="J940" s="619"/>
      <c r="K940" s="619"/>
      <c r="L940" s="619"/>
      <c r="M940" s="619"/>
      <c r="N940" s="619"/>
      <c r="O940" s="619"/>
      <c r="P940" s="619"/>
      <c r="Q940" s="619"/>
      <c r="R940" s="619"/>
      <c r="S940" s="619"/>
      <c r="T940" s="619"/>
      <c r="U940" s="619"/>
      <c r="V940" s="619"/>
      <c r="W940" s="619"/>
      <c r="X940" s="619"/>
      <c r="Y940" s="619"/>
      <c r="Z940" s="619"/>
    </row>
    <row r="941" spans="1:26" ht="11.25" customHeight="1">
      <c r="A941" s="619"/>
      <c r="B941" s="619"/>
      <c r="C941" s="619"/>
      <c r="D941" s="619"/>
      <c r="E941" s="619"/>
      <c r="F941" s="619"/>
      <c r="G941" s="621"/>
      <c r="H941" s="619"/>
      <c r="I941" s="619"/>
      <c r="J941" s="619"/>
      <c r="K941" s="619"/>
      <c r="L941" s="619"/>
      <c r="M941" s="619"/>
      <c r="N941" s="619"/>
      <c r="O941" s="619"/>
      <c r="P941" s="619"/>
      <c r="Q941" s="619"/>
      <c r="R941" s="619"/>
      <c r="S941" s="619"/>
      <c r="T941" s="619"/>
      <c r="U941" s="619"/>
      <c r="V941" s="619"/>
      <c r="W941" s="619"/>
      <c r="X941" s="619"/>
      <c r="Y941" s="619"/>
      <c r="Z941" s="619"/>
    </row>
    <row r="942" spans="1:26" ht="11.25" customHeight="1">
      <c r="A942" s="619"/>
      <c r="B942" s="619"/>
      <c r="C942" s="619"/>
      <c r="D942" s="619"/>
      <c r="E942" s="619"/>
      <c r="F942" s="619"/>
      <c r="G942" s="621"/>
      <c r="H942" s="619"/>
      <c r="I942" s="619"/>
      <c r="J942" s="619"/>
      <c r="K942" s="619"/>
      <c r="L942" s="619"/>
      <c r="M942" s="619"/>
      <c r="N942" s="619"/>
      <c r="O942" s="619"/>
      <c r="P942" s="619"/>
      <c r="Q942" s="619"/>
      <c r="R942" s="619"/>
      <c r="S942" s="619"/>
      <c r="T942" s="619"/>
      <c r="U942" s="619"/>
      <c r="V942" s="619"/>
      <c r="W942" s="619"/>
      <c r="X942" s="619"/>
      <c r="Y942" s="619"/>
      <c r="Z942" s="619"/>
    </row>
    <row r="943" spans="1:26" ht="11.25" customHeight="1">
      <c r="A943" s="619"/>
      <c r="B943" s="619"/>
      <c r="C943" s="619"/>
      <c r="D943" s="619"/>
      <c r="E943" s="619"/>
      <c r="F943" s="619"/>
      <c r="G943" s="621"/>
      <c r="H943" s="619"/>
      <c r="I943" s="619"/>
      <c r="J943" s="619"/>
      <c r="K943" s="619"/>
      <c r="L943" s="619"/>
      <c r="M943" s="619"/>
      <c r="N943" s="619"/>
      <c r="O943" s="619"/>
      <c r="P943" s="619"/>
      <c r="Q943" s="619"/>
      <c r="R943" s="619"/>
      <c r="S943" s="619"/>
      <c r="T943" s="619"/>
      <c r="U943" s="619"/>
      <c r="V943" s="619"/>
      <c r="W943" s="619"/>
      <c r="X943" s="619"/>
      <c r="Y943" s="619"/>
      <c r="Z943" s="619"/>
    </row>
    <row r="944" spans="1:26" ht="11.25" customHeight="1">
      <c r="A944" s="619"/>
      <c r="B944" s="619"/>
      <c r="C944" s="619"/>
      <c r="D944" s="619"/>
      <c r="E944" s="619"/>
      <c r="F944" s="619"/>
      <c r="G944" s="621"/>
      <c r="H944" s="619"/>
      <c r="I944" s="619"/>
      <c r="J944" s="619"/>
      <c r="K944" s="619"/>
      <c r="L944" s="619"/>
      <c r="M944" s="619"/>
      <c r="N944" s="619"/>
      <c r="O944" s="619"/>
      <c r="P944" s="619"/>
      <c r="Q944" s="619"/>
      <c r="R944" s="619"/>
      <c r="S944" s="619"/>
      <c r="T944" s="619"/>
      <c r="U944" s="619"/>
      <c r="V944" s="619"/>
      <c r="W944" s="619"/>
      <c r="X944" s="619"/>
      <c r="Y944" s="619"/>
      <c r="Z944" s="619"/>
    </row>
    <row r="945" spans="1:26" ht="11.25" customHeight="1">
      <c r="A945" s="619"/>
      <c r="B945" s="619"/>
      <c r="C945" s="619"/>
      <c r="D945" s="619"/>
      <c r="E945" s="619"/>
      <c r="F945" s="619"/>
      <c r="G945" s="621"/>
      <c r="H945" s="619"/>
      <c r="I945" s="619"/>
      <c r="J945" s="619"/>
      <c r="K945" s="619"/>
      <c r="L945" s="619"/>
      <c r="M945" s="619"/>
      <c r="N945" s="619"/>
      <c r="O945" s="619"/>
      <c r="P945" s="619"/>
      <c r="Q945" s="619"/>
      <c r="R945" s="619"/>
      <c r="S945" s="619"/>
      <c r="T945" s="619"/>
      <c r="U945" s="619"/>
      <c r="V945" s="619"/>
      <c r="W945" s="619"/>
      <c r="X945" s="619"/>
      <c r="Y945" s="619"/>
      <c r="Z945" s="619"/>
    </row>
    <row r="946" spans="1:26" ht="11.25" customHeight="1">
      <c r="A946" s="619"/>
      <c r="B946" s="619"/>
      <c r="C946" s="619"/>
      <c r="D946" s="619"/>
      <c r="E946" s="619"/>
      <c r="F946" s="619"/>
      <c r="G946" s="621"/>
      <c r="H946" s="619"/>
      <c r="I946" s="619"/>
      <c r="J946" s="619"/>
      <c r="K946" s="619"/>
      <c r="L946" s="619"/>
      <c r="M946" s="619"/>
      <c r="N946" s="619"/>
      <c r="O946" s="619"/>
      <c r="P946" s="619"/>
      <c r="Q946" s="619"/>
      <c r="R946" s="619"/>
      <c r="S946" s="619"/>
      <c r="T946" s="619"/>
      <c r="U946" s="619"/>
      <c r="V946" s="619"/>
      <c r="W946" s="619"/>
      <c r="X946" s="619"/>
      <c r="Y946" s="619"/>
      <c r="Z946" s="619"/>
    </row>
    <row r="947" spans="1:26" ht="11.25" customHeight="1">
      <c r="A947" s="619"/>
      <c r="B947" s="619"/>
      <c r="C947" s="619"/>
      <c r="D947" s="619"/>
      <c r="E947" s="619"/>
      <c r="F947" s="619"/>
      <c r="G947" s="621"/>
      <c r="H947" s="619"/>
      <c r="I947" s="619"/>
      <c r="J947" s="619"/>
      <c r="K947" s="619"/>
      <c r="L947" s="619"/>
      <c r="M947" s="619"/>
      <c r="N947" s="619"/>
      <c r="O947" s="619"/>
      <c r="P947" s="619"/>
      <c r="Q947" s="619"/>
      <c r="R947" s="619"/>
      <c r="S947" s="619"/>
      <c r="T947" s="619"/>
      <c r="U947" s="619"/>
      <c r="V947" s="619"/>
      <c r="W947" s="619"/>
      <c r="X947" s="619"/>
      <c r="Y947" s="619"/>
      <c r="Z947" s="619"/>
    </row>
    <row r="948" spans="1:26" ht="11.25" customHeight="1">
      <c r="A948" s="619"/>
      <c r="B948" s="619"/>
      <c r="C948" s="619"/>
      <c r="D948" s="619"/>
      <c r="E948" s="619"/>
      <c r="F948" s="619"/>
      <c r="G948" s="621"/>
      <c r="H948" s="619"/>
      <c r="I948" s="619"/>
      <c r="J948" s="619"/>
      <c r="K948" s="619"/>
      <c r="L948" s="619"/>
      <c r="M948" s="619"/>
      <c r="N948" s="619"/>
      <c r="O948" s="619"/>
      <c r="P948" s="619"/>
      <c r="Q948" s="619"/>
      <c r="R948" s="619"/>
      <c r="S948" s="619"/>
      <c r="T948" s="619"/>
      <c r="U948" s="619"/>
      <c r="V948" s="619"/>
      <c r="W948" s="619"/>
      <c r="X948" s="619"/>
      <c r="Y948" s="619"/>
      <c r="Z948" s="619"/>
    </row>
    <row r="949" spans="1:26" ht="11.25" customHeight="1">
      <c r="A949" s="619"/>
      <c r="B949" s="619"/>
      <c r="C949" s="619"/>
      <c r="D949" s="619"/>
      <c r="E949" s="619"/>
      <c r="F949" s="619"/>
      <c r="G949" s="621"/>
      <c r="H949" s="619"/>
      <c r="I949" s="619"/>
      <c r="J949" s="619"/>
      <c r="K949" s="619"/>
      <c r="L949" s="619"/>
      <c r="M949" s="619"/>
      <c r="N949" s="619"/>
      <c r="O949" s="619"/>
      <c r="P949" s="619"/>
      <c r="Q949" s="619"/>
      <c r="R949" s="619"/>
      <c r="S949" s="619"/>
      <c r="T949" s="619"/>
      <c r="U949" s="619"/>
      <c r="V949" s="619"/>
      <c r="W949" s="619"/>
      <c r="X949" s="619"/>
      <c r="Y949" s="619"/>
      <c r="Z949" s="619"/>
    </row>
    <row r="950" spans="1:26" ht="11.25" customHeight="1">
      <c r="A950" s="619"/>
      <c r="B950" s="619"/>
      <c r="C950" s="619"/>
      <c r="D950" s="619"/>
      <c r="E950" s="619"/>
      <c r="F950" s="619"/>
      <c r="G950" s="621"/>
      <c r="H950" s="619"/>
      <c r="I950" s="619"/>
      <c r="J950" s="619"/>
      <c r="K950" s="619"/>
      <c r="L950" s="619"/>
      <c r="M950" s="619"/>
      <c r="N950" s="619"/>
      <c r="O950" s="619"/>
      <c r="P950" s="619"/>
      <c r="Q950" s="619"/>
      <c r="R950" s="619"/>
      <c r="S950" s="619"/>
      <c r="T950" s="619"/>
      <c r="U950" s="619"/>
      <c r="V950" s="619"/>
      <c r="W950" s="619"/>
      <c r="X950" s="619"/>
      <c r="Y950" s="619"/>
      <c r="Z950" s="619"/>
    </row>
    <row r="951" spans="1:26" ht="11.25" customHeight="1">
      <c r="A951" s="619"/>
      <c r="B951" s="619"/>
      <c r="C951" s="619"/>
      <c r="D951" s="619"/>
      <c r="E951" s="619"/>
      <c r="F951" s="619"/>
      <c r="G951" s="621"/>
      <c r="H951" s="619"/>
      <c r="I951" s="619"/>
      <c r="J951" s="619"/>
      <c r="K951" s="619"/>
      <c r="L951" s="619"/>
      <c r="M951" s="619"/>
      <c r="N951" s="619"/>
      <c r="O951" s="619"/>
      <c r="P951" s="619"/>
      <c r="Q951" s="619"/>
      <c r="R951" s="619"/>
      <c r="S951" s="619"/>
      <c r="T951" s="619"/>
      <c r="U951" s="619"/>
      <c r="V951" s="619"/>
      <c r="W951" s="619"/>
      <c r="X951" s="619"/>
      <c r="Y951" s="619"/>
      <c r="Z951" s="619"/>
    </row>
    <row r="952" spans="1:26" ht="11.25" customHeight="1">
      <c r="A952" s="619"/>
      <c r="B952" s="619"/>
      <c r="C952" s="619"/>
      <c r="D952" s="619"/>
      <c r="E952" s="619"/>
      <c r="F952" s="619"/>
      <c r="G952" s="621"/>
      <c r="H952" s="619"/>
      <c r="I952" s="619"/>
      <c r="J952" s="619"/>
      <c r="K952" s="619"/>
      <c r="L952" s="619"/>
      <c r="M952" s="619"/>
      <c r="N952" s="619"/>
      <c r="O952" s="619"/>
      <c r="P952" s="619"/>
      <c r="Q952" s="619"/>
      <c r="R952" s="619"/>
      <c r="S952" s="619"/>
      <c r="T952" s="619"/>
      <c r="U952" s="619"/>
      <c r="V952" s="619"/>
      <c r="W952" s="619"/>
      <c r="X952" s="619"/>
      <c r="Y952" s="619"/>
      <c r="Z952" s="619"/>
    </row>
    <row r="953" spans="1:26" ht="11.25" customHeight="1">
      <c r="A953" s="619"/>
      <c r="B953" s="619"/>
      <c r="C953" s="619"/>
      <c r="D953" s="619"/>
      <c r="E953" s="619"/>
      <c r="F953" s="619"/>
      <c r="G953" s="621"/>
      <c r="H953" s="619"/>
      <c r="I953" s="619"/>
      <c r="J953" s="619"/>
      <c r="K953" s="619"/>
      <c r="L953" s="619"/>
      <c r="M953" s="619"/>
      <c r="N953" s="619"/>
      <c r="O953" s="619"/>
      <c r="P953" s="619"/>
      <c r="Q953" s="619"/>
      <c r="R953" s="619"/>
      <c r="S953" s="619"/>
      <c r="T953" s="619"/>
      <c r="U953" s="619"/>
      <c r="V953" s="619"/>
      <c r="W953" s="619"/>
      <c r="X953" s="619"/>
      <c r="Y953" s="619"/>
      <c r="Z953" s="619"/>
    </row>
    <row r="954" spans="1:26" ht="11.25" customHeight="1">
      <c r="A954" s="619"/>
      <c r="B954" s="619"/>
      <c r="C954" s="619"/>
      <c r="D954" s="619"/>
      <c r="E954" s="619"/>
      <c r="F954" s="619"/>
      <c r="G954" s="621"/>
      <c r="H954" s="619"/>
      <c r="I954" s="619"/>
      <c r="J954" s="619"/>
      <c r="K954" s="619"/>
      <c r="L954" s="619"/>
      <c r="M954" s="619"/>
      <c r="N954" s="619"/>
      <c r="O954" s="619"/>
      <c r="P954" s="619"/>
      <c r="Q954" s="619"/>
      <c r="R954" s="619"/>
      <c r="S954" s="619"/>
      <c r="T954" s="619"/>
      <c r="U954" s="619"/>
      <c r="V954" s="619"/>
      <c r="W954" s="619"/>
      <c r="X954" s="619"/>
      <c r="Y954" s="619"/>
      <c r="Z954" s="619"/>
    </row>
    <row r="955" spans="1:26" ht="11.25" customHeight="1">
      <c r="A955" s="619"/>
      <c r="B955" s="619"/>
      <c r="C955" s="619"/>
      <c r="D955" s="619"/>
      <c r="E955" s="619"/>
      <c r="F955" s="619"/>
      <c r="G955" s="621"/>
      <c r="H955" s="619"/>
      <c r="I955" s="619"/>
      <c r="J955" s="619"/>
      <c r="K955" s="619"/>
      <c r="L955" s="619"/>
      <c r="M955" s="619"/>
      <c r="N955" s="619"/>
      <c r="O955" s="619"/>
      <c r="P955" s="619"/>
      <c r="Q955" s="619"/>
      <c r="R955" s="619"/>
      <c r="S955" s="619"/>
      <c r="T955" s="619"/>
      <c r="U955" s="619"/>
      <c r="V955" s="619"/>
      <c r="W955" s="619"/>
      <c r="X955" s="619"/>
      <c r="Y955" s="619"/>
      <c r="Z955" s="619"/>
    </row>
    <row r="956" spans="1:26" ht="11.25" customHeight="1">
      <c r="A956" s="619"/>
      <c r="B956" s="619"/>
      <c r="C956" s="619"/>
      <c r="D956" s="619"/>
      <c r="E956" s="619"/>
      <c r="F956" s="619"/>
      <c r="G956" s="621"/>
      <c r="H956" s="619"/>
      <c r="I956" s="619"/>
      <c r="J956" s="619"/>
      <c r="K956" s="619"/>
      <c r="L956" s="619"/>
      <c r="M956" s="619"/>
      <c r="N956" s="619"/>
      <c r="O956" s="619"/>
      <c r="P956" s="619"/>
      <c r="Q956" s="619"/>
      <c r="R956" s="619"/>
      <c r="S956" s="619"/>
      <c r="T956" s="619"/>
      <c r="U956" s="619"/>
      <c r="V956" s="619"/>
      <c r="W956" s="619"/>
      <c r="X956" s="619"/>
      <c r="Y956" s="619"/>
      <c r="Z956" s="619"/>
    </row>
    <row r="957" spans="1:26" ht="11.25" customHeight="1">
      <c r="A957" s="619"/>
      <c r="B957" s="619"/>
      <c r="C957" s="619"/>
      <c r="D957" s="619"/>
      <c r="E957" s="619"/>
      <c r="F957" s="619"/>
      <c r="G957" s="621"/>
      <c r="H957" s="619"/>
      <c r="I957" s="619"/>
      <c r="J957" s="619"/>
      <c r="K957" s="619"/>
      <c r="L957" s="619"/>
      <c r="M957" s="619"/>
      <c r="N957" s="619"/>
      <c r="O957" s="619"/>
      <c r="P957" s="619"/>
      <c r="Q957" s="619"/>
      <c r="R957" s="619"/>
      <c r="S957" s="619"/>
      <c r="T957" s="619"/>
      <c r="U957" s="619"/>
      <c r="V957" s="619"/>
      <c r="W957" s="619"/>
      <c r="X957" s="619"/>
      <c r="Y957" s="619"/>
      <c r="Z957" s="619"/>
    </row>
    <row r="958" spans="1:26" ht="11.25" customHeight="1">
      <c r="A958" s="619"/>
      <c r="B958" s="619"/>
      <c r="C958" s="619"/>
      <c r="D958" s="619"/>
      <c r="E958" s="619"/>
      <c r="F958" s="619"/>
      <c r="G958" s="621"/>
      <c r="H958" s="619"/>
      <c r="I958" s="619"/>
      <c r="J958" s="619"/>
      <c r="K958" s="619"/>
      <c r="L958" s="619"/>
      <c r="M958" s="619"/>
      <c r="N958" s="619"/>
      <c r="O958" s="619"/>
      <c r="P958" s="619"/>
      <c r="Q958" s="619"/>
      <c r="R958" s="619"/>
      <c r="S958" s="619"/>
      <c r="T958" s="619"/>
      <c r="U958" s="619"/>
      <c r="V958" s="619"/>
      <c r="W958" s="619"/>
      <c r="X958" s="619"/>
      <c r="Y958" s="619"/>
      <c r="Z958" s="619"/>
    </row>
    <row r="959" spans="1:26" ht="11.25" customHeight="1">
      <c r="A959" s="619"/>
      <c r="B959" s="619"/>
      <c r="C959" s="619"/>
      <c r="D959" s="619"/>
      <c r="E959" s="619"/>
      <c r="F959" s="619"/>
      <c r="G959" s="621"/>
      <c r="H959" s="619"/>
      <c r="I959" s="619"/>
      <c r="J959" s="619"/>
      <c r="K959" s="619"/>
      <c r="L959" s="619"/>
      <c r="M959" s="619"/>
      <c r="N959" s="619"/>
      <c r="O959" s="619"/>
      <c r="P959" s="619"/>
      <c r="Q959" s="619"/>
      <c r="R959" s="619"/>
      <c r="S959" s="619"/>
      <c r="T959" s="619"/>
      <c r="U959" s="619"/>
      <c r="V959" s="619"/>
      <c r="W959" s="619"/>
      <c r="X959" s="619"/>
      <c r="Y959" s="619"/>
      <c r="Z959" s="619"/>
    </row>
    <row r="960" spans="1:26" ht="11.25" customHeight="1">
      <c r="A960" s="619"/>
      <c r="B960" s="619"/>
      <c r="C960" s="619"/>
      <c r="D960" s="619"/>
      <c r="E960" s="619"/>
      <c r="F960" s="619"/>
      <c r="G960" s="621"/>
      <c r="H960" s="619"/>
      <c r="I960" s="619"/>
      <c r="J960" s="619"/>
      <c r="K960" s="619"/>
      <c r="L960" s="619"/>
      <c r="M960" s="619"/>
      <c r="N960" s="619"/>
      <c r="O960" s="619"/>
      <c r="P960" s="619"/>
      <c r="Q960" s="619"/>
      <c r="R960" s="619"/>
      <c r="S960" s="619"/>
      <c r="T960" s="619"/>
      <c r="U960" s="619"/>
      <c r="V960" s="619"/>
      <c r="W960" s="619"/>
      <c r="X960" s="619"/>
      <c r="Y960" s="619"/>
      <c r="Z960" s="619"/>
    </row>
    <row r="961" spans="1:26" ht="11.25" customHeight="1">
      <c r="A961" s="619"/>
      <c r="B961" s="619"/>
      <c r="C961" s="619"/>
      <c r="D961" s="619"/>
      <c r="E961" s="619"/>
      <c r="F961" s="619"/>
      <c r="G961" s="621"/>
      <c r="H961" s="619"/>
      <c r="I961" s="619"/>
      <c r="J961" s="619"/>
      <c r="K961" s="619"/>
      <c r="L961" s="619"/>
      <c r="M961" s="619"/>
      <c r="N961" s="619"/>
      <c r="O961" s="619"/>
      <c r="P961" s="619"/>
      <c r="Q961" s="619"/>
      <c r="R961" s="619"/>
      <c r="S961" s="619"/>
      <c r="T961" s="619"/>
      <c r="U961" s="619"/>
      <c r="V961" s="619"/>
      <c r="W961" s="619"/>
      <c r="X961" s="619"/>
      <c r="Y961" s="619"/>
      <c r="Z961" s="619"/>
    </row>
    <row r="962" spans="1:26" ht="11.25" customHeight="1">
      <c r="A962" s="619"/>
      <c r="B962" s="619"/>
      <c r="C962" s="619"/>
      <c r="D962" s="619"/>
      <c r="E962" s="619"/>
      <c r="F962" s="619"/>
      <c r="G962" s="621"/>
      <c r="H962" s="619"/>
      <c r="I962" s="619"/>
      <c r="J962" s="619"/>
      <c r="K962" s="619"/>
      <c r="L962" s="619"/>
      <c r="M962" s="619"/>
      <c r="N962" s="619"/>
      <c r="O962" s="619"/>
      <c r="P962" s="619"/>
      <c r="Q962" s="619"/>
      <c r="R962" s="619"/>
      <c r="S962" s="619"/>
      <c r="T962" s="619"/>
      <c r="U962" s="619"/>
      <c r="V962" s="619"/>
      <c r="W962" s="619"/>
      <c r="X962" s="619"/>
      <c r="Y962" s="619"/>
      <c r="Z962" s="619"/>
    </row>
    <row r="963" spans="1:26" ht="11.25" customHeight="1">
      <c r="A963" s="619"/>
      <c r="B963" s="619"/>
      <c r="C963" s="619"/>
      <c r="D963" s="619"/>
      <c r="E963" s="619"/>
      <c r="F963" s="619"/>
      <c r="G963" s="621"/>
      <c r="H963" s="619"/>
      <c r="I963" s="619"/>
      <c r="J963" s="619"/>
      <c r="K963" s="619"/>
      <c r="L963" s="619"/>
      <c r="M963" s="619"/>
      <c r="N963" s="619"/>
      <c r="O963" s="619"/>
      <c r="P963" s="619"/>
      <c r="Q963" s="619"/>
      <c r="R963" s="619"/>
      <c r="S963" s="619"/>
      <c r="T963" s="619"/>
      <c r="U963" s="619"/>
      <c r="V963" s="619"/>
      <c r="W963" s="619"/>
      <c r="X963" s="619"/>
      <c r="Y963" s="619"/>
      <c r="Z963" s="619"/>
    </row>
    <row r="964" spans="1:26" ht="11.25" customHeight="1">
      <c r="A964" s="619"/>
      <c r="B964" s="619"/>
      <c r="C964" s="619"/>
      <c r="D964" s="619"/>
      <c r="E964" s="619"/>
      <c r="F964" s="619"/>
      <c r="G964" s="621"/>
      <c r="H964" s="619"/>
      <c r="I964" s="619"/>
      <c r="J964" s="619"/>
      <c r="K964" s="619"/>
      <c r="L964" s="619"/>
      <c r="M964" s="619"/>
      <c r="N964" s="619"/>
      <c r="O964" s="619"/>
      <c r="P964" s="619"/>
      <c r="Q964" s="619"/>
      <c r="R964" s="619"/>
      <c r="S964" s="619"/>
      <c r="T964" s="619"/>
      <c r="U964" s="619"/>
      <c r="V964" s="619"/>
      <c r="W964" s="619"/>
      <c r="X964" s="619"/>
      <c r="Y964" s="619"/>
      <c r="Z964" s="619"/>
    </row>
    <row r="965" spans="1:26" ht="11.25" customHeight="1">
      <c r="A965" s="619"/>
      <c r="B965" s="619"/>
      <c r="C965" s="619"/>
      <c r="D965" s="619"/>
      <c r="E965" s="619"/>
      <c r="F965" s="619"/>
      <c r="G965" s="621"/>
      <c r="H965" s="619"/>
      <c r="I965" s="619"/>
      <c r="J965" s="619"/>
      <c r="K965" s="619"/>
      <c r="L965" s="619"/>
      <c r="M965" s="619"/>
      <c r="N965" s="619"/>
      <c r="O965" s="619"/>
      <c r="P965" s="619"/>
      <c r="Q965" s="619"/>
      <c r="R965" s="619"/>
      <c r="S965" s="619"/>
      <c r="T965" s="619"/>
      <c r="U965" s="619"/>
      <c r="V965" s="619"/>
      <c r="W965" s="619"/>
      <c r="X965" s="619"/>
      <c r="Y965" s="619"/>
      <c r="Z965" s="619"/>
    </row>
    <row r="966" spans="1:26" ht="11.25" customHeight="1">
      <c r="A966" s="619"/>
      <c r="B966" s="619"/>
      <c r="C966" s="619"/>
      <c r="D966" s="619"/>
      <c r="E966" s="619"/>
      <c r="F966" s="619"/>
      <c r="G966" s="621"/>
      <c r="H966" s="619"/>
      <c r="I966" s="619"/>
      <c r="J966" s="619"/>
      <c r="K966" s="619"/>
      <c r="L966" s="619"/>
      <c r="M966" s="619"/>
      <c r="N966" s="619"/>
      <c r="O966" s="619"/>
      <c r="P966" s="619"/>
      <c r="Q966" s="619"/>
      <c r="R966" s="619"/>
      <c r="S966" s="619"/>
      <c r="T966" s="619"/>
      <c r="U966" s="619"/>
      <c r="V966" s="619"/>
      <c r="W966" s="619"/>
      <c r="X966" s="619"/>
      <c r="Y966" s="619"/>
      <c r="Z966" s="619"/>
    </row>
    <row r="967" spans="1:26" ht="11.25" customHeight="1">
      <c r="A967" s="619"/>
      <c r="B967" s="619"/>
      <c r="C967" s="619"/>
      <c r="D967" s="619"/>
      <c r="E967" s="619"/>
      <c r="F967" s="619"/>
      <c r="G967" s="621"/>
      <c r="H967" s="619"/>
      <c r="I967" s="619"/>
      <c r="J967" s="619"/>
      <c r="K967" s="619"/>
      <c r="L967" s="619"/>
      <c r="M967" s="619"/>
      <c r="N967" s="619"/>
      <c r="O967" s="619"/>
      <c r="P967" s="619"/>
      <c r="Q967" s="619"/>
      <c r="R967" s="619"/>
      <c r="S967" s="619"/>
      <c r="T967" s="619"/>
      <c r="U967" s="619"/>
      <c r="V967" s="619"/>
      <c r="W967" s="619"/>
      <c r="X967" s="619"/>
      <c r="Y967" s="619"/>
      <c r="Z967" s="619"/>
    </row>
    <row r="968" spans="1:26" ht="11.25" customHeight="1">
      <c r="A968" s="619"/>
      <c r="B968" s="619"/>
      <c r="C968" s="619"/>
      <c r="D968" s="619"/>
      <c r="E968" s="619"/>
      <c r="F968" s="619"/>
      <c r="G968" s="621"/>
      <c r="H968" s="619"/>
      <c r="I968" s="619"/>
      <c r="J968" s="619"/>
      <c r="K968" s="619"/>
      <c r="L968" s="619"/>
      <c r="M968" s="619"/>
      <c r="N968" s="619"/>
      <c r="O968" s="619"/>
      <c r="P968" s="619"/>
      <c r="Q968" s="619"/>
      <c r="R968" s="619"/>
      <c r="S968" s="619"/>
      <c r="T968" s="619"/>
      <c r="U968" s="619"/>
      <c r="V968" s="619"/>
      <c r="W968" s="619"/>
      <c r="X968" s="619"/>
      <c r="Y968" s="619"/>
      <c r="Z968" s="619"/>
    </row>
    <row r="969" spans="1:26" ht="11.25" customHeight="1">
      <c r="A969" s="619"/>
      <c r="B969" s="619"/>
      <c r="C969" s="619"/>
      <c r="D969" s="619"/>
      <c r="E969" s="619"/>
      <c r="F969" s="619"/>
      <c r="G969" s="621"/>
      <c r="H969" s="619"/>
      <c r="I969" s="619"/>
      <c r="J969" s="619"/>
      <c r="K969" s="619"/>
      <c r="L969" s="619"/>
      <c r="M969" s="619"/>
      <c r="N969" s="619"/>
      <c r="O969" s="619"/>
      <c r="P969" s="619"/>
      <c r="Q969" s="619"/>
      <c r="R969" s="619"/>
      <c r="S969" s="619"/>
      <c r="T969" s="619"/>
      <c r="U969" s="619"/>
      <c r="V969" s="619"/>
      <c r="W969" s="619"/>
      <c r="X969" s="619"/>
      <c r="Y969" s="619"/>
      <c r="Z969" s="619"/>
    </row>
    <row r="970" spans="1:26" ht="11.25" customHeight="1">
      <c r="A970" s="619"/>
      <c r="B970" s="619"/>
      <c r="C970" s="619"/>
      <c r="D970" s="619"/>
      <c r="E970" s="619"/>
      <c r="F970" s="619"/>
      <c r="G970" s="621"/>
      <c r="H970" s="619"/>
      <c r="I970" s="619"/>
      <c r="J970" s="619"/>
      <c r="K970" s="619"/>
      <c r="L970" s="619"/>
      <c r="M970" s="619"/>
      <c r="N970" s="619"/>
      <c r="O970" s="619"/>
      <c r="P970" s="619"/>
      <c r="Q970" s="619"/>
      <c r="R970" s="619"/>
      <c r="S970" s="619"/>
      <c r="T970" s="619"/>
      <c r="U970" s="619"/>
      <c r="V970" s="619"/>
      <c r="W970" s="619"/>
      <c r="X970" s="619"/>
      <c r="Y970" s="619"/>
      <c r="Z970" s="619"/>
    </row>
    <row r="971" spans="1:26" ht="11.25" customHeight="1">
      <c r="A971" s="619"/>
      <c r="B971" s="619"/>
      <c r="C971" s="619"/>
      <c r="D971" s="619"/>
      <c r="E971" s="619"/>
      <c r="F971" s="619"/>
      <c r="G971" s="621"/>
      <c r="H971" s="619"/>
      <c r="I971" s="619"/>
      <c r="J971" s="619"/>
      <c r="K971" s="619"/>
      <c r="L971" s="619"/>
      <c r="M971" s="619"/>
      <c r="N971" s="619"/>
      <c r="O971" s="619"/>
      <c r="P971" s="619"/>
      <c r="Q971" s="619"/>
      <c r="R971" s="619"/>
      <c r="S971" s="619"/>
      <c r="T971" s="619"/>
      <c r="U971" s="619"/>
      <c r="V971" s="619"/>
      <c r="W971" s="619"/>
      <c r="X971" s="619"/>
      <c r="Y971" s="619"/>
      <c r="Z971" s="619"/>
    </row>
    <row r="972" spans="1:26" ht="11.25" customHeight="1">
      <c r="A972" s="619"/>
      <c r="B972" s="619"/>
      <c r="C972" s="619"/>
      <c r="D972" s="619"/>
      <c r="E972" s="619"/>
      <c r="F972" s="619"/>
      <c r="G972" s="621"/>
      <c r="H972" s="619"/>
      <c r="I972" s="619"/>
      <c r="J972" s="619"/>
      <c r="K972" s="619"/>
      <c r="L972" s="619"/>
      <c r="M972" s="619"/>
      <c r="N972" s="619"/>
      <c r="O972" s="619"/>
      <c r="P972" s="619"/>
      <c r="Q972" s="619"/>
      <c r="R972" s="619"/>
      <c r="S972" s="619"/>
      <c r="T972" s="619"/>
      <c r="U972" s="619"/>
      <c r="V972" s="619"/>
      <c r="W972" s="619"/>
      <c r="X972" s="619"/>
      <c r="Y972" s="619"/>
      <c r="Z972" s="619"/>
    </row>
    <row r="973" spans="1:26" ht="11.25" customHeight="1">
      <c r="A973" s="619"/>
      <c r="B973" s="619"/>
      <c r="C973" s="619"/>
      <c r="D973" s="619"/>
      <c r="E973" s="619"/>
      <c r="F973" s="619"/>
      <c r="G973" s="621"/>
      <c r="H973" s="619"/>
      <c r="I973" s="619"/>
      <c r="J973" s="619"/>
      <c r="K973" s="619"/>
      <c r="L973" s="619"/>
      <c r="M973" s="619"/>
      <c r="N973" s="619"/>
      <c r="O973" s="619"/>
      <c r="P973" s="619"/>
      <c r="Q973" s="619"/>
      <c r="R973" s="619"/>
      <c r="S973" s="619"/>
      <c r="T973" s="619"/>
      <c r="U973" s="619"/>
      <c r="V973" s="619"/>
      <c r="W973" s="619"/>
      <c r="X973" s="619"/>
      <c r="Y973" s="619"/>
      <c r="Z973" s="619"/>
    </row>
    <row r="974" spans="1:26" ht="11.25" customHeight="1">
      <c r="A974" s="619"/>
      <c r="B974" s="619"/>
      <c r="C974" s="619"/>
      <c r="D974" s="619"/>
      <c r="E974" s="619"/>
      <c r="F974" s="619"/>
      <c r="G974" s="621"/>
      <c r="H974" s="619"/>
      <c r="I974" s="619"/>
      <c r="J974" s="619"/>
      <c r="K974" s="619"/>
      <c r="L974" s="619"/>
      <c r="M974" s="619"/>
      <c r="N974" s="619"/>
      <c r="O974" s="619"/>
      <c r="P974" s="619"/>
      <c r="Q974" s="619"/>
      <c r="R974" s="619"/>
      <c r="S974" s="619"/>
      <c r="T974" s="619"/>
      <c r="U974" s="619"/>
      <c r="V974" s="619"/>
      <c r="W974" s="619"/>
      <c r="X974" s="619"/>
      <c r="Y974" s="619"/>
      <c r="Z974" s="619"/>
    </row>
    <row r="975" spans="1:26" ht="11.25" customHeight="1">
      <c r="A975" s="619"/>
      <c r="B975" s="619"/>
      <c r="C975" s="619"/>
      <c r="D975" s="619"/>
      <c r="E975" s="619"/>
      <c r="F975" s="619"/>
      <c r="G975" s="621"/>
      <c r="H975" s="619"/>
      <c r="I975" s="619"/>
      <c r="J975" s="619"/>
      <c r="K975" s="619"/>
      <c r="L975" s="619"/>
      <c r="M975" s="619"/>
      <c r="N975" s="619"/>
      <c r="O975" s="619"/>
      <c r="P975" s="619"/>
      <c r="Q975" s="619"/>
      <c r="R975" s="619"/>
      <c r="S975" s="619"/>
      <c r="T975" s="619"/>
      <c r="U975" s="619"/>
      <c r="V975" s="619"/>
      <c r="W975" s="619"/>
      <c r="X975" s="619"/>
      <c r="Y975" s="619"/>
      <c r="Z975" s="619"/>
    </row>
    <row r="976" spans="1:26" ht="11.25" customHeight="1">
      <c r="A976" s="619"/>
      <c r="B976" s="619"/>
      <c r="C976" s="619"/>
      <c r="D976" s="619"/>
      <c r="E976" s="619"/>
      <c r="F976" s="619"/>
      <c r="G976" s="621"/>
      <c r="H976" s="619"/>
      <c r="I976" s="619"/>
      <c r="J976" s="619"/>
      <c r="K976" s="619"/>
      <c r="L976" s="619"/>
      <c r="M976" s="619"/>
      <c r="N976" s="619"/>
      <c r="O976" s="619"/>
      <c r="P976" s="619"/>
      <c r="Q976" s="619"/>
      <c r="R976" s="619"/>
      <c r="S976" s="619"/>
      <c r="T976" s="619"/>
      <c r="U976" s="619"/>
      <c r="V976" s="619"/>
      <c r="W976" s="619"/>
      <c r="X976" s="619"/>
      <c r="Y976" s="619"/>
      <c r="Z976" s="619"/>
    </row>
    <row r="977" spans="1:26" ht="11.25" customHeight="1">
      <c r="A977" s="619"/>
      <c r="B977" s="619"/>
      <c r="C977" s="619"/>
      <c r="D977" s="619"/>
      <c r="E977" s="619"/>
      <c r="F977" s="619"/>
      <c r="G977" s="621"/>
      <c r="H977" s="619"/>
      <c r="I977" s="619"/>
      <c r="J977" s="619"/>
      <c r="K977" s="619"/>
      <c r="L977" s="619"/>
      <c r="M977" s="619"/>
      <c r="N977" s="619"/>
      <c r="O977" s="619"/>
      <c r="P977" s="619"/>
      <c r="Q977" s="619"/>
      <c r="R977" s="619"/>
      <c r="S977" s="619"/>
      <c r="T977" s="619"/>
      <c r="U977" s="619"/>
      <c r="V977" s="619"/>
      <c r="W977" s="619"/>
      <c r="X977" s="619"/>
      <c r="Y977" s="619"/>
      <c r="Z977" s="619"/>
    </row>
    <row r="978" spans="1:26" ht="11.25" customHeight="1">
      <c r="A978" s="619"/>
      <c r="B978" s="619"/>
      <c r="C978" s="619"/>
      <c r="D978" s="619"/>
      <c r="E978" s="619"/>
      <c r="F978" s="619"/>
      <c r="G978" s="621"/>
      <c r="H978" s="619"/>
      <c r="I978" s="619"/>
      <c r="J978" s="619"/>
      <c r="K978" s="619"/>
      <c r="L978" s="619"/>
      <c r="M978" s="619"/>
      <c r="N978" s="619"/>
      <c r="O978" s="619"/>
      <c r="P978" s="619"/>
      <c r="Q978" s="619"/>
      <c r="R978" s="619"/>
      <c r="S978" s="619"/>
      <c r="T978" s="619"/>
      <c r="U978" s="619"/>
      <c r="V978" s="619"/>
      <c r="W978" s="619"/>
      <c r="X978" s="619"/>
      <c r="Y978" s="619"/>
      <c r="Z978" s="619"/>
    </row>
    <row r="979" spans="1:26" ht="11.25" customHeight="1">
      <c r="A979" s="619"/>
      <c r="B979" s="619"/>
      <c r="C979" s="619"/>
      <c r="D979" s="619"/>
      <c r="E979" s="619"/>
      <c r="F979" s="619"/>
      <c r="G979" s="621"/>
      <c r="H979" s="619"/>
      <c r="I979" s="619"/>
      <c r="J979" s="619"/>
      <c r="K979" s="619"/>
      <c r="L979" s="619"/>
      <c r="M979" s="619"/>
      <c r="N979" s="619"/>
      <c r="O979" s="619"/>
      <c r="P979" s="619"/>
      <c r="Q979" s="619"/>
      <c r="R979" s="619"/>
      <c r="S979" s="619"/>
      <c r="T979" s="619"/>
      <c r="U979" s="619"/>
      <c r="V979" s="619"/>
      <c r="W979" s="619"/>
      <c r="X979" s="619"/>
      <c r="Y979" s="619"/>
      <c r="Z979" s="619"/>
    </row>
    <row r="980" spans="1:26" ht="11.25" customHeight="1">
      <c r="A980" s="619"/>
      <c r="B980" s="619"/>
      <c r="C980" s="619"/>
      <c r="D980" s="619"/>
      <c r="E980" s="619"/>
      <c r="F980" s="619"/>
      <c r="G980" s="621"/>
      <c r="H980" s="619"/>
      <c r="I980" s="619"/>
      <c r="J980" s="619"/>
      <c r="K980" s="619"/>
      <c r="L980" s="619"/>
      <c r="M980" s="619"/>
      <c r="N980" s="619"/>
      <c r="O980" s="619"/>
      <c r="P980" s="619"/>
      <c r="Q980" s="619"/>
      <c r="R980" s="619"/>
      <c r="S980" s="619"/>
      <c r="T980" s="619"/>
      <c r="U980" s="619"/>
      <c r="V980" s="619"/>
      <c r="W980" s="619"/>
      <c r="X980" s="619"/>
      <c r="Y980" s="619"/>
      <c r="Z980" s="619"/>
    </row>
    <row r="981" spans="1:26" ht="11.25" customHeight="1">
      <c r="A981" s="619"/>
      <c r="B981" s="619"/>
      <c r="C981" s="619"/>
      <c r="D981" s="619"/>
      <c r="E981" s="619"/>
      <c r="F981" s="619"/>
      <c r="G981" s="621"/>
      <c r="H981" s="619"/>
      <c r="I981" s="619"/>
      <c r="J981" s="619"/>
      <c r="K981" s="619"/>
      <c r="L981" s="619"/>
      <c r="M981" s="619"/>
      <c r="N981" s="619"/>
      <c r="O981" s="619"/>
      <c r="P981" s="619"/>
      <c r="Q981" s="619"/>
      <c r="R981" s="619"/>
      <c r="S981" s="619"/>
      <c r="T981" s="619"/>
      <c r="U981" s="619"/>
      <c r="V981" s="619"/>
      <c r="W981" s="619"/>
      <c r="X981" s="619"/>
      <c r="Y981" s="619"/>
      <c r="Z981" s="619"/>
    </row>
    <row r="982" spans="1:26" ht="11.25" customHeight="1">
      <c r="A982" s="619"/>
      <c r="B982" s="619"/>
      <c r="C982" s="619"/>
      <c r="D982" s="619"/>
      <c r="E982" s="619"/>
      <c r="F982" s="619"/>
      <c r="G982" s="621"/>
      <c r="H982" s="619"/>
      <c r="I982" s="619"/>
      <c r="J982" s="619"/>
      <c r="K982" s="619"/>
      <c r="L982" s="619"/>
      <c r="M982" s="619"/>
      <c r="N982" s="619"/>
      <c r="O982" s="619"/>
      <c r="P982" s="619"/>
      <c r="Q982" s="619"/>
      <c r="R982" s="619"/>
      <c r="S982" s="619"/>
      <c r="T982" s="619"/>
      <c r="U982" s="619"/>
      <c r="V982" s="619"/>
      <c r="W982" s="619"/>
      <c r="X982" s="619"/>
      <c r="Y982" s="619"/>
      <c r="Z982" s="619"/>
    </row>
    <row r="983" spans="1:26" ht="11.25" customHeight="1">
      <c r="A983" s="619"/>
      <c r="B983" s="619"/>
      <c r="C983" s="619"/>
      <c r="D983" s="619"/>
      <c r="E983" s="619"/>
      <c r="F983" s="619"/>
      <c r="G983" s="621"/>
      <c r="H983" s="619"/>
      <c r="I983" s="619"/>
      <c r="J983" s="619"/>
      <c r="K983" s="619"/>
      <c r="L983" s="619"/>
      <c r="M983" s="619"/>
      <c r="N983" s="619"/>
      <c r="O983" s="619"/>
      <c r="P983" s="619"/>
      <c r="Q983" s="619"/>
      <c r="R983" s="619"/>
      <c r="S983" s="619"/>
      <c r="T983" s="619"/>
      <c r="U983" s="619"/>
      <c r="V983" s="619"/>
      <c r="W983" s="619"/>
      <c r="X983" s="619"/>
      <c r="Y983" s="619"/>
      <c r="Z983" s="619"/>
    </row>
    <row r="984" spans="1:26" ht="11.25" customHeight="1">
      <c r="A984" s="619"/>
      <c r="B984" s="619"/>
      <c r="C984" s="619"/>
      <c r="D984" s="619"/>
      <c r="E984" s="619"/>
      <c r="F984" s="619"/>
      <c r="G984" s="621"/>
      <c r="H984" s="619"/>
      <c r="I984" s="619"/>
      <c r="J984" s="619"/>
      <c r="K984" s="619"/>
      <c r="L984" s="619"/>
      <c r="M984" s="619"/>
      <c r="N984" s="619"/>
      <c r="O984" s="619"/>
      <c r="P984" s="619"/>
      <c r="Q984" s="619"/>
      <c r="R984" s="619"/>
      <c r="S984" s="619"/>
      <c r="T984" s="619"/>
      <c r="U984" s="619"/>
      <c r="V984" s="619"/>
      <c r="W984" s="619"/>
      <c r="X984" s="619"/>
      <c r="Y984" s="619"/>
      <c r="Z984" s="619"/>
    </row>
    <row r="985" spans="1:26" ht="11.25" customHeight="1">
      <c r="A985" s="619"/>
      <c r="B985" s="619"/>
      <c r="C985" s="619"/>
      <c r="D985" s="619"/>
      <c r="E985" s="619"/>
      <c r="F985" s="619"/>
      <c r="G985" s="621"/>
      <c r="H985" s="619"/>
      <c r="I985" s="619"/>
      <c r="J985" s="619"/>
      <c r="K985" s="619"/>
      <c r="L985" s="619"/>
      <c r="M985" s="619"/>
      <c r="N985" s="619"/>
      <c r="O985" s="619"/>
      <c r="P985" s="619"/>
      <c r="Q985" s="619"/>
      <c r="R985" s="619"/>
      <c r="S985" s="619"/>
      <c r="T985" s="619"/>
      <c r="U985" s="619"/>
      <c r="V985" s="619"/>
      <c r="W985" s="619"/>
      <c r="X985" s="619"/>
      <c r="Y985" s="619"/>
      <c r="Z985" s="619"/>
    </row>
    <row r="986" spans="1:26" ht="11.25" customHeight="1">
      <c r="A986" s="619"/>
      <c r="B986" s="619"/>
      <c r="C986" s="619"/>
      <c r="D986" s="619"/>
      <c r="E986" s="619"/>
      <c r="F986" s="619"/>
      <c r="G986" s="621"/>
      <c r="H986" s="619"/>
      <c r="I986" s="619"/>
      <c r="J986" s="619"/>
      <c r="K986" s="619"/>
      <c r="L986" s="619"/>
      <c r="M986" s="619"/>
      <c r="N986" s="619"/>
      <c r="O986" s="619"/>
      <c r="P986" s="619"/>
      <c r="Q986" s="619"/>
      <c r="R986" s="619"/>
      <c r="S986" s="619"/>
      <c r="T986" s="619"/>
      <c r="U986" s="619"/>
      <c r="V986" s="619"/>
      <c r="W986" s="619"/>
      <c r="X986" s="619"/>
      <c r="Y986" s="619"/>
      <c r="Z986" s="619"/>
    </row>
    <row r="987" spans="1:26" ht="11.25" customHeight="1">
      <c r="A987" s="619"/>
      <c r="B987" s="619"/>
      <c r="C987" s="619"/>
      <c r="D987" s="619"/>
      <c r="E987" s="619"/>
      <c r="F987" s="619"/>
      <c r="G987" s="621"/>
      <c r="H987" s="619"/>
      <c r="I987" s="619"/>
      <c r="J987" s="619"/>
      <c r="K987" s="619"/>
      <c r="L987" s="619"/>
      <c r="M987" s="619"/>
      <c r="N987" s="619"/>
      <c r="O987" s="619"/>
      <c r="P987" s="619"/>
      <c r="Q987" s="619"/>
      <c r="R987" s="619"/>
      <c r="S987" s="619"/>
      <c r="T987" s="619"/>
      <c r="U987" s="619"/>
      <c r="V987" s="619"/>
      <c r="W987" s="619"/>
      <c r="X987" s="619"/>
      <c r="Y987" s="619"/>
      <c r="Z987" s="619"/>
    </row>
    <row r="988" spans="1:26" ht="11.25" customHeight="1">
      <c r="A988" s="619"/>
      <c r="B988" s="619"/>
      <c r="C988" s="619"/>
      <c r="D988" s="619"/>
      <c r="E988" s="619"/>
      <c r="F988" s="619"/>
      <c r="G988" s="621"/>
      <c r="H988" s="619"/>
      <c r="I988" s="619"/>
      <c r="J988" s="619"/>
      <c r="K988" s="619"/>
      <c r="L988" s="619"/>
      <c r="M988" s="619"/>
      <c r="N988" s="619"/>
      <c r="O988" s="619"/>
      <c r="P988" s="619"/>
      <c r="Q988" s="619"/>
      <c r="R988" s="619"/>
      <c r="S988" s="619"/>
      <c r="T988" s="619"/>
      <c r="U988" s="619"/>
      <c r="V988" s="619"/>
      <c r="W988" s="619"/>
      <c r="X988" s="619"/>
      <c r="Y988" s="619"/>
      <c r="Z988" s="619"/>
    </row>
    <row r="989" spans="1:26" ht="11.25" customHeight="1">
      <c r="A989" s="619"/>
      <c r="B989" s="619"/>
      <c r="C989" s="619"/>
      <c r="D989" s="619"/>
      <c r="E989" s="619"/>
      <c r="F989" s="619"/>
      <c r="G989" s="621"/>
      <c r="H989" s="619"/>
      <c r="I989" s="619"/>
      <c r="J989" s="619"/>
      <c r="K989" s="619"/>
      <c r="L989" s="619"/>
      <c r="M989" s="619"/>
      <c r="N989" s="619"/>
      <c r="O989" s="619"/>
      <c r="P989" s="619"/>
      <c r="Q989" s="619"/>
      <c r="R989" s="619"/>
      <c r="S989" s="619"/>
      <c r="T989" s="619"/>
      <c r="U989" s="619"/>
      <c r="V989" s="619"/>
      <c r="W989" s="619"/>
      <c r="X989" s="619"/>
      <c r="Y989" s="619"/>
      <c r="Z989" s="619"/>
    </row>
    <row r="990" spans="1:26" ht="11.25" customHeight="1">
      <c r="A990" s="619"/>
      <c r="B990" s="619"/>
      <c r="C990" s="619"/>
      <c r="D990" s="619"/>
      <c r="E990" s="619"/>
      <c r="F990" s="619"/>
      <c r="G990" s="621"/>
      <c r="H990" s="619"/>
      <c r="I990" s="619"/>
      <c r="J990" s="619"/>
      <c r="K990" s="619"/>
      <c r="L990" s="619"/>
      <c r="M990" s="619"/>
      <c r="N990" s="619"/>
      <c r="O990" s="619"/>
      <c r="P990" s="619"/>
      <c r="Q990" s="619"/>
      <c r="R990" s="619"/>
      <c r="S990" s="619"/>
      <c r="T990" s="619"/>
      <c r="U990" s="619"/>
      <c r="V990" s="619"/>
      <c r="W990" s="619"/>
      <c r="X990" s="619"/>
      <c r="Y990" s="619"/>
      <c r="Z990" s="619"/>
    </row>
    <row r="991" spans="1:26" ht="11.25" customHeight="1">
      <c r="A991" s="619"/>
      <c r="B991" s="619"/>
      <c r="C991" s="619"/>
      <c r="D991" s="619"/>
      <c r="E991" s="619"/>
      <c r="F991" s="619"/>
      <c r="G991" s="621"/>
      <c r="H991" s="619"/>
      <c r="I991" s="619"/>
      <c r="J991" s="619"/>
      <c r="K991" s="619"/>
      <c r="L991" s="619"/>
      <c r="M991" s="619"/>
      <c r="N991" s="619"/>
      <c r="O991" s="619"/>
      <c r="P991" s="619"/>
      <c r="Q991" s="619"/>
      <c r="R991" s="619"/>
      <c r="S991" s="619"/>
      <c r="T991" s="619"/>
      <c r="U991" s="619"/>
      <c r="V991" s="619"/>
      <c r="W991" s="619"/>
      <c r="X991" s="619"/>
      <c r="Y991" s="619"/>
      <c r="Z991" s="619"/>
    </row>
    <row r="992" spans="1:26" ht="11.25" customHeight="1">
      <c r="A992" s="619"/>
      <c r="B992" s="619"/>
      <c r="C992" s="619"/>
      <c r="D992" s="619"/>
      <c r="E992" s="619"/>
      <c r="F992" s="619"/>
      <c r="G992" s="621"/>
      <c r="H992" s="619"/>
      <c r="I992" s="619"/>
      <c r="J992" s="619"/>
      <c r="K992" s="619"/>
      <c r="L992" s="619"/>
      <c r="M992" s="619"/>
      <c r="N992" s="619"/>
      <c r="O992" s="619"/>
      <c r="P992" s="619"/>
      <c r="Q992" s="619"/>
      <c r="R992" s="619"/>
      <c r="S992" s="619"/>
      <c r="T992" s="619"/>
      <c r="U992" s="619"/>
      <c r="V992" s="619"/>
      <c r="W992" s="619"/>
      <c r="X992" s="619"/>
      <c r="Y992" s="619"/>
      <c r="Z992" s="619"/>
    </row>
    <row r="993" spans="1:26" ht="11.25" customHeight="1">
      <c r="A993" s="619"/>
      <c r="B993" s="619"/>
      <c r="C993" s="619"/>
      <c r="D993" s="619"/>
      <c r="E993" s="619"/>
      <c r="F993" s="619"/>
      <c r="G993" s="621"/>
      <c r="H993" s="619"/>
      <c r="I993" s="619"/>
      <c r="J993" s="619"/>
      <c r="K993" s="619"/>
      <c r="L993" s="619"/>
      <c r="M993" s="619"/>
      <c r="N993" s="619"/>
      <c r="O993" s="619"/>
      <c r="P993" s="619"/>
      <c r="Q993" s="619"/>
      <c r="R993" s="619"/>
      <c r="S993" s="619"/>
      <c r="T993" s="619"/>
      <c r="U993" s="619"/>
      <c r="V993" s="619"/>
      <c r="W993" s="619"/>
      <c r="X993" s="619"/>
      <c r="Y993" s="619"/>
      <c r="Z993" s="619"/>
    </row>
    <row r="994" spans="1:26" ht="11.25" customHeight="1">
      <c r="A994" s="619"/>
      <c r="B994" s="619"/>
      <c r="C994" s="619"/>
      <c r="D994" s="619"/>
      <c r="E994" s="619"/>
      <c r="F994" s="619"/>
      <c r="G994" s="621"/>
      <c r="H994" s="619"/>
      <c r="I994" s="619"/>
      <c r="J994" s="619"/>
      <c r="K994" s="619"/>
      <c r="L994" s="619"/>
      <c r="M994" s="619"/>
      <c r="N994" s="619"/>
      <c r="O994" s="619"/>
      <c r="P994" s="619"/>
      <c r="Q994" s="619"/>
      <c r="R994" s="619"/>
      <c r="S994" s="619"/>
      <c r="T994" s="619"/>
      <c r="U994" s="619"/>
      <c r="V994" s="619"/>
      <c r="W994" s="619"/>
      <c r="X994" s="619"/>
      <c r="Y994" s="619"/>
      <c r="Z994" s="619"/>
    </row>
    <row r="995" spans="1:26" ht="11.25" customHeight="1">
      <c r="A995" s="619"/>
      <c r="B995" s="619"/>
      <c r="C995" s="619"/>
      <c r="D995" s="619"/>
      <c r="E995" s="619"/>
      <c r="F995" s="619"/>
      <c r="G995" s="621"/>
      <c r="H995" s="619"/>
      <c r="I995" s="619"/>
      <c r="J995" s="619"/>
      <c r="K995" s="619"/>
      <c r="L995" s="619"/>
      <c r="M995" s="619"/>
      <c r="N995" s="619"/>
      <c r="O995" s="619"/>
      <c r="P995" s="619"/>
      <c r="Q995" s="619"/>
      <c r="R995" s="619"/>
      <c r="S995" s="619"/>
      <c r="T995" s="619"/>
      <c r="U995" s="619"/>
      <c r="V995" s="619"/>
      <c r="W995" s="619"/>
      <c r="X995" s="619"/>
      <c r="Y995" s="619"/>
      <c r="Z995" s="619"/>
    </row>
    <row r="996" spans="1:26" ht="11.25" customHeight="1">
      <c r="A996" s="619"/>
      <c r="B996" s="619"/>
      <c r="C996" s="619"/>
      <c r="D996" s="619"/>
      <c r="E996" s="619"/>
      <c r="F996" s="619"/>
      <c r="G996" s="621"/>
      <c r="H996" s="619"/>
      <c r="I996" s="619"/>
      <c r="J996" s="619"/>
      <c r="K996" s="619"/>
      <c r="L996" s="619"/>
      <c r="M996" s="619"/>
      <c r="N996" s="619"/>
      <c r="O996" s="619"/>
      <c r="P996" s="619"/>
      <c r="Q996" s="619"/>
      <c r="R996" s="619"/>
      <c r="S996" s="619"/>
      <c r="T996" s="619"/>
      <c r="U996" s="619"/>
      <c r="V996" s="619"/>
      <c r="W996" s="619"/>
      <c r="X996" s="619"/>
      <c r="Y996" s="619"/>
      <c r="Z996" s="619"/>
    </row>
    <row r="997" spans="1:26" ht="11.25" customHeight="1">
      <c r="A997" s="619"/>
      <c r="B997" s="619"/>
      <c r="C997" s="619"/>
      <c r="D997" s="619"/>
      <c r="E997" s="619"/>
      <c r="F997" s="619"/>
      <c r="G997" s="621"/>
      <c r="H997" s="619"/>
      <c r="I997" s="619"/>
      <c r="J997" s="619"/>
      <c r="K997" s="619"/>
      <c r="L997" s="619"/>
      <c r="M997" s="619"/>
      <c r="N997" s="619"/>
      <c r="O997" s="619"/>
      <c r="P997" s="619"/>
      <c r="Q997" s="619"/>
      <c r="R997" s="619"/>
      <c r="S997" s="619"/>
      <c r="T997" s="619"/>
      <c r="U997" s="619"/>
      <c r="V997" s="619"/>
      <c r="W997" s="619"/>
      <c r="X997" s="619"/>
      <c r="Y997" s="619"/>
      <c r="Z997" s="619"/>
    </row>
    <row r="998" spans="1:26" ht="11.25" customHeight="1">
      <c r="A998" s="619"/>
      <c r="B998" s="619"/>
      <c r="C998" s="619"/>
      <c r="D998" s="619"/>
      <c r="E998" s="619"/>
      <c r="F998" s="619"/>
      <c r="G998" s="621"/>
      <c r="H998" s="619"/>
      <c r="I998" s="619"/>
      <c r="J998" s="619"/>
      <c r="K998" s="619"/>
      <c r="L998" s="619"/>
      <c r="M998" s="619"/>
      <c r="N998" s="619"/>
      <c r="O998" s="619"/>
      <c r="P998" s="619"/>
      <c r="Q998" s="619"/>
      <c r="R998" s="619"/>
      <c r="S998" s="619"/>
      <c r="T998" s="619"/>
      <c r="U998" s="619"/>
      <c r="V998" s="619"/>
      <c r="W998" s="619"/>
      <c r="X998" s="619"/>
      <c r="Y998" s="619"/>
      <c r="Z998" s="619"/>
    </row>
    <row r="999" spans="1:26" ht="11.25" customHeight="1">
      <c r="A999" s="619"/>
      <c r="B999" s="619"/>
      <c r="C999" s="619"/>
      <c r="D999" s="619"/>
      <c r="E999" s="619"/>
      <c r="F999" s="619"/>
      <c r="G999" s="621"/>
      <c r="H999" s="619"/>
      <c r="I999" s="619"/>
      <c r="J999" s="619"/>
      <c r="K999" s="619"/>
      <c r="L999" s="619"/>
      <c r="M999" s="619"/>
      <c r="N999" s="619"/>
      <c r="O999" s="619"/>
      <c r="P999" s="619"/>
      <c r="Q999" s="619"/>
      <c r="R999" s="619"/>
      <c r="S999" s="619"/>
      <c r="T999" s="619"/>
      <c r="U999" s="619"/>
      <c r="V999" s="619"/>
      <c r="W999" s="619"/>
      <c r="X999" s="619"/>
      <c r="Y999" s="619"/>
      <c r="Z999" s="619"/>
    </row>
    <row r="1000" spans="1:26" ht="11.25" customHeight="1">
      <c r="A1000" s="619"/>
      <c r="B1000" s="619"/>
      <c r="C1000" s="619"/>
      <c r="D1000" s="619"/>
      <c r="E1000" s="619"/>
      <c r="F1000" s="619"/>
      <c r="G1000" s="621"/>
      <c r="H1000" s="619"/>
      <c r="I1000" s="619"/>
      <c r="J1000" s="619"/>
      <c r="K1000" s="619"/>
      <c r="L1000" s="619"/>
      <c r="M1000" s="619"/>
      <c r="N1000" s="619"/>
      <c r="O1000" s="619"/>
      <c r="P1000" s="619"/>
      <c r="Q1000" s="619"/>
      <c r="R1000" s="619"/>
      <c r="S1000" s="619"/>
      <c r="T1000" s="619"/>
      <c r="U1000" s="619"/>
      <c r="V1000" s="619"/>
      <c r="W1000" s="619"/>
      <c r="X1000" s="619"/>
      <c r="Y1000" s="619"/>
      <c r="Z1000" s="619"/>
    </row>
  </sheetData>
  <mergeCells count="2">
    <mergeCell ref="E15:H16"/>
    <mergeCell ref="I15:L16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19</vt:i4>
      </vt:variant>
    </vt:vector>
  </HeadingPairs>
  <TitlesOfParts>
    <vt:vector size="38" baseType="lpstr">
      <vt:lpstr>MyConnect</vt:lpstr>
      <vt:lpstr>Intro</vt:lpstr>
      <vt:lpstr>BS</vt:lpstr>
      <vt:lpstr>BS-Support</vt:lpstr>
      <vt:lpstr>PL-Sum</vt:lpstr>
      <vt:lpstr>Sum Room</vt:lpstr>
      <vt:lpstr>Front</vt:lpstr>
      <vt:lpstr>Housekeeping</vt:lpstr>
      <vt:lpstr>Reservation</vt:lpstr>
      <vt:lpstr>F&amp;B</vt:lpstr>
      <vt:lpstr>Spa &amp; Fitness</vt:lpstr>
      <vt:lpstr>OOD</vt:lpstr>
      <vt:lpstr>Admin</vt:lpstr>
      <vt:lpstr>Marketing</vt:lpstr>
      <vt:lpstr>Emp Benefit</vt:lpstr>
      <vt:lpstr>POMEC</vt:lpstr>
      <vt:lpstr>Daily Revenue</vt:lpstr>
      <vt:lpstr>Sample Formula</vt:lpstr>
      <vt:lpstr>Carmen Parameter</vt:lpstr>
      <vt:lpstr>APR</vt:lpstr>
      <vt:lpstr>AUG</vt:lpstr>
      <vt:lpstr>DB</vt:lpstr>
      <vt:lpstr>DD</vt:lpstr>
      <vt:lpstr>DEC</vt:lpstr>
      <vt:lpstr>FEB</vt:lpstr>
      <vt:lpstr>HName</vt:lpstr>
      <vt:lpstr>JAN</vt:lpstr>
      <vt:lpstr>JUL</vt:lpstr>
      <vt:lpstr>JUN</vt:lpstr>
      <vt:lpstr>MAR</vt:lpstr>
      <vt:lpstr>MAY</vt:lpstr>
      <vt:lpstr>NOV</vt:lpstr>
      <vt:lpstr>OCT</vt:lpstr>
      <vt:lpstr>PRD</vt:lpstr>
      <vt:lpstr>'PL-Sum'!Print_Area</vt:lpstr>
      <vt:lpstr>RV</vt:lpstr>
      <vt:lpstr>SEP</vt:lpstr>
      <vt:lpstr>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 Dell</dc:creator>
  <cp:lastModifiedBy>pranee kunlapapurk</cp:lastModifiedBy>
  <cp:lastPrinted>2026-05-18T07:42:52Z</cp:lastPrinted>
  <dcterms:created xsi:type="dcterms:W3CDTF">2012-08-09T10:47:02Z</dcterms:created>
  <dcterms:modified xsi:type="dcterms:W3CDTF">2026-07-08T11:05:09Z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4611e2bd-e62e-43b8-b9cb-ae60d7cc4a91</vt:lpwstr>
  </property>
</Properties>
</file>